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pichincha.sharepoint.com/sites/GerenciaIdentidades/Documentos compartidos/00-Plan Operativo Anual/2026/"/>
    </mc:Choice>
  </mc:AlternateContent>
  <xr:revisionPtr revIDLastSave="0" documentId="8_{12CBB714-C58B-45AD-BC80-37B20056A7DC}" xr6:coauthVersionLast="47" xr6:coauthVersionMax="47" xr10:uidLastSave="{00000000-0000-0000-0000-000000000000}"/>
  <bookViews>
    <workbookView xWindow="-120" yWindow="-120" windowWidth="29040" windowHeight="15720" firstSheet="5" activeTab="5" xr2:uid="{4F0E8A1B-DD39-43EA-B9A0-D5B712EA07B6}"/>
  </bookViews>
  <sheets>
    <sheet name="Actividades GI" sheetId="1" state="hidden" r:id="rId1"/>
    <sheet name="Gestión de Identidades OP" sheetId="3" state="hidden" r:id="rId2"/>
    <sheet name="Actividades GI 2026" sheetId="5" r:id="rId3"/>
    <sheet name="Planes_POA" sheetId="4" r:id="rId4"/>
    <sheet name="Planes BAU" sheetId="6" r:id="rId5"/>
    <sheet name="Planificación Externos" sheetId="8" r:id="rId6"/>
    <sheet name="Distribución_SailPoint" sheetId="7" r:id="rId7"/>
    <sheet name="Recepción de Aplicaciones" sheetId="9" r:id="rId8"/>
    <sheet name="Planificacion Entitlements" sheetId="10" state="hidden" r:id="rId9"/>
    <sheet name="Aplicaciones - Source" sheetId="12" r:id="rId10"/>
    <sheet name="Actividades GI 2025" sheetId="11" state="hidden" r:id="rId11"/>
  </sheets>
  <externalReferences>
    <externalReference r:id="rId12"/>
  </externalReferences>
  <definedNames>
    <definedName name="_xlnm._FilterDatabase" localSheetId="10" hidden="1">'Actividades GI 2025'!$A$1:$R$155</definedName>
    <definedName name="_xlnm._FilterDatabase" localSheetId="2" hidden="1">'Actividades GI 2026'!$A$1:$U$174</definedName>
    <definedName name="_xlnm._FilterDatabase" localSheetId="4" hidden="1">'Planes BAU'!$A$1:$AG$7</definedName>
    <definedName name="_xlnm._FilterDatabase" localSheetId="8" hidden="1">'Planificacion Entitlements'!$A$1:$G$167</definedName>
    <definedName name="_xlnm._FilterDatabase" localSheetId="9" hidden="1">'Aplicaciones - Source'!$A$1:$H$93</definedName>
    <definedName name="Alineamiento_NIST_CSF">#REF!</definedName>
    <definedName name="Grup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0" i="8" l="1"/>
  <c r="I120" i="8"/>
  <c r="B120" i="8"/>
  <c r="K108" i="5"/>
  <c r="I122" i="8" l="1"/>
  <c r="L122" i="8"/>
  <c r="S24" i="9"/>
  <c r="S2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tc={B88C476E-1C86-4014-AB80-1AB9D6C9A300}</author>
  </authors>
  <commentList>
    <comment ref="A6" authorId="0" shapeId="0" xr:uid="{B88C476E-1C86-4014-AB80-1AB9D6C9A300}">
      <text>
        <t>[Threaded comment]
Your version of Excel allows you to read this threaded comment; however, any edits to it will get removed if the file is opened in a newer version of Excel. Learn more: https://go.microsoft.com/fwlink/?linkid=870924
Comment:
    Conocido como Fullstack</t>
      </text>
    </comment>
  </commentList>
</comments>
</file>

<file path=xl/sharedStrings.xml><?xml version="1.0" encoding="utf-8"?>
<sst xmlns="http://schemas.openxmlformats.org/spreadsheetml/2006/main" count="10136" uniqueCount="2539">
  <si>
    <t>Gerencia</t>
  </si>
  <si>
    <t>SubArea</t>
  </si>
  <si>
    <t>Función</t>
  </si>
  <si>
    <t xml:space="preserve">Cargo </t>
  </si>
  <si>
    <t>Actividad</t>
  </si>
  <si>
    <t xml:space="preserve">Frecuencia </t>
  </si>
  <si>
    <t>Tipo</t>
  </si>
  <si>
    <t>Criticidad 2025</t>
  </si>
  <si>
    <t>Actividad contenida en funcional</t>
  </si>
  <si>
    <t>Personal</t>
  </si>
  <si>
    <t>Tiene un proceso / Esta formalizado? (PF) 25%</t>
  </si>
  <si>
    <t>Tiene un indicador asociado (IA) 25%</t>
  </si>
  <si>
    <t>Mejora Continua (MC) 25%</t>
  </si>
  <si>
    <t>Responsable</t>
  </si>
  <si>
    <t>Encargado</t>
  </si>
  <si>
    <t xml:space="preserve">N° de personas asignadas </t>
  </si>
  <si>
    <t>TIENE BACKUP?</t>
  </si>
  <si>
    <t xml:space="preserve">BACKUP </t>
  </si>
  <si>
    <t xml:space="preserve">COBERTURA CÁLCULO </t>
  </si>
  <si>
    <t xml:space="preserve">Obsevación </t>
  </si>
  <si>
    <t>Internos / Externos</t>
  </si>
  <si>
    <t xml:space="preserve"> (si/no) </t>
  </si>
  <si>
    <t>Operaciones CS</t>
  </si>
  <si>
    <t>Gestión de Identidades</t>
  </si>
  <si>
    <t>Gobierno y Estrategia de Gestión de Identidades</t>
  </si>
  <si>
    <t>Gerente Gestión de Identidades</t>
  </si>
  <si>
    <t>Auditoria Interna, Externa y Entes de control</t>
  </si>
  <si>
    <t>Alta</t>
  </si>
  <si>
    <t>Si</t>
  </si>
  <si>
    <t>Interno</t>
  </si>
  <si>
    <t>Juan Cortes</t>
  </si>
  <si>
    <t>Héctor Trujillo</t>
  </si>
  <si>
    <t>Anita Vergara</t>
  </si>
  <si>
    <t xml:space="preserve">Acciones definidas en la célula de auditoria </t>
  </si>
  <si>
    <t>Gobierno y Estrategia de Identidades</t>
  </si>
  <si>
    <t>Identificar brechas en la gestión de identidades, proponer mejoras e implementar controles.</t>
  </si>
  <si>
    <t xml:space="preserve">Alto </t>
  </si>
  <si>
    <t>Anita Fierro</t>
  </si>
  <si>
    <t>En proyecto 16/06/2023</t>
  </si>
  <si>
    <t>ABM de usuarios y perfiles (incluye priv)</t>
  </si>
  <si>
    <t>Ingeniero Gestión de Identidades</t>
  </si>
  <si>
    <t>Gestión Documental propia del área de Identidades (formalización de procesos)</t>
  </si>
  <si>
    <t>Medio</t>
  </si>
  <si>
    <t xml:space="preserve">Ambos </t>
  </si>
  <si>
    <t>Richard Requelme</t>
  </si>
  <si>
    <t xml:space="preserve">Documentos desarrollados con el área de procesos </t>
  </si>
  <si>
    <t>Gestionar la formulación del presupuesto de la división y su ejecución, asegurando la correcta imputación de cargos</t>
  </si>
  <si>
    <t xml:space="preserve">Se trabajo en conjunto con gobierno en el presupuesto </t>
  </si>
  <si>
    <t>Participar en la formulación, el desarrollo y el mantenimiento de la estrategia de operaciones ciberseguridad</t>
  </si>
  <si>
    <t xml:space="preserve">Proyectos del plan directorio </t>
  </si>
  <si>
    <t xml:space="preserve">KRI del equipo de Gestión de Identidades </t>
  </si>
  <si>
    <t>Indicadores a riesgos no financiero</t>
  </si>
  <si>
    <t>Administración y custodia llaves criptográficos /certificados / secretos</t>
  </si>
  <si>
    <t>Experto Gestión de Identidades</t>
  </si>
  <si>
    <t>Gestión de llaves criptográficas</t>
  </si>
  <si>
    <t>Ariel Villacis
Anita Vergara</t>
  </si>
  <si>
    <t>Todos</t>
  </si>
  <si>
    <t>Enero 2024 - Falta documentar el proceso</t>
  </si>
  <si>
    <t>Tablero Equipo Gestión de Identidades, para seguimiento de las gerencias de Ciberseguridad</t>
  </si>
  <si>
    <t>Se consolidará toda la gestión del equipo de Identidades</t>
  </si>
  <si>
    <t>Inidicadores de Gestión de Identidades - Gestionado por el equipo de Gobierno y Planificación Ciberseguridad</t>
  </si>
  <si>
    <t>IDE-04: Porcentaje de usuarios privilegiados controlados</t>
  </si>
  <si>
    <t>Paquita Morales
Hugo Samaniego</t>
  </si>
  <si>
    <t>IDE-05: Porcentaje de activos incluidos en el proceso de gestión de acceso privilegiado</t>
  </si>
  <si>
    <t>IDE-10: Porcentaje de usuarios nombrados con expiración de contraseñas</t>
  </si>
  <si>
    <t>Ariel Villacis</t>
  </si>
  <si>
    <t>IDE-01: Porcentaje de aplicaciones con perfilamiento definidos</t>
  </si>
  <si>
    <t>Jhonny Barreiro</t>
  </si>
  <si>
    <t>IDE-12: Porcentaje de incumplimiento de parámetros de seguridad de usuarios y claves en aplicativos</t>
  </si>
  <si>
    <t>IDE-03: Porcentaje de usuarios eliminados con accesos activos en aplicaciones.</t>
  </si>
  <si>
    <t>Bryan Uyana</t>
  </si>
  <si>
    <t>IDE-06: Porcentaje de permisos incorrectamente asignados por aplicativos</t>
  </si>
  <si>
    <t>Bryan Uyana
Jhonny Barreiro</t>
  </si>
  <si>
    <t>IDE-11: Porcentaje de usuarios nombrados con MFA</t>
  </si>
  <si>
    <t>IDE-09: Porcentaje de usuarios en AD  con inactividad mayor o igual a 60 días</t>
  </si>
  <si>
    <t>IDE-02: Porcentaje de usuarios genéricos en  aplicaciones que cumplen los controles de validación definidos</t>
  </si>
  <si>
    <t>IDE-08: Porcentaje de usuarios inactivos  en entornos productivos  con desuso mayor a 30 días</t>
  </si>
  <si>
    <t>Hugo Samaniego</t>
  </si>
  <si>
    <t>IDE-07: Porcentaje usuarios privilegiados controlados en equipos de usuario final</t>
  </si>
  <si>
    <t>Definir la estrategia y lineamientos para Gestión de Identidades</t>
  </si>
  <si>
    <t>Diseñar nueva estrategia para el servicio de Gestión de Identidades (NTT)</t>
  </si>
  <si>
    <t>Elaboración de presentación del nuevo diseño</t>
  </si>
  <si>
    <t>Seguimiento del servicio, pendientes, automatización, requerimientos, incidentes, definiciones, califiación SLA y facturación</t>
  </si>
  <si>
    <t>Administración de sistemas de control de accesos</t>
  </si>
  <si>
    <t>Retomar paso a producción de los RPA (con el equipo de NTT), se eliminan casi 3 recursos de NTT.</t>
  </si>
  <si>
    <t>Creación y asignación de nuevas VDI</t>
  </si>
  <si>
    <t>Experto Gestión de Identidades
Ingeniero Gestión de Identidades</t>
  </si>
  <si>
    <t>Asumir la administración de la Identidad y Accesos de las aplicaciones no administradas por el equipo de Identidades y Accesos (pendiente 82), (asumidas 115)</t>
  </si>
  <si>
    <t>Asumir administración de 5 herramientas (SAC, PAPM, BTP)
SAC (rol de Security Administrator)
PAPM (rol Administrador)</t>
  </si>
  <si>
    <t>Media</t>
  </si>
  <si>
    <t>Ambos</t>
  </si>
  <si>
    <t>Asumimos la administración de Reporting Services y Qlikcloud (Amerafin)</t>
  </si>
  <si>
    <t>NTT esta recibiendo las siguientes herramientas:
- DYNATRACE
- SAC, PAPM
- Sistema de Providencias Judiciales
- Sentinel Compliance
- Checkpoint Firewall BPAC
- BP One
- Protege X</t>
  </si>
  <si>
    <t>Diego Rocha
Jhonny Barreiro
Bryan Uyana
Anita Vergara
Anita Fierro
Ariel Villacis
Hugo Samaniego</t>
  </si>
  <si>
    <t>Pendiente recepción de aplicaciones por no cumplir con el estándar BP:
- Mis Riesgos
- Electronic Trading
- Api Manager - Apigee
- Fusion Cash Management
- Mentor
- IPS</t>
  </si>
  <si>
    <t>Asumir administación de las aplicaciones (Comercial Automotriz), nuevos perfiles diseñados con el Negocio.</t>
  </si>
  <si>
    <t>Aplicaciones que no cumplen con las políticas del Banco (reunión con Gobierno Ciberseguridad).</t>
  </si>
  <si>
    <t>Proyecto FUSION (Participación en levantamiento de roles de la aplicación, reemplaza al EBS).</t>
  </si>
  <si>
    <t>Aplicaciones de Tesorería (4), recepción de los módulos de seguridad.</t>
  </si>
  <si>
    <t>Monitoreo de los módulos de control de accesos a nivel de aplicación. (Monitoreo mensual por grupo de aplicación).</t>
  </si>
  <si>
    <t>Planes Gestión de Identidades (SIRO):
- Seguridad Física realizará la entrega de las plataformas Decision Cloud, Coren y ProtegeGX, al área de Identidades.
-El equipo de implementación de la iniciativa SAP Modelos Financieros, entregará el módulo de seguridad de usuarios de la aplicación SAP Business Technology Platform al área de Gestión de Identidades.
- El Experto de Portafolio Productos y Servicios coordinará la entrega al área de ciberseguridad del módulo de administración de usuarios (internos y externos) del aplicativo Mentor
- Entrega del módulo de accesos de las aplicaciones MAM y Cloud Defender.
- Entrega el componente es la entrega del módulo de accesos de IRM</t>
  </si>
  <si>
    <t>Externo</t>
  </si>
  <si>
    <t>Proyecto de Sailpoint</t>
  </si>
  <si>
    <t>Mineria de roles</t>
  </si>
  <si>
    <t>Ariel Villacis
Jhonny Barreiro</t>
  </si>
  <si>
    <t>Levantamiento de roles/perfiles (Bancs, Logic Flow, RHDS, Siglo 21, AD)</t>
  </si>
  <si>
    <t>Integración con Sailpoint y ServiceNow</t>
  </si>
  <si>
    <t>Red de agencias (depuración de accesos)</t>
  </si>
  <si>
    <t>Modulo de Administración de Terceros y Genéricos (NERM).</t>
  </si>
  <si>
    <t>Eiminación de perfiles y eliminación de asignación de perfiles a usuarios (Bancs) - Observación de Auditoría Interna.</t>
  </si>
  <si>
    <t>Paquita Morales
Jhonny Barreiro</t>
  </si>
  <si>
    <t>Estructura de las OU del AD.</t>
  </si>
  <si>
    <t>Ariel Villacis
Hugo Samaniego</t>
  </si>
  <si>
    <t>Inactivación de cuentas de usuarios por vacaciones/licencias/maternidad, etc. (Flujo y revisión RRHH)</t>
  </si>
  <si>
    <t>Generación de Clave Inicial (le llegará unicamente al usuario y no llegará clave sino un link con un flujo de proceso de personalización.</t>
  </si>
  <si>
    <t xml:space="preserve">Cargado los códigos de Centro de Costos </t>
  </si>
  <si>
    <t>Logiflow (caracteres) fecha tentativa: 15/08/2025</t>
  </si>
  <si>
    <t>Cargos de externos que no estan mapeados por RRHH (SSFF), esto lo identificaremos con la revisión de cargos para externos.</t>
  </si>
  <si>
    <t>Notificación onboarding/crossboarding/offboarding</t>
  </si>
  <si>
    <t>Directorio Activo</t>
  </si>
  <si>
    <t>Identity Threat Protection - Pruebas - CrowdStrike (POC, resultados, depuración)</t>
  </si>
  <si>
    <t>Conexiones de cuentas de usuarios fuera de las sedes de Banco.</t>
  </si>
  <si>
    <t>Creación de Grupos de AD para bloqueo de conexiones de usuarios fuera de país</t>
  </si>
  <si>
    <t>Habilitación de Directivas de Acceso Condicional</t>
  </si>
  <si>
    <t>Revisión de conexiones de O365 para identificar conexiones de usuarios fuera de país</t>
  </si>
  <si>
    <t>Casos de Uso</t>
  </si>
  <si>
    <t>Depuración automática de cuentas de usuarios: Generación de script en Azure DevOps para depuración de cuentas de usuarios que no presentan conexiones en los últimos 30 días.</t>
  </si>
  <si>
    <t>Bloqueo de cuentas de usuario por inicios de sesión (interno/externo), debilidades identificadas</t>
  </si>
  <si>
    <t>MFA (habilitación, debilidades, control).</t>
  </si>
  <si>
    <t>Campaña de certificación de opciones sensibles.</t>
  </si>
  <si>
    <t>Mejorar el proceso de raiz, para reducir carga operativa manual ejecutada por el equipo.</t>
  </si>
  <si>
    <t>Opciones sensibles asociadas a 332 usuarios con permisos a la aplicación Bancs que no han sido depuradas (Auditoría Interna)</t>
  </si>
  <si>
    <t>Paquita Morales
Johnny Barreiro</t>
  </si>
  <si>
    <t>Campaña de certificación de externos</t>
  </si>
  <si>
    <t>Baja</t>
  </si>
  <si>
    <t>Revisión y certificación de accesos y perfiles de los usuarios de (DEUNA).</t>
  </si>
  <si>
    <t>Depuración de cuentas de usuarios genéricos (on premise): proyecto contratado.
Se incorporaron cuentas de: BD, SO, grupos de correo, AD, aplicaciones)</t>
  </si>
  <si>
    <t>Bryan Uyana
Paquita Morales
Anita Fierro
Hugo Samaniego</t>
  </si>
  <si>
    <t>Emisión de comunicados a responsables para depuración de cuentas de usuarios genéricas.</t>
  </si>
  <si>
    <t>Inactivación temporal a traves de ventanas de mantenimiento controladas.</t>
  </si>
  <si>
    <t>Eliminación de cuentas de usuarios genéricos.</t>
  </si>
  <si>
    <t>Establecimiento de controles de seguridad efectivos para cuentas genéricas.</t>
  </si>
  <si>
    <t>Depuración de cuentas de usuarios privilegiados (SO, BD).</t>
  </si>
  <si>
    <t>Emisión de comunicados a responsables para depuración de cuentas de usuarios privilegiadas.</t>
  </si>
  <si>
    <t>Eliminación de cuentas de usuarios privilegiadas.</t>
  </si>
  <si>
    <t>Establecimiento de controles de seguridad efectivos para cuentas privilegiadas.</t>
  </si>
  <si>
    <t>Solicitud de casos de uso SIEM</t>
  </si>
  <si>
    <t>Control y Monitoreo de Usuarios Privilegiados (Base de Datos)</t>
  </si>
  <si>
    <t>Paquita Morales</t>
  </si>
  <si>
    <t>Usuarios privilegiados en S.O (on premise, productivos y no productivo).</t>
  </si>
  <si>
    <t>Casos de Uso (creación/modificación/eliminación usuarios en SO) a quien le llega?</t>
  </si>
  <si>
    <t>Revisar la alerta que se genera cada lunes (de los usuarios monitoreados que ejecutan acción)</t>
  </si>
  <si>
    <t>Inventarios de usuarios genericos privilegiados en SO que estan en estado monitoreado.</t>
  </si>
  <si>
    <t>Procedimiento para creación de cuentas de usuarios externos (Trazabilidad, Gestión y Seguimiento)</t>
  </si>
  <si>
    <t>Identificar colaboradores de terceros.</t>
  </si>
  <si>
    <t>Diego Rocha</t>
  </si>
  <si>
    <t>Colocar una abreviatura de "Ext" al inicio/final del nombre para mostrar.</t>
  </si>
  <si>
    <t>Poner fecha fin de vigencia 3 meses (esto se debe confirmar con la política)</t>
  </si>
  <si>
    <t>Desactivación automática de cuentas de usuarios que no han iniciado sesión en 30 días.</t>
  </si>
  <si>
    <t>Calidad de Datos - COE Ciberseguridad; indicador: Registro de Gestión de Identidades y Accesos</t>
  </si>
  <si>
    <t>Registro de actividades de tratamiento (RAT)</t>
  </si>
  <si>
    <t>Anita Vergara
Jhonny Barreiro</t>
  </si>
  <si>
    <t>(Proyecto Fuga de Información)</t>
  </si>
  <si>
    <t>Proyecto para la identificación de responsables, uso y custodio de contraseñas de los usuarios genéricos de correo electrónico. Fecha implementación: 21/11/25</t>
  </si>
  <si>
    <t>SFTP (revisión permiso Everyone)</t>
  </si>
  <si>
    <t>Establecimiento de infraestructura para compartir información con terceros de manera segura.</t>
  </si>
  <si>
    <t>Proceso USB</t>
  </si>
  <si>
    <t>Depuración de perfiles de Navegación de NTT.</t>
  </si>
  <si>
    <t>Canal de Contacto - Denuncias (establecer metodo por correo electrónico)</t>
  </si>
  <si>
    <t>Revisar proceso rotación de contraseñas (automatizar, PAM, identificar herramientas para automatizar)</t>
  </si>
  <si>
    <t>Gobierno de INTUNE (perfilamiento y elaboración de matriz RACI).</t>
  </si>
  <si>
    <t>Eliminación o Automatización de procesos manuales ejecutados por equipo:</t>
  </si>
  <si>
    <t>Monitoreo de Conexiones VPN</t>
  </si>
  <si>
    <t>Usuarios sin conexión 90+</t>
  </si>
  <si>
    <t>Monitoreo de EndPoints (No seguros)</t>
  </si>
  <si>
    <t>Perfiles por Defecto y PG sin responsable</t>
  </si>
  <si>
    <t>Monitoreo de aplicaciones administradas.</t>
  </si>
  <si>
    <t>Base de Datos (DEVOPS)</t>
  </si>
  <si>
    <t>Grupos de VPN (asignación por grupos) Revisar; proceso manual en excel para asignación de acceso VPN.</t>
  </si>
  <si>
    <t>Johnny Barreiro</t>
  </si>
  <si>
    <t>Monitoreo de Perfiles de Aplicaciones (73 aplicaciones)</t>
  </si>
  <si>
    <t>Cloud</t>
  </si>
  <si>
    <t>Definición de roles Infraestructura en Cloud (Equipo Técnico)</t>
  </si>
  <si>
    <t>Usuarios privilegiados en S.O (cloud): pendiente de asumir</t>
  </si>
  <si>
    <t>Linea Base hardening - cloud</t>
  </si>
  <si>
    <t>Cambiar usuarios por recomendación de Microsoft (equipo Tecnología)</t>
  </si>
  <si>
    <t>Assessment Microsoft</t>
  </si>
  <si>
    <t>Cambio de esquema en usuarios genéricos en Cloud.</t>
  </si>
  <si>
    <t>Ampliar cobertura (IAS)</t>
  </si>
  <si>
    <t>Bryan Uyana
Anita Fierro
Paquita Morales</t>
  </si>
  <si>
    <t>Identificar responsables de las APPS de Cloud, para que exista una notificación automática (semanal) de la caducidad del secret (contraseña del token)</t>
  </si>
  <si>
    <r>
      <t xml:space="preserve">Usuarios Administradores Locales de los Equipos. </t>
    </r>
    <r>
      <rPr>
        <b/>
        <sz val="10"/>
        <rFont val="Aptos Narrow"/>
        <family val="2"/>
        <scheme val="minor"/>
      </rPr>
      <t>(LAPS)</t>
    </r>
  </si>
  <si>
    <t>Revisar proceso, revisión mensual.</t>
  </si>
  <si>
    <t>Apoyo en la clasificación de información levantada por el equipo de Gobierno y Planificación de Ciberseguridad</t>
  </si>
  <si>
    <t>Hardening de Servidores (UNIX), alcance usuarios.</t>
  </si>
  <si>
    <t>Anita Vergara
Bryan Uyana
Anita Fierro</t>
  </si>
  <si>
    <t>Integración Cyberark
Traspaso de responsabilidad de Plataformas a Identidades (correo con definiciones para evitar la rotación de contraseñas).</t>
  </si>
  <si>
    <t>Onboarding, Crossboarding, Offboarding (En casos de que no existan).</t>
  </si>
  <si>
    <t>Monitoreos de llaves SSH (Asumir administración, procesos de depuración).</t>
  </si>
  <si>
    <t>Monitoreo de claves débiles (endpoint) equipos usuarios finales (usuarios locales).</t>
  </si>
  <si>
    <t>Seguimiento al proveedor ATIKA (WSO2), problemas con el gestor de identidades; SLA.</t>
  </si>
  <si>
    <t>Anita Fierro
Bryan Uyana</t>
  </si>
  <si>
    <t>Riesgos: Propuesta de Solución de Accesos Privilegiados.</t>
  </si>
  <si>
    <t>Transferir servidor PRECWDB023 al equipo de Automatización (ETL, monitoreo)</t>
  </si>
  <si>
    <t>Gestión de las credenciales y accesos a edificios; lo que nos permitiría conocer al colaborador desde la imagen.</t>
  </si>
  <si>
    <t>Plan de depuración de grupos VIP y Genericos - DLP</t>
  </si>
  <si>
    <t>FCM Client, FCM Admin (no se puede crear mismo usuario para aplicación interna y externa)</t>
  </si>
  <si>
    <t>Revisión: Cuentas de dominio</t>
  </si>
  <si>
    <t>Asesoria y Control  (Barreiro)</t>
  </si>
  <si>
    <t>Grupo de correos externos (no autorizados) Ariel Villacis.</t>
  </si>
  <si>
    <t xml:space="preserve">No se cuenta con controles para el otorgamiento de accesos a terceros (en función a su servicio y actividades requeridas) que operan con repositorios SFTPs a cargo las áreas de Operaciones y Negocios. </t>
  </si>
  <si>
    <t>AWS (Just in time)</t>
  </si>
  <si>
    <t>Externo en el nombre para mostrar y alias.</t>
  </si>
  <si>
    <t>Acceso VPN (grupos se eliminan)</t>
  </si>
  <si>
    <t>Control SSH (TATA), correo 27.08.2025 18:58 (R. Requelme)</t>
  </si>
  <si>
    <t>configurar políticas de caducidad de contraseña para usuarios locales personalizados (célula Unix) de los activos Hardware Management Console (HMC), (Vinicio Samaniego)</t>
  </si>
  <si>
    <t>69 aplicaciones gestión manual</t>
  </si>
  <si>
    <t>30 aplicaciones compartidas</t>
  </si>
  <si>
    <t xml:space="preserve">hizo llegar la mesa de servicios con las actividades de reseteo realizadas en los 3 últimos meses, son 2771 actividades que como te indiqué han sido delegadas a la mesa de servicios por ser el primer punto de contacto del usuario </t>
  </si>
  <si>
    <t>Proyecto de restructuración de control de usuarios privilegiados.</t>
  </si>
  <si>
    <t>diapositiva para todas las identidades q no manejamos sino otras áreas</t>
  </si>
  <si>
    <t>Proyectos</t>
  </si>
  <si>
    <t>Elaborar Presentación e Indicadores de Gestión para Gerencia Ciberseguridad</t>
  </si>
  <si>
    <t>- Roadmap Seguridad Identidades y Accesos</t>
  </si>
  <si>
    <t>Equipo Identidades</t>
  </si>
  <si>
    <t>Levantamiento de información con el equipo.</t>
  </si>
  <si>
    <t>Diseño de estrategia de gestión de identidades.</t>
  </si>
  <si>
    <t>Comunicación a la interna de Ciberseguridad y Banco.</t>
  </si>
  <si>
    <t>Establecimiento de manuales de políticas, procedimientos y de usuario.</t>
  </si>
  <si>
    <t>Monitoreo</t>
  </si>
  <si>
    <r>
      <t>- Asumir la administración de la Identidad y Accesos de las aplicaciones no administradas por el equipo de Identidades y Accesos</t>
    </r>
    <r>
      <rPr>
        <sz val="11"/>
        <color rgb="FFFF0000"/>
        <rFont val="Aptos Narrow"/>
        <family val="2"/>
        <scheme val="minor"/>
      </rPr>
      <t xml:space="preserve"> (89)</t>
    </r>
  </si>
  <si>
    <t>Reportan que se revise a fondo el perfil de agencia (SAC)</t>
  </si>
  <si>
    <t>- Transferir Administración de Accesos del equipo BP al equipo NTT.</t>
  </si>
  <si>
    <t>Eliminar operación del equipo interno para asumir responsabilidades de automatización y mejora de procesos (Demasiados procesos manuales)</t>
  </si>
  <si>
    <t>Revisión del alcance del contrato del servicio de Gestión de Identidades.</t>
  </si>
  <si>
    <t>Personal Externo en sitio?</t>
  </si>
  <si>
    <t>- Proyecto de Sailpoint</t>
  </si>
  <si>
    <t>se eliminan conceptos tales como: perfiles globales y opciones sensibles</t>
  </si>
  <si>
    <t>- Proyecto WSO2</t>
  </si>
  <si>
    <t>Problemas, seguimiento y reuniones semanales, SLA.</t>
  </si>
  <si>
    <t xml:space="preserve">- Proyecto Onboarding </t>
  </si>
  <si>
    <t>- Proyecto Crossboarding</t>
  </si>
  <si>
    <t>Problemas de aprovisionamiento, revisión de perfiles de usuarios que no han sido actualizados por más de un mes.</t>
  </si>
  <si>
    <t>- Identity Threat Protection - Pruebas - CrowdStrike</t>
  </si>
  <si>
    <t>- Monitoreo en Cloud (Prisma / Cortex)</t>
  </si>
  <si>
    <t>- Proceso de creación transferida para creación de usuarios externos en AD.</t>
  </si>
  <si>
    <t>- Proyecto fuga de información</t>
  </si>
  <si>
    <t>Apoyo y generación de reportes</t>
  </si>
  <si>
    <t>- IAS (Infraestructura como Servicio) plan hasta septiembre-25, plan de riesgos</t>
  </si>
  <si>
    <t>Azure</t>
  </si>
  <si>
    <t>AWS</t>
  </si>
  <si>
    <t>- CiberArk (Migración de versión). Participación (Contenedores, Bovedas, etc.)</t>
  </si>
  <si>
    <t>Usuarios</t>
  </si>
  <si>
    <t>- Cuentas de usuarios genéricos (on premise/cloud)</t>
  </si>
  <si>
    <t>Paquita Morales; Anita Fierro, Bryan Uyana</t>
  </si>
  <si>
    <t>- Cuentas de usuarios privilegiados</t>
  </si>
  <si>
    <t>- Procedimiento para creación de cuentas de usuarios externos (Trazabilidad, Gestión y Seguimiento)</t>
  </si>
  <si>
    <t>Colocar una abreviatura de "Ext" al final del nombre para mostrar.</t>
  </si>
  <si>
    <t>Colocar un caso de uso en el SIEM para que nos reporten diariamente aquellos usuarios que han caducado su vigencia</t>
  </si>
  <si>
    <t>Campaña de terceros (depuración cada 4 meses)</t>
  </si>
  <si>
    <t>Conexiones de cuentas de usuarios fuera de país (autorizado o no)?</t>
  </si>
  <si>
    <t>Inactivación por vacaciones/licencias/maternidad, etc?</t>
  </si>
  <si>
    <t>Accesos</t>
  </si>
  <si>
    <t>- Campaña de certificación de opciones sensibles.</t>
  </si>
  <si>
    <t>Ana Fierro</t>
  </si>
  <si>
    <t>- Red de agencias (depuración de accesos)</t>
  </si>
  <si>
    <t>Ana Fierro; Jhonny Barreiro</t>
  </si>
  <si>
    <t>- Definición de roles Infraestructura en Cloud (Equipo Técnico)</t>
  </si>
  <si>
    <t>- Creación de Grupos de AD para bloqueo de conexiones de usuarios fuera de país</t>
  </si>
  <si>
    <t>Operación</t>
  </si>
  <si>
    <t>- Procesos manuales ejecutados por equipo:</t>
  </si>
  <si>
    <t>Perfiles globales, funcionan o no?</t>
  </si>
  <si>
    <t>Ana Vergara</t>
  </si>
  <si>
    <t>- Monitoreo de Perfiles de Aplicaciones (70 aplicaciones)</t>
  </si>
  <si>
    <t>- Flujo para accesos a USB.</t>
  </si>
  <si>
    <t>- Ambiente no productivos (requerimientos de identidades) SO, BD, aplicaciones</t>
  </si>
  <si>
    <t>- Indice de satisfacción de incidentes (WSO2)</t>
  </si>
  <si>
    <t>- Herramienta GoAnyWhere para la generación de certificados.</t>
  </si>
  <si>
    <t>- Usuario ROOT en UNIX.</t>
  </si>
  <si>
    <t>Base de Datos</t>
  </si>
  <si>
    <t>Modificación account templates de PLSQL en perfiles globales</t>
  </si>
  <si>
    <t>Gestor de Identidades. Bancs, Siglo XXI, RedHat, Logi Flow</t>
  </si>
  <si>
    <t>Mineria de roles (revisarlo)</t>
  </si>
  <si>
    <t>SQL, Oracle, DB2, Postgres</t>
  </si>
  <si>
    <t>Indicadores de control (usuarios privilegiados controlados) BD.</t>
  </si>
  <si>
    <t>Certificación de usuarios genéricos (aplicaciones y BD), validación del equipo de TCS esta realizando; justificación, vigencia.</t>
  </si>
  <si>
    <t>Calidad de Datos (proyecto en standby)</t>
  </si>
  <si>
    <t>Privilegios en bases de datos (definiciones)</t>
  </si>
  <si>
    <t>Servidor de Base de Datos (procesos de control, automatización).</t>
  </si>
  <si>
    <t>Hardening en SO y BD (definicion de usuarios y privilegios)</t>
  </si>
  <si>
    <t>Grupos de VPN (x grupos) Revisar. Proceso Manual en excel para asignación de acceso VPN.</t>
  </si>
  <si>
    <t>Depuración de VPN</t>
  </si>
  <si>
    <t>Asignación de tickets al equipo de Banco y TEUNO.</t>
  </si>
  <si>
    <t>Crossboarding (cambio de funciones)</t>
  </si>
  <si>
    <t>Contraseñas</t>
  </si>
  <si>
    <r>
      <t>- Rotación de Contraseñas</t>
    </r>
    <r>
      <rPr>
        <sz val="11"/>
        <color rgb="FFFF0000"/>
        <rFont val="Aptos Narrow"/>
        <family val="2"/>
        <scheme val="minor"/>
      </rPr>
      <t xml:space="preserve"> (Revisar este proceso)</t>
    </r>
  </si>
  <si>
    <t>Esxi, vcenter, host, networking (2000), storage switch, firewall, IPS, F5 (balanceadores)- usuarios genericos privilegiados.</t>
  </si>
  <si>
    <t>Inventario en la CMDB (Service Now)</t>
  </si>
  <si>
    <t>Windows, unix, as400</t>
  </si>
  <si>
    <t>Definiciones en GEMA (ticket, responsable, justificación, con estas definiciones es considerado controlado); sino cumple con esta definición, pasa a monitoreado)</t>
  </si>
  <si>
    <t>Levantar perfiles en cloud (Realizado)</t>
  </si>
  <si>
    <t>SFTP (revisión permiso Everyone)- proyecto Fuga de Información.</t>
  </si>
  <si>
    <t>Auditoría Interna</t>
  </si>
  <si>
    <t>Opciones sensibles asociadas a 332 usuarios con permisos a la aplicación Bancs que no han sido depuradas</t>
  </si>
  <si>
    <t>La Gerencia de Ciberseguridad ejecutará un proyecto para la identificación de responsables, uso y custodio de contraseñas de los usuarios genéricos de correo electrónico.</t>
  </si>
  <si>
    <t>Periodo</t>
  </si>
  <si>
    <t>Categoría</t>
  </si>
  <si>
    <t>Estado</t>
  </si>
  <si>
    <t>Tipo Actividad</t>
  </si>
  <si>
    <t>Es un indicador de gestión?</t>
  </si>
  <si>
    <t>Criticidad</t>
  </si>
  <si>
    <t>Fecha Inicio</t>
  </si>
  <si>
    <t>Fecha Fin</t>
  </si>
  <si>
    <t>Fecha Fin de Planificación</t>
  </si>
  <si>
    <t>Requerimiento</t>
  </si>
  <si>
    <t>% avance</t>
  </si>
  <si>
    <t>NIST</t>
  </si>
  <si>
    <t>Riesgo</t>
  </si>
  <si>
    <t>Gestor de Identidades Sailpoint | Fase 1</t>
  </si>
  <si>
    <t>Integración con fuente autoritativa de internos Success Factors | Conector nativo</t>
  </si>
  <si>
    <t>Cerrado</t>
  </si>
  <si>
    <t>Iniciativa</t>
  </si>
  <si>
    <t>hetrujil</t>
  </si>
  <si>
    <t>Ana María Vergara</t>
  </si>
  <si>
    <t>Integración aplicaciones conectadas: AD, EntraID, Bancs, Siglo21, RHDS y Logiflow</t>
  </si>
  <si>
    <t>Implementación módulo usuarios externos y genéricos NERM</t>
  </si>
  <si>
    <t>Depuración accesos acorde al cargo Red de Agencias</t>
  </si>
  <si>
    <t>Ana María Fierro</t>
  </si>
  <si>
    <t>Depuración accesos acorde al cargo Microfinanzas | Tecnología | Banca Personas</t>
  </si>
  <si>
    <t>Abierto</t>
  </si>
  <si>
    <t>Implementación modelo de accesos basado en roles</t>
  </si>
  <si>
    <t>Eliminación de accesos a personal de Negocios (Red de Agencias) para cambiar perfiles globales y centros de costos directamente.</t>
  </si>
  <si>
    <t>Gestionaban 1478 requerimientos al mes, que pasaron a GI.</t>
  </si>
  <si>
    <t>Gestor de Identidades Sailpoint | Fase 2</t>
  </si>
  <si>
    <t>Inactivar cuentas de usuarios por vacaciones/licencias/maternidad, etc. (Flujo y revisión RRHH)</t>
  </si>
  <si>
    <t>Dependencia de revisión con RRHH</t>
  </si>
  <si>
    <t>Clasificación de accesos privilegiados de los permisos en SailPoint</t>
  </si>
  <si>
    <t>Suspendido</t>
  </si>
  <si>
    <t>Dependencia con el poblado de descripciones de permisos</t>
  </si>
  <si>
    <t>Evaluación automatización y Monitoreo de Accesos VPN Integrado a ISC SailPoint</t>
  </si>
  <si>
    <t>en diseño de definiciones</t>
  </si>
  <si>
    <t>Implementar la deshabilitación automática en SailPoint para el offboarding de internos</t>
  </si>
  <si>
    <t>Flujo implementado dependencia con "end date" consumido desde SSFF</t>
  </si>
  <si>
    <t>Ajustar las notificaciones generadas por ISC para retirar informaión sensible.  Ajustar formatos</t>
  </si>
  <si>
    <t>Mejora</t>
  </si>
  <si>
    <t>- Revisión integral de datos sensibles en comunicados fueron retirados
- Flujo notificación onboarding de usuarios externos revisado e implementado
- Fecha fin vigencia externos (comunicado).</t>
  </si>
  <si>
    <t>Revisión duplicidad tickets generados desde ISC</t>
  </si>
  <si>
    <t>- En proceso de revisión dependencia con la marca SailPoint
- Se requiere soporte del proveedor Heaven a espera de apertura de adenda de servicios</t>
  </si>
  <si>
    <t xml:space="preserve">Ajustar configuración para catálogo "Cambio Centro Costos" reducción generación tickets </t>
  </si>
  <si>
    <t>Se implemento el ajuste en SailPoint para que solo consuma las aplicaciones en las que se debe generar un cambio en el centro de costos</t>
  </si>
  <si>
    <t>Seguimiento de integración de Staffing con NERM-Service Now</t>
  </si>
  <si>
    <t xml:space="preserve">Tecnología comunico que entro en evaluación la integración.  </t>
  </si>
  <si>
    <t>Cambio de dominio de sailpoint.com a pichincha.com para las notificaciones generadas.</t>
  </si>
  <si>
    <t>Sincronización Campo AD Manager</t>
  </si>
  <si>
    <t>Depuración usuarios duplicados en AD | Identificación y corrección de inconsistencias asociadas a la causa raíz</t>
  </si>
  <si>
    <t>Incidencia</t>
  </si>
  <si>
    <t>108 usuarios duplicados. Se incluye en el control mensual de TCS.</t>
  </si>
  <si>
    <t>Modificación campo "Last Name" en Externos y revisar novedad en los apellidos que se envia desde ISC hacia el AD.</t>
  </si>
  <si>
    <t>Ana María Vergara
Jhonny Barreiro</t>
  </si>
  <si>
    <t>Revisión de Fusion: Integración de aplicación - Revisión de lectura y aprovisionamiento automatizado por Sailpoint a Fusion</t>
  </si>
  <si>
    <t>Richard Requelme
Ana María Vergara</t>
  </si>
  <si>
    <t xml:space="preserve">17-Ago - Se ejecutaron las pruebas del conector, fueron exitosas. Pendiente confirmar roles con Agencia y Dueño de app
Se encendio el conector en modo lectura, se levantaron con QA los escenarios, se tiene pendiente las pruebas en producción
</t>
  </si>
  <si>
    <t>Análisis integración Monitoreo de Fraude</t>
  </si>
  <si>
    <t>Proyecto</t>
  </si>
  <si>
    <t>Jhonny Barreiro
Ana Maria Vergara
Richard Requelme</t>
  </si>
  <si>
    <t>Ana María Vergara
Richard Requelme
Jhonny Barreiro</t>
  </si>
  <si>
    <t>- 17-ago- Se corrigio el esquema y está pendiente del lado del dueño del aplicativo la confirmación de la integración total (auth + autorización) 
Monitoreo Fraude: Acercamiento con el proyecto en revisión de integración con Entra ID (autenticación)</t>
  </si>
  <si>
    <t>Análisis integración AS400 - GAF</t>
  </si>
  <si>
    <t>- GAF: Solicitud interdependencia a la célula.  En etapa de evaluación
- 17/08/2026 Se identificó la necesidad de construir un microservicio para disponibilizar la información que consume SailPoint.  El proveedor NTTData compartió una proforma para la construcción, valor que esta fuera del presupuesto</t>
  </si>
  <si>
    <t>Análisis integración PIVI - CAO (Interdin)</t>
  </si>
  <si>
    <t>- PIVI | CAO: Solicitud interdependencia a la célula.  En etapa de evaluación
- 17/08/2026 La célula de Interdin - William Correa comunica que por temas de capacidad no es viable contar con el análisis técnico de integración por lo que quedaría en backlog</t>
  </si>
  <si>
    <t>Análisis integración Bases de Datos Oracle</t>
  </si>
  <si>
    <t xml:space="preserve">Ana María Vergara
Richard Requelme </t>
  </si>
  <si>
    <t xml:space="preserve"> 17 ago - se tuvo una reunión con Assertiva para la explicación del proceso. Sería conector por base. En el seguimiento Juan menciona que por el tema de las depuraciones de accesos a las bases, no lo ve viable
- Solicitud Arquitectura Base de Datos - Felix Manjarres.  En etapa de evaluación
- Acercamiento responsable BDD Oracle Desarrollo Bancs - Christian Pasquel</t>
  </si>
  <si>
    <t>Reemplazo microservicios Bancs, Siglo21, Logiflow</t>
  </si>
  <si>
    <t>- Microservicio Bancs: con retraso
- Microservicio Siglo21: dependencia de micro de bancs
- Microservicio Logiflow: En proceso.  Pruebas funcionales 18/08/2026</t>
  </si>
  <si>
    <t>Integración automática CRM Salesforce.  Análisis construcción roles automáticos</t>
  </si>
  <si>
    <t>-17 ago - Se remite los roles validados (con agencia y con el dueño del app) para creación de roles y proceder con el encendido
 CRM: Conector implementado, activo modo lectura</t>
  </si>
  <si>
    <t>Diferencia hora comunicados generados por Sailpoint</t>
  </si>
  <si>
    <t>Diferencia de 5 horas aprox entre la fecha y hora de la notificación y la fecha y hora reales de envío del correo
Ticket de soporte generado para atención de Assertiva #3260 21/07/2026
Comunicado con diferencia de hora corregido</t>
  </si>
  <si>
    <t>Soporte Assertiva: Flujo Genéricos ATM´s | #2953 (Eliminación)</t>
  </si>
  <si>
    <t>Se configura para que se elimine automáticamente el genérico en AD, BANCS y Siglo una vez ingresado por el flujo de eliminación.</t>
  </si>
  <si>
    <t>Corrección de roles reportados con inconsistencia</t>
  </si>
  <si>
    <t>Mensual</t>
  </si>
  <si>
    <t>- Las sesiones de revisión de roles se generan una vez al mes con el equipo de Assertiva, se analiza y se realiza las correcciones reportadas
- Actividad ejecutada bajo demanda</t>
  </si>
  <si>
    <t>Revisión, Ajustes y Corrección Implementación Rol Ejecutivo Integral 2.0</t>
  </si>
  <si>
    <t>- Revisión integral del proceso del levantamiento de roles para el piloto Ejecutivo Integral 2.0
- Corrección de roles asociados
- Sesión y comunicación con los responsables del proyecto piloto
- Procesamiento de 130 usuarios bajo este esquema
- Comunicación del proceso al equipo interno y externo</t>
  </si>
  <si>
    <t>Revisión y correlación de cuentas huérfanas en AD</t>
  </si>
  <si>
    <t>Ana Maria Vergara
Richard Requelme</t>
  </si>
  <si>
    <t>Ana María Vergara
Richard Requelme
Bryan Uyana</t>
  </si>
  <si>
    <t>Se genero el ticket #3446 para identificar la causa raiz</t>
  </si>
  <si>
    <t>Cambio en el ciclo de vida de offboarding para usuarios internos y externos en AD.  (No se mantendrán por 30 días, se eliminará el mismo día).</t>
  </si>
  <si>
    <t>- Solicitud soporte Assertiva ticket #3089
- Análisis de impacto sobre identidades VIP o excepcionadas
- Se mantendrá una sesión el viernes 24/06/2026 con el equipo de Assertiva para realizar pruebas sobre el grupo de excepción de AD, para garantizar que la cuenta se mantenga y no  sea eliminada
- Eliminación lista marcada sobre usuarios excepcionados en NERM, para manejar un proceso transversal para todas las identidades
- 17/08/2026 Se crea el grupo de AD: Grupo usuarios VIP, para agregar a los usuarios que requieren excepción en el proceso de offboarding</t>
  </si>
  <si>
    <t>Deshabilitación automática baja colaborador</t>
  </si>
  <si>
    <t>- Solicitud Soporte Assertiva #2762
- Proceso implementado operativo.  Depedencia con la carga en SSFF del atributo "end date"</t>
  </si>
  <si>
    <t>Flujo de Deshabilitación de Cuentas/permisos - Usuarios Cesantes /Crossboarding- Conector BANCS</t>
  </si>
  <si>
    <t>Richard Requelme
Bryan Uyana</t>
  </si>
  <si>
    <t>Se levanto un workflow ya establecido para cuentas cesantes y que haga el reprocesamiento. Sin embargo toca ajustar la configuración para el crossboarding</t>
  </si>
  <si>
    <t>Revisión y correlación de cuentas huérfanas en Bancs</t>
  </si>
  <si>
    <t>Ana María Vergara
Richard Requelme</t>
  </si>
  <si>
    <t>Se deshabilito cuentas cesantes. Sin embargo, se debe regularizar la información de las cuentas no correlacionadas para el control en vuelo</t>
  </si>
  <si>
    <t>Asociación de cuentas privilegiadas (ENTRAID y AD) -priv.- y no el nominado (sailpoint)
Correlacionar las cuentas priv. a la identidad del usuario en Sailpoint</t>
  </si>
  <si>
    <t>Richard Requelme
Jhonny Barreiro</t>
  </si>
  <si>
    <t>En la reunión de seguimiento con Assertiva se reviso este tema, y se vio dos opciones para trabajar este tema, se genero un ticket a Assertiva para regularizar. Para las privc, se evalua ajustes en el conector.</t>
  </si>
  <si>
    <t>Certificación de Accesos: Accesos usuarios</t>
  </si>
  <si>
    <t>Depuración de cuentas de usuarios priv. y privc.</t>
  </si>
  <si>
    <t>Flujo de Deshabilitación de Cuentas/permisos - Usuarios Cesantes /Crossboarding- Conector RHDS</t>
  </si>
  <si>
    <t>Se tiene el análisis de las cuentas no correlacionadas. Se debe determinar causa raíz y corrección.</t>
  </si>
  <si>
    <t>Revisión y correlación de cuentas huérfanas RHDS</t>
  </si>
  <si>
    <t>Regularización de Roles</t>
  </si>
  <si>
    <t>Regularización de Accesos y Permisos Crowstrike. Desde la aplicación hacia ISC Sailpoint</t>
  </si>
  <si>
    <t>Se incia con Valerai Tandazo la depuracion de accesos en Crowstrike, Fase 1 en la aplicación. Fase 2 en ISC actualmente en la aplicación</t>
  </si>
  <si>
    <t>Regularización de Accesos y Permisos Firewall Checkpoint. Desde la aplicación hacia ISC Sailpoint</t>
  </si>
  <si>
    <t>Se incia con Maria Peñaherrera la depuracion de accesos en Firewall Checkpoint, Fase 1 en la aplicación. Fase 2 en ISC actualmente en la aplicación</t>
  </si>
  <si>
    <t>Autoprovisionamiento</t>
  </si>
  <si>
    <t xml:space="preserve">Estructuración de segmentos para paquetes disponibles para usuario - Sailpoint </t>
  </si>
  <si>
    <t>-</t>
  </si>
  <si>
    <t>En espera de la descripción de permisos para armado de paquetes y estrategia de autoprovisionamiento</t>
  </si>
  <si>
    <t>Gestión de accesos y permisos</t>
  </si>
  <si>
    <t>Integración de nuevas fuentes al control - Access Request Center - Fuentes Nube (My Access).</t>
  </si>
  <si>
    <t>Se levantaron scripts para obtener la información y se creo una pestaña en GEMA para visualizar todos los permisos asignados fuera del rol</t>
  </si>
  <si>
    <t>Actualización Flujo de Accesos y Permisos SNOW. (Unificar flujo de perfiles globales y modificación de atributos, para que se coloquen los autorizadores de la CMDB en función de la aplicación a la que estan solicitando acceso el usuario).</t>
  </si>
  <si>
    <t>- Se paso a producción y se tiene el comunicado aprobado por Juan. 
Se revisa con equipo NTT y equipo de SNOW para pasar a producción 
- Solicitud de comunicado al área de gobierno</t>
  </si>
  <si>
    <t>Usuarios y Perfiles Globales</t>
  </si>
  <si>
    <t>Eliminación de accesos a usuarios de Tecnología, Operaciones y Tribu para que puedan crear usuarios de dominio directamente con perfil.</t>
  </si>
  <si>
    <t>Automatizaciones</t>
  </si>
  <si>
    <t>Automatización de la gestión de accesos para las aplicaciones: AS400, GAF, Sistema Monitoreo Fraudes con RPA.</t>
  </si>
  <si>
    <t>Pendiente validación API con heaven para luego validación en test y posterior paso a producción.</t>
  </si>
  <si>
    <t>Migración de módulos de seguridad</t>
  </si>
  <si>
    <t>Apagado Siglo 21: Sincronización en Test y Producción; Desarrollo Módulo de Seguridad</t>
  </si>
  <si>
    <t>Ana María Fierro
Daniel Lescano</t>
  </si>
  <si>
    <t>Se han realizado pruebas, certificación, capacitación; pendiente corregir ciertos hallazgos identificados, validar y pasar el periodo de estabilización (10 días).</t>
  </si>
  <si>
    <t>Recepción de Aplicaciones</t>
  </si>
  <si>
    <r>
      <t xml:space="preserve">Transferir aplicaciones al equipo de Gestión de Identidades para su gestión de identidades y accesos.
En enero 2026 se tenia </t>
    </r>
    <r>
      <rPr>
        <b/>
        <sz val="10"/>
        <color theme="1"/>
        <rFont val="Aptos Narrow"/>
        <family val="2"/>
        <scheme val="minor"/>
      </rPr>
      <t>154</t>
    </r>
    <r>
      <rPr>
        <sz val="10"/>
        <color theme="1"/>
        <rFont val="Aptos Narrow"/>
        <family val="2"/>
        <scheme val="minor"/>
      </rPr>
      <t xml:space="preserve"> aplicaciones administradas, a diciembre se debe llegar a </t>
    </r>
    <r>
      <rPr>
        <b/>
        <sz val="10"/>
        <color theme="1"/>
        <rFont val="Aptos Narrow"/>
        <family val="2"/>
        <scheme val="minor"/>
      </rPr>
      <t>232</t>
    </r>
    <r>
      <rPr>
        <sz val="10"/>
        <color theme="1"/>
        <rFont val="Aptos Narrow"/>
        <family val="2"/>
        <scheme val="minor"/>
      </rPr>
      <t xml:space="preserve"> aplicaciones. Llevamos </t>
    </r>
    <r>
      <rPr>
        <b/>
        <sz val="10"/>
        <color theme="1"/>
        <rFont val="Aptos Narrow"/>
        <family val="2"/>
        <scheme val="minor"/>
      </rPr>
      <t>165</t>
    </r>
    <r>
      <rPr>
        <sz val="10"/>
        <color theme="1"/>
        <rFont val="Aptos Narrow"/>
        <family val="2"/>
        <scheme val="minor"/>
      </rPr>
      <t xml:space="preserve"> aplicaciones. Pestaña "</t>
    </r>
    <r>
      <rPr>
        <b/>
        <sz val="10"/>
        <color theme="1"/>
        <rFont val="Aptos Narrow"/>
        <family val="2"/>
        <scheme val="minor"/>
      </rPr>
      <t>Recepción de Aplicaciones</t>
    </r>
    <r>
      <rPr>
        <sz val="10"/>
        <color theme="1"/>
        <rFont val="Aptos Narrow"/>
        <family val="2"/>
        <scheme val="minor"/>
      </rPr>
      <t>".</t>
    </r>
  </si>
  <si>
    <t>Jhonny Barreiro
Yolanda León</t>
  </si>
  <si>
    <t>Comprometido en indicador gerencial y fuga de información.
Junio.26: Se tienen 169 aplicaciones.
Julio.26: Se tienen 176 aplicaciones.</t>
  </si>
  <si>
    <t>Indicador</t>
  </si>
  <si>
    <t>Indicador IDE 01 Universo de aplicaciones y aplicaicones administradas
Monitoreo de Aplicaciones CMDB para validacion de criterios</t>
  </si>
  <si>
    <t>Indicador a Gobierno CS</t>
  </si>
  <si>
    <t>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</si>
  <si>
    <t>Plan de riesgos</t>
  </si>
  <si>
    <t>NERM - Externos</t>
  </si>
  <si>
    <r>
      <t>Perfilamiento y Gestión de Accesos de Usuarios Externos basado en Estructura Organizacional (Seguimiento a través de la pestaña "</t>
    </r>
    <r>
      <rPr>
        <b/>
        <sz val="10"/>
        <color theme="1"/>
        <rFont val="Aptos Narrow"/>
        <family val="2"/>
        <scheme val="minor"/>
      </rPr>
      <t>Planificación Externos</t>
    </r>
    <r>
      <rPr>
        <sz val="10"/>
        <color theme="1"/>
        <rFont val="Aptos Narrow"/>
        <family val="2"/>
        <scheme val="minor"/>
      </rPr>
      <t>")</t>
    </r>
  </si>
  <si>
    <t>Ana María Vergara
Jhonny Barreiro
Richard Requelme</t>
  </si>
  <si>
    <t>Comprometido en indicador gerencial y fuga de información.
Desarrollo dashboard.</t>
  </si>
  <si>
    <t>Integrar la aplicación de contratos como fuente autoritativa dentro del sistema de control de accesos de terceros</t>
  </si>
  <si>
    <t>17-ago - El equipo de automatizacion ya se integro con Pegasus (ETL de correo). Pendiente definir campos a consumir en NERM y actualizar el catálogo en SNOW
Se revisaron los campos para obtener de Fusion. Se tiene una reunión esta semana con el equipo de automatización para integrar NERM-Pegasus-Fusion</t>
  </si>
  <si>
    <t>Modificar el flujo de requerimientos para centralizar y automatizar la gestión de solicitudes ABM de terceros</t>
  </si>
  <si>
    <t>Usuarios disponibles para ser contraparte de genérico (#2994)</t>
  </si>
  <si>
    <t>Se amplia la contraparte para filiales de Pichincha Sistemas Acovi con nivel jerárquico 90 o menos debido a que ellos requieren ser contraparte de sus externos.</t>
  </si>
  <si>
    <t>Implementación identificador roles externos</t>
  </si>
  <si>
    <t>- Solicitud Soporte Assertiva #2914
- Implementación del identificador XXXXXXXXXX en todos los roles de externos con el fin de evitar que queden vacíos y disparen una asignación de accesos incorrecta</t>
  </si>
  <si>
    <t>Definición | Implementación Nomenclatura Código y Nombre de Cargos Externos</t>
  </si>
  <si>
    <t>- Solicitud Soporte Assertiva #2682 | #2767
- Definición e implementación código y nombre de cargo para usuarios externos
- Pruebas en aplicaciones evaluar impacto en aprovisionamiento.  Prueba Logiflow para que cumpla con la condición de 8 carácteres</t>
  </si>
  <si>
    <t>Ampliación vigencia externos.  Encendido sync del atributo</t>
  </si>
  <si>
    <t>- Solicitud soporte Assertiva ticket #2986
- Análisis de impacto previo al encendido de atributos
- Se corregieron 7 casos con inconsistencia previo al encendido
-  Se ejecuto el encendido de la sincronización se encuentra funcionando correctamente</t>
  </si>
  <si>
    <t>NERM - Genéricos</t>
  </si>
  <si>
    <t>Actualización de contrapartes para usuarios genéricos en AD (#2993)</t>
  </si>
  <si>
    <t>Bryan Uyana
Richard Requelme</t>
  </si>
  <si>
    <t>Sincronización entre actualización de contrapartes genéricas. Una vez ingresado en NERM la actualización, se replica en el campo "Calle" la contraparte al igual que en externos.</t>
  </si>
  <si>
    <t>NERM - VIP</t>
  </si>
  <si>
    <t>Registro y administración de usuarios VIP en NERM, garantizando la correcta creación y actualización, ya que actualmente no se registran en el gestor de identidades por tener un contrato como honorarios profesionales registrados en SSFF</t>
  </si>
  <si>
    <t>- Análisis para incluir los casos de usuarios existentes en AD adicionales a usuarios VIP
- Coordinación con Andrea Moncayo RRHH a partir de la fecha de inicio del plan para validación e implementación de casos de usuarios VIP de forma controlada
- 17/08/2026 Creación de grupo de AD: Grupo Usuarios VIP para colocar a los usuarios con excepción</t>
  </si>
  <si>
    <t>Certificación de Accesos: Nombres de roles</t>
  </si>
  <si>
    <t>Documentar y describir de manera completa y estandarizada los roles configurados en las herramienta (para iniciar campañas de certificación).</t>
  </si>
  <si>
    <t>Bryan Uyana
Ana María Fierro
Daniel Lescano
Jhonny Barreiro</t>
  </si>
  <si>
    <t>Comprometido para campaña de certificación.</t>
  </si>
  <si>
    <t>Certificación de Accesos: Revisión inconsistencias</t>
  </si>
  <si>
    <t>Proceso de consistencia aplicaciones vs. gestor Sailpoint</t>
  </si>
  <si>
    <t>Bryan Uyana
Ana María Fierro
Daniel Lescano</t>
  </si>
  <si>
    <t>Certificación de Accesos: Usuarios Internos/Externos</t>
  </si>
  <si>
    <t>Ejecución de campañas de certificación (Externos 100%, Internos 80%, Filiales 0%). PMC-2943</t>
  </si>
  <si>
    <t>Todo el Equipo</t>
  </si>
  <si>
    <t>Comprometido con riesgos, fuga de información.</t>
  </si>
  <si>
    <t>Mineria Roles</t>
  </si>
  <si>
    <t>Control de accesos por fuera del rol</t>
  </si>
  <si>
    <t>Se tiene las fuentes establecidas, se debe diseñar un modelo donde se remueva los permisos que no dispongan de tickets o acción por parte del equipo de GI</t>
  </si>
  <si>
    <t>Usuarios Genéricos</t>
  </si>
  <si>
    <t>Integración de Registros de Caja Fuerte - NERM</t>
  </si>
  <si>
    <t>Se definio el modelo de caja fuerte, ahora se va a migrar todos los campos requeridos en NERM para no tener doble registro</t>
  </si>
  <si>
    <t>Registro de Genéricos de Sistema (#3158)</t>
  </si>
  <si>
    <t>Para el proceso de caja fuerte: se requiere un nuevo flujo de registro de genérico de sistema, únicamente debe vivir en NERM y no en ISC. Es netamente informativo. Es una cuenta que tiene los campos de: usuario, responsable, custodio de contraseña, descripción, ticket asociado y privilegiado (si/no).</t>
  </si>
  <si>
    <t>Proyecto genéricos (identificación, responsable, funcionalidad, caducidad clave, MFA, bloqueo inicio de sesión, depuración y monitoreo).</t>
  </si>
  <si>
    <t>Yolanda León</t>
  </si>
  <si>
    <t>Revisión de los roles asignados a los genéricos obsoletos (estos tienen los grupos de AD: GF_BP_UC, GF_FW_FILESERVER, GF_FW_FTP, GSC_CGDA_SalesforceGlobal, GSC_BP-Athento.Office-Prod_UsersBP, GSC_CGDA_MembersGeneral, GSC_CA-Persona-CorpServiceAccounts-Entra)</t>
  </si>
  <si>
    <t>Certificación de Accesos: Genéricos</t>
  </si>
  <si>
    <t>Revisión y eliminación usuarios genéricos duplicados en AD.</t>
  </si>
  <si>
    <t>Identificación de usuarios genéricos de procesos manuales y procesos automáticos (habilitar políticas de seguridad).</t>
  </si>
  <si>
    <t>Ana María Fierro
Yolanda León</t>
  </si>
  <si>
    <t>Habilitación de passworless</t>
  </si>
  <si>
    <t>Identificación de cuentas genéricas que inician sesión en las estaciones de trabajo.
Caso de uso con Ciberdefensa</t>
  </si>
  <si>
    <t>Bryan Uyana
Yolanda León
Vinicio Samaniego</t>
  </si>
  <si>
    <t>Se inactivó el usuario USRPCCPY (24-07-2026)</t>
  </si>
  <si>
    <t>Controlar el uso de cuentas de usuarios que no han iniciado sesión en 120 días. (Control con TCS).</t>
  </si>
  <si>
    <t>Esta actividad es permanente, mensual.</t>
  </si>
  <si>
    <t>Cesantes</t>
  </si>
  <si>
    <t>Actualización Automática de Contrapartes Cesantes - Genéricos y Externos (#3159)</t>
  </si>
  <si>
    <t>Revisar el proceso cuando un interno sale de la organización, y el mismo tiene asociado usuarios genéricos y externos bajo su cargo. Esto debido a que el proceso actual es manual. La idea es que se actualice automáticamente y se asigne a su línea de supervisión (siempre y cuando tenga un rango jerarquico &gt; 50 y no sea un usuario VIP) hasta que se defina un responsable nuevo.</t>
  </si>
  <si>
    <t>Onboarding</t>
  </si>
  <si>
    <t>Revision novedades en onboarding (Cargos nuevos)</t>
  </si>
  <si>
    <t>Bryan Uyana
Daniel Lescano
Ana María Vergara</t>
  </si>
  <si>
    <t>Esta actividad es permanente.</t>
  </si>
  <si>
    <t>Crossboarding</t>
  </si>
  <si>
    <t>Creación de Workflows para retiro de accesos referente a (BDD, SFTP, DLP, VPN);
Cambios Workflow de Crossboarding (#3036)</t>
  </si>
  <si>
    <t xml:space="preserve">Se retira los permisos por fuera de nube (GSC_XXX), grupos de Firewall, y permisos de Fusion cuando se detecta cambios de área + cargo. </t>
  </si>
  <si>
    <t>Flujos de Cambios de Cargo Libre (#3022)</t>
  </si>
  <si>
    <t>- Solicitud Soporte Assertiva #3052
- Se genero un nuevo formulario en la sección LauchPad de ISC para procesar los cambios de rol para usuarios nominados que compartan la misma estructura organizacional
- Flujo abierto unicamente para Gestión de Identidades banco
- Comunicación al equipo interno y externo del proceso 
Asseritva crea un flujo libre para que el equipo de GI realice cambios fuera de la matriz establecida si corresponde. Esto a raíz de lo identificado en perfilamiento (Anita V).  Adicional, se encuentra en depuración los roles solicitables que era el mecanismo usado para tratar estos cambios.</t>
  </si>
  <si>
    <t>Workflow de Crossboarding - 2,0 Retiro de permisos cuando detecta cambio de área + cargo</t>
  </si>
  <si>
    <t xml:space="preserve">implementado con ticket (#3036) 1. Cuando existan cambios de estructura sea en el atributo de área y cargo, se retiren automáticamente los accesos dados por fuera del rol de Entra ID con la nomenclatura GSC_XXX, los permisos del origen Oracle Fusion y los grupos de AD de firewall: GF_FW_XXX
2. Notificación de retiro: Agregar una notificación hacia el correo de crossboarding de los permisos fuera del rol que se retiren. En este caso, si se puede acotar únicamente para permisos de VPN sería ideal. </t>
  </si>
  <si>
    <t>Workflow de Crossboarding - 3.0 Retiro de permisos cuando detecta cambio únicamente de cargo</t>
  </si>
  <si>
    <t>Analizar los resultados del workflow 2,0 y ajustar más permisos, y más restrictivo</t>
  </si>
  <si>
    <t>Offboarding</t>
  </si>
  <si>
    <t>Flujo de Deshabilitación de Cuentas - Usuarios Cesantes (#3157) - Conector Siglo21 - Proceso de Offboarding</t>
  </si>
  <si>
    <t xml:space="preserve">Implementar un workflow para deshabilitar las cuentas de SIGLO similar al flujo "Reprocesamiento Baja Bancs". Esto debido a que siguen existiendo casos identificados donde los usuarios de baja siguen activos en las aplicaciones.
</t>
  </si>
  <si>
    <t>Reportería</t>
  </si>
  <si>
    <t>Integración GEMA - Reportes de Negocio y Gobierno CS - Disponibilizar información</t>
  </si>
  <si>
    <t>Se capacito al equipo y se finalizo la actividad de disponibilizar por GEMA lo requerido</t>
  </si>
  <si>
    <t>Vista para control de accesos asignados fuera del rol - revocaciones de permisos por Sailpoint en GEMA</t>
  </si>
  <si>
    <t>Se agrega una vista para conocer los tickets con los que se asigna un permiso o se revoca por flujos automáticos de crossboarding.</t>
  </si>
  <si>
    <t>Proceso de Reportería para Eventos de Auditoría - Scripts y nuevo formato de reportes</t>
  </si>
  <si>
    <t xml:space="preserve">Se remiten los scripts iniciales para reportería de eventos y tickets generados. </t>
  </si>
  <si>
    <t>Repositorio de Scripts para gestión de identidades para procesos de roles</t>
  </si>
  <si>
    <t>Tener un repositorio de scripts para automatizar nuestra gestión. Tenemos scripts sueltos ya generados para algunos controles como depuración de DLP, asignaciones masivas, obtener reportes de auditoría, obtener reporte de accesos fuera del rol, etc. Pero no tenemos nada formal que nos permita ejecutar masivamente de forma estándar.</t>
  </si>
  <si>
    <t>Centros de Costos Temporales (No red de agencia).</t>
  </si>
  <si>
    <r>
      <t>Colaboradores con centros de costos diferentes en las aplicaciones vs. fuente autoritativa (</t>
    </r>
    <r>
      <rPr>
        <b/>
        <sz val="10"/>
        <rFont val="Aptos Narrow"/>
        <family val="2"/>
        <scheme val="minor"/>
      </rPr>
      <t>1187</t>
    </r>
    <r>
      <rPr>
        <sz val="10"/>
        <rFont val="Aptos Narrow"/>
        <family val="2"/>
        <scheme val="minor"/>
      </rPr>
      <t xml:space="preserve"> usuarios).</t>
    </r>
  </si>
  <si>
    <t>Daniel Lescano
Ana María Fierro</t>
  </si>
  <si>
    <t>El equipo de Nómina nos ha enviado el detalle de los usuarios que se debe cambiar el centro de costo y quienes lo deben mantener.
52 colaboradores han sido excepcionados, asignándoles una fecha fin temporal al 31/12/2050, con el objetivo de evitar afectaciones en futuros procesos de depuración.
113 usuarios pendientes (en revisión del área Talento Humano).
Se finalizó con las correcciones, autorizados 98 colaboradores.</t>
  </si>
  <si>
    <t>Centros de Costos y Cambios Temporales (red de agencia).</t>
  </si>
  <si>
    <t>Agregar Aprobación en Flujos de Centro de costos y Cambios temporales (#3131)
Establecer todos los controles:
- Ticket SN
- Aprobaciones
- Consideración matriz de coreografía
- Tiempos de ausencia (temporalidad).</t>
  </si>
  <si>
    <t>Richard Requelme 
Ana María Fierro</t>
  </si>
  <si>
    <t>*22-jul, se tiene una reunión con Agencias para validar, se requiere foro extendido con Soledad Pazmino, Pilar Vallejo y Tatiana Hoyos
-Validar opciones de como colocar aprobaciones adicionales para la liberación del flujo de centro de costos y cambios temporales. La idea es que las agencias hagan uso del flujo y cada cambio tenga su autorización requerido. De igual forma, se notifiquen estos cambios a Gestión de Identidades e involucrados para conocimiento de ejecución.</t>
  </si>
  <si>
    <t>Centros de Costos</t>
  </si>
  <si>
    <t>Revisión del error de tickets que el estado no puede ser modificado no cancelado debido a que no se encuentra la información de centro de costos</t>
  </si>
  <si>
    <t>Daniel Lescano</t>
  </si>
  <si>
    <t>Se levantó el ticket 3263 a Assertiva para solventar el inconveniente sobre el campo Centro de Costos null al momento de la creación de tickets</t>
  </si>
  <si>
    <t>Certificación de Accesos: Agencias</t>
  </si>
  <si>
    <t>Actualización matriz de coreografías y autorizadores - nuevas definiciones.</t>
  </si>
  <si>
    <t>Conversar con Diego Piedra / RRHH Estructura / Sole Pazmino</t>
  </si>
  <si>
    <t>Homologación de perfiles de agencias para disminuir cambios cuando se requiere cambio de perfil global agencias.</t>
  </si>
  <si>
    <t>Pendiente Area Comercial</t>
  </si>
  <si>
    <t>Actualización del instructivo - Nuevo proceso para la gestión de cambios de perfil y centro de costos
Correo mensual al equipo de Negocio sobre los cambios mensuales en CC y perfil global temporal.</t>
  </si>
  <si>
    <t>Reforzar con el equipo de Gye (las definiciones).</t>
  </si>
  <si>
    <t>Revisión de reseteos/deslogueo de usuarios de siglo 21 a través de VIA (787 colaboradores con este acceso), personal de Banca Relacional, Call Center, Operaciones y Banca Privada Internacional.</t>
  </si>
  <si>
    <t>Se eliminó el acceso a 555 colaboradores, pendiente 214. cargo (Administrador Comercial y Servicios)</t>
  </si>
  <si>
    <t>Certificación de Accesos: Rotativas</t>
  </si>
  <si>
    <t>Revisión proceso utilización cuentas genéricas rotativas. CAJERO ROTATIVO: 499; JEFE ROTATIVO: 195; SUPERVISOR ROTATIVO: 209</t>
  </si>
  <si>
    <t>Se ha efectuado un proceso de depuración de estas cuentas rotativas.</t>
  </si>
  <si>
    <t>Certificación de Accesos: Estaciones Digitales</t>
  </si>
  <si>
    <t>Estaciones Digitales (Revisión de accesos, procesos y proponer nueva metodología)
Informe de ciberdefensa (plan de acción de GI) - nuevo método de autenticación.</t>
  </si>
  <si>
    <t xml:space="preserve">Se generó un informe y se realizaron correcciones.
Pendiente metodología de acceso para estos usuarios.
</t>
  </si>
  <si>
    <t>pendiente: usrpe060 (Sebas y Richard)</t>
  </si>
  <si>
    <t>Certificación de Accesos: ATM</t>
  </si>
  <si>
    <t>Depuración usuarios ATM</t>
  </si>
  <si>
    <t>Se ha procedido a eliminar los 175 usuarios genéricos de ATM.
Se mantuvo reunión con el equipo de Implementación de Canales Físicos e incluirán al equipo de GI en las notificaciones para un proceso de depuración más oportuno.</t>
  </si>
  <si>
    <t>Eliminación de usuarios sin uso Siglo21 / AD / otras aplicaciones (Control TCS).</t>
  </si>
  <si>
    <t>Bryan Uyana
Ana María Fierro</t>
  </si>
  <si>
    <t>Se esta evaluando nuevamente los usuarios a fin de evitar incidentes</t>
  </si>
  <si>
    <t>Nuevas definiciones DLP. (Estrategia para asignación y eliminación por rol y usuario)</t>
  </si>
  <si>
    <t>Pendiente por parte del EPI.</t>
  </si>
  <si>
    <t xml:space="preserve">Certificación de Accesos: Aplicaciones </t>
  </si>
  <si>
    <t>Depuración opción 677050 (segmentación de clientes), solicitud del Comité de Estrategía.</t>
  </si>
  <si>
    <t>El 22 de julio se ejecutará la primera fase, pendiente fase 2 y fase 3
Fase 1: 1658 usuarios (usuarios nominados)
Fase 2: 51 usuarios (genéricos de procesos que no registran inicios de sesión en más de 1 año) - Ejecutado 13/08/2026
Fase 3: 566 usuarios (genéricos de procesos con inicios de sesión activo)</t>
  </si>
  <si>
    <t>Observación Opciones Sensibles, depuración opción 1045 (validación opciones 21097, 21098, 21051), depuración menus en Bancs.</t>
  </si>
  <si>
    <t>Obs. Auditoría</t>
  </si>
  <si>
    <t>pendiente opción 1045 a cargo de A. Fierro; Octavio Mejia.
Se ejecutará un primer CC el 22 de julio.</t>
  </si>
  <si>
    <t>Análisis de factibilidad automatización de inconsistencias</t>
  </si>
  <si>
    <t>Pipeline para aprobación de modificación de roles en BPOne (control de cambios en roles y creación de nuevos roles en BPOne)</t>
  </si>
  <si>
    <t>En periodo de pruebas.</t>
  </si>
  <si>
    <t>Apagado Portal de Negocios (perfilamiento BPOne, CRM y Athento)</t>
  </si>
  <si>
    <t>Perfilamiento BPOne y Athento, pendiente CRM.</t>
  </si>
  <si>
    <t>Depuración de accesos a usuarios en aplicativos priorizados. (Definir esquema).</t>
  </si>
  <si>
    <t>Inicio septiembre 2026</t>
  </si>
  <si>
    <t>Levantamiento nuevo flujo gestion de accesos a BBDD.</t>
  </si>
  <si>
    <t>Bryan Uyana
Daniel Lescano
Richard Requelme</t>
  </si>
  <si>
    <t>Se opera en función a la estrategia</t>
  </si>
  <si>
    <t>Ejecución de controles de depuración BBDD. Control Estandar.</t>
  </si>
  <si>
    <t>Rommel Merchan</t>
  </si>
  <si>
    <t>Realización de control de cambios estándar para depuración masiva</t>
  </si>
  <si>
    <t xml:space="preserve">Eliminación de usuarios en BD Bancs P012BAND </t>
  </si>
  <si>
    <t>Riesgos</t>
  </si>
  <si>
    <t>correo enviado el 10.06.2026. 3 usuarios faltantes</t>
  </si>
  <si>
    <t>Diseño de nueva estrategia para el otorgamiento de accesos a BD, grupos AD, bloqueos fw y construcción roles en SP.</t>
  </si>
  <si>
    <t>Daniel Lescano
Richard Requelme
Bryan Uyana</t>
  </si>
  <si>
    <t>Se elaboró presentación con la nueva estrategia y se comunicó al equipo.</t>
  </si>
  <si>
    <t>Proyecto depuración de accesos a BD en función de la nueva estrategia diseñada. (BD que no tienen acceso info. Sensible -no EPI-)</t>
  </si>
  <si>
    <t>Porcentaje de acuerdo a lo avanzado con Rommel y Jhonna.</t>
  </si>
  <si>
    <t>Grupos de AD y Firewall (análisis, cambio de funcionalidad, grupos de bloqueo) - Gestión de accesos SQL</t>
  </si>
  <si>
    <t>Daniel Lescano 
Richard Requelme</t>
  </si>
  <si>
    <t>Se implementó el control de cambios CHG0775788 para las reglas de bloqueo de los grupos de AD</t>
  </si>
  <si>
    <t>Grupos de AD y Firewall (análisis, depuración, cambio de funcionalidad, grupos de bloqueo) - Gestión de accesos SQL ECBPPRQ93</t>
  </si>
  <si>
    <t>Hubo reunión con Jorge Lucero para definir la estrategia de bloqueo y la de permisos a largo plazo. Para la estrategia a largo plazo, el equipo de Firewall está analizando tiempos en función a las bases remitidas</t>
  </si>
  <si>
    <t>Gestión de accesos SQL ECBPPRQ93</t>
  </si>
  <si>
    <t>Depuración de accesos de usuarios al servidor SQL ECBPPRQ93</t>
  </si>
  <si>
    <t>Se realizó el proceso de depuración de usuarios que no han accedido a la BD</t>
  </si>
  <si>
    <t>Certificación de permisos y objetos de usuarios nominados en el servidor SQL ECBPPRQ93</t>
  </si>
  <si>
    <t>Se otorgaron permisos a objetos específicos a la BD SQL ECBPPRQ93</t>
  </si>
  <si>
    <t>Ratificación de usuarios genéricos con accesos al servidor ECBPPRQ93</t>
  </si>
  <si>
    <t>Se enviaron notificaciones a los responsables de los usuarios genéricos. Además se valida que los usuarios genéricos hayan tenido acceso a la BDD en los últimos 3 meses</t>
  </si>
  <si>
    <t>Depuración de usuarios genéricos en el servidor ECBPPRQ93</t>
  </si>
  <si>
    <t>Se levantará un control de cambios para la deshabilitación y posterior eliminación de usuarios genéricos que se hayan ratificao la eliminación.
Se envia un listado de usuarios genéricos que no se han logueado a Daniel Bosquez como responsable de la BDD para proceder con el levantamiento de controles de cambio para deshabilitación y posterior eliminación de los mismos</t>
  </si>
  <si>
    <t>Sincronización de usuarios</t>
  </si>
  <si>
    <t>Modificación del horario de ejecución del Job JSG057DO desde Control-M</t>
  </si>
  <si>
    <t>Se cambió la fecha de ejecución de 7am a 6am, para evitar la afectación que se presenta actualmente.</t>
  </si>
  <si>
    <t>Usuarios Privilegiados</t>
  </si>
  <si>
    <t xml:space="preserve">shell JSG056DO (cambio de clave del superusuario BANCS – SUPERUSR) </t>
  </si>
  <si>
    <t>Se relizará la revisión del shell en el nuevo serevicio debido a la migración de Siglo21</t>
  </si>
  <si>
    <t>Habilitacion de flujo Just In Time - Cyberark Bancs y Capa Media</t>
  </si>
  <si>
    <t>Se definira nuevo alcance</t>
  </si>
  <si>
    <t>Calidad de Datos</t>
  </si>
  <si>
    <t>Calidad de Datos - COE Ciberseguridad; indicador: Registro de Gestión de Identidades y Accesos con data de nuevo gestor SAILPOINT</t>
  </si>
  <si>
    <t>Buzon /  Licenciamiento Office 365</t>
  </si>
  <si>
    <t>Revisión usuarios sin target address</t>
  </si>
  <si>
    <t>Controles</t>
  </si>
  <si>
    <t>Fortalecimiento al proceso de otorgamiento de acceso a "dominios de confianza". Sharepoint, Onedrive, EntraID, Guest y Teams</t>
  </si>
  <si>
    <t>Dayanara Terán</t>
  </si>
  <si>
    <t>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</si>
  <si>
    <t>Bryan Uyana
Dayanara Terán</t>
  </si>
  <si>
    <t xml:space="preserve"> </t>
  </si>
  <si>
    <t>Se ha ido depurando, y se elaboró informe (enviado el 03.08.26), pendiente lo de Teams.</t>
  </si>
  <si>
    <t>Usuarios Guest (eliminar dominios amplios y configurar con usuarios "Guest" B2B): 32 dominios en esta condición.</t>
  </si>
  <si>
    <t>Se eliminaron los dominios amplios y se configuraron bajo el esquema B2B.</t>
  </si>
  <si>
    <t>Fortalecimiento al proceso de otorgamiento de acceso a "Administrador Local".</t>
  </si>
  <si>
    <t>Bryan Uyana
Vinicio Samaniego</t>
  </si>
  <si>
    <t>Intune</t>
  </si>
  <si>
    <t>Fortalecimiento al proceso de otorgamiento de acceso a "Periféricos Externos".</t>
  </si>
  <si>
    <t>PMC-2166: migración FTP a SFTP</t>
  </si>
  <si>
    <t>Se realizó la migración del FTP en el SFTP en la que a los usuarios se les otorga permisos a las rutas específicas y con los minimos privilegios</t>
  </si>
  <si>
    <t>PMC-2167: ECBPPRQ93</t>
  </si>
  <si>
    <t>Daniel Lescano
Richard Requelme</t>
  </si>
  <si>
    <t>En paralelo, se trabaja proceso, depuración, grupos de fw, etc. En función a la planificación de auditoría</t>
  </si>
  <si>
    <t>PMC-1710: Afinar la matriz de línea base de accesos Cloud en coordinación con las áreas correspondientes.</t>
  </si>
  <si>
    <t>PMC-1711: Ejecutar el monitoreo de accesos a la nube conforme a la línea base actualizada.</t>
  </si>
  <si>
    <t>PMC-2052: Levantamiento e implementación de los casos de uso para el control de los usuarios privilegiados en entornos de servidores Windows y Unix.</t>
  </si>
  <si>
    <t>Vinicio Samaniego
Richard Requelme</t>
  </si>
  <si>
    <t>PMC-1315: Identificar los responsables de usuarios genéricos Cloud que no se encuentren registrados dentro de la plataforma y enviar notificación de la caducidad de las contraseñas.</t>
  </si>
  <si>
    <t>Actualización de Instructivo de Gestión de accesos VPN</t>
  </si>
  <si>
    <t>Actualización de Instructivos</t>
  </si>
  <si>
    <t>FTP - SFTP</t>
  </si>
  <si>
    <t>Eliminación de rutas que no han sido utilizadas por más de 6 meses
TEST, reduciendo el volumen de carpetas de 432.798 a 22.212.
PRODUCTIVO, volumen de carpetas se redujo significativamente de 1.117.604 a 4.834</t>
  </si>
  <si>
    <t>Semestral</t>
  </si>
  <si>
    <t>Actividad será semestral</t>
  </si>
  <si>
    <t>Eliminación de usuarios nominados que no requieren acceso a nivel del GoAnyWhere
Se levantará un ticket para que con la creación de nuevos usuarios no se poble el campo FAX.</t>
  </si>
  <si>
    <t>Se retiró el registro del campo atributo Fax a nivel de usuarios de AD.
Se procedió con la eliminación de los usuarios nominados y genéricos de dominio que se encontraban deshabilitados en GoAnyWhere.
De un total de 9618 usuarios se eliminaron 8868 solamente quedaron habilitados 750 usuarios.</t>
  </si>
  <si>
    <t>Certificación de permisos de usuarios nominados en rutas específicas</t>
  </si>
  <si>
    <t>Se está realizando la depuración de usuarios que se encontraban con accesos a rutas FTP anteriormente configurados.</t>
  </si>
  <si>
    <t>Eliminación de permisos de usuarios nominados en carpetas</t>
  </si>
  <si>
    <t>Se está realizando la depuración de usuarios a nivel de grupos que no han accedido al SFTP GoAnyWhere</t>
  </si>
  <si>
    <t>Regularización de grupos GFTP_ que mantiene los usuarios con accesos a las rutas SFTP</t>
  </si>
  <si>
    <t>Se está realizando la eliminación de grupos GFTP_ que ya no se encuentran funcionales para los usuarios nominados ya que cuentan con accesos a rutas específicas.
De un total de 318 grupos de AD,se han eliminado 289 y se mantienen 28.</t>
  </si>
  <si>
    <t>Obtención del inventario de usuarios SFTP (Global Scape).</t>
  </si>
  <si>
    <t>Revisar las rutas de SFTP Globalscape, usuarios y trasacciones</t>
  </si>
  <si>
    <t>Siglo21</t>
  </si>
  <si>
    <t xml:space="preserve">Certificación - Shells Seguridad Control-M </t>
  </si>
  <si>
    <t>SFTP</t>
  </si>
  <si>
    <t>Migración SFTP - Revisión de accesos desde Interdin a rutas SFTP</t>
  </si>
  <si>
    <t>Se realizo la ratificación de los permisos de usuarios de Interdin</t>
  </si>
  <si>
    <t>VPN</t>
  </si>
  <si>
    <t>Eliminación Harmony (eliminación de accesos a la VPN).</t>
  </si>
  <si>
    <t>Actividad de Plataformas, apoyo en la migración.</t>
  </si>
  <si>
    <t>MFA</t>
  </si>
  <si>
    <t>Identificación de usuarios que no tienen activo el MFA, y revisión de procesos por los cuales no lo tienen habilitado. FIDO
MFA para usuarios excepcionados</t>
  </si>
  <si>
    <t>01/07/206</t>
  </si>
  <si>
    <t>FIDO prueba en Contact Center.
'- 20/07/2026 sesión con Christian Flores para validar funcionamiento del dispositivo FIDO
- Proceso contacto con proveedor Yubico para proforma de dispositivos
- 17/08/2026 Se tendrá una reunión con el equipo de Call Center 21/08/2026 para validar las opciones para el control de usuarios sin MFA</t>
  </si>
  <si>
    <t>No caduca contraseña</t>
  </si>
  <si>
    <t>Identificación de usuarios que no caduca su contraseña y gestionar la habilitación de la política en AD para estos usuarios.</t>
  </si>
  <si>
    <t>Bryan Uyana
Yolanda León</t>
  </si>
  <si>
    <t xml:space="preserve">Usuario Genérico alto privilegio </t>
  </si>
  <si>
    <r>
      <t>Revisión usuario Domain Admin (</t>
    </r>
    <r>
      <rPr>
        <sz val="9"/>
        <rFont val="Aptos Narrow"/>
        <family val="2"/>
        <scheme val="minor"/>
      </rPr>
      <t>USRPREDT</t>
    </r>
    <r>
      <rPr>
        <sz val="10"/>
        <rFont val="Aptos Narrow"/>
        <family val="2"/>
        <scheme val="minor"/>
      </rPr>
      <t>) utilizado por Respuesta a Incidentes (creación de usuario para acceso a equipo final y cyberark)</t>
    </r>
  </si>
  <si>
    <t>Ariel Villacis
Vinicio Samaniego</t>
  </si>
  <si>
    <r>
      <t xml:space="preserve">Usuarios linea base, existen tres usuarios a nivel local:
</t>
    </r>
    <r>
      <rPr>
        <b/>
        <sz val="10"/>
        <rFont val="Aptos Narrow"/>
        <family val="2"/>
        <scheme val="minor"/>
      </rPr>
      <t>usrcclbd</t>
    </r>
    <r>
      <rPr>
        <sz val="10"/>
        <rFont val="Aptos Narrow"/>
        <family val="2"/>
        <scheme val="minor"/>
      </rPr>
      <t xml:space="preserve"> : Usuario genérico  para servidores de nube de desarrollo Win/Unix.
</t>
    </r>
    <r>
      <rPr>
        <b/>
        <sz val="10"/>
        <rFont val="Aptos Narrow"/>
        <family val="2"/>
        <scheme val="minor"/>
      </rPr>
      <t>usrcclbt</t>
    </r>
    <r>
      <rPr>
        <sz val="10"/>
        <rFont val="Aptos Narrow"/>
        <family val="2"/>
        <scheme val="minor"/>
      </rPr>
      <t xml:space="preserve"> : Usuario genérico  para servidores de nube de test Win/Unix.
</t>
    </r>
    <r>
      <rPr>
        <b/>
        <sz val="10"/>
        <rFont val="Aptos Narrow"/>
        <family val="2"/>
        <scheme val="minor"/>
      </rPr>
      <t>usrcclbp</t>
    </r>
    <r>
      <rPr>
        <sz val="10"/>
        <rFont val="Aptos Narrow"/>
        <family val="2"/>
        <scheme val="minor"/>
      </rPr>
      <t xml:space="preserve"> : Usuario genérico  para servidores de nube de producción Win/Unix.
Estos usuarios existen en servidores de nube Windows y Unix (según el ambiente) con clave diferenciada por arquitectura, (son 3 usuarios genéricos y 6 claves de acceso).</t>
    </r>
  </si>
  <si>
    <t>Vinicio Samaniego</t>
  </si>
  <si>
    <t xml:space="preserve">GI será custodio de las claves de acceso, se debe rotar las claves en los 300 servidores, post rotación se validará con los dueños del proceso de escaneo LB la correcta operación.
- Personal CloudOps debe solicitar un usuario para cada administrador con permisos para realizar las validaciones y/o soporte </t>
  </si>
  <si>
    <t>Webmail</t>
  </si>
  <si>
    <t>Eliminación de buzones en webmail, aquellos usuarios que no han hecho logueo en los ultimos 30 días; y canalizar la transferencia de buzones de los usuarios pendientes (106) En total 753 buzones.</t>
  </si>
  <si>
    <t>Listas de distribución para 128 buzones genericos eliminados y 53 que no tenian buzon, y se eliminará a los 4 buzones que fueron migrados a o365.</t>
  </si>
  <si>
    <t>Caso Reportado por Wilson Nono, indicó que ya no requieren estas cuentas. Fueron eliminadas.</t>
  </si>
  <si>
    <t>Continuidad del Negocio</t>
  </si>
  <si>
    <t>Evaluación Plan de Continuidad Gestión de Identidades</t>
  </si>
  <si>
    <t>- Se han mantenido sesiones con Julio Torres - Continuidad del Negocio.  Entendimiento del proceso
- Se levanto el registro de plataformas críticas para la operación del proceso de Gestión de Identidades
- En preparación del documento del plan de contingencia
- 17/08/2026 Documento de contingencia entregado al área de Continuidad en espera de observaciones para corrección</t>
  </si>
  <si>
    <t>Gobierno y Planificación</t>
  </si>
  <si>
    <t>Evaluación Madurez NIST - BGR</t>
  </si>
  <si>
    <t>- Participación proceso evaluación madurez - NIST en BGR 
- Revisión del proceso del dominio de Gestión de Identidades
- 21/07/2026 Se ha realizado una primera sesión con BGR para el entendimiento del proceso general
- 30/07/2026 Se ha agendado una visita en sitio para la revisión de los puntos pendientes de evaluación: Caja Fuerte, proceso custodia credenciales
- 10/08/2026 Informe enviado y entregado.  Se realizó la visita presencial a BGR el 14/08/2026 se verifico el estado de la Caja Fuerte física</t>
  </si>
  <si>
    <t>Control Usuarios Privilegiados: Sistemas Operativos</t>
  </si>
  <si>
    <t>Análisis y creación de informe de inventario de servidores con Sistema Operativo Windows y Unix.
Análisis y creación de informe final de usuarios privilegiados en servidores con Sistema Operativo Windows, Unix e iSeries.</t>
  </si>
  <si>
    <t>meses ejecutados/meses total del año.</t>
  </si>
  <si>
    <t>Control Usuarios Privilegiados: Bases de Datos</t>
  </si>
  <si>
    <t>Análisis y creación de informe de inventario de servidores de BDD.
Análisis y creación de informe final de usuarios privilegiados en motores de Bases de Datos: Oracle, SQL Server, DB2, Sybase y Postgres.</t>
  </si>
  <si>
    <t>Rotación de contraseña: Usuarios privilegiados Domain Admin</t>
  </si>
  <si>
    <t>20 usuarios genericos domain admin, actualización de información (reponsables, estado y procesos de control sobre usuarios) 
5 usuarios eliminados.
8 usuarios en Ejecución de rotación de contraseña (6 de 8 ejecutado el cambio y validación)
7 usuarios en porcesos automáticos.</t>
  </si>
  <si>
    <t>Próxima ejecución enero 2027
Se identificaron nuevos usuarios grupo Domain Admins (usrpwsla, usrpsail, usrpclck -listo-)
USRPWSLA: confirmo que el componente EI (Enterprise Integrator) de WSO2 se encuentra apagado.</t>
  </si>
  <si>
    <t>Quitar privilegio Domain Admin al usuario USRPWSLA y colocarle los privilegios: Read Users, Read Groups, Read Attributes,  Search Directory</t>
  </si>
  <si>
    <t>Se ha confirmado que el usuario solo requiere los permisos Read Users, Read Groups, Read Attributes,  Search Directory, y se eliminará el Domain Admin.</t>
  </si>
  <si>
    <t xml:space="preserve">Rotación de contraseña: Usuarios Kerberos </t>
  </si>
  <si>
    <t>Ejecución de rotación de contraseña para dominios bpichinhca y uio en ambientes: EP y EnP.</t>
  </si>
  <si>
    <t>Ejecutado EnP y productivo (en los dominios bpichincha, uio.bpichincha) BPKEY (revisión alcance -correo a Leonel-)</t>
  </si>
  <si>
    <t>Rotación de contraseña: Usuarios locales privilegiados - Firewall, IPS e ISE</t>
  </si>
  <si>
    <t>Ejecución de rotación de contraseña sobre usuario locales privilegiados en consolas de seguridad críticas (herencia de auditoría)</t>
  </si>
  <si>
    <t>IPS (ejecutado)
ISE (ejecutado)
Firewall (recepción de consola) -contraseña recibida-, se lo ejecutará a finales de año.</t>
  </si>
  <si>
    <t xml:space="preserve">Rotación de contraseña: Cuentas de usuarios privilegiados en servidores de virtualización </t>
  </si>
  <si>
    <t>Ejecución de rotación de contraseña en cuentas de usuarios privilegiados en componentes de virtualización VCenter, Nutanix y host virtualizados ESXi, en los ambientes EP y ENP.</t>
  </si>
  <si>
    <t>VCenter, Nutanix y host virtualizados ESXi, ejecutado en el ambiente ENP, pendiente EP (ejecutadonse para septiembre) -primer ciclo-.</t>
  </si>
  <si>
    <t>Rotación de contraseña: Usuarios privilegiados en la infraestructura de virtualización IBM</t>
  </si>
  <si>
    <t>Ejecución de rotación de contraseñas sobre cuentas de usuario locales privilegiados en la infraestructura de virtualización IBM, servidores Data Power y Hardware Management Console (HMC)</t>
  </si>
  <si>
    <t>Data Power (listo primer ciclo)
HMC (listo primer ciclo)</t>
  </si>
  <si>
    <t>Rotación de contraseña: Usuarios privilegiados en servidores Netbackup</t>
  </si>
  <si>
    <t>Ejecución de rotación de contraseñas sobre cuentas de usuario locales privilegiados en la infraestructura Storage Server y Storage Switch</t>
  </si>
  <si>
    <t>Ejecutado el primer ciclo, se coordinará segundo ciclo.</t>
  </si>
  <si>
    <t>Rotación de contraseña: Usuarios privilegiados en balanceadores F5</t>
  </si>
  <si>
    <t>Ejecución de rotación de contraseñas sobre cuentas de usuario locales privilegiados en la infraestructura de Balanceadores F5</t>
  </si>
  <si>
    <t>No se ha ejecutado ni primer ni segundo ciclo.</t>
  </si>
  <si>
    <t>Rotación de contraseña: Usuarios privilegiados en dispositivos de Networking  y Comunicaciones Unificadas.</t>
  </si>
  <si>
    <t>Ejecución de rotación de contraseñas sobre cuentas de usuario loclaes privilegiados en la infraestructura de netwoking (Switches, routers, wireless) y comunicaciones unificadas (telefonía IP).</t>
  </si>
  <si>
    <t>Ejecutado primer ciclo, se coordinará segundo ciclo.</t>
  </si>
  <si>
    <t xml:space="preserve">Implementación de casos de uso servidores Windows y Balanceadores F5 </t>
  </si>
  <si>
    <t>Implementación de Casos de uso que alerte al ejecución de acciones sensibles (crear eliminar y modificar usuarios  por usuarios no autorizados) en servidores Windows, y Balanceadores F5</t>
  </si>
  <si>
    <t xml:space="preserve">Notificación (revisar) Cual es el procedimiento a seguir … cambiaremos las claves? </t>
  </si>
  <si>
    <t>Implementación de casos de uso servidores Unix y Firewalls</t>
  </si>
  <si>
    <t>Implementación de Casos de uso que alerte al ejecución de acciones sensibles (crear eliminar y modificar usuarios  por usuarios no autorizados) en servidores Unix y Firewalls</t>
  </si>
  <si>
    <t>Avanzado en UNIX, pendiente firewalls.</t>
  </si>
  <si>
    <t>Rotación contraseñas usuario ROOT en UNIX</t>
  </si>
  <si>
    <t>Rotar manualmente la contraseña del usuario ROOT en contenedores adicionales. 
Revisar con el fabricante o proveedor, los motivos por los cuales no se replica hacia los demás contenedores.</t>
  </si>
  <si>
    <t>Revisar proveedor/fabricante.</t>
  </si>
  <si>
    <t>Dashboard</t>
  </si>
  <si>
    <t>Creación de dashboard de todo el servicio ofrecido.</t>
  </si>
  <si>
    <t>Dashboard depuraciones de Usuarios</t>
  </si>
  <si>
    <t>Coordinación de actividades para correcta implementacion de los Dashboard en PB para Gestión de Identidades y otras areas solicitantes</t>
  </si>
  <si>
    <t>Bloqueo Login Usuario Genericos</t>
  </si>
  <si>
    <t>Nuevo formulario para que en la creación de usuarios genéricos sean incluidos el grupo de Deny Logon</t>
  </si>
  <si>
    <t>Perfilamiento de aplicaciones</t>
  </si>
  <si>
    <t>Creacion de conectores CSV, Entitlements Genericos cuando aplica</t>
  </si>
  <si>
    <t>Actualización de Instructivo de Gestión de accesos VPN e Instructivo de Monitoreo de accesos VPN</t>
  </si>
  <si>
    <t>Actualización de Instructivo de Monitoreo de accesos VPN</t>
  </si>
  <si>
    <t>Certificación de Accesos: Descripción de Entitlements</t>
  </si>
  <si>
    <t>Actualizar los Source y los esquemas para agregar las descripciones de los entitlements compartidas por el equipo de acuerdo a la asignaciones de aplicaciones</t>
  </si>
  <si>
    <t>Jhonny Barreiro
Nayeli Arellano</t>
  </si>
  <si>
    <t>Requerimientos Firewall Red Interna</t>
  </si>
  <si>
    <t>Analizar y procesar en lo que respecta a GI las tareas  FW asignadas previo a la implementacion por parte del equipo de plataformas CS</t>
  </si>
  <si>
    <t>Requerimientos Firewall  VPN</t>
  </si>
  <si>
    <t>Analizar, reportar novedades y generar los requerimientos  a plataformas CS para la implementacion d e reglas FW VPN</t>
  </si>
  <si>
    <t>Requerimientos SFTP - Operaciones</t>
  </si>
  <si>
    <t>Asignación/Retiro de accesos al SFTP para usuarios de Operaciones solicitado por temas de auditoría</t>
  </si>
  <si>
    <t>Se realizó el proceso de depuración de accesos de usuarios de Operaciones solicitados por ESTEVEZ ESCOBAR PATRICIO ISRAEL por temas de auditoría</t>
  </si>
  <si>
    <t>SFTP - MFTP</t>
  </si>
  <si>
    <t>Depuración de grupos y permisos de usuarios nominados en MFTP</t>
  </si>
  <si>
    <t>Se está efectuando la depuración de los grupos de GlobalScape existentes en GoAnywhere, considerando la revisión de usuarios estan creados en GoAnyWhere, con el propósito de reducir accesos innecesarios y mantener el principio de mínimo privilegio.
De un total de 790 grupos de AD,se han eliminado 229 y se mantienen 561.</t>
  </si>
  <si>
    <t>Accesos Servidor ECBPPRQ93</t>
  </si>
  <si>
    <t xml:space="preserve">Control de usuarios que se ingresan de manera directa a la BDD Q93 de lo que se debe revisar son los permiso para que no ingresen directo a la BDD </t>
  </si>
  <si>
    <t>Se realizó la revisión de los usuarios con privilegios elevados, quienes deberán acceder a la base de datos Q93 mediante CyberArk. Por otro lado, los usuarios con privilegios no elevados deberán pertenecer al grupo GF_FW_ECBPPRQ93_11493, lo que les permitirá acceder de forma directa al servidor SQL Q93.</t>
  </si>
  <si>
    <t>Integración Estaciones Digitales con Portal REN</t>
  </si>
  <si>
    <t>Como parte del proyecto de migración de Cardholder se integrará el proceso de Autogestión de Estación Digital con Portal REN. Pendiente paso a producción</t>
  </si>
  <si>
    <t>Atención de requermientos de Crossboarding registrados en la Matriz por el equipo de Estructuras TTHH</t>
  </si>
  <si>
    <t>Diario</t>
  </si>
  <si>
    <t>Jhonny Barreiro
Richard Requelme
Ana María Fierro</t>
  </si>
  <si>
    <t>Cumplimiento Hardening AIX - Usuarios</t>
  </si>
  <si>
    <t>Matriz de segregación de funciones.</t>
  </si>
  <si>
    <t>Inventario de aplicaciones de MyAccess (control de accesos en los roles), ejemplo BPOne.
Aplicaciones Empresariales.</t>
  </si>
  <si>
    <t>Instructivos:</t>
  </si>
  <si>
    <t>Gestión de Accesos para terceros (Uyana)</t>
  </si>
  <si>
    <t>Identidades y Accesos Entorno No Productivo (Uyana)</t>
  </si>
  <si>
    <t>Certificación de accesos y permisos en aplicaciones (Fierro)</t>
  </si>
  <si>
    <t>Monitoreo de accesos a aplicaciones y permisos a plataformas cloud (Fierro)</t>
  </si>
  <si>
    <t>Instructivo Gestiòn de Accesos e Identidades en Cloud (Villacis)</t>
  </si>
  <si>
    <t>Instructivo de Validación de la Configuración de las Políticas de Seguridad de Contraseñas en los Módulos de Control de Accesos</t>
  </si>
  <si>
    <t>ID ítem</t>
  </si>
  <si>
    <t>Nombre de la iniciativa o Mejora</t>
  </si>
  <si>
    <t>Alcance detallado</t>
  </si>
  <si>
    <t>Entregables del proyecto</t>
  </si>
  <si>
    <t>Épicas</t>
  </si>
  <si>
    <t>Control ISO 27001:2022</t>
  </si>
  <si>
    <t xml:space="preserve">Programa CS </t>
  </si>
  <si>
    <t>Línea Estratégica CS</t>
  </si>
  <si>
    <t>Pilar Estratégico CS</t>
  </si>
  <si>
    <t>Subproceso de CS</t>
  </si>
  <si>
    <t xml:space="preserve">Función NIST 2.0 </t>
  </si>
  <si>
    <t>Normativo (Regulatorio)</t>
  </si>
  <si>
    <t>Requiere mejora de procesos</t>
  </si>
  <si>
    <t>Requiere de Tecnología</t>
  </si>
  <si>
    <t>Dependencia internas</t>
  </si>
  <si>
    <t>Obs Inter-dependencias</t>
  </si>
  <si>
    <t>Dependencia externas</t>
  </si>
  <si>
    <t>Obs Inter-dependencias2</t>
  </si>
  <si>
    <t>Medio Gestión</t>
  </si>
  <si>
    <t>¿Mitiga Riesgos Formalizado?</t>
  </si>
  <si>
    <t>¿Tiene plan de acción formalizado ?</t>
  </si>
  <si>
    <t>Código del Riesgo</t>
  </si>
  <si>
    <t>Código Tipo debilidad</t>
  </si>
  <si>
    <t>Código Control asociado RNF</t>
  </si>
  <si>
    <t>Obs Auditoría/SB/externa</t>
  </si>
  <si>
    <t>Presupuesto Asignado</t>
  </si>
  <si>
    <t>Observación / Comentario</t>
  </si>
  <si>
    <t>Columna1</t>
  </si>
  <si>
    <t>Columna2</t>
  </si>
  <si>
    <t>OP-ID-01</t>
  </si>
  <si>
    <t>Despliegue SailPoint Fase 2- Gestión de Identidades</t>
  </si>
  <si>
    <t>"1 Módulo externos NERM:
1.1  Integrar la aplicación de contratos como fuente autoritativa dentro del sistema de control de accesos de terceros
1.2  Re-estructuración del flujo de requerimientos para centralizar y automatizar la gestión de solicitudes ABM de terceros
1.3  Perfilamiento y Gestión de Accesos de Usuarios Externos basado en Estructura Organizacional
2. Clasificación de Accesos Privilegiados
3.  Roles ISC
3.1  Documentar y describir de manera completa y estandarizada los roles configurados en la herramienta SailPoint
3.2  Certificación de Accesos en Roles
3.3  Control de accesos por fuera del rol
4.  Integración automática de aplicaciones
5.  Evaluación automatización y Monitoreo de Accesos VPN Integrado a ISC SailPoint"</t>
  </si>
  <si>
    <t>"1.1 Conector operativo entre la aplicación de contratos y NERM.
1.1 Documentación funcional y técnica de la integración.
1.2 Rediseño y ajuste del flujo ABM de punta a punta en ServiceNow.
1.2 Integración operativa ServiceNow y NERM para la gestión de solicitudes ABM de terceros.
1.3  Catálogo de roles definidos para usuarios externos.
2.  Etiquetado de accesos privilegiados dentro de SailPoint
3.1  Descripción funcional y técnica de cada rol.
3.2  Minería de accesos en SailPoint
3.3  Workflows implementados para la eliminación automática de accesos por fuera del rol ante cambios de estructura
4.  Integración automática operativa para tres aplicaciones
5.  Informe de viabilidad de automatización de control de accesos VPN"</t>
  </si>
  <si>
    <t>1.1 Ana Maria Vergara|Richard Requelme|Jhonny B. Barreiro Ch.
1.2 Ana Maria Vergara
1.3 Ana Maria Vergara|Jhonny B. Barreiro Ch.
2.    Ana Maria Vergara
3. 1  Bryan Uyana
3. 2  Ana Maria Vergara
3.3   Richard Requelme
4.    Ana Maria Vergara|Ana Maria Fierro
5.   Jhonny B. Barreiro Ch</t>
  </si>
  <si>
    <t>No iniciado</t>
  </si>
  <si>
    <t>Programa Integral de Protección de Datos e Información</t>
  </si>
  <si>
    <t>ISO/IEC 27001:2022: Annex A Controls: 5.15
ISO/IEC 27001:2022: Annex A Controls: 5.18
ISO/IEC 27001:2022: Annex A Controls: 8.2
ISO/IEC 27001:2022: Annex A Controls: 8.5
ISO/IEC 27001:2022: Mandatory Clause: None</t>
  </si>
  <si>
    <t>Transformación Gestión Identidades</t>
  </si>
  <si>
    <t>Extender y operar la cobertura y protección en activos tecnológicos y de información</t>
  </si>
  <si>
    <t>Generar y mantener capacidades y soluciones</t>
  </si>
  <si>
    <t>GESTIÓN DE IDENTIDADES Y ACCESOS</t>
  </si>
  <si>
    <t>PROTEGER</t>
  </si>
  <si>
    <t>No</t>
  </si>
  <si>
    <t>Arquitectura de CS
Gobierno CS</t>
  </si>
  <si>
    <t>TI
Servicios Administrativos</t>
  </si>
  <si>
    <t> </t>
  </si>
  <si>
    <t xml:space="preserve">"• Cantidad de usuarios externos asociados a contratos de proveedores.
• % de usuarios externos gestionados automáticamente a través de la integración."
Plan de acción en proceso: Certificación de accesos </t>
  </si>
  <si>
    <t>OP-ID-03</t>
  </si>
  <si>
    <t xml:space="preserve">Casos de Uso como mejora para el control de usuarios privilegiados en sistemas operativos </t>
  </si>
  <si>
    <t>Identificar, definir y priorizar los escenarios que requieren la creación de Casos de Uso orientados a alertar actividades privilegiadas (inicio de sesión | modificación de usuarios) dentro de los sistemas operativos de la infraestructura de TI (Servidores Windows, Unix, Balanceadores F5, Firewalls, ISE, IPS y VCenter).  El análisis se realizará tomando como fuente los eventos recopilados por el SIEM, con el fin de mejorar la visibilidad, control y respuesta ante acciones privilegiadas no autorizadas.</t>
  </si>
  <si>
    <t>Casos de Uso diseñados y configurados en el SIEM para monitoreo de actividades privilegiadas (inicio de sesión | modificación de usuarios) 
- Alertas automáticas vía correo electrónico ante detección de actividades privilegiadas (pruebas controladas y eventos reales).
- Matriz de escenarios monitoreados y reglas implementadas.
- Documentación técnica sobre lógica, parámetros y umbrales de cada Caso de Uso.
- Evidencias de validación y pruebas de eficacia</t>
  </si>
  <si>
    <t>En ejecución</t>
  </si>
  <si>
    <t>ISO/IEC 27001:2022: Annex A Controls: 5.1
ISO/IEC 27001:2022: Annex A Controls: 5.14
ISO/IEC 27001:2022: Annex A Controls: 5.15
ISO/IEC 27001:2022: Annex A Controls: 5.16
ISO/IEC 27001:2022: Annex A Controls: 5.17
ISO/IEC 27001:2022: Annex A Controls: 5.18
ISO/IEC 27001:2022: Annex A Controls: 5.3
ISO/IEC 27001:2022: Annex A Controls: 8.18
ISO/IEC 27001:2022: Annex A Controls: 8.2
ISO/IEC 27001:2022: Annex A Controls: 8.3
ISO/IEC 27001:2022: Annex A Controls: 8.5
ISO/IEC 27001:2022: Mandatory Clause: None</t>
  </si>
  <si>
    <t xml:space="preserve">CiberDefensa CS
Plataformas CS
</t>
  </si>
  <si>
    <t>POA</t>
  </si>
  <si>
    <t>PMC-2052</t>
  </si>
  <si>
    <t>"• Número de Casos de Uso implementados vs. Casos de Uso planificados.
• Cantidad de alertas generadas por actividades privilegiadas (pruebas + eventos reales)."</t>
  </si>
  <si>
    <t>OP-ID-06</t>
  </si>
  <si>
    <t>Control de accesos en procesos de transferencia de archivos.</t>
  </si>
  <si>
    <t>Implementar un control que permita asignar accesos exclusivamente a las rutas SFTP necesarias para cada usuario, aplicando el principio de mínimo privilegio y considerando las funciones, responsabilidades y necesidades operativas comunicadas por los responsables del proceso. Este control se ejecutará con base en la Matriz de accesos a carpetas por grupos, la cual servirá como insumo oficial para la habilitación y mantenimiento de permisos.misos.</t>
  </si>
  <si>
    <t>"- Inventario consolidado de rutas de transmisión de información y accesos asociados, a partir del 2026
- Actualización del flujo de asignación de accesos a rutas SFTP, incorporando la autorización del dueño de la ruta como requisito habilitante, a partir del 2026
- Listado de los accesos depurados de los usuarios que pertenecen a grupos con permisos sobre los sitios en el SFTP, que no han presentado actividad en los últimos 90 días"</t>
  </si>
  <si>
    <t>ISO/IEC 27001:2022: Annex A Controls: 5.10
ISO/IEC 27001:2022: Annex A Controls: 5.13
ISO/IEC 27001:2022: Annex A Controls: 5.14
ISO/IEC 27001:2022: Annex A Controls: 5.15
ISO/IEC 27001:2022: Annex A Controls: 5.3
ISO/IEC 27001:2022: Annex A Controls: 6.1
ISO/IEC 27001:2022: Annex A Controls: 6.2
ISO/IEC 27001:2022: Annex A Controls: 6.5
ISO/IEC 27001:2022: Annex A Controls: 8.17
ISO/IEC 27001:2022: Annex A Controls: 8.2
ISO/IEC 27001:2022: Annex A Controls: 8.22
ISO/IEC 27001:2022: Annex A Controls: 8.26
ISO/IEC 27001:2022: Annex A Controls: 8.3
ISO/IEC 27001:2022: Annex A Controls: 8.4
ISO/IEC 27001:2022: Mandatory Clause: 4.2(b)
ISO/IEC 27001:2022: Mandatory Clause: 5.2</t>
  </si>
  <si>
    <t>TI</t>
  </si>
  <si>
    <t>PMC-2166</t>
  </si>
  <si>
    <t>"• Número de grupos asociados por carpeta/ruta.
• % de accesos aprobados por dueño de ruta vs. total de accesos asignados.
• % de rutas con inventario actualizado y validado."
Plan de Riesgo: Cerrado 30/03/2026</t>
  </si>
  <si>
    <t>OP-ID-08</t>
  </si>
  <si>
    <t>Identificar y gestionar las aplicaciones que deben ser administradas por Gestión de Identidades (GI). Esto incluye: la identificación y priorización por criticidad y riesgo, la planificación y ejecución del proceso de recepción.  El objetivo es alcanzar al menos 40% de las aplicaciones por recibir en el periodo enero–diciembre 2026, asegurando gobernanza, trazabilidad y control sobre el parque aplicacional.</t>
  </si>
  <si>
    <t xml:space="preserve">"- Plan de recepción de aplicaciones.
- Actas formales de Entrega/Recepción por cada aplicación
</t>
  </si>
  <si>
    <t>Jhonny B. Barreiro Ch.</t>
  </si>
  <si>
    <t>Arquitectura CS</t>
  </si>
  <si>
    <t>"• Número de aplicaciones gestionadas por GI.
• Número de aplicaciones sin modelo de accesos (brecha).
• Tiempo promedio del ciclo de recepción por aplicación."</t>
  </si>
  <si>
    <t>OP-ID-10</t>
  </si>
  <si>
    <t>Proyecto PAM - Just in Time</t>
  </si>
  <si>
    <t>Implementar el modelo Just in Time (JIT) para la gestión de accesos privilegiados en CyberArk para los servidores SO Bancs y Capa Media corte Q1 2026, reemplazando el uso persistente de cuentas altamente privilegiadas —incluida la cuenta root— por accesos dinámicos, temporales y controlados. El alcance incluye la identificación de cuentas privilegiadas, definición del modelo JIT aplicable, configuración de accesos temporales, regularización de cuentas fuera de estándar y reducción del riesgo asociado al uso indebido de credenciales permanentes.</t>
  </si>
  <si>
    <t>"- Matriz de usuarios privilegiados identificados para migración al modelo JIT.
- Accesos privilegiados integrados a CyberArk bajo el esquema Just in Time.
- Configuración documentada de políticas JIT en CyberArk.
- Reportes de accesos temporales generados y trazados."</t>
  </si>
  <si>
    <t>Bryan Uyana
Vinicio Samaniego
Ariel Villacis
Richard Requelme</t>
  </si>
  <si>
    <t>Arquitectura CS
Plataformas CS
CiberDefensa CS</t>
  </si>
  <si>
    <t>"• % de usuarios privilegiados migrados al modelo JIT vs. total identificado.
• Reducción del uso del usuario root (medido por eventos/mes).
• Tiempo promedio de concesión y expiración de accesos JIT.
• Número de accesos privilegiados otorgados bajo el esquema JIT vs. permanentes."</t>
  </si>
  <si>
    <t>OP-ID-12</t>
  </si>
  <si>
    <t>Homologación de Accesos de la Red de Agencias | Contact Center</t>
  </si>
  <si>
    <t>Homologar los roles para las áreas de Banca Relacional, Operaciones, Microfinanzas. (Red de Agencias) y Call Center.  El alcance incluye la ejecución de talleres con las áreas funcionales, el control de cambios temporales en cargos y centros de costo, y la identificación de aplicaciones de mayor demanda para definir roles específicos únicamente para estas aplicaciones. La iniciativa busca asegurar continuidad operativa, consistencia en la asignación de accesos y trazabilidad en la gestión de reemplazos.</t>
  </si>
  <si>
    <t>"- Matrices de homologación de accesos completas y validadas.
- Matriz actualizada de reemplazos o coreografías validada con cada área.
- Registro de talleres ejecutados y participantes.
- Listado de aplicaciones críticas identificadas y roles definidos para estas aplicaciones.
- Documentación formal del proceso actualizado y su socialización."</t>
  </si>
  <si>
    <t>Ana Maria Fierro</t>
  </si>
  <si>
    <t>ISO/IEC 27001:2022: Annex A Controls: 5.14
ISO/IEC 27001:2022: Annex A Controls: 8.20
ISO/IEC 27001:2022: Annex A Controls: 8.21
ISO/IEC 27001:2022: Annex A Controls: 8.22
ISO/IEC 27001:2022: Mandatory Clause: None</t>
  </si>
  <si>
    <t>IDENTIFICAR</t>
  </si>
  <si>
    <t>Operaciones BP</t>
  </si>
  <si>
    <t>"• % de áreas con matriz de reemplazos actualizada y aprobada.
• Tiempo promedio de actualización ante cambios temporales en estructura."</t>
  </si>
  <si>
    <t>OP-ID-15</t>
  </si>
  <si>
    <t>Mejora y automatización del Gobierno de Accesos Cloud</t>
  </si>
  <si>
    <t>Diseñar, implementar y automatizar controles orientados a fortalecer el gobierno de accesos en entornos Cloud (AWS, Azure y aplicaciones integradas). El alcance incluye la detección temprana de desviaciones, el control del ciclo de vida de credenciales, la gestión de cuentas genéricas, la automatización de reportería y alertas, y la actualización del modelo de roles para garantizar alineación con la línea base definida.</t>
  </si>
  <si>
    <t>"- Automatización de generación de reportes para el monitoreo de desviaciones + envío automático de notificaciones al proveedor.
- Script automatizado para detección de inactividad + reporte correspondiente.
- Documento formal para la creación, control y gobernanza de usuarios genéricos.
- Proceso automatizado que consulte expiraciones de credenciales y envíe alertas anticipadas.
- Matriz de roles Cloud actualizada + lógica automática de comparación entre línea base y estado actual.
- Reportes periódicos y alertas sobre desviaciones detectadas en roles Cloud."</t>
  </si>
  <si>
    <t>PMC-1711
PMC-1710
PMC-1315</t>
  </si>
  <si>
    <t>PMC-1710</t>
  </si>
  <si>
    <t>"• % de inconsistencias detectadas vs. inconsistencias corregidas.
• % de reducción de accesos fuera de estándar en entornos Cloud.
• Tiempo promedio de respuesta para la corrección de desviaciones.
• % de cuentas genéricas regularizadas vs. total identificado."</t>
  </si>
  <si>
    <t>OP-ID-04</t>
  </si>
  <si>
    <t>Rotación preventiva automática de contraseña</t>
  </si>
  <si>
    <t>Implementar el proceso de rotación automática de la contraseña del usuario Administrator en los Sistemas Operativos Windows del ambiente EnP, con el fin de fortalecer la seguridad, reducir el riesgo de accesos no autorizados y asegurar el cumplimiento de las políticas internas de gestión de credenciales privilegiadas.</t>
  </si>
  <si>
    <t>Informe con la evidencia del cambio automático de contraseña del usuario Administrator.
- Configuración documentada del mecanismo de rotación automática.
- Validación de funcionamiento en ambientes controlados.
- Registro de auditoría de cada ciclo de rotación</t>
  </si>
  <si>
    <t>Vinicio Samaniego
Bryan Uyana</t>
  </si>
  <si>
    <t>Preparación y Resiliencia Operacional ante Incidentes Críticos</t>
  </si>
  <si>
    <t>ISO/IEC 27001:2022: Annex A Controls: 8.2
ISO/IEC 27001:2022: Annex A Controls: 8.3
ISO/IEC 27001:2022: Annex A Controls: 8.5
ISO/IEC 27001:2022: Mandatory Clause: None</t>
  </si>
  <si>
    <t>"• % de rotaciones automáticas ejecutadas correctamente vs. las programadas (bajo dependencia de disponibilidad de plataformas Cyberark e infraestructura de servidores).
• Frecuencia de rotación automática ejecutada según política.
• Número de incidentes asociados a credenciales privilegiadas (esperado: tendencia decreciente)."</t>
  </si>
  <si>
    <t>OP-ID-05</t>
  </si>
  <si>
    <t>Monitoreo del Privilegio Domain Admin</t>
  </si>
  <si>
    <t>Realizar la validación integral del privilegio Domain Admin sobre 20 cuentas genéricas, enfocándose en: la regularización de permisos, la actualización de responsables, la revisión de la trazabilidad de uso, y la evaluación de la factibilidad para implementar controles adicionales, incluido el control de rotación de contraseña. El objetivo es fortalecer la gobernanza y mitigar riesgos asociados al uso de privilegios elevados.</t>
  </si>
  <si>
    <t>"- Reporte de monitoreo del privilegio Domain Admin para las 20 cuentas evaluadas.
- Matriz de responsables y permisos actualizados.
- Evidencia de trazabilidad de uso por cada cuenta.
- Evaluación de factibilidad para la implementación de controles complementarios (ej. rotación de contraseña).
- Recomendaciones de regularización y control."</t>
  </si>
  <si>
    <t>"• % de cuentas Domain Admin regularizadas vs. total evaluadas.
• Número de eventos de uso privilegiado detectados y analizados.
• % de cuentas con responsables asignados y trazabilidad validada."</t>
  </si>
  <si>
    <t>OP-ID-07</t>
  </si>
  <si>
    <t>Control de accesos privilegiados a BDD SQL</t>
  </si>
  <si>
    <t>Implementar y fortalecer el control de accesos privilegiados (altas, bajas y modificaciones) sobre las bases de datos SQL, asegurando que el acceso privilegiado se realice exclusivamente a través de herramientas autorizadas (como CyberArk) y eliminando el uso de accesos directos no controlados. El alcance incluye la actualización del proceso vigente, la revisión de usuarios privilegiados, la definición de buenas prácticas y la mitigación del riesgo asociado a accesos directos.</t>
  </si>
  <si>
    <t>"- Proceso actualizado para la gestión de altas, bajas y modificaciones de usuarios privilegiados en bases de datos SQL.
- Fortalecimiento del uso de CyberArk y restricciones a accesos directos.
- Matriz consolidada de usuarios privilegiados y acciones de regularización.
- Evidencias de accesos controlados y de uso privilegiado.
- Documentación técnica y operativa del modelo de control implementado."</t>
  </si>
  <si>
    <t>PMC-2167</t>
  </si>
  <si>
    <t>"• % de reducción del acceso directo a bases de datos SQL.
• % de cuentas privilegiadas gestionadas exclusivamente mediante CyberArk.
• Número de accesos directos detectados vs. eliminados.
• Cumplimiento del proceso de ABM de usuarios privilegiados."</t>
  </si>
  <si>
    <t>OP-ID-09</t>
  </si>
  <si>
    <t>Optimización de la gestión de identidades mediante el control y depuración periódica de cuentas inactivas y obsoletas en Active Directory</t>
  </si>
  <si>
    <t>Definición de criterios y periodicidad para la identificación de cuentas con periodos prolongados de inactividad.
Revisión y análisis del estado, tipo y nivel de exposición de las cuentas detectadas.
Certificación de cuentas mediante procesos formales de validación con los responsables funcionales.
Documentación de resultados, decisiones y evidencias asociadas a cada proceso de control.
Ejecución de acciones de depuración, tales como la deshabilitación o eliminación de cuentas, conforme a lineamientos aprobados.
Generación de información consolidada para fines de seguimiento, control, trazabilidad y auditoría.</t>
  </si>
  <si>
    <t>"- Informe consolidado de usuarios inactivos y estado de certificación.
- Dashboard con métricas de inactividad, evolución y depuración.
- Registro de validaciones y evidencia de acciones aplicadas (deshabilitación/eliminación).
- Matriz histórica de depuración para trazabilidad."</t>
  </si>
  <si>
    <t>Bryan Uyana
Ana Maria Fierro
Vinicio Samaniego</t>
  </si>
  <si>
    <t>"• % de usuarios inactivos depurados vs. total de usuarios inactivos identificados.
• Número total de usuarios inactivos detectados mensualmente.
• Tiempo promedio de depuración desde la identificación hasta la eliminación/deshabilitación."</t>
  </si>
  <si>
    <t>OP-ID-11</t>
  </si>
  <si>
    <t>Incrementar el nivel de calidad de los datos gestionados en el sistema de identidades, asegurando consistencia, completitud, precisión y alineación con los estándares corporativos de gobierno de datos. El alcance incluye la identificación de brechas, el establecimiento de métricas de calidad, la ejecución de actividades de remediación y el monitoreo continuo de la información proveniente del gestor de identidades.</t>
  </si>
  <si>
    <t>"- Reporte de cumplimiento de gobierno de datos.
- Actualización del Dashboard con métricas de calidad de datos (completitud, consistencia, duplicidad, vigencia) por parte del equipo de Calidad de Datos.
- Matriz de brechas y acciones de remediación aplicadas."</t>
  </si>
  <si>
    <t>ISO/IEC 27001:2022: Annex A Controls: 5.35
ISO/IEC 27001:2022: Mandatory Clause: 10.1
ISO/IEC 27001:2022: Mandatory Clause: 10.2
ISO/IEC 27001:2022: Mandatory Clause: 9.2</t>
  </si>
  <si>
    <t>"• % de cumplimiento de calidad de datos (según métricas definidas).
• Número de registros corregidos vs. número de registros con brechas.
• % de atributos críticos con datos completos y vigentes."</t>
  </si>
  <si>
    <t>OP-ID-13</t>
  </si>
  <si>
    <t>Automatización de ABM usuarios plataformas AS400 GAF, LogiTRX y el Sistema de Monitoreo de Fraudes</t>
  </si>
  <si>
    <t>Automatizar el proceso de Altas, Bajas y Modificaciones (ABM) de usuarios en las plataformas AS400 GAF, LogiTRX y el Sistema de Monitoreo de Fraudes, con el objetivo de reducir tiempos operativos, minimizar errores manuales y fortalecer la trazabilidad en la gestión de accesos. El alcance contempla la creación, implementación y puesta en producción de RPAs que soporten estas actividades.</t>
  </si>
  <si>
    <t>"- RPAs en producción para la gestión ABM en AS400 GAF, LogiTRX y Sistema de Monitoreo de Fraudes.
- Evidencias de reducción de tiempos manuales.
- Documentación técnica y funcional de los automatismos."</t>
  </si>
  <si>
    <t>Programa de Reducción del OPEX Futuro mediante Inversiones Estratégicas (CAPEX)</t>
  </si>
  <si>
    <t>"• % de solicitudes ABM automatizadas vs. total de solicitudes.
• Tiempo promedio de ejecución de ABM antes vs. después de la automatización.
• Reducción de errores operativos asociados al proceso manual."</t>
  </si>
  <si>
    <t>Empresa</t>
  </si>
  <si>
    <t>Prioridad</t>
  </si>
  <si>
    <t>Inicio Fecha Proyectada</t>
  </si>
  <si>
    <t>Fin Fecha Proyectada</t>
  </si>
  <si>
    <t>Fin Fecha Real</t>
  </si>
  <si>
    <t>Fase</t>
  </si>
  <si>
    <t>Asignados</t>
  </si>
  <si>
    <t>Usuarios Certificados (Estructuras)</t>
  </si>
  <si>
    <t>Estado ESTRUCTURAS</t>
  </si>
  <si>
    <t>Estado ROLES</t>
  </si>
  <si>
    <t>Usuarios Asociados al Rol</t>
  </si>
  <si>
    <t>Roles creados</t>
  </si>
  <si>
    <t>Observación / Cometnario</t>
  </si>
  <si>
    <t>TATA CONSULTANCY SERVICES</t>
  </si>
  <si>
    <t>Fase 1</t>
  </si>
  <si>
    <t>JHONNY BARREIRO
RICHARD REQUELME
ANA MARIA VERGARA</t>
  </si>
  <si>
    <t>EN PROCESO</t>
  </si>
  <si>
    <t>AMERICAN CALL CENTER S.A. AMERICALL</t>
  </si>
  <si>
    <t>COMPLETADO</t>
  </si>
  <si>
    <t>NTTDATA</t>
  </si>
  <si>
    <t>SOFKA</t>
  </si>
  <si>
    <t>JHONNY BARREIRO</t>
  </si>
  <si>
    <t>BRAVCO</t>
  </si>
  <si>
    <t>Fase 2</t>
  </si>
  <si>
    <t>RICHARD REQUELME</t>
  </si>
  <si>
    <t>DEVSU</t>
  </si>
  <si>
    <t>ANA MARIA VERGARA
JHONNY BARREIRO</t>
  </si>
  <si>
    <t>GO FOR CUSTOMER</t>
  </si>
  <si>
    <t>ANA MARIA VERGARA</t>
  </si>
  <si>
    <t>NEORIS-ECUADOR S.A.S.</t>
  </si>
  <si>
    <t>SOFTWAREONE ECUADOR SOLUCIONES S.A.</t>
  </si>
  <si>
    <t>PICHINCHA SISTEMAS ACOVI EXTERNOS</t>
  </si>
  <si>
    <t>Media/Baja</t>
  </si>
  <si>
    <t>Fase 3</t>
  </si>
  <si>
    <t>BANCO PICHINCHA ESPANA S.A</t>
  </si>
  <si>
    <t>STRATIO BD ESPANA S.L.</t>
  </si>
  <si>
    <t>EMPRESA EXTERNOS JURÍDICO</t>
  </si>
  <si>
    <t>NOVAECUADOR S.A.</t>
  </si>
  <si>
    <t>BANCO DE LOJA S.A.</t>
  </si>
  <si>
    <t>KYNDRYL</t>
  </si>
  <si>
    <t>T</t>
  </si>
  <si>
    <t>HIBERUS</t>
  </si>
  <si>
    <t>URBANO EXPRESS</t>
  </si>
  <si>
    <t>ORACLE</t>
  </si>
  <si>
    <t>GLOBANT-ECUADOR S.A.S.</t>
  </si>
  <si>
    <t>PICHINCHA-CORP SA</t>
  </si>
  <si>
    <t>MCKINSEY &amp; COMPANY INC. ECUADOR</t>
  </si>
  <si>
    <t>NEORIS</t>
  </si>
  <si>
    <t>VISA</t>
  </si>
  <si>
    <t>BCPI SERVICIOS PROFESIONALES</t>
  </si>
  <si>
    <t>AVALUOS SERV PERITOS</t>
  </si>
  <si>
    <t>COMPAÃ‘IA DE SERVICIOS AUXILIARES DEL SISTEMA FINANCIERO INTERDIN S A</t>
  </si>
  <si>
    <t>TCMPARTNERS</t>
  </si>
  <si>
    <t>NEXTI BUSINESS SOLUTIONS SA</t>
  </si>
  <si>
    <t>ONTOP</t>
  </si>
  <si>
    <t>EASYSOFT</t>
  </si>
  <si>
    <t>LAAR COURIER</t>
  </si>
  <si>
    <t>DIRECTORIO</t>
  </si>
  <si>
    <t>Fase 4</t>
  </si>
  <si>
    <t>CYGNUS-CONSULTING S.A.S.</t>
  </si>
  <si>
    <t>PLUS TI</t>
  </si>
  <si>
    <t>LOGICIEL CIA. LTDA</t>
  </si>
  <si>
    <t>FESA</t>
  </si>
  <si>
    <t>SERITY</t>
  </si>
  <si>
    <t>MYCLOUDDOOR</t>
  </si>
  <si>
    <t>CONTRALORIA DE FILIALES</t>
  </si>
  <si>
    <t>BANCO GENERAL RUMINAHUI</t>
  </si>
  <si>
    <t>SIPECOM S.A.</t>
  </si>
  <si>
    <t>ZEROQ</t>
  </si>
  <si>
    <t>HIGH TELECOMMUNICATIONS SOCIEDAD DE TELECOMUNICACIONES CIA. LTDA.</t>
  </si>
  <si>
    <t>SERIVARSA</t>
  </si>
  <si>
    <t>BANRED S. A.</t>
  </si>
  <si>
    <t>HEAVEN</t>
  </si>
  <si>
    <t>RECRUITMENT SERVICES</t>
  </si>
  <si>
    <t>GRUPO TEA</t>
  </si>
  <si>
    <t>DINERS</t>
  </si>
  <si>
    <t>MCKINSEY</t>
  </si>
  <si>
    <t>ASSERTIVA S.A.</t>
  </si>
  <si>
    <t>ONBUSINESSCONSULTING</t>
  </si>
  <si>
    <t>PROTECOMPU C.A.</t>
  </si>
  <si>
    <t>BMC SOFTWARE INC</t>
  </si>
  <si>
    <t>GMS MANAGEMENTSOLUTIONS ECUADOR CIA.LTDA.</t>
  </si>
  <si>
    <t>SYS &amp; TECH DIDECOM C.A.</t>
  </si>
  <si>
    <t>MOORE &amp; ASOCIADOS CIA LTDA</t>
  </si>
  <si>
    <t>XPONENTIAL-TECHNOLOGIES S.A.S</t>
  </si>
  <si>
    <t>MAUREEN DATA SYSTEMSINC.</t>
  </si>
  <si>
    <t>PRICHSOUTH TECNOLOGIAS DEL SUR S. A.</t>
  </si>
  <si>
    <t>TINSA</t>
  </si>
  <si>
    <t>PRETIUM</t>
  </si>
  <si>
    <t>PUBLIPROMUEVE S.A.</t>
  </si>
  <si>
    <t>PWC ASESORES EMPRESARIALES CIA. LTDA.</t>
  </si>
  <si>
    <t>CORPIDE CORPORACION PUBLICITARIA INTEGRAL DELTA CIA. LTDA</t>
  </si>
  <si>
    <t>SONDA</t>
  </si>
  <si>
    <t>MASTER DRAGON</t>
  </si>
  <si>
    <t>MICROSOFT DEL ECUADOR CIA. LTDA.</t>
  </si>
  <si>
    <t>SEGUDATOS S.A. SEGURIDAD ELECTRONICA RADIO COMUNICACION Y TRANSMISION DE DATOS</t>
  </si>
  <si>
    <t>ESCALA 24X7</t>
  </si>
  <si>
    <t>DELOITTE &amp; TOUCHE ECUADOR CIA. LTDA.</t>
  </si>
  <si>
    <t>NEXSYS DEL ECUADOR</t>
  </si>
  <si>
    <t>INMODAVALOS</t>
  </si>
  <si>
    <t>REDHAT</t>
  </si>
  <si>
    <t>GAMBOA Y ASOCIADOS</t>
  </si>
  <si>
    <t>CELCO CIA. LTDA.</t>
  </si>
  <si>
    <t>AT&amp;S</t>
  </si>
  <si>
    <t>INGENIERIA PARA EL DESARROLLO ACURIO Y ASOCIADOS S.A.</t>
  </si>
  <si>
    <t>GRUPO PICHINCHA</t>
  </si>
  <si>
    <t>INMOVALUAR</t>
  </si>
  <si>
    <t>PLACEGE</t>
  </si>
  <si>
    <t>OCPTECH</t>
  </si>
  <si>
    <t>LEPEA</t>
  </si>
  <si>
    <t>AMERICAN CALL CENTER</t>
  </si>
  <si>
    <t>BINARIA SISTEMAS S.A.</t>
  </si>
  <si>
    <t>I-Q CONSULTORES S.A.</t>
  </si>
  <si>
    <t>ADALOVE</t>
  </si>
  <si>
    <t>ITRONIK SERVICES S.A</t>
  </si>
  <si>
    <t>PLACESEC</t>
  </si>
  <si>
    <t>BDO-ADVISORY S.A.</t>
  </si>
  <si>
    <t>CELONIS</t>
  </si>
  <si>
    <t>APPFABRIX INC</t>
  </si>
  <si>
    <t>PALO_ALTO</t>
  </si>
  <si>
    <t>HEURISTICA</t>
  </si>
  <si>
    <t>INTERCOBROS</t>
  </si>
  <si>
    <t>ATHENTO EUROPA SL</t>
  </si>
  <si>
    <t>SMARTSOFT S.A.</t>
  </si>
  <si>
    <t>TATASOLUTION CENTER S.A.</t>
  </si>
  <si>
    <t>GP ESTRATEGIA</t>
  </si>
  <si>
    <t>PLAN MARKET</t>
  </si>
  <si>
    <t>AKROS CIA. LTDA.</t>
  </si>
  <si>
    <t>SE ACTUALIZA NOMBRE EMPRESA COMPANIA DE SERVICIOS AUXILIARES DEL SISTEMA FINANCIERO INTERDIN S A</t>
  </si>
  <si>
    <t>COBROANDINA S A</t>
  </si>
  <si>
    <t>SOFTWAREONE</t>
  </si>
  <si>
    <t>DEUNA EXT</t>
  </si>
  <si>
    <t>XPONENTIAL TECHNOLOGIES S.A.S</t>
  </si>
  <si>
    <t>EXPERTCHOICE</t>
  </si>
  <si>
    <t>BLUE AIR TECHNOLOGIES BLUEAIRTECH S.A.</t>
  </si>
  <si>
    <t>BANGARA S.A.</t>
  </si>
  <si>
    <t>SDMEL</t>
  </si>
  <si>
    <t>DATAKNOW ECUADOR S.A.S.</t>
  </si>
  <si>
    <t>GESTION EXTERNA GESTIONA GTX S.A.</t>
  </si>
  <si>
    <t>UDLA</t>
  </si>
  <si>
    <t>EVADATA S.A.S.</t>
  </si>
  <si>
    <t>WORLD-POS-SOLUTIONS CIA LTDA</t>
  </si>
  <si>
    <t>SEGUROS DEL PICHINCHA S. A. COMPAÑIA DE SEGUROS Y REASEGUROS</t>
  </si>
  <si>
    <t>DFX5 ECUADOR S.A.S.</t>
  </si>
  <si>
    <t>DISTRIBUCIÓN TAREAS PRIORITARIAS FASE 2 SAILPOINT</t>
  </si>
  <si>
    <t>LEVANTAMIENTO | CONSTRUCCIÓN ROLES EXTERNOS</t>
  </si>
  <si>
    <t>RESPONSABLES</t>
  </si>
  <si>
    <t xml:space="preserve">ACTIVIDAD </t>
  </si>
  <si>
    <t>DETALLE ACTIVIDAD</t>
  </si>
  <si>
    <t>Levantamiento de roles</t>
  </si>
  <si>
    <t>Levantamiento de permisos actuales, la validación con los responsables funcionales, asegurando el cumplimiento del principio de mínimo privilegio para los roles a construir</t>
  </si>
  <si>
    <t>Distribución por empresa para levantamiento y certificación de roles</t>
  </si>
  <si>
    <t>Analizar el total de empresas | proveedores, y usuarios asociados a cada una, con el fin de realizar una distribución interna en el equipo de identidades, para realizar el proceso de levantamiento y certificación de accesos</t>
  </si>
  <si>
    <t>Certificación de roles</t>
  </si>
  <si>
    <t>En el proceso de levantamiento se incluirá la actividad de certificación con el fin de cubrir lo correspondiente a externos</t>
  </si>
  <si>
    <t>CERTIFICACIÓN ACCESOS | ENTITLEMENTS</t>
  </si>
  <si>
    <t>BRYAN UYANA</t>
  </si>
  <si>
    <t>ANA MARIA FIERRO</t>
  </si>
  <si>
    <t>DANIEL LESCANO</t>
  </si>
  <si>
    <t>JHONNY BARREIRO (CARGA)</t>
  </si>
  <si>
    <t>Carga de descripciones en entitlements</t>
  </si>
  <si>
    <r>
      <t>- Incorporar en cada entitlement una descripción funcional clara, completa y estandarizada, que detalle de manera precisa la funcionalidad que habilita dicho acceso dentro de la aplicación o sistema correspondiente.</t>
    </r>
    <r>
      <rPr>
        <b/>
        <sz val="8"/>
        <color rgb="FF000000"/>
        <rFont val="Arial"/>
        <family val="2"/>
      </rPr>
      <t xml:space="preserve">
- Para esta actividad se contará con el apoyo de Jhonny Barreiro con la base de descripciones levantadas en el proceso de certificación de opciones sensibles ejecutado en 2024</t>
    </r>
  </si>
  <si>
    <t>Actualización de responsables de roles</t>
  </si>
  <si>
    <t>La actividad de Actualización de responsables de roles consiste en revisar y asignar los owners asignados a los roles en SailPoint, asegurando que cada uno cuente con un responsable funcional o de negocio válido y actualizado, con conocimiento del proceso y de los accesos asociados. Esta actualización es fundamental para garantizar la correcta ejecución de las certificaciones de accesos</t>
  </si>
  <si>
    <t>Proceso de consistencia</t>
  </si>
  <si>
    <t>Ejecución del proceso de consistencia de accesos, orientado a validar y reconciliar los accesos efectivos existentes en las aplicaciones contra los roles definidos en el gestor de identidades. Esta actividad tiene como objetivo identificar desviaciones, ajustes pendientes o inconsistencias generadas durante el proceso de transición al nuevo gestor de identidades, asegurando la alineación entre lo definido a nivel de roles y lo implementado en cada aplicación.
Para su ejecución, se trabajará sobre los reportes de accesos actualizados de las aplicaciones, los cuales serán utilizados como base para el análisis, corrección de información y ajustes necesarios en SailPoint</t>
  </si>
  <si>
    <t>Distribución para certificación por # de entitlements</t>
  </si>
  <si>
    <t>Analizar el total de entitlements, con el fin de realizar una distribución interna en el equipo de identidades, para realizar el proceso de levantamiento y certificación de accesos.  Considerar la inclusión del equipo de recepción de aplicaciones NTTData para apoyo al proceso</t>
  </si>
  <si>
    <t>DEFINICIÓN</t>
  </si>
  <si>
    <t>Nombre</t>
  </si>
  <si>
    <t>PRIORIZACIÓN MY ACCESS/ENTRA_ID/AD ARCHIVO: Aplicaciones identidades consolidado 05052026</t>
  </si>
  <si>
    <t>VALIDACIÓN ARCHIVO: Aplicaciones identidades consolidado 05052026</t>
  </si>
  <si>
    <t>Bp Id</t>
  </si>
  <si>
    <t>Ubicacion</t>
  </si>
  <si>
    <t>Equipo Administrado Por</t>
  </si>
  <si>
    <t>Dueno Aplicacion</t>
  </si>
  <si>
    <t>Dueno Negocio</t>
  </si>
  <si>
    <t>Administrado Por</t>
  </si>
  <si>
    <t>Entregada Identidades</t>
  </si>
  <si>
    <t>Fecha Recepcion</t>
  </si>
  <si>
    <t>PLAN RECEPCIÓN 2026</t>
  </si>
  <si>
    <t>¿ADMINISTRADA POR GI?</t>
  </si>
  <si>
    <t>ADMINISTRADAS POR GI</t>
  </si>
  <si>
    <t>Abonos Anticipados</t>
  </si>
  <si>
    <t>NO APLICA</t>
  </si>
  <si>
    <t>ABONOS ANTICIPADOS</t>
  </si>
  <si>
    <t>GI0009</t>
  </si>
  <si>
    <t>On Premise</t>
  </si>
  <si>
    <t>Tribu_Cores_Transacciones</t>
  </si>
  <si>
    <t>DAVID RODRIGO REVELO RIVERA</t>
  </si>
  <si>
    <t>BYRON JAVIER ALBUJA ORLANDO</t>
  </si>
  <si>
    <t>PABLO VINICIO PONCE GONZALEZ</t>
  </si>
  <si>
    <t>N/A ENTREGADA</t>
  </si>
  <si>
    <t>Etiquetas de fila</t>
  </si>
  <si>
    <t>Recuento de Nombre</t>
  </si>
  <si>
    <t>Active Directory</t>
  </si>
  <si>
    <t>SEC0047</t>
  </si>
  <si>
    <t>B - Ecosistema Apetito de Riesgo</t>
  </si>
  <si>
    <t>INFRAESTRUCTURA</t>
  </si>
  <si>
    <t>JOSE LUIS GOYES LARA</t>
  </si>
  <si>
    <t>CESAR ALEJANDRO VELASCO TORO</t>
  </si>
  <si>
    <t>Cuenta de Nombre</t>
  </si>
  <si>
    <t>Administracion de cupos y lineas de credito</t>
  </si>
  <si>
    <t>ADMINISTRACION DE CUPOS Y LINEAS DE CREDITO</t>
  </si>
  <si>
    <t>GI0012</t>
  </si>
  <si>
    <t>PLANIFICADA</t>
  </si>
  <si>
    <t>Administrador ATMS</t>
  </si>
  <si>
    <t>ADMINISTRADOR ATMS</t>
  </si>
  <si>
    <t>GI0014</t>
  </si>
  <si>
    <t>PLANIFICANDO REVISIÓN</t>
  </si>
  <si>
    <t>Administrador de Crédito</t>
  </si>
  <si>
    <t>RIS0001</t>
  </si>
  <si>
    <t>E - No Crítica</t>
  </si>
  <si>
    <t>Tribu Administración de Créditos</t>
  </si>
  <si>
    <t>JORGE MARIO PULGARIN MAZO</t>
  </si>
  <si>
    <t>SILVIA VIVIANA YEPEZ HERRERA</t>
  </si>
  <si>
    <t>CHRISTIAN PAUL ENRIQUEZ LOPEZ</t>
  </si>
  <si>
    <t>Total general</t>
  </si>
  <si>
    <t>PRIORIZACIÓN CRITERIO 1</t>
  </si>
  <si>
    <t>Administrador de Líneas de Crédito</t>
  </si>
  <si>
    <t>RIS0002</t>
  </si>
  <si>
    <t>PRIORIZACIÓN CRITERIO 2</t>
  </si>
  <si>
    <t>Administrador Omnicanal</t>
  </si>
  <si>
    <t>CHL0003</t>
  </si>
  <si>
    <t>C - BIA Crítica</t>
  </si>
  <si>
    <t>TRIBU_CANALES</t>
  </si>
  <si>
    <t>JUAN FELIPE DIAZ RESTREPO</t>
  </si>
  <si>
    <t>DIANA PATRICIA CAICEDO RODRIGUEZ</t>
  </si>
  <si>
    <t>MIGUEL ALEXANDER MEJIA BRONCANO</t>
  </si>
  <si>
    <t>ESTADO/DEFINICIÓN</t>
  </si>
  <si>
    <t>PRIORIZACIÓN CRITERIO 3</t>
  </si>
  <si>
    <t>Administrador Referencias</t>
  </si>
  <si>
    <t>REFERENCIAS BANCARIAS - INTRANET</t>
  </si>
  <si>
    <t>PRD0001</t>
  </si>
  <si>
    <t>EMPRESAS</t>
  </si>
  <si>
    <t>MIRTHA CATHERINE ARCELA ESPINOZA</t>
  </si>
  <si>
    <t>FABRICIO ANTONIO PEREIRA GARCIA</t>
  </si>
  <si>
    <t>Fernando Ivan Flores Sanchez</t>
  </si>
  <si>
    <t>Akamai WAF</t>
  </si>
  <si>
    <t>SEC0002</t>
  </si>
  <si>
    <t>Nube</t>
  </si>
  <si>
    <t>COE_SEGURIDAD</t>
  </si>
  <si>
    <t>GABRIELA VIRGINIA VIDAL BARBA</t>
  </si>
  <si>
    <t>MARCO FABRICIO FALCONI NORIEGA</t>
  </si>
  <si>
    <t>MARIA DEL CARMEN PENAHERRERA PLUA</t>
  </si>
  <si>
    <t>Al finalizar 2026 se plantea administrar:
aplicaciones</t>
  </si>
  <si>
    <t>AM-Menu Accionistas</t>
  </si>
  <si>
    <t>AM- MENU ACCIONISTAS SIGLO21</t>
  </si>
  <si>
    <t>GI0022</t>
  </si>
  <si>
    <t>OKR</t>
  </si>
  <si>
    <t>AntiDDoS Radware</t>
  </si>
  <si>
    <t>SEC0052</t>
  </si>
  <si>
    <t>ROBERT STALIN SOTO CORONEL</t>
  </si>
  <si>
    <t>CONTEMPLADAS EN PROCESO DE RECEPCIÓN</t>
  </si>
  <si>
    <t>Aspiracional</t>
  </si>
  <si>
    <t>Apigee</t>
  </si>
  <si>
    <t>INT0004</t>
  </si>
  <si>
    <t>Tribu_Integraciones_Apis</t>
  </si>
  <si>
    <t>MARICELA NATALY ACUNA GUANOLUISA</t>
  </si>
  <si>
    <t>ANDREA ESTEFANIA CHAVEZ ORDONEZ</t>
  </si>
  <si>
    <t>CONTEMPLADAS EN PROCESO DE VALIDACIÓN DE CRITERIOS</t>
  </si>
  <si>
    <t>Meta</t>
  </si>
  <si>
    <t>APIM</t>
  </si>
  <si>
    <t>INT0016</t>
  </si>
  <si>
    <t>JUAN CARLOS CONTRERAS PAREDES</t>
  </si>
  <si>
    <t>Minimo</t>
  </si>
  <si>
    <t>Aplicativo Captura de Firmas</t>
  </si>
  <si>
    <t>APLICATIVO CAPTURA DE FIRMAS</t>
  </si>
  <si>
    <t>GI0023</t>
  </si>
  <si>
    <t>Aplicativo de Remesas</t>
  </si>
  <si>
    <t>APLICATIVO DE REMESAS</t>
  </si>
  <si>
    <t>GI0024</t>
  </si>
  <si>
    <t>APLICACIONES PRIORIZADAS                                             MY ACCESS/ENTRA_ID/AD</t>
  </si>
  <si>
    <t>Athento</t>
  </si>
  <si>
    <t>TIE0025</t>
  </si>
  <si>
    <t>Terceros</t>
  </si>
  <si>
    <t>COE_TRANSFORMACION_PROCESOS</t>
  </si>
  <si>
    <t>JAVIER ENRIQUE RIOS CASTILLO</t>
  </si>
  <si>
    <t>FREDI ALEXANDER ELIZALDE RODRIGUEZ</t>
  </si>
  <si>
    <t>SANTIAGO POSADA ZULUAGA</t>
  </si>
  <si>
    <t>ATM CAjeros Automaticos</t>
  </si>
  <si>
    <t>ATM CAJEROS AUTOMATICOS - INTRANET</t>
  </si>
  <si>
    <t>GI0025</t>
  </si>
  <si>
    <t>AURO SUITE</t>
  </si>
  <si>
    <t>COR0003</t>
  </si>
  <si>
    <t>EDITH SUSANA ACUNA GARCIA</t>
  </si>
  <si>
    <t>BancsLink</t>
  </si>
  <si>
    <t>COR0005</t>
  </si>
  <si>
    <t>CHRISTIAN DARIO PASQUEL PARRA</t>
  </si>
  <si>
    <t>Biocatch</t>
  </si>
  <si>
    <t>SEC0006</t>
  </si>
  <si>
    <t>ISRAEL SEBASTIAN DE LA TORRE TRUJILLO</t>
  </si>
  <si>
    <t>Azure AD</t>
  </si>
  <si>
    <t>Bizagi IAAS</t>
  </si>
  <si>
    <t>BIZAGI</t>
  </si>
  <si>
    <t>SUP0063</t>
  </si>
  <si>
    <t>A - Apetito de Riesgo Disponibilidad</t>
  </si>
  <si>
    <t>ROSEMBERTH SEBASTIAN BONE ROSSI</t>
  </si>
  <si>
    <t>Azure Devops</t>
  </si>
  <si>
    <t>Bridger Insight XG Enterprise</t>
  </si>
  <si>
    <t>GOB0011</t>
  </si>
  <si>
    <t>AREAS_DE_APOYO</t>
  </si>
  <si>
    <t>FABIAN GEOVANNI PAZMINO UBIDIA</t>
  </si>
  <si>
    <t>GABRIEL ERNESTO BUSTILLOS RAMOS</t>
  </si>
  <si>
    <t>CHRISTIAN JAVIER HERRERA NARVAEZ</t>
  </si>
  <si>
    <t>Azure Kubernetes Services</t>
  </si>
  <si>
    <t>Calculadora de Cupos para Creditos</t>
  </si>
  <si>
    <t>CALCULADORA DE CUPOS PARA CREDITOS</t>
  </si>
  <si>
    <t>GI0026</t>
  </si>
  <si>
    <t>BPOne</t>
  </si>
  <si>
    <t>CardHolder</t>
  </si>
  <si>
    <t>PAY0004</t>
  </si>
  <si>
    <t>MEDIOS_DE_PAGO</t>
  </si>
  <si>
    <t>EDWIN GEOVANNY FLORES CASTRO</t>
  </si>
  <si>
    <t>DAVID ALEJANDRO CHAVEZ PENAHERRERA</t>
  </si>
  <si>
    <t>HENRRY DANIEL MORETA IZA</t>
  </si>
  <si>
    <t>Compra de Cartera</t>
  </si>
  <si>
    <t>CashManagement</t>
  </si>
  <si>
    <t>PRD0012</t>
  </si>
  <si>
    <t>Gerencia Proyectos Especiales</t>
  </si>
  <si>
    <t>LUIS MIGUEL ULLOA MOREIRA</t>
  </si>
  <si>
    <t>MARIA GABRIELA GAVILANES BARRERA</t>
  </si>
  <si>
    <t>Confluent</t>
  </si>
  <si>
    <t>Cheqscan</t>
  </si>
  <si>
    <t>PAY0002</t>
  </si>
  <si>
    <t>PASIVOS Y SEGUROS</t>
  </si>
  <si>
    <t>LAURA ELIZABETH CARRASCO UQUILLAS</t>
  </si>
  <si>
    <t>JOHANNA GABRIELA GUERRERO SANTAMARIA</t>
  </si>
  <si>
    <t>MANUEL ABELARDO HARO MONTERO</t>
  </si>
  <si>
    <t>Grafana</t>
  </si>
  <si>
    <t>Clientes Juridicos</t>
  </si>
  <si>
    <t>CLIENTES JURIDICOS</t>
  </si>
  <si>
    <t>GI0027</t>
  </si>
  <si>
    <t>Home Folder</t>
  </si>
  <si>
    <t>CloudGuard Appsec WAF</t>
  </si>
  <si>
    <t>SEC0080</t>
  </si>
  <si>
    <t>Hopex</t>
  </si>
  <si>
    <t>COBIS BANCA COMUNAL</t>
  </si>
  <si>
    <t>PRD0052</t>
  </si>
  <si>
    <t>MICROFINANZAS</t>
  </si>
  <si>
    <t>EUDOCIA BEATRIZ VASQUEZ CASTILLO</t>
  </si>
  <si>
    <t>MYRIAM ADRIANA YANGUICELA TIPAN</t>
  </si>
  <si>
    <t>JUAN CARLOS VELASQUEZ VARGAS</t>
  </si>
  <si>
    <t>IBM WebSphere Portal</t>
  </si>
  <si>
    <t>Colector de Eventos SOC (NXLog)</t>
  </si>
  <si>
    <t>SEC0050</t>
  </si>
  <si>
    <t>ERICK DAMIAN RISUENO BENITEZ</t>
  </si>
  <si>
    <t>ICEPanel</t>
  </si>
  <si>
    <t>Compass</t>
  </si>
  <si>
    <t>SEC0076</t>
  </si>
  <si>
    <t>CHRISTIAN ROBERTO CAJAMARCA LLIVE</t>
  </si>
  <si>
    <t>SANTIAGO FERNANDO RODRIGUEZ VENEGAS</t>
  </si>
  <si>
    <t>DAVID FERNANDO SILVA VIZCARRA</t>
  </si>
  <si>
    <t>Integration Bus Omnicanal</t>
  </si>
  <si>
    <t>Compensacion</t>
  </si>
  <si>
    <t>CUADRE Y COMPENSACION</t>
  </si>
  <si>
    <t>SUP0025</t>
  </si>
  <si>
    <t>D - BIA No Crítica</t>
  </si>
  <si>
    <t>GONZALO MARCELO NAZATI GONZALEZ</t>
  </si>
  <si>
    <t>FRANKLIN HAYBECK SERRANO GOMEZ</t>
  </si>
  <si>
    <t>Integration Bus Soporte</t>
  </si>
  <si>
    <t>Configuración Centralizada</t>
  </si>
  <si>
    <t>SEC0008</t>
  </si>
  <si>
    <t>BRYAN MARCELO TAPIA VERGARA</t>
  </si>
  <si>
    <t>FRANCISCO DAVID CEVALLOS GRANJA</t>
  </si>
  <si>
    <t>JUAN MANUEL CORTES MUNOZ</t>
  </si>
  <si>
    <t>Keeper Security</t>
  </si>
  <si>
    <t>Constructores.com</t>
  </si>
  <si>
    <t>CONSTRUCTORES.COM</t>
  </si>
  <si>
    <t>GI0028</t>
  </si>
  <si>
    <t>Mi Campus Pichincha</t>
  </si>
  <si>
    <t>Coren</t>
  </si>
  <si>
    <t>SEC0071</t>
  </si>
  <si>
    <t>Microfinance Portal</t>
  </si>
  <si>
    <t>Correlacionador de Eventos SOC (SPLUNK)</t>
  </si>
  <si>
    <t>SEC0068</t>
  </si>
  <si>
    <t>Mis Riesgos</t>
  </si>
  <si>
    <t>CreditLens</t>
  </si>
  <si>
    <t>RIS0004</t>
  </si>
  <si>
    <t>JOHANNA NATALIA RODRIGUEZ SANCHEZ</t>
  </si>
  <si>
    <t>EDISON JAVIER RODRIGUEZ SIMBANA</t>
  </si>
  <si>
    <t>MISP</t>
  </si>
  <si>
    <t>CreditoDistribuidor</t>
  </si>
  <si>
    <t>PRD0014</t>
  </si>
  <si>
    <t>PRODUCTOS</t>
  </si>
  <si>
    <t>WILLIAM PATRICIO PANCHI SHUGULI</t>
  </si>
  <si>
    <t>Moengage</t>
  </si>
  <si>
    <t>CreditosCOM</t>
  </si>
  <si>
    <t>PRD0015</t>
  </si>
  <si>
    <t>ACTIVOS</t>
  </si>
  <si>
    <t>ANDREA FERNANDA ORTIZ CISNEROS</t>
  </si>
  <si>
    <t>ERISLAN MARTINEZ JERA</t>
  </si>
  <si>
    <t>Monitor Plus</t>
  </si>
  <si>
    <t>CRM (salesforce - Financial services)</t>
  </si>
  <si>
    <t>CUS0007</t>
  </si>
  <si>
    <t>Negocios y Monetización</t>
  </si>
  <si>
    <t>ANTONIO ALEJANDRO CANAVERAL GIL</t>
  </si>
  <si>
    <t>JULIEN LOUIS ADRIEN LEREBOULLET</t>
  </si>
  <si>
    <t>HECTOR EDUARDO JARAMILLO RUALES</t>
  </si>
  <si>
    <t>Portal de Negocio Automotriz</t>
  </si>
  <si>
    <t>CRM (salesforce - Marketing Cloud)</t>
  </si>
  <si>
    <t>CUS0008</t>
  </si>
  <si>
    <t>ESTEFANY CAROLINA GONGORA PAREDES</t>
  </si>
  <si>
    <t>Portal de Verificacion Microfinanzas</t>
  </si>
  <si>
    <t>Crowdstrike</t>
  </si>
  <si>
    <t>SEC0009</t>
  </si>
  <si>
    <t>RPA UIPath</t>
  </si>
  <si>
    <t>Cuadre Atms</t>
  </si>
  <si>
    <t>SUP0021</t>
  </si>
  <si>
    <t>MILTON PATRICIO MANTILLA CAYO</t>
  </si>
  <si>
    <t>Nelson Patricio Cardenas Llumiugsi</t>
  </si>
  <si>
    <t>SAP SuccessFactors</t>
  </si>
  <si>
    <t>Decisión Cloud</t>
  </si>
  <si>
    <t>ITM0001</t>
  </si>
  <si>
    <t>JAIME GIOVANNY VALLEJO BAQUERO</t>
  </si>
  <si>
    <t>ServiceNow ITOM/ITAM</t>
  </si>
  <si>
    <t>Deep Security</t>
  </si>
  <si>
    <t>SEC0014</t>
  </si>
  <si>
    <t>Sistema de Chapter Desarrollo Iniciativas</t>
  </si>
  <si>
    <t>Delivery Servicios a Domiciliio</t>
  </si>
  <si>
    <t>DELIVERY - SERVICIOS A DOMICILIO</t>
  </si>
  <si>
    <t>GI0029</t>
  </si>
  <si>
    <t>Stratio</t>
  </si>
  <si>
    <t>Detect ID</t>
  </si>
  <si>
    <t>SEC0015</t>
  </si>
  <si>
    <t>FRANKLIN STEVEN ZAMBRANO SOLORZANO</t>
  </si>
  <si>
    <t>System Center</t>
  </si>
  <si>
    <t>DLS5</t>
  </si>
  <si>
    <t>SEC0074</t>
  </si>
  <si>
    <t>VMware vSphere Replication</t>
  </si>
  <si>
    <t>DOCKCERO</t>
  </si>
  <si>
    <t>GI0030</t>
  </si>
  <si>
    <t>Doka -Comex</t>
  </si>
  <si>
    <t>PRD0016</t>
  </si>
  <si>
    <t>LEONOR FABIOLA CORRAL GAONA</t>
  </si>
  <si>
    <t>Dynamic Codes</t>
  </si>
  <si>
    <t>SEC0070</t>
  </si>
  <si>
    <t>Dynatrace</t>
  </si>
  <si>
    <t>ITM0013</t>
  </si>
  <si>
    <t>Gerencia SRE</t>
  </si>
  <si>
    <t>ERICK GABRIEL TORRES NEVAREZ</t>
  </si>
  <si>
    <t>HUGO ARIEL COSENTINO</t>
  </si>
  <si>
    <t>EBS</t>
  </si>
  <si>
    <t>SUP0006</t>
  </si>
  <si>
    <t>DARIO JAVIER SANCHEZ ROMERO</t>
  </si>
  <si>
    <t>PEDRO ANDRES GUERRERO POZO</t>
  </si>
  <si>
    <t>EFT Enterprise SFTP</t>
  </si>
  <si>
    <t>ITM0014</t>
  </si>
  <si>
    <t>Gerencia Seguridad Aplicada</t>
  </si>
  <si>
    <t>GONZALO TRANCILLO</t>
  </si>
  <si>
    <t>MAURICIO JAVIER BALDEON GARZON</t>
  </si>
  <si>
    <t>Excepciones</t>
  </si>
  <si>
    <t>EXCEPCIONES CORE</t>
  </si>
  <si>
    <t>RIS0005</t>
  </si>
  <si>
    <t>Exchange Server 2016</t>
  </si>
  <si>
    <t>ITM0017</t>
  </si>
  <si>
    <t>HORACIO LEONEL HOLGUIN ALCIVAR</t>
  </si>
  <si>
    <t>Facturación Electrónica</t>
  </si>
  <si>
    <t>GOB0012</t>
  </si>
  <si>
    <t>PRISCILA ALEXANDRA PARRA LEON</t>
  </si>
  <si>
    <t>Firemon</t>
  </si>
  <si>
    <t>SEC0021</t>
  </si>
  <si>
    <t>JORGE XAVIER LUCERO GALLEGOS</t>
  </si>
  <si>
    <t>Forcepoint DLP</t>
  </si>
  <si>
    <t>SEC0022</t>
  </si>
  <si>
    <t>GAF</t>
  </si>
  <si>
    <t>COR0007</t>
  </si>
  <si>
    <t>ANDREA ESTEFANIA ANGULO ALMEIDA</t>
  </si>
  <si>
    <t>Garantias</t>
  </si>
  <si>
    <t>GARANTIAS</t>
  </si>
  <si>
    <t>GI0031</t>
  </si>
  <si>
    <t>GEENERA</t>
  </si>
  <si>
    <t>SUP0007</t>
  </si>
  <si>
    <t>ANDREA PAULINA PARDO ULLAGUARI</t>
  </si>
  <si>
    <t>JORGE VINICIO AGUILAR YAURE</t>
  </si>
  <si>
    <t>Genesys Cloud</t>
  </si>
  <si>
    <t>CHL0040</t>
  </si>
  <si>
    <t>MELISSA ESTEFANIA CARBALI CASTRO</t>
  </si>
  <si>
    <t>ROSITA LORENA CHAVEZ CABRERA</t>
  </si>
  <si>
    <t>Gestión de Liquidez (Siglo 21)</t>
  </si>
  <si>
    <t>Gestión de Liquidez 2.0</t>
  </si>
  <si>
    <t>SUP0008</t>
  </si>
  <si>
    <t>SUP0009</t>
  </si>
  <si>
    <t>Fausto Cristobal Ramos Romo</t>
  </si>
  <si>
    <t>Gestión del Efectivo</t>
  </si>
  <si>
    <t>SUP0032</t>
  </si>
  <si>
    <t>ROMULO HOMERO PASPUEL ORMAZA</t>
  </si>
  <si>
    <t>Gestor Tributario Credife</t>
  </si>
  <si>
    <t>GESTOR TRIBUTARIO CREDIFE</t>
  </si>
  <si>
    <t>GI0032</t>
  </si>
  <si>
    <t>Go Anywhere MFT</t>
  </si>
  <si>
    <t>INT0003</t>
  </si>
  <si>
    <t>Harmony VPN externos</t>
  </si>
  <si>
    <t>SEC0063</t>
  </si>
  <si>
    <t>IAM- Gestion de Gobierno de identidades</t>
  </si>
  <si>
    <t>SEC0079</t>
  </si>
  <si>
    <t>Allan Paul Gomez Ehmig</t>
  </si>
  <si>
    <t>IBM FileNet</t>
  </si>
  <si>
    <t>TIE0008</t>
  </si>
  <si>
    <t>Impresion Documentos</t>
  </si>
  <si>
    <t>TIE0018</t>
  </si>
  <si>
    <t>informesCredito</t>
  </si>
  <si>
    <t>PRD0021</t>
  </si>
  <si>
    <t>Interdin AS 400/ CAO</t>
  </si>
  <si>
    <t>PAY0010</t>
  </si>
  <si>
    <t>KATHERINE FATIMA CJURO VERA</t>
  </si>
  <si>
    <t>JEAN ANEL PROANO FALCONES</t>
  </si>
  <si>
    <t>Intune - MAM</t>
  </si>
  <si>
    <t>GI0006</t>
  </si>
  <si>
    <t>RODRIGUEZ VARILLAS ABRAHAM JESUS</t>
  </si>
  <si>
    <t>IPS Intrusion Prevention System</t>
  </si>
  <si>
    <t>SEC0025</t>
  </si>
  <si>
    <t>ISE</t>
  </si>
  <si>
    <t>Identity Services Engine - ISE</t>
  </si>
  <si>
    <t>SEC0026</t>
  </si>
  <si>
    <t>JP Morgan</t>
  </si>
  <si>
    <t>GI0010</t>
  </si>
  <si>
    <t>BENAVIDES ESPINOZA SOFIA</t>
  </si>
  <si>
    <t>Lista Observados</t>
  </si>
  <si>
    <t>ListaObservados</t>
  </si>
  <si>
    <t>GI0033</t>
  </si>
  <si>
    <t>LogiFlow</t>
  </si>
  <si>
    <t>TIE0019</t>
  </si>
  <si>
    <t>LoginCentral</t>
  </si>
  <si>
    <t>SEC0028</t>
  </si>
  <si>
    <t>PATRICIO GUSTAVO EGAS CLAVIJO</t>
  </si>
  <si>
    <t>Loginter</t>
  </si>
  <si>
    <t>GI0011</t>
  </si>
  <si>
    <t>ENRIQUEZ LOPEZ MIGUEL ESTEBAN</t>
  </si>
  <si>
    <t>Logística de Efectivo</t>
  </si>
  <si>
    <t>CHL0001</t>
  </si>
  <si>
    <t>LogiTRX</t>
  </si>
  <si>
    <t>#NO EXISTE</t>
  </si>
  <si>
    <t>RIS0006</t>
  </si>
  <si>
    <t>Mail Control System</t>
  </si>
  <si>
    <t>GI0034</t>
  </si>
  <si>
    <t>MALLA FILIALES</t>
  </si>
  <si>
    <t>MALLA FILIALES - INTRANET</t>
  </si>
  <si>
    <t>GI0035</t>
  </si>
  <si>
    <t>Mentor</t>
  </si>
  <si>
    <t>PRD0073</t>
  </si>
  <si>
    <t>MANUEL JOSE PRIETO SOUS</t>
  </si>
  <si>
    <t>Microsoft Defender Apps</t>
  </si>
  <si>
    <t>GI0008</t>
  </si>
  <si>
    <t>Microsoft Purview</t>
  </si>
  <si>
    <t>GI0007</t>
  </si>
  <si>
    <t>Model Risk Hub</t>
  </si>
  <si>
    <t>GI0013</t>
  </si>
  <si>
    <t>ZUNIGA DELGADO JORGE ANDRES</t>
  </si>
  <si>
    <t>Modelo PES</t>
  </si>
  <si>
    <t>MODELO PES</t>
  </si>
  <si>
    <t>GI0036</t>
  </si>
  <si>
    <t>MonitorCajeros</t>
  </si>
  <si>
    <t>CHL0038</t>
  </si>
  <si>
    <t>JORGE HUMBERTO BRAVO YUNDA</t>
  </si>
  <si>
    <t>Luis Remigio Bayas Rea</t>
  </si>
  <si>
    <t>MonitoreoEfectivo</t>
  </si>
  <si>
    <t>CHL0002</t>
  </si>
  <si>
    <t>Motor de Transferencias</t>
  </si>
  <si>
    <t>PRD0039</t>
  </si>
  <si>
    <t>ROBERTH PATRICIO ALMEIDA SERRANO</t>
  </si>
  <si>
    <t>MAURO RENATO VINCENT CHONLONG</t>
  </si>
  <si>
    <t>MTS</t>
  </si>
  <si>
    <t>GI0037</t>
  </si>
  <si>
    <t>Murex</t>
  </si>
  <si>
    <t>SUP0014</t>
  </si>
  <si>
    <t>Netskope</t>
  </si>
  <si>
    <t>SEC0030</t>
  </si>
  <si>
    <t>Notificaciones</t>
  </si>
  <si>
    <t>NOTIFICACIONES</t>
  </si>
  <si>
    <t>GI0038</t>
  </si>
  <si>
    <t>Notificaciones SMS Anyway</t>
  </si>
  <si>
    <t>OMN0005</t>
  </si>
  <si>
    <t>DIEGO VLADIMIR JAYA GUAMANZARA</t>
  </si>
  <si>
    <t>OPERACIONES.COM</t>
  </si>
  <si>
    <t>GI0039</t>
  </si>
  <si>
    <t>Oracle Fusion ERP</t>
  </si>
  <si>
    <t>SUP0064</t>
  </si>
  <si>
    <t>LIZETH AURORA ENCALADA RAMON</t>
  </si>
  <si>
    <t>Organismo de Control</t>
  </si>
  <si>
    <t>ORGANISMOS DE CONTROL</t>
  </si>
  <si>
    <t>GI0040</t>
  </si>
  <si>
    <t>Pague Ya</t>
  </si>
  <si>
    <t>PAGUE YA</t>
  </si>
  <si>
    <t>GI0041</t>
  </si>
  <si>
    <t>Payment Control</t>
  </si>
  <si>
    <t>Swift - PaymentControl</t>
  </si>
  <si>
    <t>PAY0024</t>
  </si>
  <si>
    <t>PLATAFORMA</t>
  </si>
  <si>
    <t>JULIO CESAR VEGA GUZMAN</t>
  </si>
  <si>
    <t>PFTR (prevención de fraude en tiempo real)</t>
  </si>
  <si>
    <t>SEC0065</t>
  </si>
  <si>
    <t>Tribu Ciberseguridad</t>
  </si>
  <si>
    <t>ALFREDO LLOPI GUSTAVO</t>
  </si>
  <si>
    <t>CESAR ALEJANDRO RIOS TORRES</t>
  </si>
  <si>
    <t>PinPad</t>
  </si>
  <si>
    <t>CHL0020</t>
  </si>
  <si>
    <t>POS_CNB</t>
  </si>
  <si>
    <t>POS_CNB (Netmanager)</t>
  </si>
  <si>
    <t>CHL0023</t>
  </si>
  <si>
    <t>JUAN CARLOS ULLOA PADILLA</t>
  </si>
  <si>
    <t>JUAN FRANCISCO PROCEL MICHILENA</t>
  </si>
  <si>
    <t>Preevaluacion</t>
  </si>
  <si>
    <t>PREEVALUACION CREDITO - POLITICAS SECTORIALES - INTRANET</t>
  </si>
  <si>
    <t>RIS0009</t>
  </si>
  <si>
    <t>Javier Patricio Molina Asmal</t>
  </si>
  <si>
    <t>Prisma Cloud</t>
  </si>
  <si>
    <t>ITM0046</t>
  </si>
  <si>
    <t>Proofpoint</t>
  </si>
  <si>
    <t>SEC0060</t>
  </si>
  <si>
    <t>Protección de datos personales - OneTrust</t>
  </si>
  <si>
    <t>DAT0014</t>
  </si>
  <si>
    <t>COE DATOS&amp;ANALITICA</t>
  </si>
  <si>
    <t>JAVIER EDUARDO TORRES ALTAMIRANO</t>
  </si>
  <si>
    <t>MATIAS JOSE CRUZ HOLGUIN</t>
  </si>
  <si>
    <t>EDISON FERNANDO PANCHI HERRERA</t>
  </si>
  <si>
    <t>ProtegeGX</t>
  </si>
  <si>
    <t>SEC0075</t>
  </si>
  <si>
    <t>Qlik Negocio Automotriz</t>
  </si>
  <si>
    <t>PRD0070</t>
  </si>
  <si>
    <t>KARINA ALEXANDRA FLORES VELASQUEZ</t>
  </si>
  <si>
    <t>DAVID JOEL REVELO BORJA</t>
  </si>
  <si>
    <t>Red Hat Directory Server</t>
  </si>
  <si>
    <t>SEC0031</t>
  </si>
  <si>
    <t>XAVIER RAMIRO CAJAS DELGADO</t>
  </si>
  <si>
    <t>Red Hat OpenShift Container Platform</t>
  </si>
  <si>
    <t>ITM0048</t>
  </si>
  <si>
    <t>REN</t>
  </si>
  <si>
    <t>PAY0025</t>
  </si>
  <si>
    <t>JORGE LUIS ALVAREZ ALVAREZ</t>
  </si>
  <si>
    <t>Reporting Services Negocio Automotriz</t>
  </si>
  <si>
    <t>GI00001</t>
  </si>
  <si>
    <t>HERRERA RODRIGUEZ YANDRY FERNANDO</t>
  </si>
  <si>
    <t>RiesgoGlobalCom</t>
  </si>
  <si>
    <t>RIS0011</t>
  </si>
  <si>
    <t>SAP Finanzas SAC - PamPM</t>
  </si>
  <si>
    <t>SUP0036</t>
  </si>
  <si>
    <t>ABRAHAM JOSUE MOGOLLON VASQUEZ</t>
  </si>
  <si>
    <t>JORGE LUIS POLO SALAZAR</t>
  </si>
  <si>
    <t>Security Scorecard</t>
  </si>
  <si>
    <t>SEC0078</t>
  </si>
  <si>
    <t>LAURA VALERIA TANDAZO GALLEGOS</t>
  </si>
  <si>
    <t>Seguridad Perimetral Firewall Nube</t>
  </si>
  <si>
    <t>SEC0049</t>
  </si>
  <si>
    <t>Seguridad Perimetral Firewall Onpremise</t>
  </si>
  <si>
    <t>SEC0081</t>
  </si>
  <si>
    <t>Seguridad Perimetral Firewall Onpremise (BPAC)</t>
  </si>
  <si>
    <t>GI0005</t>
  </si>
  <si>
    <t>Sentinel Compliance</t>
  </si>
  <si>
    <t>GOB0015</t>
  </si>
  <si>
    <t>Sentinel Prevention</t>
  </si>
  <si>
    <t>GOB0018</t>
  </si>
  <si>
    <t>SERVER PUEX</t>
  </si>
  <si>
    <t>Server Puex</t>
  </si>
  <si>
    <t>CHL0024</t>
  </si>
  <si>
    <t>SIMA_APP</t>
  </si>
  <si>
    <t>PRD0056</t>
  </si>
  <si>
    <t>FREDDY NEY BASTIDAS CALERO</t>
  </si>
  <si>
    <t>SIO</t>
  </si>
  <si>
    <t>PRD0068</t>
  </si>
  <si>
    <t>JULIO ALEJANDRO ARGUDO MURILLO</t>
  </si>
  <si>
    <t>Siro</t>
  </si>
  <si>
    <t>RIS0017</t>
  </si>
  <si>
    <t>Sistema Custodia</t>
  </si>
  <si>
    <t>SISTEMA CUSTODIA</t>
  </si>
  <si>
    <t>GI0015</t>
  </si>
  <si>
    <t>Sistema de Gestión Gerencial (SGG)</t>
  </si>
  <si>
    <t>CHL0025</t>
  </si>
  <si>
    <t>Sistema de Providencias Judiciales</t>
  </si>
  <si>
    <t>Sistema Providencias Judiciales</t>
  </si>
  <si>
    <t>SUP0065</t>
  </si>
  <si>
    <t>FERNANDO JOSE ROLDAN CORREA</t>
  </si>
  <si>
    <t>Sistema Financiero Integrado</t>
  </si>
  <si>
    <t>PRD0058</t>
  </si>
  <si>
    <t>Snyk</t>
  </si>
  <si>
    <t>SEC0059</t>
  </si>
  <si>
    <t>Híbrida</t>
  </si>
  <si>
    <t>FERNANDO XAVIER PALADINES BUSTAMENTE</t>
  </si>
  <si>
    <t>Softguard</t>
  </si>
  <si>
    <t>SEC0044</t>
  </si>
  <si>
    <t>SPARTAN</t>
  </si>
  <si>
    <t>GOB0007</t>
  </si>
  <si>
    <t>StackHawk</t>
  </si>
  <si>
    <t>SEC0058</t>
  </si>
  <si>
    <t>PEDRO GERMAN PACHON QUINTERO</t>
  </si>
  <si>
    <t>Stealtwatch</t>
  </si>
  <si>
    <t>SEC0038</t>
  </si>
  <si>
    <t>Swift Alliance FullStack</t>
  </si>
  <si>
    <t>PRD0040</t>
  </si>
  <si>
    <t>JUAN ESTEBAN BALSECA PINTO</t>
  </si>
  <si>
    <t>Swift Alliance Fullstack (ALLIANCE GATEWAY)</t>
  </si>
  <si>
    <t>GI0002</t>
  </si>
  <si>
    <t>ZAPATA CHANGO JHONNY ALEXIS</t>
  </si>
  <si>
    <t>Swift Alliance Fullstack (ALLIANCE WEBPLATAFORM)</t>
  </si>
  <si>
    <t>GI0003</t>
  </si>
  <si>
    <t>Swift Alliance WareHouse</t>
  </si>
  <si>
    <t>PRD0041</t>
  </si>
  <si>
    <t>Swift O2M</t>
  </si>
  <si>
    <t>GI0019</t>
  </si>
  <si>
    <t>Swift Transaction Screening</t>
  </si>
  <si>
    <t>GOB0019</t>
  </si>
  <si>
    <t>Tarjetas de CreditoCOM</t>
  </si>
  <si>
    <t>PAY0020</t>
  </si>
  <si>
    <t>DIEGO MANUEL CARRERA BENAVIDES</t>
  </si>
  <si>
    <t>Tcs.Checklist (Digital Check)</t>
  </si>
  <si>
    <t>TIE0014</t>
  </si>
  <si>
    <t>Tenable</t>
  </si>
  <si>
    <t>SEC0069</t>
  </si>
  <si>
    <t>TotemCCE</t>
  </si>
  <si>
    <t>PAY0021</t>
  </si>
  <si>
    <t>Transaccion Motivo</t>
  </si>
  <si>
    <t>TRANSACCION MOTIVO</t>
  </si>
  <si>
    <t>GI0016</t>
  </si>
  <si>
    <t>Trellix</t>
  </si>
  <si>
    <t>SEC0019</t>
  </si>
  <si>
    <t>Turno Digital</t>
  </si>
  <si>
    <t>CHL0042</t>
  </si>
  <si>
    <t>CARLOS RODRIGO LOPEZ RUIZ</t>
  </si>
  <si>
    <t>ROBERTO ANDRES ARCOS AURIA</t>
  </si>
  <si>
    <t>Ventana Marco</t>
  </si>
  <si>
    <t>VENTANA MARCO</t>
  </si>
  <si>
    <t>ITM0062</t>
  </si>
  <si>
    <t>Edgar Felipe Ruales Zambrano</t>
  </si>
  <si>
    <t>VinculacionIntegral</t>
  </si>
  <si>
    <t>CHL0030</t>
  </si>
  <si>
    <t>BYRON VLADIMIR ALAVA CARPIO</t>
  </si>
  <si>
    <t>VMware vCenter</t>
  </si>
  <si>
    <t>ITM0060</t>
  </si>
  <si>
    <t>WAS Notificador</t>
  </si>
  <si>
    <t>OMN0006</t>
  </si>
  <si>
    <t>WAS Omnicanalidad</t>
  </si>
  <si>
    <t>INT0012</t>
  </si>
  <si>
    <t>WAS Omnicanalidad BATCH</t>
  </si>
  <si>
    <t>WAS Omnicanalidad batch</t>
  </si>
  <si>
    <t>INT0013</t>
  </si>
  <si>
    <t>Web GAF</t>
  </si>
  <si>
    <t>APLICACION WEBGAF</t>
  </si>
  <si>
    <t>COR0006</t>
  </si>
  <si>
    <t>Web Teller 3.0</t>
  </si>
  <si>
    <t>CHL0032</t>
  </si>
  <si>
    <t>Webdox</t>
  </si>
  <si>
    <t>SUP0035</t>
  </si>
  <si>
    <t>ANDREA MARGARITA ROSALES DEL ALCAZAR</t>
  </si>
  <si>
    <t>WebSecurityOfficeSystem</t>
  </si>
  <si>
    <t>SEC0041</t>
  </si>
  <si>
    <t>JORGE GREGORIO ZAPATA CALVOPINA</t>
  </si>
  <si>
    <t>WELLSFARGO</t>
  </si>
  <si>
    <t>GI0021</t>
  </si>
  <si>
    <t>XACTClearstream</t>
  </si>
  <si>
    <t>SUP0018</t>
  </si>
  <si>
    <t>Zendesk</t>
  </si>
  <si>
    <t>CUS0020</t>
  </si>
  <si>
    <t>360 Brand Guardian</t>
  </si>
  <si>
    <t>SEC0061</t>
  </si>
  <si>
    <t>ACL Robotics Enterprise</t>
  </si>
  <si>
    <t>GOB0010</t>
  </si>
  <si>
    <t>JORGE EDUARDO COBA MOGOLLON</t>
  </si>
  <si>
    <t>Administración de Contratos</t>
  </si>
  <si>
    <t>SUP0038</t>
  </si>
  <si>
    <t>Administrador de Débitos Automáticos</t>
  </si>
  <si>
    <t>RIS0013</t>
  </si>
  <si>
    <t>CARLOS SEBASTIAN TERAN VALENCIA</t>
  </si>
  <si>
    <t>Administrador de Parámetros</t>
  </si>
  <si>
    <t>PRD0034</t>
  </si>
  <si>
    <t>EDISON GABRIEL VILLAMAR MARTINEZ</t>
  </si>
  <si>
    <t>PAUL ALEJANDRO AGUAYO ELDREDGE</t>
  </si>
  <si>
    <t>Adobe suite</t>
  </si>
  <si>
    <t>EDC0001</t>
  </si>
  <si>
    <t>COE Experiencia</t>
  </si>
  <si>
    <t>EMMANUELLE SEGOLENE REPAIN DAPHNE</t>
  </si>
  <si>
    <t>Adycto</t>
  </si>
  <si>
    <t>ITM0109</t>
  </si>
  <si>
    <t>COE de Ingeniería</t>
  </si>
  <si>
    <t>GUILLERMO GABRIEL DEPRATI</t>
  </si>
  <si>
    <t>CESAR EDUARDO GARCIA ROMERO</t>
  </si>
  <si>
    <t>JORGE ALBERTO VILLAFUERTE GORDILLO</t>
  </si>
  <si>
    <t>Alarmnet</t>
  </si>
  <si>
    <t>SEC0043</t>
  </si>
  <si>
    <t>Almacenamiento NetApp - TieBreaker</t>
  </si>
  <si>
    <t>ITM0108</t>
  </si>
  <si>
    <t>NELSON ANDRES POZO YEPEZ</t>
  </si>
  <si>
    <t>Diego Hernan Villegas Tocache</t>
  </si>
  <si>
    <t>Amazon Web Services</t>
  </si>
  <si>
    <t>ITM0113</t>
  </si>
  <si>
    <t>MARIO ALBERTO TOSCANO GUANIN</t>
  </si>
  <si>
    <t>Ansible</t>
  </si>
  <si>
    <t>TIE0024</t>
  </si>
  <si>
    <t>DIANA CRISTINA AVEIGA LOVATO</t>
  </si>
  <si>
    <t>APEX - SIRI</t>
  </si>
  <si>
    <t>SEC0064</t>
  </si>
  <si>
    <t>Atalla</t>
  </si>
  <si>
    <t>SEC0004</t>
  </si>
  <si>
    <t>ATM Agent Processor</t>
  </si>
  <si>
    <t>ITM0135</t>
  </si>
  <si>
    <t>DANIEL PATRICIO PAZ ENRIQUEZ</t>
  </si>
  <si>
    <t>ESTEBAN DAVID ROSERO PEREZ</t>
  </si>
  <si>
    <t>Automatizaciones BDD</t>
  </si>
  <si>
    <t>ITM0091</t>
  </si>
  <si>
    <t>FELIX ALEXANDER MANJARRES QUEZADA</t>
  </si>
  <si>
    <t>AutorizadorPichincha</t>
  </si>
  <si>
    <t>SEC0005</t>
  </si>
  <si>
    <t>RODNEY XAVIER JACOME TERAN</t>
  </si>
  <si>
    <t>SEC0048</t>
  </si>
  <si>
    <t>Azure Container Registry</t>
  </si>
  <si>
    <t>ITM0137</t>
  </si>
  <si>
    <t>GERMAN MARTIN GUTIERREZ</t>
  </si>
  <si>
    <t>FERNANDO VINICIO OCHOA CARRION</t>
  </si>
  <si>
    <t>ITM0072</t>
  </si>
  <si>
    <t>ITM0125</t>
  </si>
  <si>
    <t>Bactrader</t>
  </si>
  <si>
    <t>SUP0004</t>
  </si>
  <si>
    <t>BankDevX</t>
  </si>
  <si>
    <t>BANKDEVX</t>
  </si>
  <si>
    <t>ITM0120</t>
  </si>
  <si>
    <t>VERONICA MISHELL LANDI ENRIQUEZ</t>
  </si>
  <si>
    <t>MAURICIO DAVID ALDAZ YEPEZ</t>
  </si>
  <si>
    <t>Banner Campañas</t>
  </si>
  <si>
    <t>CUS0018</t>
  </si>
  <si>
    <t>Negocios Digitales (Campañas y Marketing Digital)</t>
  </si>
  <si>
    <t>RONALD MARTIN CARI CARCASI</t>
  </si>
  <si>
    <t>FREDDY LEONARDO ABAD LEON</t>
  </si>
  <si>
    <t>Banred ON2 (Pago directo)</t>
  </si>
  <si>
    <t>PRD0037</t>
  </si>
  <si>
    <t>WILLIAM RENATO CALDERON ROSERO</t>
  </si>
  <si>
    <t>BECLEVER</t>
  </si>
  <si>
    <t>RIS0003</t>
  </si>
  <si>
    <t>Bloomberg</t>
  </si>
  <si>
    <t>ITM0129</t>
  </si>
  <si>
    <t>MARIA ISABEL AYALA HIDALGO</t>
  </si>
  <si>
    <t>ANTHONY NELSON CALVA PACHECO</t>
  </si>
  <si>
    <t>BLSS</t>
  </si>
  <si>
    <t>ITM0070</t>
  </si>
  <si>
    <t>DIEGO JAVIER SALAZAR MOLINA</t>
  </si>
  <si>
    <t>BMC TSSA</t>
  </si>
  <si>
    <t>ITM0076</t>
  </si>
  <si>
    <t>PABLO ALEJANDRO VERDESOTO AVILES</t>
  </si>
  <si>
    <t>BPCompliance</t>
  </si>
  <si>
    <t>ITM0126</t>
  </si>
  <si>
    <t>CHL0045</t>
  </si>
  <si>
    <t>JOSE LUIS MONTUFAR ZAMBRANO</t>
  </si>
  <si>
    <t>ANGEL ALEXI GUERRA MIKETTA</t>
  </si>
  <si>
    <t>CAFServer (TOTEM)</t>
  </si>
  <si>
    <t>PAY0003</t>
  </si>
  <si>
    <t>Calificación Crediticia</t>
  </si>
  <si>
    <t>RIS0018</t>
  </si>
  <si>
    <t>YESSENIA STEFANIA INIGUEZ MEDINA</t>
  </si>
  <si>
    <t>CapturadeFirmas</t>
  </si>
  <si>
    <t>TIE0004</t>
  </si>
  <si>
    <t>CAR Sectorial Digital</t>
  </si>
  <si>
    <t>PRD0010</t>
  </si>
  <si>
    <t>JESSICA JOHANA RODRIGUEZ PARRALES</t>
  </si>
  <si>
    <t>CARTERA_CASTIGADA</t>
  </si>
  <si>
    <t>RIS0020</t>
  </si>
  <si>
    <t>Celonis</t>
  </si>
  <si>
    <t>TIE0022</t>
  </si>
  <si>
    <t>JOHANNA PAOLA ZAPATTA CARTAGENA</t>
  </si>
  <si>
    <t>Cheque Image Server (CIS Totem)</t>
  </si>
  <si>
    <t>CHL0010</t>
  </si>
  <si>
    <t>CIS CAT Pro</t>
  </si>
  <si>
    <t>ITM0119</t>
  </si>
  <si>
    <t>DIEGO MIGUEL VASCONEZ PALIZ</t>
  </si>
  <si>
    <t>SANTIAGO DAVID SILVA PROANO</t>
  </si>
  <si>
    <t>VLADIMIR STALIN LAMINA SANCHEZ</t>
  </si>
  <si>
    <t>Cisco Collector</t>
  </si>
  <si>
    <t>ITM0004</t>
  </si>
  <si>
    <t>MAURICIO FERNANDO NAVAS GALLARDO</t>
  </si>
  <si>
    <t>PAUL ANDRES TORRES VASCONEZ</t>
  </si>
  <si>
    <t>CitiBank</t>
  </si>
  <si>
    <t>GI0017</t>
  </si>
  <si>
    <t>Componentes Ciberdefensa</t>
  </si>
  <si>
    <t>SEC0091</t>
  </si>
  <si>
    <t>DANNY ALEXANDER BASTIDAS FLORES</t>
  </si>
  <si>
    <t>JAIME ERNESTO ESPINOSA CABEZAS</t>
  </si>
  <si>
    <t>Componentes Cloud</t>
  </si>
  <si>
    <t>ITM0097</t>
  </si>
  <si>
    <t>RICHARD FABRICIO BRIONES LAICA</t>
  </si>
  <si>
    <t>Componentes de Automatización</t>
  </si>
  <si>
    <t>SEC0082</t>
  </si>
  <si>
    <t>Componentes de Infraestructura - BDD</t>
  </si>
  <si>
    <t>ITM0106</t>
  </si>
  <si>
    <t>Componentes de infraestructura - Unix</t>
  </si>
  <si>
    <t>ITM0088</t>
  </si>
  <si>
    <t>SIGIFREDO PATRICIO CAMACHO CASTILLO</t>
  </si>
  <si>
    <t>Componentes de Infraestructura - Wintel</t>
  </si>
  <si>
    <t>ITM0098</t>
  </si>
  <si>
    <t>Componentes de Networking</t>
  </si>
  <si>
    <t>ITM0094</t>
  </si>
  <si>
    <t>Componentes Identidades</t>
  </si>
  <si>
    <t>SEC0095</t>
  </si>
  <si>
    <t>HECTOR JOSE TRUJILLO GRANADOS</t>
  </si>
  <si>
    <t>ANA MARIA VERGARA BUSTOS</t>
  </si>
  <si>
    <t>Componentes IST</t>
  </si>
  <si>
    <t>ITM0086</t>
  </si>
  <si>
    <t>DAVID SEBASTIAN CHAGUARO VASCONEZ</t>
  </si>
  <si>
    <t>LUIS ALEJANDRO PATACHE TIGSI</t>
  </si>
  <si>
    <t>PRD0013</t>
  </si>
  <si>
    <t>Carlos Ernesto Bolanos Abad</t>
  </si>
  <si>
    <t>Comunicaciones Unificadas</t>
  </si>
  <si>
    <t>ITM0104</t>
  </si>
  <si>
    <t>Conexión Personas Online</t>
  </si>
  <si>
    <t>PAY0006</t>
  </si>
  <si>
    <t>OMN0002</t>
  </si>
  <si>
    <t>SANTIAGO ALEXANDER CHERREZ RAMIREZ</t>
  </si>
  <si>
    <t>Control-M</t>
  </si>
  <si>
    <t>ITM0008</t>
  </si>
  <si>
    <t>MARIO SIXTO ZEGARRA OREZZOLI</t>
  </si>
  <si>
    <t>XAVIER ALEJANDRO JARAMILLO CEVALLOS</t>
  </si>
  <si>
    <t>HEVER GONZALEZ GARCIA</t>
  </si>
  <si>
    <t>Copy Services Manager</t>
  </si>
  <si>
    <t>ITM0009</t>
  </si>
  <si>
    <t>PABLO RAUL CAICEDO ARELLANO</t>
  </si>
  <si>
    <t>CPM</t>
  </si>
  <si>
    <t>ITM0132</t>
  </si>
  <si>
    <t>CARLOS ANDRES FLOR CEVALLOS</t>
  </si>
  <si>
    <t>Cuenta Digital Personas</t>
  </si>
  <si>
    <t>CHL0037</t>
  </si>
  <si>
    <t>JONATHAN HERNAN ARIAS HERNANDEZ</t>
  </si>
  <si>
    <t>Cuentas por pagar</t>
  </si>
  <si>
    <t>SUP0031</t>
  </si>
  <si>
    <t>CyberArk</t>
  </si>
  <si>
    <t>SEC0010</t>
  </si>
  <si>
    <t>DarkTrace</t>
  </si>
  <si>
    <t>SEC0011</t>
  </si>
  <si>
    <t>DataPower Externo</t>
  </si>
  <si>
    <t>INT0005</t>
  </si>
  <si>
    <t>DataPower Interno</t>
  </si>
  <si>
    <t>INT0006</t>
  </si>
  <si>
    <t>Diferidos Consumo</t>
  </si>
  <si>
    <t>PAY0027</t>
  </si>
  <si>
    <t>DNA Center</t>
  </si>
  <si>
    <t>ITM0011</t>
  </si>
  <si>
    <t>Educación Financiera</t>
  </si>
  <si>
    <t>CUS0022</t>
  </si>
  <si>
    <t>PAULA QUINONES GOMEZ DE LA TORRE</t>
  </si>
  <si>
    <t>Elastic (ELK) Stack</t>
  </si>
  <si>
    <t>ITM0015</t>
  </si>
  <si>
    <t>Elastic Container Registry</t>
  </si>
  <si>
    <t>ITM0136</t>
  </si>
  <si>
    <t>DIEGO PAUL AREVALO COSTALES</t>
  </si>
  <si>
    <t>Elastic Kubernetes Services</t>
  </si>
  <si>
    <t>ITM0124</t>
  </si>
  <si>
    <t>Enforcive Enterprise Security</t>
  </si>
  <si>
    <t>SEC0017</t>
  </si>
  <si>
    <t>Engineering Metrics</t>
  </si>
  <si>
    <t>EDWIN DANIEL JACOME AMORES</t>
  </si>
  <si>
    <t>EDUARDO DAMIAN ALBUJA TORRES</t>
  </si>
  <si>
    <t>Entra ID</t>
  </si>
  <si>
    <t>ITM0130</t>
  </si>
  <si>
    <t>CHRISTIAN PAUL FLORES TERREROS</t>
  </si>
  <si>
    <t>Estados de Cuenta</t>
  </si>
  <si>
    <t>PRD0066</t>
  </si>
  <si>
    <t>JESSICA PAOLA ERAZO JACOME</t>
  </si>
  <si>
    <t>EUC Cloud</t>
  </si>
  <si>
    <t>ITM0115</t>
  </si>
  <si>
    <t>Gerencia Arquitectura Usuario Final</t>
  </si>
  <si>
    <t>ABNER ANDY AREVALO BRACAMONTE</t>
  </si>
  <si>
    <t>RENNE PATRICIO MERA MIRANDA</t>
  </si>
  <si>
    <t>Fabrica de Producto</t>
  </si>
  <si>
    <t>PRD0065</t>
  </si>
  <si>
    <t>ANA CAROLINA FLORES PAREDES</t>
  </si>
  <si>
    <t>Facephi</t>
  </si>
  <si>
    <t>SEC0020</t>
  </si>
  <si>
    <t>Feature Flags Transversal</t>
  </si>
  <si>
    <t>ITM0111</t>
  </si>
  <si>
    <t>Figma</t>
  </si>
  <si>
    <t>EDC0002</t>
  </si>
  <si>
    <t>File server</t>
  </si>
  <si>
    <t>FILE SERVER</t>
  </si>
  <si>
    <t>ITM0018</t>
  </si>
  <si>
    <t>FileUpdate (TOTEM)</t>
  </si>
  <si>
    <t>COR0001</t>
  </si>
  <si>
    <t>Financiamiento Empresas</t>
  </si>
  <si>
    <t>PRD0072</t>
  </si>
  <si>
    <t>Frontify</t>
  </si>
  <si>
    <t>EDC0003</t>
  </si>
  <si>
    <t>GABRIEL ANDRES PACHECO TELLO</t>
  </si>
  <si>
    <t>Gestión de Capacidad TI</t>
  </si>
  <si>
    <t>ITM0112</t>
  </si>
  <si>
    <t>BYRON ORLANDO MELENDREZ CABRERA</t>
  </si>
  <si>
    <t>FREDDY HUGO VITERI FARIAS</t>
  </si>
  <si>
    <t>Go Anywhere Gateway</t>
  </si>
  <si>
    <t>INT0002</t>
  </si>
  <si>
    <t>Golden Gate</t>
  </si>
  <si>
    <t>DAT0017</t>
  </si>
  <si>
    <t>JUAN FRANCISCO MALDONADO TORRES</t>
  </si>
  <si>
    <t>Google Analytics</t>
  </si>
  <si>
    <t>EDC0004</t>
  </si>
  <si>
    <t>GPOADmin</t>
  </si>
  <si>
    <t>ITM0114</t>
  </si>
  <si>
    <t>MIGUEL ANGEL LOZANO CARRIEL</t>
  </si>
  <si>
    <t>ITM0023</t>
  </si>
  <si>
    <t>Gravity</t>
  </si>
  <si>
    <t>ITM0123</t>
  </si>
  <si>
    <t>HCP Anywhere</t>
  </si>
  <si>
    <t>ITM0024</t>
  </si>
  <si>
    <t>Hitachi Administrator</t>
  </si>
  <si>
    <t>ITM0025</t>
  </si>
  <si>
    <t>ITM0026</t>
  </si>
  <si>
    <t>ITM0027</t>
  </si>
  <si>
    <t>COE ARQUITECTURA</t>
  </si>
  <si>
    <t>VICTOR HENRY SALINAS AGUIRRE</t>
  </si>
  <si>
    <t>CATALINA ALEXANDRA ALDAZ FLORES</t>
  </si>
  <si>
    <t>Horas extras</t>
  </si>
  <si>
    <t>SUP0010</t>
  </si>
  <si>
    <t>HP Servicios Gestionados</t>
  </si>
  <si>
    <t>ITM0087</t>
  </si>
  <si>
    <t>HPE Alletra</t>
  </si>
  <si>
    <t>Hub Seguros</t>
  </si>
  <si>
    <t>PRD0067</t>
  </si>
  <si>
    <t>XAVIER SANTIAGO CABRERA RIVADENEIRA</t>
  </si>
  <si>
    <t>IBM Guardium Key Lifecycle Manager</t>
  </si>
  <si>
    <t>ITM0116</t>
  </si>
  <si>
    <t>IBM Operational Decision Manager (ODM)</t>
  </si>
  <si>
    <t>OMN0003</t>
  </si>
  <si>
    <t>IBM Rational Perfomance Tester</t>
  </si>
  <si>
    <t>ITM0103</t>
  </si>
  <si>
    <t>JUAN IGNACIO ORTIZ GONZALEZ</t>
  </si>
  <si>
    <t>IBM Spectrum Control</t>
  </si>
  <si>
    <t>ITM0034</t>
  </si>
  <si>
    <t>CHL0017</t>
  </si>
  <si>
    <t>ITM0068</t>
  </si>
  <si>
    <t>MAURICIO BLADIMIR AUQUI MIRANDA</t>
  </si>
  <si>
    <t>Idera</t>
  </si>
  <si>
    <t>ITM0035</t>
  </si>
  <si>
    <t>IGNITION</t>
  </si>
  <si>
    <t>ITM0069</t>
  </si>
  <si>
    <t>ILMT</t>
  </si>
  <si>
    <t>ITM0036</t>
  </si>
  <si>
    <t>INT0008</t>
  </si>
  <si>
    <t>INT0009</t>
  </si>
  <si>
    <t>IPAM AWS</t>
  </si>
  <si>
    <t>ITM0128</t>
  </si>
  <si>
    <t>JESUS EDUARDO DAUTANT COTUA</t>
  </si>
  <si>
    <t>Kafka</t>
  </si>
  <si>
    <t>OMN0004</t>
  </si>
  <si>
    <t>SEC0053</t>
  </si>
  <si>
    <t>Kriptos</t>
  </si>
  <si>
    <t>SEC0055</t>
  </si>
  <si>
    <t>Kudert</t>
  </si>
  <si>
    <t>SUP0071</t>
  </si>
  <si>
    <t>LexisFinder</t>
  </si>
  <si>
    <t>SUP0011</t>
  </si>
  <si>
    <t>LEXMARK CLOUD PRINT MANAGEMENT (CPM)</t>
  </si>
  <si>
    <t>ITM0038</t>
  </si>
  <si>
    <t>AMPARO MARIANA CARDENAS HUILCA</t>
  </si>
  <si>
    <t>GOB0013</t>
  </si>
  <si>
    <t>SUP0012</t>
  </si>
  <si>
    <t>MatiBOT</t>
  </si>
  <si>
    <t>ITM0075</t>
  </si>
  <si>
    <t>FAYOL SMITH MONTANO MELENDEZ</t>
  </si>
  <si>
    <t>LUIS ADRIAN TERAN MEDINA</t>
  </si>
  <si>
    <t>Maze</t>
  </si>
  <si>
    <t>EDC0006</t>
  </si>
  <si>
    <t>SUP0033</t>
  </si>
  <si>
    <t>Mi Portal (4u)</t>
  </si>
  <si>
    <t>SUP0013</t>
  </si>
  <si>
    <t>PRD0063</t>
  </si>
  <si>
    <t>Willam Marcel Ontaneda Yaguana</t>
  </si>
  <si>
    <t>Microsoft Azure</t>
  </si>
  <si>
    <t>ITM0138</t>
  </si>
  <si>
    <t>Microsoft Collector Assessment</t>
  </si>
  <si>
    <t>ITM0078</t>
  </si>
  <si>
    <t>Midot</t>
  </si>
  <si>
    <t>SUP0072</t>
  </si>
  <si>
    <t>RIS0008</t>
  </si>
  <si>
    <t>SEC0092</t>
  </si>
  <si>
    <t>ROBERTH DARIO CHAVEZ JARA</t>
  </si>
  <si>
    <t>FABRICIO ANDRES ZULES ACOSTA</t>
  </si>
  <si>
    <t>MODELO PREDICTIVO CIIU</t>
  </si>
  <si>
    <t>DAT0006</t>
  </si>
  <si>
    <t>ARNALDO UTRIA AZAN</t>
  </si>
  <si>
    <t>DIEGO EDUARDO GALLARDO CORRALES</t>
  </si>
  <si>
    <t>OMN0001</t>
  </si>
  <si>
    <t>WILLIAM EDUARDO HUERA ORTIZ</t>
  </si>
  <si>
    <t>GOB0005</t>
  </si>
  <si>
    <t>JAIME JOSELITO ALBUJA GARZON</t>
  </si>
  <si>
    <t>Monitoreo ATM SSTOB</t>
  </si>
  <si>
    <t>ITM0040</t>
  </si>
  <si>
    <t>Motor de pagos PTS</t>
  </si>
  <si>
    <t>SEC0062</t>
  </si>
  <si>
    <t>TRIBU_DE_UNA</t>
  </si>
  <si>
    <t>LUIS JAVIER MARIDUENA NOVILLO</t>
  </si>
  <si>
    <t>Motor de Tarjetas Transporte</t>
  </si>
  <si>
    <t>PAY0026</t>
  </si>
  <si>
    <t>DAVID RICARDO CHARRY DELGADILLO</t>
  </si>
  <si>
    <t>MOTOR DECISIONAL</t>
  </si>
  <si>
    <t>RIS0021</t>
  </si>
  <si>
    <t>GINO LUCIANO VERA MIMBELA</t>
  </si>
  <si>
    <t>NetBackup</t>
  </si>
  <si>
    <t>ITM0041</t>
  </si>
  <si>
    <t>Nexo-Pin Tarjeta</t>
  </si>
  <si>
    <t>PAY0012</t>
  </si>
  <si>
    <t>Notificador Cloud</t>
  </si>
  <si>
    <t>TIE0021</t>
  </si>
  <si>
    <t>CARLOS ANDRES RIVERA ORMAZA</t>
  </si>
  <si>
    <t>Notificador Transversal</t>
  </si>
  <si>
    <t>TIE0023</t>
  </si>
  <si>
    <t>DANNY GABRIEL QUISHPE PALOMEQUE</t>
  </si>
  <si>
    <t>Nutanix File Analytics</t>
  </si>
  <si>
    <t>ITM0085</t>
  </si>
  <si>
    <t>Nutanix File Server</t>
  </si>
  <si>
    <t>ITM0107</t>
  </si>
  <si>
    <t>Nutanix Prism Central</t>
  </si>
  <si>
    <t>ITM0045</t>
  </si>
  <si>
    <t>OCTOPUS</t>
  </si>
  <si>
    <t>SEC0072</t>
  </si>
  <si>
    <t>OEM Cloud Control</t>
  </si>
  <si>
    <t>ITM0044</t>
  </si>
  <si>
    <t>OFFICE365</t>
  </si>
  <si>
    <t>ITM0073</t>
  </si>
  <si>
    <t>On Rut</t>
  </si>
  <si>
    <t>PRD0071</t>
  </si>
  <si>
    <t>CUS0021</t>
  </si>
  <si>
    <t>Clientes y Segmentos</t>
  </si>
  <si>
    <t>CAROLINA ROCIO CAMPUZANO PAEZ</t>
  </si>
  <si>
    <t>ENRIQUE DANA MARQUEZ VILLAVICENCIO</t>
  </si>
  <si>
    <t>Operación de Estructuras Normativas UAFE / RML</t>
  </si>
  <si>
    <t>GOB0002</t>
  </si>
  <si>
    <t>CESAR MAURICIO PANTOJA MIRANDA</t>
  </si>
  <si>
    <t>WILLIAM FELIPE ROSERO POLO</t>
  </si>
  <si>
    <t>Optimizador de Eventos SOC (ORXLog)</t>
  </si>
  <si>
    <t>Optimizador de Eventos SOC (ORXLOG)</t>
  </si>
  <si>
    <t>SEC0085</t>
  </si>
  <si>
    <t>Oracle Far Sync</t>
  </si>
  <si>
    <t>ITM0092</t>
  </si>
  <si>
    <t>Pagos + Cobros y Recaudos FCM</t>
  </si>
  <si>
    <t>PRD0061</t>
  </si>
  <si>
    <t>YESSENIA CRISTINA MENESES ZAMBRANO</t>
  </si>
  <si>
    <t>Parametrizador Legados</t>
  </si>
  <si>
    <t>ITM0110</t>
  </si>
  <si>
    <t>Perfiles Transaccionales</t>
  </si>
  <si>
    <t>GOB0014</t>
  </si>
  <si>
    <t>PIA Agente Virtual</t>
  </si>
  <si>
    <t>DAT0018</t>
  </si>
  <si>
    <t>YOLANDA XIMENA RUBIO TAIPE</t>
  </si>
  <si>
    <t>Polaris Cloud</t>
  </si>
  <si>
    <t>CHL0021</t>
  </si>
  <si>
    <t>Portal autogestión UAC</t>
  </si>
  <si>
    <t>SUP0068</t>
  </si>
  <si>
    <t>Portal de Gestión Formiik - Microfinanzas</t>
  </si>
  <si>
    <t>PRD0054</t>
  </si>
  <si>
    <t>PRD0069</t>
  </si>
  <si>
    <t>PRD0055</t>
  </si>
  <si>
    <t>Portal Informativo Pichincha</t>
  </si>
  <si>
    <t>CHL0022</t>
  </si>
  <si>
    <t>BERNARDA ELENA SAENZ GRIJALVA</t>
  </si>
  <si>
    <t>Preguntas de Validación</t>
  </si>
  <si>
    <t>SEC0077</t>
  </si>
  <si>
    <t>SANTIAGO ANDRES MEDRANDA MOREJON</t>
  </si>
  <si>
    <t>EDISON SANTIAGO SUNTAXI CEVALLOS</t>
  </si>
  <si>
    <t>DIEGO XAVIER LOACHAMIN NACIMBA</t>
  </si>
  <si>
    <t>Procesamiento Datos Onpremise</t>
  </si>
  <si>
    <t>DAT0002</t>
  </si>
  <si>
    <t>DANIELA ELIZABETH ROSERO CASA</t>
  </si>
  <si>
    <t>Recovery Appliance</t>
  </si>
  <si>
    <t>ITM0047</t>
  </si>
  <si>
    <t>Red Hat Satellite</t>
  </si>
  <si>
    <t>ITM0049</t>
  </si>
  <si>
    <t>Remesas</t>
  </si>
  <si>
    <t>Remesas cloud</t>
  </si>
  <si>
    <t>PAY0023</t>
  </si>
  <si>
    <t>ReporteBuroCredito</t>
  </si>
  <si>
    <t>Reporte Buro Credito cloud</t>
  </si>
  <si>
    <t>RIS0010</t>
  </si>
  <si>
    <t>ReportesGaf</t>
  </si>
  <si>
    <t>Reporte Gaf cloud</t>
  </si>
  <si>
    <t>TIE0017</t>
  </si>
  <si>
    <t>TIE0013</t>
  </si>
  <si>
    <t>THALIA ALEJANDRA LOZADA ARELLANO</t>
  </si>
  <si>
    <t>Ruta de los Volcanes</t>
  </si>
  <si>
    <t>SUP0034</t>
  </si>
  <si>
    <t>SUP0029</t>
  </si>
  <si>
    <t>SDWAN CISCO</t>
  </si>
  <si>
    <t>ITM0090</t>
  </si>
  <si>
    <t>Segmentación de Clientes</t>
  </si>
  <si>
    <t>CUS0023</t>
  </si>
  <si>
    <t>DANIEL ALEXANDER GARZON CASTILLO</t>
  </si>
  <si>
    <t>SegUnixOranService</t>
  </si>
  <si>
    <t>SEC0032</t>
  </si>
  <si>
    <t>Sentinel Informer Card</t>
  </si>
  <si>
    <t>GOB0017</t>
  </si>
  <si>
    <t>ITM0064</t>
  </si>
  <si>
    <t>ESTEFANIA ESMERALDA OLIVO BARCIA</t>
  </si>
  <si>
    <t>SANTIAGO EUGENIO FABARA SALAZAR</t>
  </si>
  <si>
    <t>Servicenow ITSM</t>
  </si>
  <si>
    <t>ITM0101</t>
  </si>
  <si>
    <t>VICTOR ERNESTO BENITES CHUMPITAZ</t>
  </si>
  <si>
    <t>SGUC</t>
  </si>
  <si>
    <t>GOB0020</t>
  </si>
  <si>
    <t>SHORI</t>
  </si>
  <si>
    <t>SUP0070</t>
  </si>
  <si>
    <t>Siglo 21 Seguridad ¿ Acceso Web</t>
  </si>
  <si>
    <t>SEC0035</t>
  </si>
  <si>
    <t>SEC0034</t>
  </si>
  <si>
    <t>Singular</t>
  </si>
  <si>
    <t>CUS0025</t>
  </si>
  <si>
    <t>SEBASTIAN MUNOZ ANDERSEN</t>
  </si>
  <si>
    <t>ITM0065</t>
  </si>
  <si>
    <t>Sistema de Cuadres y Conciliaciones (SCC)</t>
  </si>
  <si>
    <t>SUP0037</t>
  </si>
  <si>
    <t>EVELYN PAMELA ESPINOZA CHINCHIN</t>
  </si>
  <si>
    <t>Sistema de Gestión de Video DSS</t>
  </si>
  <si>
    <t>SEC0096</t>
  </si>
  <si>
    <t>Sistema Gestión de Cuentas</t>
  </si>
  <si>
    <t>COR0002</t>
  </si>
  <si>
    <t>Solución de Gestión de Certificados Digitales</t>
  </si>
  <si>
    <t>SEC0097</t>
  </si>
  <si>
    <t>MARCELO VINICIO BURGOS SHUGULI</t>
  </si>
  <si>
    <t>Solución de Gestión de Incidentes de Ciberseguridad</t>
  </si>
  <si>
    <t>SEC0087</t>
  </si>
  <si>
    <t>SANDRA PATRICIA GOMEZ PRADO</t>
  </si>
  <si>
    <t>Sonar Optimizer</t>
  </si>
  <si>
    <t>ITM0118</t>
  </si>
  <si>
    <t>ALEJANDRO JAVIER USHCA FLORES</t>
  </si>
  <si>
    <t>SonarCloud</t>
  </si>
  <si>
    <t>ITM0122</t>
  </si>
  <si>
    <t>JOSE MIGUEL GRANDA CASTRO</t>
  </si>
  <si>
    <t>Staffing</t>
  </si>
  <si>
    <t>ITM0105</t>
  </si>
  <si>
    <t>ANABEL DEL ROCIO CEVALLOS LOPEZ</t>
  </si>
  <si>
    <t>Steadybit</t>
  </si>
  <si>
    <t>ITM0117</t>
  </si>
  <si>
    <t>JHONNY LENIN GUAMAN RIVERA</t>
  </si>
  <si>
    <t>DAT0013</t>
  </si>
  <si>
    <t>Supermetrics</t>
  </si>
  <si>
    <t>CUS0013</t>
  </si>
  <si>
    <t>Switch Transaccional</t>
  </si>
  <si>
    <t>INT0018</t>
  </si>
  <si>
    <t>Symantec Messaging Gateway</t>
  </si>
  <si>
    <t>ITM0054</t>
  </si>
  <si>
    <t>ITM0055</t>
  </si>
  <si>
    <t>TeamMatePlus (Auditoría Interna)</t>
  </si>
  <si>
    <t>RIS0019</t>
  </si>
  <si>
    <t>Totem AIT</t>
  </si>
  <si>
    <t>GI0004</t>
  </si>
  <si>
    <t>Twilio</t>
  </si>
  <si>
    <t>CUS0019</t>
  </si>
  <si>
    <t>SANTIAGO ANDRES DE YEREGUI GUILLEN</t>
  </si>
  <si>
    <t>Uanataca</t>
  </si>
  <si>
    <t>ITM0121</t>
  </si>
  <si>
    <t>Validación de identidades (Facephi)</t>
  </si>
  <si>
    <t>SEC0073</t>
  </si>
  <si>
    <t>VECTR</t>
  </si>
  <si>
    <t>SEC0090</t>
  </si>
  <si>
    <t>JOHNATAN SILVA ORREGO</t>
  </si>
  <si>
    <t>Visa Direct Portal</t>
  </si>
  <si>
    <t>ITM0140</t>
  </si>
  <si>
    <t>MAURICIO XAVIER FLORES GAVELA</t>
  </si>
  <si>
    <t>Visa Risk Manager</t>
  </si>
  <si>
    <t>GOB0008</t>
  </si>
  <si>
    <t>ALVARO FABIAN VILLACRES BARRERA</t>
  </si>
  <si>
    <t>JOSE PATRICIO TRUJILLO CAJO</t>
  </si>
  <si>
    <t>RICARDO ALBERTO VINUEZA MOLINA</t>
  </si>
  <si>
    <t>VMware Aria Operations</t>
  </si>
  <si>
    <t>ITM0082</t>
  </si>
  <si>
    <t>VMware Site Recovery Manager</t>
  </si>
  <si>
    <t>ITM0079</t>
  </si>
  <si>
    <t>VMware Skyline</t>
  </si>
  <si>
    <t>ITM0081</t>
  </si>
  <si>
    <t>ITM0080</t>
  </si>
  <si>
    <t>WebAccionistas</t>
  </si>
  <si>
    <t>GOB0016</t>
  </si>
  <si>
    <t>Maria Isabel Tufino Simbana</t>
  </si>
  <si>
    <t>WEBBloqueo 2.0 --DCP/DCA</t>
  </si>
  <si>
    <t>PAY0022</t>
  </si>
  <si>
    <t>Windsurf</t>
  </si>
  <si>
    <t>ITM0134</t>
  </si>
  <si>
    <t>Workvivo</t>
  </si>
  <si>
    <t>SUP0066</t>
  </si>
  <si>
    <t>Hugo Alejandro Ramon Fernandez</t>
  </si>
  <si>
    <t>Zabbix</t>
  </si>
  <si>
    <t>ITM0074</t>
  </si>
  <si>
    <t>HECTOR DAVID CANTOS CEDENO</t>
  </si>
  <si>
    <t>Aplicativo Service Now</t>
  </si>
  <si>
    <t>Aplicativo GI</t>
  </si>
  <si>
    <t xml:space="preserve">Descripción </t>
  </si>
  <si>
    <t>Cantidad de Permisos</t>
  </si>
  <si>
    <t>Asignado  A</t>
  </si>
  <si>
    <t>Aplicativo que pertenece a Siglo 21</t>
  </si>
  <si>
    <t>Bryan</t>
  </si>
  <si>
    <t>En proceso</t>
  </si>
  <si>
    <t>ACTIVE DIRECTORY</t>
  </si>
  <si>
    <t xml:space="preserve">Aplicativo que permite realizar el mantenimiento de usuarios y grupos </t>
  </si>
  <si>
    <t>ADMINISTRADOR DE CREDITO</t>
  </si>
  <si>
    <t>Aplicativo que permite la gestión eficiente de los créditos colocados a grupos económicos y pequeñas empresas, su objetivo es optimizar el proceso de gestión de la colocación, disminuyendo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</si>
  <si>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Dany</t>
  </si>
  <si>
    <t>Listo</t>
  </si>
  <si>
    <t>ADMINISTRADOR DE LINEAS DE CREDITO</t>
  </si>
  <si>
    <t>ADMINISTRADOR OMNICANAL</t>
  </si>
  <si>
    <t>Aplicación de administración de omnicanalidad que permite la parametrización para interactuar y llevar a cabo las transacciones por Banca Digital (CXP).</t>
  </si>
  <si>
    <t>Anita F</t>
  </si>
  <si>
    <t>AKAMAI WAF</t>
  </si>
  <si>
    <t>Plataforma</t>
  </si>
  <si>
    <t>ANTIDDOS RADWARE</t>
  </si>
  <si>
    <t>Seguridad Perimetral</t>
  </si>
  <si>
    <t>APIGEE</t>
  </si>
  <si>
    <t>Plataforma de administración de API desarrollada or google.</t>
  </si>
  <si>
    <t>MICROSOFT AZURE APIM</t>
  </si>
  <si>
    <t>APLICATIVO WEBGAF</t>
  </si>
  <si>
    <t>ATHENTO</t>
  </si>
  <si>
    <t>AURO</t>
  </si>
  <si>
    <t xml:space="preserve"> Sistema que permite gestionar los depósitos a plazo generados en Banco Pichincha por los segmentos de  bancas privada, empresarial y preferencial</t>
  </si>
  <si>
    <t>Bancslink</t>
  </si>
  <si>
    <t>BANCS - BANCSLINK</t>
  </si>
  <si>
    <t>Front del Core Bancario Bancs encargado de presentar una interfaz de  usuario para la ejecución de diversas transacciones financieras y no financieras.</t>
  </si>
  <si>
    <t>BioCatch</t>
  </si>
  <si>
    <t>BIOCATH</t>
  </si>
  <si>
    <t>Control de bioseguridad</t>
  </si>
  <si>
    <t>Aplicación que permite la automatización de procesos de negocio llevadas a cabo por Banco Pichincha.</t>
  </si>
  <si>
    <t>• Bridger Insights es una aplicación de cumplimiento diseñada para ayudar a las organizaciones a llevar a cabo la debida diligencia, cumplir con las diferentes regulaciones locales y globales de manera más eficiente y prevenir crímenes financieros.</t>
  </si>
  <si>
    <t>CARDHOLDER</t>
  </si>
  <si>
    <t>EASYPAGOS</t>
  </si>
  <si>
    <t>Aplicación web que permite a las empresas manejar eficientemente sus principales operaciones de tesorería (cobros y pagos), permite a las empresas llegar a sus proveedores, empleados.</t>
  </si>
  <si>
    <t>APLICACION CHEQSCAN</t>
  </si>
  <si>
    <t>APPSEC</t>
  </si>
  <si>
    <t>CloudGuard WAF APPSEC INTERNO. Control de tráfico hacia sitios internos.</t>
  </si>
  <si>
    <t>COBIS</t>
  </si>
  <si>
    <t>Gestión de préstamos colectivos.</t>
  </si>
  <si>
    <t>NXLOG</t>
  </si>
  <si>
    <t>Solución de recolección de logs para envío a colector centralizado de todo el parque tecnológico de Banco Pichincha.</t>
  </si>
  <si>
    <t>COMPASS</t>
  </si>
  <si>
    <t>CONFIGURACION CENTRALIZADA</t>
  </si>
  <si>
    <t>Aplicativo que permite la administración de las configuraciones de comunicación de las distintas aplicaciones: servidores, usuarios, cadenas de conexión, bases de datos, servicios.</t>
  </si>
  <si>
    <t>COREN WEB</t>
  </si>
  <si>
    <t>Cerraduras electrónicas</t>
  </si>
  <si>
    <t>SPLUNK</t>
  </si>
  <si>
    <t>Solución SIEM Gestión de eventos e información de seguridad) de Banco Pichincha</t>
  </si>
  <si>
    <t>CREDITLENS</t>
  </si>
  <si>
    <t>Motor de cálculo de banca para proyecciones, balances, representa el 1/3 de las funciones del Banco. para pymes y  empresas</t>
  </si>
  <si>
    <t>CREDITO DISTRIBUIDOR HOLCIM</t>
  </si>
  <si>
    <t>CREDITOS COM</t>
  </si>
  <si>
    <t>CRM SALESFORCE</t>
  </si>
  <si>
    <t>Aplicación que ayuda agilizar los procesos y mejora rentabilidad, gestionando relaciones e interaciones de una empresa con sus clientes,</t>
  </si>
  <si>
    <t>CRM Marketing</t>
  </si>
  <si>
    <t>Jhonny</t>
  </si>
  <si>
    <t>CROWDSTRIKE</t>
  </si>
  <si>
    <t>Ofrece una prevención de amenazas óptima, mediante el uso de inteligencia artificial (AI) y aprendizaje automático (ML) con detección y respuesta avanzada e información sobre amenazas, integrada a través de una consola de gestión altamente intuitiva.</t>
  </si>
  <si>
    <t>DECISION CLOUD</t>
  </si>
  <si>
    <t>DEEP SECURITY</t>
  </si>
  <si>
    <t>Proporciona una protección completa, adaptable y extremadamente eficiente, con antimalware, detección y prevención de intrusiones, firewall, protección de aplicaciones Web, supervisión de la integridad e inspección de registros</t>
  </si>
  <si>
    <t>DETECT ID</t>
  </si>
  <si>
    <t>Aplicación para generación de softoken en lugar de OTP enviada por SMS.</t>
  </si>
  <si>
    <t>DOKA</t>
  </si>
  <si>
    <t>Aplicación utilizada para gestionar las operaciones de comercio exterior como cartas de crédito, garantías, etc</t>
  </si>
  <si>
    <t>DYNATRACE</t>
  </si>
  <si>
    <t>Aplicación  que permite gestionar el Performance de Aplicaciones. Su finalidad es Detectar y encontrar la Causa Raíz de los problemas en Aplicaciones Web y Móviles.</t>
  </si>
  <si>
    <t>Aplicación que permite manejar los procesos contables y administrativos de Banco Pichincha.</t>
  </si>
  <si>
    <t>No Iniciado</t>
  </si>
  <si>
    <t xml:space="preserve">FTP SEGURO </t>
  </si>
  <si>
    <t>Herramienta de FTP Seguro para transferencia de archivos</t>
  </si>
  <si>
    <t>EXCHANGE 2016</t>
  </si>
  <si>
    <t>Aplicación para el envío de correos electrónicos / Servicio SMTP para notificaciones de correo electrónico para aplicaciones internas de BP</t>
  </si>
  <si>
    <t>Facturación Electrónica - SIPECOM</t>
  </si>
  <si>
    <t>Aplicación que permite la gestión de documentos tributarios en formato digital para el SRI y estados de cuenta. SIPECOM</t>
  </si>
  <si>
    <t>FIREMON</t>
  </si>
  <si>
    <t xml:space="preserve">Herramienta de reportería y auditoría de reglas de Firewall. Permite administrar y controlar de manera centralizada los firewalls que funcionan en la red. </t>
  </si>
  <si>
    <t>FORCEPOINT</t>
  </si>
  <si>
    <t>Es una herramienta  diseñada para organizaciones preocupadas por la pérdida de datos que se origina en la máquina del punto final, ya sea de</t>
  </si>
  <si>
    <t>AS400- GAF</t>
  </si>
  <si>
    <t xml:space="preserve">Sistema Operativo en donde se ejecuta el aplicativo GAF </t>
  </si>
  <si>
    <t>amfierro</t>
  </si>
  <si>
    <t>GEENERA/TEA</t>
  </si>
  <si>
    <t>Aplicación para el manejo de información relacionada con recursos humanos de Banco Pichincha.</t>
  </si>
  <si>
    <t>GENESYS CLOUD</t>
  </si>
  <si>
    <t>Solución de contact center como servicio que permite la comunicación de los clientes en los distintos canales como voz, mensajería o correo</t>
  </si>
  <si>
    <t>Gestión de Liquidez</t>
  </si>
  <si>
    <t>GESTION DE LIQUIDEZ - INTRANET</t>
  </si>
  <si>
    <t>GESTION DEL EFECTIVO</t>
  </si>
  <si>
    <t>GO ANYWHERE MFT</t>
  </si>
  <si>
    <t>Herramienta para la gestión centralizada de transferencia de archivos de MFT (Managment File Transfer)</t>
  </si>
  <si>
    <t>HARMONY</t>
  </si>
  <si>
    <t>Solución para proteger entornos remotos</t>
  </si>
  <si>
    <t>IAM-SAILPOINT</t>
  </si>
  <si>
    <t>FILE NET</t>
  </si>
  <si>
    <t>Aplicación que permite administrar los documentos habilitantes para determinados trámites que realiza el cliente.</t>
  </si>
  <si>
    <t>IMPRESION DE DOCUMENTOS (LEGACY)</t>
  </si>
  <si>
    <t>INFORMES DE CREDITO</t>
  </si>
  <si>
    <t>GESTOR AS400 - PIVI/CAO</t>
  </si>
  <si>
    <t>Aplicación externa INTERDIN DINERS</t>
  </si>
  <si>
    <t>IPS</t>
  </si>
  <si>
    <t>Cisco Firepower Management Center 4600</t>
  </si>
  <si>
    <t>Control de acceso a la red</t>
  </si>
  <si>
    <t>JAGUAR LIQUIDEZ PLUS</t>
  </si>
  <si>
    <t>JPMORGAN</t>
  </si>
  <si>
    <t>Aplicación de uso en tesoreria</t>
  </si>
  <si>
    <t>LISTAS DE OBSERVADOS - INTRANET</t>
  </si>
  <si>
    <t>LOGIFLOW</t>
  </si>
  <si>
    <t>Portal de aplicaciones para la gestión y administracion de procesos del Banco.</t>
  </si>
  <si>
    <t>LOGIN CENTRAL</t>
  </si>
  <si>
    <t>Aplicación que reemplaza al Portal Empresarial respecto al tema de ingreso a las aplicaciones portalizadas, por esta aplicación permite el logueo a todas las aplicaciones portalizadas que dispone BP</t>
  </si>
  <si>
    <t>LOGISTICA DE EFECTIVO - INTRANET</t>
  </si>
  <si>
    <t>LOGITRX</t>
  </si>
  <si>
    <t>AS400 - LOGICORBA / LOGICTRX</t>
  </si>
  <si>
    <t>MAIL CONTROL SYSTEM</t>
  </si>
  <si>
    <t>MENTOR</t>
  </si>
  <si>
    <t xml:space="preserve">Jhonny </t>
  </si>
  <si>
    <t>Microsoft Cloud Defender for Apps</t>
  </si>
  <si>
    <t>MODEL RISK HUB</t>
  </si>
  <si>
    <t>MONITOREO DE CAJEROS</t>
  </si>
  <si>
    <t>MONITOREO DE EFECTIVO - INTRANET</t>
  </si>
  <si>
    <t>MOTOR DE TRANSFERENCIA</t>
  </si>
  <si>
    <t>Implementar un nuevo Sistema Nacional de Pagos bajo el esquema de archivos para las transacciones enviadas Y playbook tanto de Cobros como de Pagos</t>
  </si>
  <si>
    <t>MUREX</t>
  </si>
  <si>
    <t>Sistema de Tesorería para gestión de divisas y portafolio de inversión.</t>
  </si>
  <si>
    <t>NETSKOPE</t>
  </si>
  <si>
    <t>Solución de seguridad informática para control de navegación por Proxy y  protección de acceso a nube pública (CASB) en todos los equipos de Banco Pichincha y sus filiales</t>
  </si>
  <si>
    <t>ANYWAY</t>
  </si>
  <si>
    <t>Notificaciones SMS</t>
  </si>
  <si>
    <t>PAYMENTCONTROL</t>
  </si>
  <si>
    <t>Componente SAS de la plataforma SWIFT que permite parametrizar reglas de negocio para control de envío de mensajeria SWIFT</t>
  </si>
  <si>
    <t>PFTR/ARIC</t>
  </si>
  <si>
    <t>Aplicación para prevención de fraude en tiempo real</t>
  </si>
  <si>
    <t>PINPAD ADMIN</t>
  </si>
  <si>
    <t>Aplicativo que pertenece a Siglo 21. Sistema utilizado para gestionar y activar los dispositivos PinPad para ser usados en el Sistema de Ventanillas (WebTeller).</t>
  </si>
  <si>
    <t>PRISMA CLOUD</t>
  </si>
  <si>
    <t>Plataforma de seguridad SAAS que mide el nivel de postura en recursos de nube y vulnerabilidades en carga de trabajo.</t>
  </si>
  <si>
    <t>PROOFPOINT</t>
  </si>
  <si>
    <t>Control de correo corporativo para filtrar Spam, archivos maliciosos, evitar fuga de información.</t>
  </si>
  <si>
    <t>ONETRUST</t>
  </si>
  <si>
    <t>ONETRUST es una plataforma de confianza y cumplimiento que ayuda a las organizaciones a gestionar la privacidad de datos, el cumplimiento normativo y la seguridad de la información.</t>
  </si>
  <si>
    <t>PROTEGE GX</t>
  </si>
  <si>
    <t>Seguridad Fisica</t>
  </si>
  <si>
    <t>AMERAFIN QLIKCLOUD</t>
  </si>
  <si>
    <t>Aplicación para la evalución creditica de credito automotriz. Paneles de información</t>
  </si>
  <si>
    <t>Red Hat Directory Server (Portal de Negocios)</t>
  </si>
  <si>
    <t>Servidor LDAP de aprovisionamiento de usuarios administrado por Identity Server - WSO2</t>
  </si>
  <si>
    <t>CONSOLA OPENSHIFT V4</t>
  </si>
  <si>
    <t>Contener de aplicaciones</t>
  </si>
  <si>
    <t>PORTAL REN</t>
  </si>
  <si>
    <t>Nueva plataforma para la emisión y procesamiento de tarjetas de débito y prepago</t>
  </si>
  <si>
    <t>REPORTING SERVICES NEGOCIO AUTOMOTRIZ</t>
  </si>
  <si>
    <t>AMERAFIN REPORTING SERVICES</t>
  </si>
  <si>
    <t>Aplicación para la evalución creditica de credito automotriz. - Reporteria del área comercial.</t>
  </si>
  <si>
    <t>RIESGO GLOBAL</t>
  </si>
  <si>
    <t>SAC-PAMPM</t>
  </si>
  <si>
    <t>Aplicación SaaS como Solución Integral de Servicios Financieros para la implementación de un Modelo de Rentabilidad, Costos, FTP Funds Transfer Pricing, optimizando los procesos presupuestarios y proyecciones orquestadas dentro de un workflow guiado y cohesivo</t>
  </si>
  <si>
    <t>SECURITY SCORECARD</t>
  </si>
  <si>
    <t>Plataforma que proporciona calificaciones de seguridad cibernética y evaluaciones de riesgo.</t>
  </si>
  <si>
    <t>PANORAMA</t>
  </si>
  <si>
    <t>Gestor de Next Generation Firewall VM-Firewall -  gestor de firewalls en nube de la marca Palo Alto</t>
  </si>
  <si>
    <t>FIREWALL CHECKPOINT</t>
  </si>
  <si>
    <t xml:space="preserve">Firewall </t>
  </si>
  <si>
    <t>CheckPoint Firewall BPAC</t>
  </si>
  <si>
    <t>Plataforma Firewall Amerafin</t>
  </si>
  <si>
    <t>SENTINEL COMPLIANCE AND RISK</t>
  </si>
  <si>
    <t>Aplicación que permite realizar el monitoreo de las transacciones de clientes para identificación de fraude.</t>
  </si>
  <si>
    <t>SENTINEL PREVENTION</t>
  </si>
  <si>
    <t>TOTEM PUEX</t>
  </si>
  <si>
    <t>Herramienta On Premise que controla la emisión de tarjetas no personalizadas, la relación entra las tarjetas /número de kit que se empaca como el KIT de cuenta XPERTA.</t>
  </si>
  <si>
    <t>FORMIIK-SIMA</t>
  </si>
  <si>
    <t>Aplicación móvil que permite realizar la gestion en campo de los ejecutivos del segmento microfinanzas, tales como creditos, cobranzas y promociones.</t>
  </si>
  <si>
    <t>SIO SISTEMA INTEGRAL ORIGINAMIENTO</t>
  </si>
  <si>
    <t>Aplicación de Amerafin</t>
  </si>
  <si>
    <t>SIRO</t>
  </si>
  <si>
    <t>SIRO es un software desarrollado por Management Solutions para dar soporte a la gestión de riesgo, identificación, medición y control de tareas.</t>
  </si>
  <si>
    <t>CREDIFE SFI</t>
  </si>
  <si>
    <t>Aplicación que permite la creación de solicitudes de crédito para microempresarios.</t>
  </si>
  <si>
    <t>SISTEMAS DE PROVIDENCIAS JUDICIALES</t>
  </si>
  <si>
    <t>Se encarga de obtene y procesar ordenanzas judiciales del banco</t>
  </si>
  <si>
    <t>SNYK</t>
  </si>
  <si>
    <t>Ejecucion de escaneos de vulnerabilidades SAST y SCA</t>
  </si>
  <si>
    <t>SOFTGUARD</t>
  </si>
  <si>
    <t>MONITOREO DE FRAUDES (SPARTAN)</t>
  </si>
  <si>
    <t>Detección de Fraudes Transaccionales</t>
  </si>
  <si>
    <t>STACKHAWK</t>
  </si>
  <si>
    <t>Ejecucion de escaneos de vulnerabilidades DAST</t>
  </si>
  <si>
    <t>SNA - STEALTHWATCH</t>
  </si>
  <si>
    <t xml:space="preserve">Swift Alliance FullStack </t>
  </si>
  <si>
    <t>ALLIANCE ACCESS</t>
  </si>
  <si>
    <t>Plataforma de mensajería financiera que interactuará con los aplicativos de Banco Pichincha para orquestar el envío y recepción de mensajes hacia y desde el exterior utilizando el estándar Swift</t>
  </si>
  <si>
    <t>Swift Alliance FullStack (GATEWAY)</t>
  </si>
  <si>
    <t>ALLIANCE GATEWAY</t>
  </si>
  <si>
    <t>Swift Alliance FullStack (WEBPLATAFORM)</t>
  </si>
  <si>
    <t>ALLIANCE WEBPLATFORM</t>
  </si>
  <si>
    <t>ALLIANCE DATAWAREHOUSE</t>
  </si>
  <si>
    <t>Swift (Screening)</t>
  </si>
  <si>
    <t>Aplicación que usa el equipo del cumplimiento, Servicio para validar listas internacionales cuando el mesaje sale la red del swift</t>
  </si>
  <si>
    <t>Swift Transaction Screening (O2M)</t>
  </si>
  <si>
    <t>Swift (TAS) (02M)</t>
  </si>
  <si>
    <t>TARJETAS DE CREDITO</t>
  </si>
  <si>
    <t>DIGITALCHECK</t>
  </si>
  <si>
    <t>TeamMate</t>
  </si>
  <si>
    <t>TEAM MATE</t>
  </si>
  <si>
    <t xml:space="preserve">Aplicación para seguimiento de casas de auditoría interna. </t>
  </si>
  <si>
    <t>TENABLE</t>
  </si>
  <si>
    <t>TOTEM CCE</t>
  </si>
  <si>
    <t>Componente que controla la emisión de tarjetas no personalizadas, la relación entra las tarjetas /número de kit que se empaca como el KIT de cuenta XPERTA.</t>
  </si>
  <si>
    <t>TRELLIX</t>
  </si>
  <si>
    <t>Herramienta de seguridad Punto final para ATMs NCR - C00013174</t>
  </si>
  <si>
    <t>TURNO DIGITAL</t>
  </si>
  <si>
    <t>VINCULACION INTEGRAL AGENCIA</t>
  </si>
  <si>
    <t>CONSOLA VSPHERE</t>
  </si>
  <si>
    <t>Contenedor de virtualización</t>
  </si>
  <si>
    <t>CONSOLA WAS NOTIFICADOR</t>
  </si>
  <si>
    <t>Delay, mensajes correo y OTP</t>
  </si>
  <si>
    <t>CONSOLA WAS OMNICANALIDAD</t>
  </si>
  <si>
    <t>Banca Movil</t>
  </si>
  <si>
    <t>CONSOLA WAS OMNICANALIDAD_BATCH</t>
  </si>
  <si>
    <t>Agrupación de componentes de capa media como Switches, Gateways, Integration Bus, WAS y DataPower.</t>
  </si>
  <si>
    <t>WEB TELLER</t>
  </si>
  <si>
    <t>WEBDOX</t>
  </si>
  <si>
    <t>La herramienta WEBDOX es un CLM para la gestión del ciclo de vida del contrato es la gestión proactiva y metódica de un contrato desde su inicio hasta su adjudicación, cumplimiento y renovación</t>
  </si>
  <si>
    <t>SOS: SECURITY OFFICE SYSTEM</t>
  </si>
  <si>
    <t>Administración de acceso a aplicativos, genera usuarios para diferentes aplicativos por parte de administración de claves según políticas establecidas por el área.</t>
  </si>
  <si>
    <t>XACTCLEARSTREAM</t>
  </si>
  <si>
    <t>Sistema del exterior de negociación de bonos utilizada por el área de tesorería</t>
  </si>
  <si>
    <t>CRM ZENDESK</t>
  </si>
  <si>
    <t>Zendesk, es una aplicación SaaS, hosteada en AWS, entra como herramienta a reemplazar la herramienta actual de R&amp;R y con el objetivo de ser un CRM de servicios para el banco.</t>
  </si>
  <si>
    <t>CITIBANK</t>
  </si>
  <si>
    <t>SOURCE NAME</t>
  </si>
  <si>
    <t>ESTADO</t>
  </si>
  <si>
    <t>CANTIDAD DE ENTITLEMENTS</t>
  </si>
  <si>
    <t>Observaciones</t>
  </si>
  <si>
    <t>FECHA DE INICIO</t>
  </si>
  <si>
    <t>FECHA FIN REAL</t>
  </si>
  <si>
    <t>FECHA FIN PLANIFICADA</t>
  </si>
  <si>
    <t>Asignado</t>
  </si>
  <si>
    <t>ACTIVE DIRECTORY &amp; ACTIVE DIRECTORY GENERICAS</t>
  </si>
  <si>
    <t>BUYANA</t>
  </si>
  <si>
    <t>ADMINISTRACIÓN OMNICANAL - INFO MOTOR DE PAGOS</t>
  </si>
  <si>
    <t>SIN INICIAR</t>
  </si>
  <si>
    <t>AMFIERRO</t>
  </si>
  <si>
    <t>ADMINISTRADORDECREDITO</t>
  </si>
  <si>
    <t>Ya se dispone de descripcion</t>
  </si>
  <si>
    <t>AMVERGAR</t>
  </si>
  <si>
    <t>AKAMAI</t>
  </si>
  <si>
    <t>DMLESCAN</t>
  </si>
  <si>
    <t>JHBBARRE</t>
  </si>
  <si>
    <t>AS400</t>
  </si>
  <si>
    <t>BANCS WS</t>
  </si>
  <si>
    <t>BRIDGER INSIGHT</t>
  </si>
  <si>
    <t>CAO</t>
  </si>
  <si>
    <t>CHECKPOINT</t>
  </si>
  <si>
    <t>CLEARSTREAM</t>
  </si>
  <si>
    <t xml:space="preserve">Se debe restructurar permisos, existen descripciones </t>
  </si>
  <si>
    <t>RREQUELM</t>
  </si>
  <si>
    <t>CONFIGURACIÓN CENTRALIZADA</t>
  </si>
  <si>
    <t>Se tiene input para descripcion y usuarios</t>
  </si>
  <si>
    <t>ENVIADO</t>
  </si>
  <si>
    <t>CREDIFE</t>
  </si>
  <si>
    <t>CRM SALESFORCE MARKETING CLOUD</t>
  </si>
  <si>
    <t>CRM SALESFORCE WS</t>
  </si>
  <si>
    <t>DETECTID</t>
  </si>
  <si>
    <t>DYNAMIC CODES</t>
  </si>
  <si>
    <t>Se encuentran 2 perfiles adicionales de los que no se encuentran en Source (2 últimos registros), enviado por correo</t>
  </si>
  <si>
    <t>ENTRAID SAAS</t>
  </si>
  <si>
    <t>Conector Direct, se refleja la actualización en 24 horas</t>
  </si>
  <si>
    <t>FCM</t>
  </si>
  <si>
    <t>No tiene descripción de entitlements en reporte</t>
  </si>
  <si>
    <t>FTPSEGURO</t>
  </si>
  <si>
    <t>GAF_ADM CLAVES</t>
  </si>
  <si>
    <t>GENERICAS</t>
  </si>
  <si>
    <t>JERARQUIA_EBS</t>
  </si>
  <si>
    <t>LOGICTRX</t>
  </si>
  <si>
    <t>Se va a validar con la actividad de depuración</t>
  </si>
  <si>
    <t>LOGINTER</t>
  </si>
  <si>
    <t>MFT(FTP)</t>
  </si>
  <si>
    <t>MONITOREO FRAUDE</t>
  </si>
  <si>
    <t>NETBACKUP</t>
  </si>
  <si>
    <t>O2M</t>
  </si>
  <si>
    <t>ORACLE ERP CLOUD SAAS</t>
  </si>
  <si>
    <t>En espera de producción de conector ISC</t>
  </si>
  <si>
    <t>ORACLE FUSION</t>
  </si>
  <si>
    <t>Conector CSV se elimina, por automatización</t>
  </si>
  <si>
    <t>Se encuentran 2 perfiles adicionales de los que se encuentran en Source (2 últimos registros), enviados por correo</t>
  </si>
  <si>
    <t>PIVI</t>
  </si>
  <si>
    <t>PIVI_WEB</t>
  </si>
  <si>
    <t>PLSQL</t>
  </si>
  <si>
    <t>PORTAL_AZURE</t>
  </si>
  <si>
    <t>POSTGRES</t>
  </si>
  <si>
    <t>PROTEGEGX</t>
  </si>
  <si>
    <t>QLIK_CLOUD</t>
  </si>
  <si>
    <t>RADWARE</t>
  </si>
  <si>
    <t>RED HAT DIRECTORY SERVER</t>
  </si>
  <si>
    <t>Risión - Robert Live, los Ents en los Sorce no corresponde a la cantidad real en la aplicación</t>
  </si>
  <si>
    <t>SAC</t>
  </si>
  <si>
    <t>SENTINEL_CR</t>
  </si>
  <si>
    <t>SGG</t>
  </si>
  <si>
    <t>SIGLO21</t>
  </si>
  <si>
    <t>Se encuentran 24 perfiles adicionales de los que no se encuentran en Source (24 últimos registros), enviados por correo</t>
  </si>
  <si>
    <t>SOS</t>
  </si>
  <si>
    <t>SRV_UNIX</t>
  </si>
  <si>
    <t>STACKHAWCK</t>
  </si>
  <si>
    <t>SWIFT_ALLIANCE</t>
  </si>
  <si>
    <t>SWIFT_SCREENIG_UTILITY</t>
  </si>
  <si>
    <t>Se tiene parcialmente descripción</t>
  </si>
  <si>
    <t>TOTEMCCE</t>
  </si>
  <si>
    <t>TRANSACTION SCREENING</t>
  </si>
  <si>
    <t>VSPHERE</t>
  </si>
  <si>
    <t>Se encuentran 28 perfiles adicionales de los que no se encuentran en Source (28 últimos registros), enviados por correo</t>
  </si>
  <si>
    <t>WAREHOUSE</t>
  </si>
  <si>
    <t>Alliance Gateway</t>
  </si>
  <si>
    <t>Alliance Web Platform</t>
  </si>
  <si>
    <t>Bajo Demanda</t>
  </si>
  <si>
    <t>Validación y entrega de información (Reuniones)</t>
  </si>
  <si>
    <t>jmcorte</t>
  </si>
  <si>
    <t>Permanente</t>
  </si>
  <si>
    <t>Por validar</t>
  </si>
  <si>
    <t>Permante</t>
  </si>
  <si>
    <t>Gobierno CS</t>
  </si>
  <si>
    <t>Periodico</t>
  </si>
  <si>
    <t>Fase 1 Gestor de Identidades</t>
  </si>
  <si>
    <t>Transición de modelo actual a modelo por roles</t>
  </si>
  <si>
    <t>Implementado</t>
  </si>
  <si>
    <t>Configurar los RPA con los flujos de Service Now</t>
  </si>
  <si>
    <t>Proceso de Recepción de Aplicaciones Prioridad 1 y 2=&gt; Cantidad 67 (Detalle en archivo Recepción de Aplicaciones)
Administrador de Parámetros
Amazon Web Services
APEX - SIRI
Atalla
Azure AD
Azure Devops
Azure Kubernetes Services
BPOne
CAFServer (TOTEM)
CapturadeFirmas
Cheque Image Server (CIS Totem)
CitiBank
Compra de Cartera
Confluent
Control-M
CyberArk
DataPower Externo
DataPower Interno
Elastic Kubernetes Services
Facephi
Feature Flags Transversal
FileUpdate (TOTEM)
Golden Gate
Grafana
Home Folder
Hopex
IBM Operational Decision Manager (ODM)
IBM WebSphere Portal
ICEPanel
Integration Bus Omnicanal
Integration Bus Soporte
Kafka
Keeper Security
ListaObservados
Mi Campus Pichincha
Microfinance Portal
Microsoft Azure
Mis Riesgos
MISP
Moengage
Monitor Plus
Motor de pagos PTS
NetBackup
Notificador Cloud
OCTOPUS
OFFICE365
Onboarding
Pagos + Cobros y Recaudos FCM
Portal de Negocio Automotriz
Portal de Verificacion Microfinanzas
Remesas
ReporteBuroCredito
ReportesGaf
RPA UIPath
SAP SuccessFactors
SegUnixOranService
Sentinel Informer Card
ServiceNow ITOM/ITAM
Servicenow ITSM
Siglo 21 Seguridad ¿ Acceso Web
Sistema de Chapter Desarrollo Iniciativas
Sistema de Cuadres y Conciliaciones (SCC)
Stratio
Switch Transaccional
System Center
Visa Risk Manager
VMware vSphere Replication</t>
  </si>
  <si>
    <t>Iniciativa Interna/Compromiso Gerencial</t>
  </si>
  <si>
    <t>Recepción de Apicaciones, Perfilamiento, Reportería, Conectores ISC</t>
  </si>
  <si>
    <t xml:space="preserve">
Jhonny Barreiro
</t>
  </si>
  <si>
    <t>Gerencial</t>
  </si>
  <si>
    <t>Proceso de Recepción de Aplicaciones Prioridad 3 =&gt; Cantidad 17  (Detalle en archivo Recepción de Aplicaciones)
360 Brand Guardian
Alarmnet
AutorizadorPichincha
CIS CAT Pro
Componentes Ciberdefensa
Componentes de Automatización
Componentes Identidades
DarkTrace
Enforcive Enterprise Security
Entra ID
Kriptos
Optimizador de Eventos SOC (ORXLog)
Preguntas de Validación
Sistema de Gestión de Video DSS
Solución de Gestión de Certificados Digitales
Solución de Gestión de Incidentes de Ciberseguridad
VECTR</t>
  </si>
  <si>
    <t>Gestión de accesos y Permisos</t>
  </si>
  <si>
    <t>Completado</t>
  </si>
  <si>
    <t>Recepción de aplicación</t>
  </si>
  <si>
    <t>Proyecto Gestor de Identidades Sailpoint | Fase 1</t>
  </si>
  <si>
    <t>Integrar sistemas conectados: Directorio Activo, Bancs, Siglo21, RHDS, Logiflow</t>
  </si>
  <si>
    <t>Integrar conexión SailPoint | Service Now para generación tickets gestión aplicaciones no conectadas (csv)</t>
  </si>
  <si>
    <t>Centralizar gobierno de accesos en una sola fuente.  Eliminación matriz accesos por fuera del perfil</t>
  </si>
  <si>
    <t>Asignar y controlar de forma automática accesos temporales</t>
  </si>
  <si>
    <t>Implementar flujos de trabajo (workflow) para cambios rol | centro costos Red de Agencias</t>
  </si>
  <si>
    <t>Implementar Módulo NERM.  Centralización fuente autoritativa usuarios externos y genéricos</t>
  </si>
  <si>
    <t>Simplificar esquema OU´s en Directorio Activo</t>
  </si>
  <si>
    <t>Implementar enlace seguro al usuario para la personalización de su contraseña inicial, sin transmisión directa de la clave.</t>
  </si>
  <si>
    <t>Sincronizar atributo centro de costos en sistemas conectados: AD, Bancs, Siglo21, RHDS</t>
  </si>
  <si>
    <t>Sincronizar estructura usuario en Directorio Activo: Empresa, División, Departamento, Cargo</t>
  </si>
  <si>
    <t>Homologar cargos | estructura en Logiflow</t>
  </si>
  <si>
    <t>Implementar notificaciones para los procesos de onboarding/crossboarding/offboarding</t>
  </si>
  <si>
    <t>Cambiar modelo de perfiles globales a roles.  Asignación accesos en base a la estructura RRHH. Descomponer los roles para aplicaciones conectadas (Bancs, Logiflow, RHDS, Siglo 21, AD), y roles csv para aplicaciones no conectadas</t>
  </si>
  <si>
    <t>Ejecución de scripts para convertir perfil x defecto a rol</t>
  </si>
  <si>
    <t>Depurar accesos de Red de agencias, homologar accesos por cargo</t>
  </si>
  <si>
    <t>Crear roles base: roles de compania Internos y Filiales, grupo de navegación básico y licenciamiento para onboarding automático de usuarios internos</t>
  </si>
  <si>
    <t>Se definio roles base de compañia para todo el banco excepto la red de agencias y roles de licenciamiento para todos los usuarios internos</t>
  </si>
  <si>
    <t>NERM</t>
  </si>
  <si>
    <t>Homologar a la estructura de internos a los externos.  Se considera la estructura de la contraparte responsable</t>
  </si>
  <si>
    <t xml:space="preserve">Para salida de ISC </t>
  </si>
  <si>
    <t>Auditoria</t>
  </si>
  <si>
    <t>Hacer referencia a la hoja "Planificación Externos"</t>
  </si>
  <si>
    <t>Controlar el uso de cuentas de usuarios que no han iniciado sesión en 120 días.</t>
  </si>
  <si>
    <t>Ariel Villacis
Ana María Vergara</t>
  </si>
  <si>
    <t>Gestión de requerimientos Service Now:
Catalogos de identidades, tranfercias de otros catalogos, Tareas FW</t>
  </si>
  <si>
    <t>Ampliar cobertura (IAAS)</t>
  </si>
  <si>
    <t>Integración al proceso de Servidores Nuevos</t>
  </si>
  <si>
    <t>Automatización de Despliegue de Usuarios Línea Base - AIX / UNIX</t>
  </si>
  <si>
    <t>Despliegue de roles de cargo en función a perfil por defecto - (rol x cargo)</t>
  </si>
  <si>
    <t>Integración de Sailpoint a GEMA - Información Básica</t>
  </si>
  <si>
    <t>Cambios en control de Llaves SSH - Verificación de Llaves Nuevas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</si>
</sst>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numFmt numFmtId="166" formatCode="dd\.mm\.yyyy"/>
  </numFmts>
  <fonts count="60">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FFFF"/>
      <name val="Aptos Narrow"/>
      <family val="2"/>
    </font>
    <font>
      <b/>
      <sz val="10"/>
      <color rgb="FF000000"/>
      <name val="Aptos Narrow"/>
      <family val="2"/>
    </font>
    <font>
      <b/>
      <sz val="11"/>
      <color rgb="FFFFFFFF"/>
      <name val="Aptos Narrow"/>
      <family val="2"/>
      <scheme val="minor"/>
    </font>
    <font>
      <b/>
      <sz val="10"/>
      <color rgb="FF000000"/>
      <name val="Aptos Narrow"/>
      <family val="2"/>
      <scheme val="minor"/>
    </font>
    <font>
      <b/>
      <sz val="11"/>
      <color rgb="FF002060"/>
      <name val="Aptos Narrow"/>
      <family val="2"/>
      <scheme val="minor"/>
    </font>
    <font>
      <b/>
      <sz val="10"/>
      <color rgb="FF000000"/>
      <name val="Calibri"/>
      <family val="2"/>
    </font>
    <font>
      <sz val="10"/>
      <color rgb="FF000000"/>
      <name val="Aptos Narrow"/>
      <family val="2"/>
      <scheme val="minor"/>
    </font>
    <font>
      <sz val="10"/>
      <name val="Aptos Narrow"/>
      <family val="2"/>
      <scheme val="minor"/>
    </font>
    <font>
      <sz val="10"/>
      <color rgb="FF000000"/>
      <name val="Calibri"/>
      <family val="2"/>
    </font>
    <font>
      <b/>
      <sz val="10"/>
      <color rgb="FFFF0000"/>
      <name val="Calibri"/>
      <family val="2"/>
    </font>
    <font>
      <b/>
      <sz val="10"/>
      <color rgb="FFFF0000"/>
      <name val="Aptos Narrow"/>
      <family val="2"/>
      <scheme val="minor"/>
    </font>
    <font>
      <sz val="10"/>
      <color rgb="FFFF0000"/>
      <name val="Aptos Narrow"/>
      <family val="2"/>
      <scheme val="minor"/>
    </font>
    <font>
      <sz val="10"/>
      <color theme="1"/>
      <name val="Aptos Narrow"/>
      <family val="2"/>
      <scheme val="minor"/>
    </font>
    <font>
      <b/>
      <sz val="10"/>
      <color rgb="FF0070C0"/>
      <name val="Calibri"/>
      <family val="2"/>
    </font>
    <font>
      <b/>
      <sz val="10"/>
      <color rgb="FF0070C0"/>
      <name val="Aptos Narrow"/>
      <family val="2"/>
      <scheme val="minor"/>
    </font>
    <font>
      <sz val="10"/>
      <color rgb="FF0070C0"/>
      <name val="Aptos Narrow"/>
      <family val="2"/>
      <scheme val="minor"/>
    </font>
    <font>
      <sz val="11"/>
      <color rgb="FF0070C0"/>
      <name val="Aptos Narrow"/>
      <family val="2"/>
      <scheme val="minor"/>
    </font>
    <font>
      <b/>
      <sz val="10"/>
      <name val="Calibri"/>
      <family val="2"/>
    </font>
    <font>
      <b/>
      <sz val="10"/>
      <name val="Aptos Narrow"/>
      <family val="2"/>
      <scheme val="minor"/>
    </font>
    <font>
      <sz val="11"/>
      <name val="Aptos Narrow"/>
      <family val="2"/>
      <scheme val="minor"/>
    </font>
    <font>
      <sz val="10"/>
      <name val="Calibri"/>
      <family val="2"/>
    </font>
    <font>
      <b/>
      <sz val="11"/>
      <color rgb="FF0070C0"/>
      <name val="Calibri"/>
      <family val="2"/>
    </font>
    <font>
      <b/>
      <sz val="11"/>
      <color theme="0"/>
      <name val="Calibri"/>
      <family val="2"/>
    </font>
    <font>
      <b/>
      <sz val="10"/>
      <color theme="0"/>
      <name val="Calibri"/>
      <family val="2"/>
    </font>
    <font>
      <b/>
      <sz val="9"/>
      <color theme="0"/>
      <name val="Calibri"/>
      <family val="2"/>
    </font>
    <font>
      <b/>
      <sz val="9"/>
      <name val="Calibri"/>
      <family val="2"/>
    </font>
    <font>
      <b/>
      <sz val="11"/>
      <color rgb="FF002060"/>
      <name val="Calibri"/>
      <family val="2"/>
    </font>
    <font>
      <b/>
      <sz val="11"/>
      <color theme="1"/>
      <name val="Calibri"/>
      <family val="2"/>
    </font>
    <font>
      <sz val="11"/>
      <color rgb="FF000000"/>
      <name val="Calibri"/>
      <family val="2"/>
    </font>
    <font>
      <sz val="11"/>
      <name val="Aptos Narrow"/>
      <family val="2"/>
    </font>
    <font>
      <sz val="11"/>
      <color rgb="FF000000"/>
      <name val="Aptos Narrow"/>
      <family val="2"/>
    </font>
    <font>
      <sz val="11"/>
      <color rgb="FFC00000"/>
      <name val="Aptos Narrow"/>
      <family val="2"/>
      <scheme val="minor"/>
    </font>
    <font>
      <sz val="8"/>
      <color theme="1"/>
      <name val="Aptos Narrow"/>
      <family val="2"/>
      <scheme val="minor"/>
    </font>
    <font>
      <sz val="9"/>
      <color theme="1"/>
      <name val="Aptos Narrow"/>
      <family val="2"/>
      <scheme val="minor"/>
    </font>
    <font>
      <b/>
      <sz val="11"/>
      <color rgb="FFFFFFFF"/>
      <name val="Calibri"/>
      <family val="2"/>
    </font>
    <font>
      <b/>
      <sz val="10"/>
      <color rgb="FFFFFFFF"/>
      <name val="Calibri"/>
      <family val="2"/>
    </font>
    <font>
      <b/>
      <sz val="9"/>
      <color rgb="FFFFFFFF"/>
      <name val="Calibri"/>
      <family val="2"/>
    </font>
    <font>
      <b/>
      <sz val="11"/>
      <color rgb="FF000000"/>
      <name val="Calibri"/>
      <family val="2"/>
    </font>
    <font>
      <sz val="11"/>
      <color rgb="FFC00000"/>
      <name val="Aptos Narrow"/>
      <family val="2"/>
    </font>
    <font>
      <b/>
      <sz val="11"/>
      <color rgb="FF000000"/>
      <name val="Aptos Narrow"/>
      <family val="2"/>
    </font>
    <font>
      <b/>
      <sz val="8"/>
      <color rgb="FF000000"/>
      <name val="Arial"/>
      <family val="2"/>
    </font>
    <font>
      <sz val="8"/>
      <color rgb="FF000000"/>
      <name val="Arial"/>
      <family val="2"/>
    </font>
    <font>
      <b/>
      <sz val="10"/>
      <color rgb="FFFFFFFF"/>
      <name val="Aptos Narrow"/>
      <family val="2"/>
      <scheme val="minor"/>
    </font>
    <font>
      <sz val="11"/>
      <color theme="1"/>
      <name val="Calibri"/>
      <family val="2"/>
    </font>
    <font>
      <sz val="8"/>
      <color theme="1"/>
      <name val="Arial"/>
      <family val="2"/>
    </font>
    <font>
      <sz val="10"/>
      <color theme="1"/>
      <name val="Aptos Narrow"/>
      <family val="2"/>
    </font>
    <font>
      <sz val="11"/>
      <color rgb="FF000000"/>
      <name val="Aptos Narrow"/>
      <family val="2"/>
      <scheme val="minor"/>
    </font>
    <font>
      <b/>
      <sz val="11"/>
      <color rgb="FF000000"/>
      <name val="Aptos Narrow"/>
      <family val="2"/>
      <scheme val="minor"/>
    </font>
    <font>
      <b/>
      <sz val="10"/>
      <color theme="1"/>
      <name val="Aptos Narrow"/>
      <family val="2"/>
      <scheme val="minor"/>
    </font>
    <font>
      <sz val="8"/>
      <name val="Aptos Narrow"/>
      <family val="2"/>
      <scheme val="minor"/>
    </font>
    <font>
      <sz val="9"/>
      <name val="Aptos Narrow"/>
      <family val="2"/>
      <scheme val="minor"/>
    </font>
    <font>
      <sz val="9"/>
      <color rgb="FF000000"/>
      <name val="Aptos"/>
      <family val="2"/>
    </font>
    <font>
      <b/>
      <sz val="10"/>
      <color rgb="FF000000"/>
      <name val="Helvetica"/>
    </font>
    <font>
      <sz val="10"/>
      <color rgb="FF000000"/>
      <name val="Helvetica"/>
    </font>
    <font>
      <sz val="11"/>
      <color theme="1"/>
      <name val="Aptos Narrow"/>
      <family val="2"/>
      <scheme val="minor"/>
    </font>
    <font>
      <sz val="10"/>
      <name val="Aptos Narrow"/>
      <family val="2"/>
    </font>
    <font>
      <sz val="8"/>
      <color theme="1"/>
      <name val="Arial"/>
    </font>
  </fonts>
  <fills count="24">
    <fill>
      <patternFill patternType="none"/>
    </fill>
    <fill>
      <patternFill patternType="gray125"/>
    </fill>
    <fill>
      <patternFill patternType="solid">
        <fgColor rgb="FF156082"/>
        <bgColor indexed="64"/>
      </patternFill>
    </fill>
    <fill>
      <patternFill patternType="solid">
        <fgColor rgb="FFDAE9F8"/>
        <bgColor indexed="64"/>
      </patternFill>
    </fill>
    <fill>
      <patternFill patternType="solid">
        <fgColor rgb="FF002060"/>
        <bgColor indexed="64"/>
      </patternFill>
    </fill>
    <fill>
      <patternFill patternType="solid">
        <fgColor rgb="FFFFFF00"/>
        <bgColor indexed="64"/>
      </patternFill>
    </fill>
    <fill>
      <patternFill patternType="solid">
        <fgColor rgb="FF156082"/>
        <bgColor rgb="FF156082"/>
      </patternFill>
    </fill>
    <fill>
      <patternFill patternType="solid">
        <fgColor rgb="FFDAE9F8"/>
        <bgColor rgb="FF000000"/>
      </patternFill>
    </fill>
    <fill>
      <patternFill patternType="solid">
        <fgColor rgb="FF002060"/>
        <bgColor rgb="FF000000"/>
      </patternFill>
    </fill>
    <fill>
      <patternFill patternType="solid">
        <fgColor rgb="FFD9D9D9"/>
        <bgColor rgb="FF000000"/>
      </patternFill>
    </fill>
    <fill>
      <patternFill patternType="solid">
        <fgColor rgb="FF92D050"/>
        <bgColor rgb="FF000000"/>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C0E6F5"/>
        <bgColor rgb="FF000000"/>
      </patternFill>
    </fill>
    <fill>
      <patternFill patternType="solid">
        <fgColor rgb="FFBFBFBF"/>
        <bgColor rgb="FF000000"/>
      </patternFill>
    </fill>
    <fill>
      <patternFill patternType="solid">
        <fgColor rgb="FF92D050"/>
        <bgColor indexed="64"/>
      </patternFill>
    </fill>
    <fill>
      <patternFill patternType="solid">
        <fgColor rgb="FFFFFFFF"/>
        <bgColor rgb="FF000000"/>
      </patternFill>
    </fill>
    <fill>
      <patternFill patternType="solid">
        <fgColor rgb="FFFFFF00"/>
        <bgColor rgb="FF000000"/>
      </patternFill>
    </fill>
    <fill>
      <patternFill patternType="solid">
        <fgColor rgb="FFB5E6A2"/>
        <bgColor rgb="FF000000"/>
      </patternFill>
    </fill>
    <fill>
      <patternFill patternType="solid">
        <fgColor rgb="FFD9D9D9"/>
        <bgColor rgb="FFD9D9D9"/>
      </patternFill>
    </fill>
    <fill>
      <patternFill patternType="solid">
        <fgColor rgb="FFFF0000"/>
        <bgColor rgb="FF000000"/>
      </patternFill>
    </fill>
    <fill>
      <patternFill patternType="solid">
        <fgColor rgb="FFC0E6F5"/>
        <bgColor rgb="FFC0E6F5"/>
      </patternFill>
    </fill>
    <fill>
      <patternFill patternType="solid">
        <fgColor rgb="FFFF0000"/>
        <bgColor indexed="64"/>
      </patternFill>
    </fill>
  </fills>
  <borders count="4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bottom/>
      <diagonal/>
    </border>
    <border>
      <left style="thin">
        <color rgb="FF000000"/>
      </left>
      <right style="thin">
        <color indexed="64"/>
      </right>
      <top style="thin">
        <color indexed="64"/>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hair">
        <color theme="4" tint="0.79998168889431442"/>
      </bottom>
      <diagonal/>
    </border>
    <border>
      <left style="thin">
        <color indexed="64"/>
      </left>
      <right style="thin">
        <color indexed="64"/>
      </right>
      <top style="hair">
        <color theme="4" tint="0.79998168889431442"/>
      </top>
      <bottom style="hair">
        <color theme="4" tint="0.79998168889431442"/>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hair">
        <color theme="3" tint="0.89996032593768116"/>
      </bottom>
      <diagonal/>
    </border>
    <border>
      <left style="thin">
        <color indexed="64"/>
      </left>
      <right style="thin">
        <color indexed="64"/>
      </right>
      <top style="hair">
        <color theme="3" tint="0.89996032593768116"/>
      </top>
      <bottom style="hair">
        <color theme="3" tint="0.89996032593768116"/>
      </bottom>
      <diagonal/>
    </border>
    <border>
      <left style="thin">
        <color indexed="64"/>
      </left>
      <right style="thin">
        <color indexed="64"/>
      </right>
      <top style="hair">
        <color theme="3" tint="0.89996032593768116"/>
      </top>
      <bottom style="thin">
        <color indexed="64"/>
      </bottom>
      <diagonal/>
    </border>
    <border>
      <left/>
      <right/>
      <top style="hair">
        <color theme="4" tint="0.79998168889431442"/>
      </top>
      <bottom style="hair">
        <color theme="4" tint="0.79998168889431442"/>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rgb="FF000000"/>
      </left>
      <right style="thin">
        <color rgb="FF000000"/>
      </right>
      <top style="thin">
        <color rgb="FF000000"/>
      </top>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3">
    <xf numFmtId="0" fontId="0" fillId="0" borderId="0"/>
    <xf numFmtId="0" fontId="46" fillId="0" borderId="0"/>
    <xf numFmtId="9" fontId="57" fillId="0" borderId="0" applyFont="0" applyFill="0" applyBorder="0" applyAlignment="0" applyProtection="0"/>
  </cellStyleXfs>
  <cellXfs count="327">
    <xf numFmtId="0" fontId="0" fillId="0" borderId="0" xfId="0"/>
    <xf numFmtId="0" fontId="0" fillId="0" borderId="0" xfId="0" applyAlignment="1">
      <alignment wrapText="1"/>
    </xf>
    <xf numFmtId="0" fontId="0" fillId="0" borderId="0" xfId="0" quotePrefix="1" applyAlignment="1">
      <alignment wrapText="1"/>
    </xf>
    <xf numFmtId="0" fontId="1" fillId="0" borderId="0" xfId="0" quotePrefix="1" applyFont="1" applyAlignment="1">
      <alignment wrapText="1"/>
    </xf>
    <xf numFmtId="0" fontId="2" fillId="0" borderId="0" xfId="0" applyFont="1" applyAlignment="1">
      <alignment wrapText="1"/>
    </xf>
    <xf numFmtId="0" fontId="1" fillId="0" borderId="0" xfId="0" applyFont="1" applyAlignment="1">
      <alignment wrapText="1"/>
    </xf>
    <xf numFmtId="0" fontId="2" fillId="0" borderId="0" xfId="0" quotePrefix="1" applyFont="1" applyAlignment="1">
      <alignment wrapText="1"/>
    </xf>
    <xf numFmtId="0" fontId="1" fillId="0" borderId="0" xfId="0" quotePrefix="1" applyFont="1"/>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5" fillId="6" borderId="0" xfId="0" applyFont="1" applyFill="1" applyAlignment="1">
      <alignment horizontal="center" vertical="center" wrapText="1"/>
    </xf>
    <xf numFmtId="0" fontId="5" fillId="6" borderId="7" xfId="0" applyFont="1" applyFill="1" applyBorder="1" applyAlignment="1">
      <alignment horizontal="center" vertical="center" wrapText="1"/>
    </xf>
    <xf numFmtId="0" fontId="7" fillId="9" borderId="0" xfId="0" applyFont="1" applyFill="1" applyAlignment="1">
      <alignment horizontal="center" vertical="center" wrapText="1"/>
    </xf>
    <xf numFmtId="0" fontId="7" fillId="9" borderId="7" xfId="0" applyFont="1" applyFill="1" applyBorder="1" applyAlignment="1">
      <alignment horizontal="center" vertical="center" wrapText="1"/>
    </xf>
    <xf numFmtId="0" fontId="10" fillId="0" borderId="0" xfId="0" applyFont="1" applyAlignment="1">
      <alignment horizontal="left" vertical="center" wrapText="1"/>
    </xf>
    <xf numFmtId="0" fontId="13" fillId="0" borderId="0" xfId="0" applyFont="1" applyAlignment="1">
      <alignment horizontal="center" vertical="center" wrapText="1"/>
    </xf>
    <xf numFmtId="9" fontId="14" fillId="0" borderId="0" xfId="0" applyNumberFormat="1"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wrapText="1"/>
    </xf>
    <xf numFmtId="0" fontId="15" fillId="0" borderId="0" xfId="0" quotePrefix="1" applyFont="1" applyAlignment="1">
      <alignment wrapText="1"/>
    </xf>
    <xf numFmtId="0" fontId="16" fillId="0" borderId="6" xfId="0" applyFont="1" applyBorder="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vertical="center"/>
    </xf>
    <xf numFmtId="0" fontId="20" fillId="0" borderId="6" xfId="0" applyFont="1" applyBorder="1" applyAlignment="1">
      <alignment horizontal="center" vertical="center" wrapText="1"/>
    </xf>
    <xf numFmtId="0" fontId="21" fillId="0" borderId="0" xfId="0" applyFont="1" applyAlignment="1">
      <alignment horizontal="center" vertical="center" wrapText="1"/>
    </xf>
    <xf numFmtId="0" fontId="10" fillId="0" borderId="0" xfId="0" applyFont="1" applyAlignment="1">
      <alignment horizontal="center" vertical="center" wrapText="1"/>
    </xf>
    <xf numFmtId="0" fontId="22" fillId="0" borderId="0" xfId="0" applyFont="1" applyAlignment="1">
      <alignment wrapText="1"/>
    </xf>
    <xf numFmtId="0" fontId="19" fillId="0" borderId="0" xfId="0" applyFont="1" applyAlignment="1">
      <alignment wrapText="1"/>
    </xf>
    <xf numFmtId="0" fontId="23" fillId="0" borderId="0" xfId="0" applyFont="1" applyAlignment="1">
      <alignment horizontal="center" vertical="center" wrapText="1"/>
    </xf>
    <xf numFmtId="0" fontId="10" fillId="0" borderId="0" xfId="0" applyFont="1" applyAlignment="1">
      <alignment horizontal="center" vertical="center"/>
    </xf>
    <xf numFmtId="9" fontId="10" fillId="0" borderId="0" xfId="0" applyNumberFormat="1" applyFont="1" applyAlignment="1">
      <alignment horizontal="center" vertical="center"/>
    </xf>
    <xf numFmtId="0" fontId="10" fillId="0" borderId="0" xfId="0" applyFont="1" applyAlignment="1">
      <alignment vertical="center"/>
    </xf>
    <xf numFmtId="0" fontId="16" fillId="0" borderId="0" xfId="0" applyFont="1" applyAlignment="1">
      <alignment horizontal="center"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9" fillId="0" borderId="0" xfId="0" applyFont="1" applyAlignment="1">
      <alignment vertical="center" wrapText="1"/>
    </xf>
    <xf numFmtId="0" fontId="10" fillId="0" borderId="0" xfId="0" quotePrefix="1" applyFont="1" applyAlignment="1">
      <alignment vertical="center" wrapText="1"/>
    </xf>
    <xf numFmtId="0" fontId="8" fillId="5" borderId="6" xfId="0" applyFont="1" applyFill="1" applyBorder="1" applyAlignment="1">
      <alignment horizontal="center" vertical="center" wrapText="1"/>
    </xf>
    <xf numFmtId="0" fontId="6" fillId="5" borderId="0" xfId="0" applyFont="1" applyFill="1" applyAlignment="1">
      <alignment horizontal="center" vertical="center" wrapText="1"/>
    </xf>
    <xf numFmtId="0" fontId="9" fillId="5" borderId="0" xfId="0" applyFont="1" applyFill="1" applyAlignment="1">
      <alignment horizontal="center" vertical="center" wrapText="1"/>
    </xf>
    <xf numFmtId="0" fontId="10" fillId="5" borderId="0" xfId="0" applyFont="1" applyFill="1" applyAlignment="1">
      <alignment horizontal="left" vertical="center" wrapText="1"/>
    </xf>
    <xf numFmtId="0" fontId="11" fillId="5" borderId="0" xfId="0" applyFont="1" applyFill="1" applyAlignment="1">
      <alignment horizontal="center" vertical="center" wrapText="1"/>
    </xf>
    <xf numFmtId="0" fontId="9" fillId="5" borderId="0" xfId="0" applyFont="1" applyFill="1" applyAlignment="1">
      <alignment horizontal="center" vertical="center"/>
    </xf>
    <xf numFmtId="9" fontId="9" fillId="5" borderId="0" xfId="0" applyNumberFormat="1" applyFont="1" applyFill="1" applyAlignment="1">
      <alignment horizontal="center" vertical="center"/>
    </xf>
    <xf numFmtId="0" fontId="9" fillId="5" borderId="0" xfId="0" applyFont="1" applyFill="1" applyAlignment="1">
      <alignment horizontal="left" vertical="center" wrapText="1"/>
    </xf>
    <xf numFmtId="0" fontId="0" fillId="5" borderId="0" xfId="0" applyFill="1" applyAlignment="1">
      <alignment wrapText="1"/>
    </xf>
    <xf numFmtId="0" fontId="10" fillId="0" borderId="0" xfId="0" applyFont="1" applyAlignment="1">
      <alignment vertical="center" wrapText="1"/>
    </xf>
    <xf numFmtId="0" fontId="9" fillId="5" borderId="0" xfId="0" applyFont="1" applyFill="1" applyAlignment="1">
      <alignment vertical="center"/>
    </xf>
    <xf numFmtId="0" fontId="9" fillId="5" borderId="0" xfId="0" applyFont="1" applyFill="1" applyAlignment="1">
      <alignment vertical="center" wrapText="1"/>
    </xf>
    <xf numFmtId="0" fontId="12" fillId="0" borderId="6" xfId="0" applyFont="1" applyBorder="1" applyAlignment="1">
      <alignment horizontal="center" vertical="center" wrapText="1"/>
    </xf>
    <xf numFmtId="0" fontId="14" fillId="0" borderId="0" xfId="0" applyFont="1" applyAlignment="1">
      <alignment vertical="center" wrapText="1"/>
    </xf>
    <xf numFmtId="0" fontId="22" fillId="0" borderId="0" xfId="0" applyFont="1" applyAlignment="1">
      <alignment vertical="center" wrapText="1"/>
    </xf>
    <xf numFmtId="0" fontId="20" fillId="0" borderId="0" xfId="0" applyFont="1" applyAlignment="1">
      <alignment horizontal="center" vertical="center" wrapText="1"/>
    </xf>
    <xf numFmtId="0" fontId="15" fillId="0" borderId="0" xfId="0" applyFont="1" applyAlignment="1">
      <alignment horizontal="center" vertical="center" wrapText="1"/>
    </xf>
    <xf numFmtId="0" fontId="10" fillId="0" borderId="0" xfId="0" quotePrefix="1"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8" fillId="0" borderId="0" xfId="0" applyFont="1" applyAlignment="1">
      <alignment vertical="center" wrapText="1"/>
    </xf>
    <xf numFmtId="0" fontId="14" fillId="0" borderId="0" xfId="0" quotePrefix="1" applyFont="1" applyAlignment="1">
      <alignment vertical="center" wrapText="1"/>
    </xf>
    <xf numFmtId="0" fontId="10" fillId="5" borderId="0" xfId="0" applyFont="1" applyFill="1" applyAlignment="1">
      <alignment vertical="center" wrapText="1"/>
    </xf>
    <xf numFmtId="0" fontId="14" fillId="0" borderId="0" xfId="0" applyFont="1" applyAlignment="1">
      <alignment wrapText="1"/>
    </xf>
    <xf numFmtId="0" fontId="24" fillId="11" borderId="8" xfId="0" applyFont="1" applyFill="1" applyBorder="1" applyAlignment="1">
      <alignment horizontal="center" vertical="center" wrapText="1"/>
    </xf>
    <xf numFmtId="0" fontId="25" fillId="4" borderId="9" xfId="0" applyFont="1" applyFill="1" applyBorder="1" applyAlignment="1">
      <alignment horizontal="left" vertical="center"/>
    </xf>
    <xf numFmtId="0" fontId="26" fillId="4" borderId="9" xfId="0" applyFont="1" applyFill="1" applyBorder="1" applyAlignment="1">
      <alignment horizontal="center" vertical="center"/>
    </xf>
    <xf numFmtId="0" fontId="27" fillId="4" borderId="9"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28" fillId="5" borderId="9" xfId="0" applyFont="1" applyFill="1" applyBorder="1" applyAlignment="1">
      <alignment horizontal="left" vertical="center" wrapText="1"/>
    </xf>
    <xf numFmtId="0" fontId="29" fillId="12" borderId="9" xfId="0" applyFont="1" applyFill="1" applyBorder="1" applyAlignment="1">
      <alignment horizontal="left" vertical="center"/>
    </xf>
    <xf numFmtId="0" fontId="30" fillId="13" borderId="9" xfId="0" applyFont="1" applyFill="1" applyBorder="1" applyAlignment="1">
      <alignment horizontal="left" vertical="center"/>
    </xf>
    <xf numFmtId="0" fontId="25" fillId="4" borderId="9" xfId="0" applyFont="1" applyFill="1" applyBorder="1" applyAlignment="1">
      <alignment horizontal="left" vertical="center" wrapText="1"/>
    </xf>
    <xf numFmtId="0" fontId="29" fillId="12" borderId="9" xfId="0" applyFont="1" applyFill="1" applyBorder="1" applyAlignment="1">
      <alignment horizontal="center" vertical="center" wrapText="1"/>
    </xf>
    <xf numFmtId="0" fontId="25" fillId="4" borderId="10" xfId="0" applyFont="1" applyFill="1" applyBorder="1" applyAlignment="1">
      <alignment horizontal="center" vertical="center" wrapText="1"/>
    </xf>
    <xf numFmtId="0" fontId="24" fillId="14" borderId="10" xfId="0" applyFont="1" applyFill="1" applyBorder="1" applyAlignment="1">
      <alignment horizontal="left" vertical="center" wrapText="1"/>
    </xf>
    <xf numFmtId="0" fontId="24" fillId="11" borderId="9" xfId="0" applyFont="1" applyFill="1" applyBorder="1" applyAlignment="1">
      <alignment horizontal="center" vertical="center" wrapText="1"/>
    </xf>
    <xf numFmtId="0" fontId="29" fillId="15" borderId="10" xfId="0" applyFont="1" applyFill="1" applyBorder="1" applyAlignment="1">
      <alignment horizontal="center" vertical="center" wrapText="1"/>
    </xf>
    <xf numFmtId="0" fontId="29" fillId="12" borderId="9" xfId="0" applyFont="1" applyFill="1" applyBorder="1" applyAlignment="1">
      <alignment horizontal="left" vertical="center" wrapText="1"/>
    </xf>
    <xf numFmtId="0" fontId="31" fillId="16" borderId="10" xfId="0" applyFont="1" applyFill="1" applyBorder="1" applyAlignment="1">
      <alignment vertical="center"/>
    </xf>
    <xf numFmtId="0" fontId="32" fillId="0" borderId="8" xfId="0" applyFont="1" applyBorder="1" applyAlignment="1">
      <alignment horizontal="left" vertical="center" wrapText="1"/>
    </xf>
    <xf numFmtId="0" fontId="33" fillId="0" borderId="8" xfId="0" applyFont="1" applyBorder="1" applyAlignment="1">
      <alignment horizontal="left" vertical="center" wrapText="1"/>
    </xf>
    <xf numFmtId="14" fontId="32" fillId="0" borderId="8" xfId="0" applyNumberFormat="1" applyFont="1" applyBorder="1" applyAlignment="1">
      <alignment horizontal="center" vertical="center"/>
    </xf>
    <xf numFmtId="14" fontId="32" fillId="0" borderId="11" xfId="0" applyNumberFormat="1" applyFont="1" applyBorder="1" applyAlignment="1">
      <alignment horizontal="center" vertical="center"/>
    </xf>
    <xf numFmtId="0" fontId="33" fillId="0" borderId="8" xfId="0" applyFont="1" applyBorder="1" applyAlignment="1">
      <alignment horizontal="center" vertical="center" wrapText="1"/>
    </xf>
    <xf numFmtId="0" fontId="33" fillId="0" borderId="9" xfId="0" applyFont="1" applyBorder="1" applyAlignment="1">
      <alignment vertical="center" wrapText="1"/>
    </xf>
    <xf numFmtId="0" fontId="33" fillId="0" borderId="9"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9" xfId="0" applyFont="1" applyBorder="1" applyAlignment="1">
      <alignment horizontal="center" vertical="center"/>
    </xf>
    <xf numFmtId="0" fontId="32" fillId="0" borderId="9" xfId="0" applyFont="1" applyBorder="1" applyAlignment="1">
      <alignment horizontal="center" vertical="center" wrapText="1"/>
    </xf>
    <xf numFmtId="0" fontId="33" fillId="0" borderId="8" xfId="0" applyFont="1" applyBorder="1" applyAlignment="1">
      <alignment horizontal="center" vertical="center"/>
    </xf>
    <xf numFmtId="0" fontId="32" fillId="0" borderId="8" xfId="0" applyFont="1" applyBorder="1" applyAlignment="1">
      <alignment horizontal="center" vertical="center" wrapText="1"/>
    </xf>
    <xf numFmtId="0" fontId="32" fillId="0" borderId="12" xfId="0" applyFont="1" applyBorder="1" applyAlignment="1">
      <alignment horizontal="center" vertical="center" wrapText="1"/>
    </xf>
    <xf numFmtId="0" fontId="34" fillId="0" borderId="10"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14" xfId="0" applyFont="1" applyBorder="1" applyAlignment="1">
      <alignment horizontal="center" vertical="center" wrapText="1"/>
    </xf>
    <xf numFmtId="0" fontId="33" fillId="0" borderId="9" xfId="0" applyFont="1" applyBorder="1"/>
    <xf numFmtId="0" fontId="34" fillId="0" borderId="10" xfId="0" applyFont="1" applyBorder="1" applyAlignment="1">
      <alignment horizontal="center" vertical="center"/>
    </xf>
    <xf numFmtId="0" fontId="0" fillId="0" borderId="0" xfId="0" applyAlignment="1">
      <alignment vertical="center"/>
    </xf>
    <xf numFmtId="14" fontId="32" fillId="0" borderId="15" xfId="0" applyNumberFormat="1" applyFont="1" applyBorder="1" applyAlignment="1">
      <alignment horizontal="center" vertical="center"/>
    </xf>
    <xf numFmtId="0" fontId="34" fillId="0" borderId="16" xfId="0" applyFont="1" applyBorder="1" applyAlignment="1">
      <alignment horizontal="center" vertical="center" wrapText="1"/>
    </xf>
    <xf numFmtId="0" fontId="34" fillId="0" borderId="16" xfId="0" applyFont="1" applyBorder="1" applyAlignment="1">
      <alignment horizontal="center" vertical="center"/>
    </xf>
    <xf numFmtId="0" fontId="32" fillId="17" borderId="17" xfId="0" applyFont="1" applyFill="1" applyBorder="1" applyAlignment="1">
      <alignment horizontal="left" vertical="center"/>
    </xf>
    <xf numFmtId="14" fontId="32" fillId="17" borderId="18" xfId="0" applyNumberFormat="1" applyFont="1" applyFill="1" applyBorder="1" applyAlignment="1">
      <alignment horizontal="center" vertical="center"/>
    </xf>
    <xf numFmtId="0" fontId="33" fillId="0" borderId="8" xfId="0" applyFont="1" applyBorder="1" applyAlignment="1">
      <alignment horizontal="left" vertical="center"/>
    </xf>
    <xf numFmtId="14" fontId="32" fillId="17" borderId="17" xfId="0" applyNumberFormat="1" applyFont="1" applyFill="1" applyBorder="1" applyAlignment="1">
      <alignment horizontal="center" vertical="center"/>
    </xf>
    <xf numFmtId="14" fontId="33" fillId="17" borderId="17" xfId="0" applyNumberFormat="1" applyFont="1" applyFill="1" applyBorder="1" applyAlignment="1">
      <alignment horizontal="center" vertical="center"/>
    </xf>
    <xf numFmtId="14" fontId="33" fillId="0" borderId="11" xfId="0" applyNumberFormat="1" applyFont="1" applyBorder="1" applyAlignment="1">
      <alignment horizontal="center" vertical="center"/>
    </xf>
    <xf numFmtId="0" fontId="33" fillId="0" borderId="13" xfId="0" applyFont="1" applyBorder="1" applyAlignment="1">
      <alignment horizontal="center" vertical="center" wrapText="1"/>
    </xf>
    <xf numFmtId="0" fontId="33" fillId="0" borderId="14" xfId="0" applyFont="1" applyBorder="1" applyAlignment="1">
      <alignment horizontal="center" vertical="center" wrapText="1"/>
    </xf>
    <xf numFmtId="0" fontId="32" fillId="0" borderId="15" xfId="0" applyFont="1" applyBorder="1" applyAlignment="1">
      <alignment horizontal="left" vertical="center" wrapText="1"/>
    </xf>
    <xf numFmtId="0" fontId="32" fillId="0" borderId="19" xfId="0" applyFont="1" applyBorder="1" applyAlignment="1">
      <alignment horizontal="center" vertical="center" wrapText="1"/>
    </xf>
    <xf numFmtId="0" fontId="0" fillId="0" borderId="0" xfId="0" applyAlignment="1">
      <alignment horizontal="left" vertical="center"/>
    </xf>
    <xf numFmtId="0" fontId="35" fillId="0" borderId="0" xfId="0" applyFont="1" applyAlignment="1">
      <alignment horizontal="left" vertical="center"/>
    </xf>
    <xf numFmtId="0" fontId="36" fillId="0" borderId="0" xfId="0" applyFont="1" applyAlignment="1">
      <alignment horizontal="left" vertical="center" wrapText="1"/>
    </xf>
    <xf numFmtId="0" fontId="0" fillId="0" borderId="0" xfId="0" applyAlignment="1">
      <alignment horizontal="center" vertical="center"/>
    </xf>
    <xf numFmtId="0" fontId="36" fillId="0" borderId="0" xfId="0" applyFont="1" applyAlignment="1">
      <alignment vertical="center"/>
    </xf>
    <xf numFmtId="0" fontId="0" fillId="0" borderId="0" xfId="0" applyAlignment="1">
      <alignment horizontal="center"/>
    </xf>
    <xf numFmtId="0" fontId="0" fillId="0" borderId="0" xfId="0" applyAlignment="1">
      <alignment horizontal="center" wrapText="1"/>
    </xf>
    <xf numFmtId="0" fontId="37" fillId="8" borderId="22" xfId="0" applyFont="1" applyFill="1" applyBorder="1"/>
    <xf numFmtId="0" fontId="38" fillId="8" borderId="22" xfId="0" applyFont="1" applyFill="1" applyBorder="1"/>
    <xf numFmtId="0" fontId="39" fillId="8" borderId="22" xfId="0" applyFont="1" applyFill="1" applyBorder="1"/>
    <xf numFmtId="0" fontId="40" fillId="19" borderId="22" xfId="0" applyFont="1" applyFill="1" applyBorder="1"/>
    <xf numFmtId="0" fontId="41" fillId="0" borderId="8" xfId="0" applyFont="1" applyBorder="1"/>
    <xf numFmtId="0" fontId="41" fillId="0" borderId="29" xfId="0" applyFont="1" applyBorder="1"/>
    <xf numFmtId="0" fontId="42" fillId="0" borderId="0" xfId="0" applyFont="1"/>
    <xf numFmtId="0" fontId="33" fillId="0" borderId="0" xfId="0" applyFont="1"/>
    <xf numFmtId="0" fontId="42" fillId="9" borderId="0" xfId="0" applyFont="1" applyFill="1"/>
    <xf numFmtId="0" fontId="43" fillId="0" borderId="32" xfId="0" applyFont="1" applyBorder="1"/>
    <xf numFmtId="0" fontId="44" fillId="20" borderId="33" xfId="0" applyFont="1" applyFill="1" applyBorder="1"/>
    <xf numFmtId="0" fontId="44" fillId="0" borderId="33" xfId="0" applyFont="1" applyBorder="1"/>
    <xf numFmtId="0" fontId="44" fillId="20" borderId="33" xfId="0" applyFont="1" applyFill="1" applyBorder="1" applyAlignment="1">
      <alignment wrapText="1"/>
    </xf>
    <xf numFmtId="0" fontId="44" fillId="0" borderId="33" xfId="0" applyFont="1" applyBorder="1" applyAlignment="1">
      <alignment wrapText="1"/>
    </xf>
    <xf numFmtId="0" fontId="44" fillId="20" borderId="33" xfId="0" quotePrefix="1" applyFont="1" applyFill="1" applyBorder="1" applyAlignment="1">
      <alignment wrapText="1"/>
    </xf>
    <xf numFmtId="0" fontId="47" fillId="0" borderId="0" xfId="1" applyFont="1" applyAlignment="1">
      <alignment horizontal="center" vertical="center"/>
    </xf>
    <xf numFmtId="0" fontId="46" fillId="0" borderId="0" xfId="1" applyAlignment="1">
      <alignment horizontal="center"/>
    </xf>
    <xf numFmtId="0" fontId="47" fillId="0" borderId="0" xfId="1" applyFont="1" applyAlignment="1">
      <alignment horizontal="left" vertical="center"/>
    </xf>
    <xf numFmtId="164" fontId="47" fillId="0" borderId="0" xfId="1" applyNumberFormat="1" applyFont="1" applyAlignment="1">
      <alignment horizontal="left" vertical="center"/>
    </xf>
    <xf numFmtId="0" fontId="47" fillId="0" borderId="0" xfId="1" applyFont="1" applyAlignment="1">
      <alignment horizontal="left" vertical="center" wrapText="1"/>
    </xf>
    <xf numFmtId="0" fontId="46" fillId="0" borderId="0" xfId="1"/>
    <xf numFmtId="0" fontId="45" fillId="6" borderId="10" xfId="0" applyFont="1" applyFill="1" applyBorder="1" applyAlignment="1">
      <alignment horizontal="center" vertical="center" wrapText="1"/>
    </xf>
    <xf numFmtId="0" fontId="15" fillId="0" borderId="34" xfId="0" applyFont="1" applyBorder="1" applyAlignment="1">
      <alignment horizontal="center" vertical="center" wrapText="1"/>
    </xf>
    <xf numFmtId="0" fontId="15" fillId="0" borderId="35" xfId="0" applyFont="1" applyBorder="1" applyAlignment="1">
      <alignment horizontal="center" vertical="center" wrapText="1"/>
    </xf>
    <xf numFmtId="0" fontId="0" fillId="0" borderId="0" xfId="0" applyAlignment="1">
      <alignment horizontal="left" wrapText="1"/>
    </xf>
    <xf numFmtId="0" fontId="49" fillId="22" borderId="10" xfId="0" applyFont="1" applyFill="1" applyBorder="1" applyAlignment="1">
      <alignment horizontal="left" vertical="center"/>
    </xf>
    <xf numFmtId="14" fontId="49" fillId="22" borderId="10" xfId="0" applyNumberFormat="1" applyFont="1" applyFill="1" applyBorder="1" applyAlignment="1">
      <alignment horizontal="left" vertical="center"/>
    </xf>
    <xf numFmtId="0" fontId="49" fillId="0" borderId="10" xfId="0" applyFont="1" applyBorder="1" applyAlignment="1">
      <alignment horizontal="left" vertical="center"/>
    </xf>
    <xf numFmtId="14" fontId="49" fillId="0" borderId="10" xfId="0" applyNumberFormat="1" applyFont="1" applyBorder="1" applyAlignment="1">
      <alignment horizontal="left" vertical="center"/>
    </xf>
    <xf numFmtId="0" fontId="5" fillId="10" borderId="10" xfId="0" applyFont="1" applyFill="1" applyBorder="1" applyAlignment="1">
      <alignment horizontal="center" vertical="center"/>
    </xf>
    <xf numFmtId="0" fontId="5" fillId="6" borderId="10" xfId="0" applyFont="1" applyFill="1" applyBorder="1" applyAlignment="1">
      <alignment horizontal="center" vertical="center"/>
    </xf>
    <xf numFmtId="0" fontId="5" fillId="21" borderId="10" xfId="0" applyFont="1" applyFill="1" applyBorder="1" applyAlignment="1">
      <alignment horizontal="center" vertical="center"/>
    </xf>
    <xf numFmtId="0" fontId="50" fillId="22" borderId="0" xfId="0" applyFont="1" applyFill="1" applyAlignment="1">
      <alignment horizontal="center" vertical="center"/>
    </xf>
    <xf numFmtId="0" fontId="49" fillId="0" borderId="10" xfId="0" applyFont="1" applyBorder="1" applyAlignment="1">
      <alignment horizontal="center" vertical="center"/>
    </xf>
    <xf numFmtId="0" fontId="49" fillId="0" borderId="33" xfId="0" applyFont="1" applyBorder="1" applyAlignment="1">
      <alignment horizontal="left" vertical="center"/>
    </xf>
    <xf numFmtId="0" fontId="49" fillId="0" borderId="33" xfId="0" applyFont="1" applyBorder="1" applyAlignment="1">
      <alignment horizontal="center" vertical="center"/>
    </xf>
    <xf numFmtId="0" fontId="49" fillId="0" borderId="0" xfId="0" applyFont="1"/>
    <xf numFmtId="0" fontId="50" fillId="22" borderId="0" xfId="0" applyFont="1" applyFill="1"/>
    <xf numFmtId="0" fontId="50" fillId="18" borderId="36" xfId="0" applyFont="1" applyFill="1" applyBorder="1" applyAlignment="1">
      <alignment horizontal="left" vertical="center" wrapText="1"/>
    </xf>
    <xf numFmtId="0" fontId="50" fillId="18" borderId="37" xfId="0" applyFont="1" applyFill="1" applyBorder="1" applyAlignment="1">
      <alignment horizontal="center" vertical="center"/>
    </xf>
    <xf numFmtId="0" fontId="49" fillId="0" borderId="39" xfId="0" applyFont="1" applyBorder="1" applyAlignment="1">
      <alignment horizontal="left" vertical="center"/>
    </xf>
    <xf numFmtId="0" fontId="10" fillId="0" borderId="40" xfId="0" applyFont="1" applyBorder="1" applyAlignment="1">
      <alignment horizontal="left" vertical="center" wrapText="1"/>
    </xf>
    <xf numFmtId="0" fontId="10" fillId="0" borderId="41" xfId="0" applyFont="1" applyBorder="1" applyAlignment="1">
      <alignment horizontal="left" vertical="center" wrapText="1"/>
    </xf>
    <xf numFmtId="0" fontId="10" fillId="0" borderId="41" xfId="0" applyFont="1" applyBorder="1" applyAlignment="1">
      <alignment horizontal="center" vertical="center" wrapText="1"/>
    </xf>
    <xf numFmtId="0" fontId="10" fillId="0" borderId="41" xfId="0" applyFont="1" applyBorder="1" applyAlignment="1">
      <alignment horizontal="center" vertical="center"/>
    </xf>
    <xf numFmtId="165" fontId="10" fillId="0" borderId="41" xfId="0" applyNumberFormat="1" applyFont="1" applyBorder="1" applyAlignment="1">
      <alignment horizontal="center" vertical="center" wrapText="1"/>
    </xf>
    <xf numFmtId="9" fontId="10" fillId="0" borderId="41" xfId="0" applyNumberFormat="1" applyFont="1" applyBorder="1" applyAlignment="1">
      <alignment horizontal="center" vertical="center"/>
    </xf>
    <xf numFmtId="0" fontId="21" fillId="0" borderId="41" xfId="0" applyFont="1" applyBorder="1" applyAlignment="1">
      <alignment horizontal="left" vertical="center" wrapText="1"/>
    </xf>
    <xf numFmtId="0" fontId="23" fillId="0" borderId="41" xfId="0" applyFont="1" applyBorder="1" applyAlignment="1">
      <alignment horizontal="center" vertical="center" wrapText="1"/>
    </xf>
    <xf numFmtId="0" fontId="21" fillId="0" borderId="41" xfId="0" quotePrefix="1" applyFont="1" applyBorder="1" applyAlignment="1">
      <alignment horizontal="left" vertical="center" wrapText="1"/>
    </xf>
    <xf numFmtId="0" fontId="10" fillId="0" borderId="41" xfId="0" quotePrefix="1" applyFont="1" applyBorder="1" applyAlignment="1">
      <alignment horizontal="left" vertical="center" wrapText="1"/>
    </xf>
    <xf numFmtId="0" fontId="10" fillId="0" borderId="41" xfId="0" applyFont="1" applyBorder="1" applyAlignment="1">
      <alignment horizontal="left" vertical="center"/>
    </xf>
    <xf numFmtId="9" fontId="10" fillId="0" borderId="41" xfId="0" applyNumberFormat="1" applyFont="1" applyBorder="1" applyAlignment="1">
      <alignment horizontal="center" vertical="center" wrapText="1"/>
    </xf>
    <xf numFmtId="0" fontId="10" fillId="0" borderId="42" xfId="0" applyFont="1" applyBorder="1" applyAlignment="1">
      <alignment horizontal="center" vertical="center" wrapText="1"/>
    </xf>
    <xf numFmtId="0" fontId="10" fillId="0" borderId="40" xfId="0" applyFont="1" applyBorder="1" applyAlignment="1">
      <alignment horizontal="center" vertical="center" wrapText="1"/>
    </xf>
    <xf numFmtId="0" fontId="23" fillId="0" borderId="40" xfId="0" applyFont="1" applyBorder="1" applyAlignment="1">
      <alignment horizontal="center" vertical="center" wrapText="1"/>
    </xf>
    <xf numFmtId="0" fontId="10" fillId="0" borderId="40" xfId="0" applyFont="1" applyBorder="1" applyAlignment="1">
      <alignment horizontal="center" vertical="center"/>
    </xf>
    <xf numFmtId="165" fontId="10" fillId="0" borderId="40" xfId="0" applyNumberFormat="1" applyFont="1" applyBorder="1" applyAlignment="1">
      <alignment horizontal="center" vertical="center" wrapText="1"/>
    </xf>
    <xf numFmtId="9" fontId="10" fillId="0" borderId="40" xfId="0" applyNumberFormat="1" applyFont="1" applyBorder="1" applyAlignment="1">
      <alignment horizontal="center" vertical="center"/>
    </xf>
    <xf numFmtId="0" fontId="10" fillId="0" borderId="42" xfId="0" applyFont="1" applyBorder="1" applyAlignment="1">
      <alignment horizontal="left" vertical="center" wrapText="1"/>
    </xf>
    <xf numFmtId="165" fontId="10" fillId="0" borderId="42" xfId="0" applyNumberFormat="1" applyFont="1" applyBorder="1" applyAlignment="1">
      <alignment horizontal="center" vertical="center" wrapText="1"/>
    </xf>
    <xf numFmtId="0" fontId="0" fillId="0" borderId="33" xfId="0" applyBorder="1"/>
    <xf numFmtId="0" fontId="2" fillId="0" borderId="33" xfId="0" applyFont="1" applyBorder="1"/>
    <xf numFmtId="14" fontId="0" fillId="0" borderId="33" xfId="0" applyNumberFormat="1" applyBorder="1"/>
    <xf numFmtId="0" fontId="24" fillId="14" borderId="21" xfId="0" applyFont="1" applyFill="1" applyBorder="1"/>
    <xf numFmtId="0" fontId="28" fillId="18" borderId="22" xfId="0" applyFont="1" applyFill="1" applyBorder="1"/>
    <xf numFmtId="0" fontId="29" fillId="15" borderId="22" xfId="0" applyFont="1" applyFill="1" applyBorder="1"/>
    <xf numFmtId="0" fontId="24" fillId="14" borderId="22" xfId="0" applyFont="1" applyFill="1" applyBorder="1"/>
    <xf numFmtId="0" fontId="31" fillId="18" borderId="23" xfId="0" applyFont="1" applyFill="1" applyBorder="1"/>
    <xf numFmtId="0" fontId="32" fillId="0" borderId="8" xfId="0" applyFont="1" applyBorder="1"/>
    <xf numFmtId="0" fontId="33" fillId="0" borderId="8" xfId="0" applyFont="1" applyBorder="1"/>
    <xf numFmtId="14" fontId="32" fillId="0" borderId="15" xfId="0" applyNumberFormat="1" applyFont="1" applyBorder="1"/>
    <xf numFmtId="14" fontId="32" fillId="0" borderId="11" xfId="0" applyNumberFormat="1" applyFont="1" applyBorder="1"/>
    <xf numFmtId="0" fontId="32" fillId="0" borderId="20" xfId="0" applyFont="1" applyBorder="1"/>
    <xf numFmtId="0" fontId="32" fillId="0" borderId="14" xfId="0" applyFont="1" applyBorder="1"/>
    <xf numFmtId="14" fontId="32" fillId="0" borderId="24" xfId="0" applyNumberFormat="1" applyFont="1" applyBorder="1"/>
    <xf numFmtId="0" fontId="32" fillId="17" borderId="17" xfId="0" applyFont="1" applyFill="1" applyBorder="1"/>
    <xf numFmtId="14" fontId="32" fillId="17" borderId="25" xfId="0" applyNumberFormat="1" applyFont="1" applyFill="1" applyBorder="1"/>
    <xf numFmtId="14" fontId="32" fillId="17" borderId="17" xfId="0" applyNumberFormat="1" applyFont="1" applyFill="1" applyBorder="1"/>
    <xf numFmtId="14" fontId="33" fillId="17" borderId="17" xfId="0" applyNumberFormat="1" applyFont="1" applyFill="1" applyBorder="1"/>
    <xf numFmtId="14" fontId="33" fillId="0" borderId="11" xfId="0" applyNumberFormat="1" applyFont="1" applyBorder="1"/>
    <xf numFmtId="0" fontId="33" fillId="0" borderId="20" xfId="0" applyFont="1" applyBorder="1"/>
    <xf numFmtId="0" fontId="33" fillId="0" borderId="14" xfId="0" applyFont="1" applyBorder="1"/>
    <xf numFmtId="0" fontId="31" fillId="18" borderId="26" xfId="0" applyFont="1" applyFill="1" applyBorder="1"/>
    <xf numFmtId="0" fontId="32" fillId="0" borderId="27" xfId="0" applyFont="1" applyBorder="1"/>
    <xf numFmtId="0" fontId="33" fillId="0" borderId="27" xfId="0" applyFont="1" applyBorder="1"/>
    <xf numFmtId="14" fontId="32" fillId="0" borderId="17" xfId="0" applyNumberFormat="1" applyFont="1" applyBorder="1"/>
    <xf numFmtId="0" fontId="33" fillId="0" borderId="28" xfId="0" applyFont="1" applyBorder="1"/>
    <xf numFmtId="0" fontId="32" fillId="0" borderId="28" xfId="0" applyFont="1" applyBorder="1"/>
    <xf numFmtId="0" fontId="32" fillId="0" borderId="30" xfId="0" applyFont="1" applyBorder="1"/>
    <xf numFmtId="0" fontId="33" fillId="0" borderId="31" xfId="0" applyFont="1" applyBorder="1"/>
    <xf numFmtId="0" fontId="42" fillId="0" borderId="33" xfId="0" applyFont="1" applyBorder="1"/>
    <xf numFmtId="0" fontId="33" fillId="0" borderId="33" xfId="0" applyFont="1" applyBorder="1"/>
    <xf numFmtId="14" fontId="0" fillId="0" borderId="0" xfId="0" applyNumberFormat="1" applyAlignment="1">
      <alignment horizontal="center" wrapText="1"/>
    </xf>
    <xf numFmtId="14" fontId="10" fillId="0" borderId="41" xfId="0" applyNumberFormat="1" applyFont="1" applyBorder="1" applyAlignment="1">
      <alignment horizontal="center" vertical="center" wrapText="1"/>
    </xf>
    <xf numFmtId="0" fontId="15" fillId="0" borderId="0" xfId="0" applyFont="1" applyAlignment="1">
      <alignment horizontal="left" wrapText="1"/>
    </xf>
    <xf numFmtId="0" fontId="45" fillId="6" borderId="5" xfId="0" applyFont="1" applyFill="1" applyBorder="1" applyAlignment="1">
      <alignment horizontal="center" vertical="center" wrapText="1"/>
    </xf>
    <xf numFmtId="0" fontId="9"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22" fillId="0" borderId="6" xfId="0" applyFont="1" applyBorder="1" applyAlignment="1">
      <alignment vertical="center" wrapText="1"/>
    </xf>
    <xf numFmtId="0" fontId="0" fillId="0" borderId="0" xfId="0" applyAlignment="1">
      <alignment horizontal="center" vertical="center" wrapText="1"/>
    </xf>
    <xf numFmtId="0" fontId="0" fillId="0" borderId="6" xfId="0" applyBorder="1" applyAlignment="1">
      <alignment vertical="center" wrapText="1"/>
    </xf>
    <xf numFmtId="0" fontId="18"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0" fillId="0" borderId="6" xfId="0" applyBorder="1" applyAlignment="1">
      <alignment wrapText="1"/>
    </xf>
    <xf numFmtId="0" fontId="15" fillId="0" borderId="0" xfId="0" applyFont="1" applyAlignment="1">
      <alignment vertical="center"/>
    </xf>
    <xf numFmtId="165" fontId="10" fillId="0" borderId="0" xfId="0" applyNumberFormat="1" applyFont="1" applyAlignment="1">
      <alignment horizontal="center" vertical="center" wrapText="1"/>
    </xf>
    <xf numFmtId="0" fontId="22" fillId="0" borderId="6" xfId="0" applyFont="1" applyBorder="1" applyAlignment="1">
      <alignment wrapText="1"/>
    </xf>
    <xf numFmtId="0" fontId="15" fillId="0" borderId="0" xfId="0" applyFont="1" applyAlignment="1">
      <alignment horizontal="center" wrapText="1"/>
    </xf>
    <xf numFmtId="0" fontId="15" fillId="0" borderId="0" xfId="0" applyFont="1"/>
    <xf numFmtId="0" fontId="54" fillId="0" borderId="0" xfId="0" applyFont="1"/>
    <xf numFmtId="0" fontId="1" fillId="0" borderId="6" xfId="0" applyFont="1" applyBorder="1" applyAlignment="1">
      <alignment wrapText="1"/>
    </xf>
    <xf numFmtId="0" fontId="0" fillId="0" borderId="13" xfId="0" applyBorder="1" applyAlignment="1">
      <alignment wrapText="1"/>
    </xf>
    <xf numFmtId="0" fontId="0" fillId="0" borderId="5" xfId="0" applyBorder="1" applyAlignment="1">
      <alignment wrapText="1"/>
    </xf>
    <xf numFmtId="0" fontId="48" fillId="0" borderId="0" xfId="0" applyFont="1" applyAlignment="1">
      <alignment horizontal="center" vertical="center" wrapText="1"/>
    </xf>
    <xf numFmtId="14" fontId="10" fillId="0" borderId="0" xfId="0" applyNumberFormat="1" applyFont="1" applyAlignment="1">
      <alignment horizontal="center" vertical="center" wrapText="1"/>
    </xf>
    <xf numFmtId="9" fontId="15" fillId="0" borderId="0" xfId="0" applyNumberFormat="1" applyFont="1" applyAlignment="1">
      <alignment horizontal="center" vertical="center" wrapText="1"/>
    </xf>
    <xf numFmtId="0" fontId="10" fillId="0" borderId="43" xfId="0" applyFont="1" applyBorder="1" applyAlignment="1">
      <alignment horizontal="center" vertical="center" wrapText="1"/>
    </xf>
    <xf numFmtId="0" fontId="15" fillId="0" borderId="0" xfId="0" applyFont="1" applyAlignment="1">
      <alignment horizontal="left" vertical="center" wrapText="1"/>
    </xf>
    <xf numFmtId="0" fontId="15" fillId="0" borderId="44" xfId="0" applyFont="1" applyBorder="1" applyAlignment="1">
      <alignment horizontal="left" vertical="center" wrapText="1"/>
    </xf>
    <xf numFmtId="0" fontId="51" fillId="0" borderId="0" xfId="0" applyFont="1" applyAlignment="1">
      <alignment horizontal="center" vertical="center" wrapText="1"/>
    </xf>
    <xf numFmtId="0" fontId="0" fillId="0" borderId="31" xfId="0" applyBorder="1" applyAlignment="1">
      <alignment wrapText="1"/>
    </xf>
    <xf numFmtId="0" fontId="59" fillId="0" borderId="0" xfId="1" applyFont="1" applyAlignment="1">
      <alignment horizontal="center" vertical="center"/>
    </xf>
    <xf numFmtId="0" fontId="59" fillId="0" borderId="0" xfId="1" applyFont="1" applyAlignment="1">
      <alignment horizontal="left" vertical="center"/>
    </xf>
    <xf numFmtId="10" fontId="46" fillId="23" borderId="33" xfId="1" applyNumberFormat="1" applyFill="1" applyBorder="1" applyAlignment="1">
      <alignment horizontal="center" vertical="center"/>
    </xf>
    <xf numFmtId="164" fontId="59" fillId="0" borderId="0" xfId="1" applyNumberFormat="1" applyFont="1" applyAlignment="1">
      <alignment horizontal="left" vertical="center"/>
    </xf>
    <xf numFmtId="0" fontId="59" fillId="0" borderId="0" xfId="1" applyFont="1" applyAlignment="1">
      <alignment horizontal="left" vertical="center" wrapText="1"/>
    </xf>
    <xf numFmtId="0" fontId="56" fillId="0" borderId="33" xfId="0" applyFont="1" applyBorder="1" applyAlignment="1">
      <alignment horizontal="left" vertical="center"/>
    </xf>
    <xf numFmtId="0" fontId="55" fillId="0" borderId="33" xfId="0" applyFont="1" applyBorder="1" applyAlignment="1">
      <alignment horizontal="center" vertical="center"/>
    </xf>
    <xf numFmtId="14" fontId="56" fillId="0" borderId="33" xfId="0" applyNumberFormat="1" applyFont="1" applyBorder="1" applyAlignment="1">
      <alignment horizontal="left" vertical="center"/>
    </xf>
    <xf numFmtId="16" fontId="56" fillId="0" borderId="33" xfId="0" applyNumberFormat="1" applyFont="1" applyBorder="1" applyAlignment="1">
      <alignment horizontal="left" vertical="center"/>
    </xf>
    <xf numFmtId="0" fontId="0" fillId="0" borderId="33" xfId="0" applyBorder="1" applyAlignment="1">
      <alignment horizontal="left" vertical="center"/>
    </xf>
    <xf numFmtId="0" fontId="9" fillId="0" borderId="0" xfId="0" applyFont="1"/>
    <xf numFmtId="0" fontId="47" fillId="0" borderId="0" xfId="0" applyFont="1" applyAlignment="1">
      <alignment horizontal="left" vertical="center"/>
    </xf>
    <xf numFmtId="0" fontId="47" fillId="0" borderId="0" xfId="0" applyFont="1" applyAlignment="1">
      <alignment horizontal="center" vertical="center"/>
    </xf>
    <xf numFmtId="164" fontId="47" fillId="0" borderId="0" xfId="0" applyNumberFormat="1" applyFont="1" applyAlignment="1">
      <alignment horizontal="left" vertical="center"/>
    </xf>
    <xf numFmtId="0" fontId="47" fillId="0" borderId="0" xfId="0" applyFont="1" applyAlignment="1">
      <alignment horizontal="left" vertical="center" wrapText="1"/>
    </xf>
    <xf numFmtId="0" fontId="47" fillId="0" borderId="0" xfId="1" applyFont="1" applyAlignment="1">
      <alignment horizontal="center" vertical="center" wrapText="1"/>
    </xf>
    <xf numFmtId="0" fontId="46" fillId="0" borderId="0" xfId="1" applyAlignment="1">
      <alignment horizontal="center" wrapText="1"/>
    </xf>
    <xf numFmtId="0" fontId="10" fillId="0" borderId="39" xfId="0" applyFont="1" applyBorder="1" applyAlignment="1">
      <alignment horizontal="left" vertical="center" wrapText="1"/>
    </xf>
    <xf numFmtId="0" fontId="15" fillId="0" borderId="39" xfId="0" applyFont="1" applyBorder="1" applyAlignment="1">
      <alignment horizontal="left" vertical="center" wrapText="1"/>
    </xf>
    <xf numFmtId="0" fontId="45" fillId="6" borderId="45" xfId="0" applyFont="1" applyFill="1" applyBorder="1" applyAlignment="1">
      <alignment horizontal="center" vertical="center" wrapText="1"/>
    </xf>
    <xf numFmtId="14" fontId="45" fillId="6" borderId="45" xfId="0" applyNumberFormat="1" applyFont="1" applyFill="1" applyBorder="1" applyAlignment="1">
      <alignment horizontal="center" vertical="center" wrapText="1"/>
    </xf>
    <xf numFmtId="0" fontId="15" fillId="0" borderId="46" xfId="0" applyFont="1" applyBorder="1" applyAlignment="1">
      <alignment horizontal="left" vertical="center" wrapText="1"/>
    </xf>
    <xf numFmtId="0" fontId="10" fillId="0" borderId="46" xfId="0" quotePrefix="1" applyFont="1" applyBorder="1" applyAlignment="1">
      <alignment horizontal="left" vertical="center" wrapText="1"/>
    </xf>
    <xf numFmtId="0" fontId="15" fillId="0" borderId="46" xfId="0" applyFont="1" applyBorder="1" applyAlignment="1">
      <alignment horizontal="center" vertical="center" wrapText="1"/>
    </xf>
    <xf numFmtId="0" fontId="10" fillId="0" borderId="46" xfId="0" applyFont="1" applyBorder="1" applyAlignment="1">
      <alignment horizontal="center" vertical="center"/>
    </xf>
    <xf numFmtId="0" fontId="10" fillId="0" borderId="46" xfId="0" applyFont="1" applyBorder="1" applyAlignment="1">
      <alignment horizontal="center" vertical="center" wrapText="1"/>
    </xf>
    <xf numFmtId="14" fontId="15" fillId="0" borderId="46" xfId="0" applyNumberFormat="1" applyFont="1" applyBorder="1" applyAlignment="1">
      <alignment horizontal="center" vertical="center" wrapText="1"/>
    </xf>
    <xf numFmtId="9" fontId="15" fillId="0" borderId="46" xfId="0" applyNumberFormat="1" applyFont="1" applyBorder="1" applyAlignment="1">
      <alignment horizontal="center" vertical="center" wrapText="1"/>
    </xf>
    <xf numFmtId="0" fontId="15" fillId="5" borderId="46" xfId="0" applyFont="1" applyFill="1" applyBorder="1" applyAlignment="1">
      <alignment horizontal="left" vertical="center" wrapText="1"/>
    </xf>
    <xf numFmtId="0" fontId="10" fillId="0" borderId="46" xfId="0" applyFont="1" applyBorder="1" applyAlignment="1">
      <alignment horizontal="left" vertical="center" wrapText="1"/>
    </xf>
    <xf numFmtId="0" fontId="15" fillId="0" borderId="46" xfId="0" quotePrefix="1" applyFont="1" applyBorder="1" applyAlignment="1">
      <alignment horizontal="left" vertical="center" wrapText="1"/>
    </xf>
    <xf numFmtId="14" fontId="10" fillId="0" borderId="46" xfId="0" applyNumberFormat="1" applyFont="1" applyBorder="1" applyAlignment="1">
      <alignment horizontal="center" vertical="center" wrapText="1"/>
    </xf>
    <xf numFmtId="165" fontId="10" fillId="0" borderId="46" xfId="0" applyNumberFormat="1" applyFont="1" applyBorder="1" applyAlignment="1">
      <alignment horizontal="center" vertical="center" wrapText="1"/>
    </xf>
    <xf numFmtId="9" fontId="10" fillId="0" borderId="46" xfId="0" applyNumberFormat="1" applyFont="1" applyBorder="1" applyAlignment="1">
      <alignment horizontal="center" vertical="center" wrapText="1"/>
    </xf>
    <xf numFmtId="165" fontId="15" fillId="0" borderId="46" xfId="0" applyNumberFormat="1" applyFont="1" applyBorder="1" applyAlignment="1">
      <alignment horizontal="center" vertical="center" wrapText="1"/>
    </xf>
    <xf numFmtId="0" fontId="0" fillId="0" borderId="46" xfId="0" applyBorder="1" applyAlignment="1">
      <alignment horizontal="center" vertical="center" wrapText="1"/>
    </xf>
    <xf numFmtId="0" fontId="48" fillId="0" borderId="46" xfId="0" applyFont="1" applyBorder="1" applyAlignment="1">
      <alignment horizontal="left" vertical="center" wrapText="1"/>
    </xf>
    <xf numFmtId="0" fontId="48" fillId="0" borderId="46" xfId="0" applyFont="1" applyBorder="1" applyAlignment="1">
      <alignment horizontal="center" vertical="center" wrapText="1"/>
    </xf>
    <xf numFmtId="166" fontId="15" fillId="0" borderId="46" xfId="0" applyNumberFormat="1" applyFont="1" applyBorder="1" applyAlignment="1">
      <alignment horizontal="center" vertical="center" wrapText="1"/>
    </xf>
    <xf numFmtId="9" fontId="10" fillId="0" borderId="46" xfId="0" applyNumberFormat="1" applyFont="1" applyBorder="1" applyAlignment="1">
      <alignment horizontal="left" vertical="center" wrapText="1"/>
    </xf>
    <xf numFmtId="0" fontId="14" fillId="0" borderId="46" xfId="0" applyFont="1" applyBorder="1" applyAlignment="1">
      <alignment horizontal="left" vertical="center" wrapText="1"/>
    </xf>
    <xf numFmtId="0" fontId="14" fillId="0" borderId="46" xfId="0" applyFont="1" applyBorder="1" applyAlignment="1">
      <alignment horizontal="center" vertical="center" wrapText="1"/>
    </xf>
    <xf numFmtId="165" fontId="14" fillId="0" borderId="46" xfId="0" applyNumberFormat="1" applyFont="1" applyBorder="1" applyAlignment="1">
      <alignment horizontal="center" vertical="center" wrapText="1"/>
    </xf>
    <xf numFmtId="0" fontId="22" fillId="0" borderId="46" xfId="0" applyFont="1" applyBorder="1" applyAlignment="1">
      <alignment wrapText="1"/>
    </xf>
    <xf numFmtId="0" fontId="9" fillId="0" borderId="46" xfId="0" applyFont="1" applyBorder="1" applyAlignment="1">
      <alignment horizontal="center" vertical="center" wrapText="1"/>
    </xf>
    <xf numFmtId="0" fontId="58" fillId="0" borderId="46" xfId="0" applyFont="1" applyBorder="1" applyAlignment="1">
      <alignment horizontal="left" vertical="center" wrapText="1"/>
    </xf>
    <xf numFmtId="9" fontId="15" fillId="0" borderId="46" xfId="0" applyNumberFormat="1" applyFont="1" applyBorder="1" applyAlignment="1">
      <alignment horizontal="left" vertical="center" wrapText="1"/>
    </xf>
    <xf numFmtId="9" fontId="48" fillId="0" borderId="46" xfId="2" applyFont="1" applyBorder="1" applyAlignment="1">
      <alignment horizontal="center" vertical="center" wrapText="1"/>
    </xf>
    <xf numFmtId="0" fontId="0" fillId="0" borderId="46" xfId="0" applyBorder="1" applyAlignment="1">
      <alignment horizontal="center" wrapText="1"/>
    </xf>
    <xf numFmtId="9" fontId="0" fillId="0" borderId="46" xfId="0" applyNumberFormat="1" applyBorder="1" applyAlignment="1">
      <alignment horizontal="center" wrapText="1"/>
    </xf>
    <xf numFmtId="0" fontId="0" fillId="0" borderId="46" xfId="0" applyBorder="1" applyAlignment="1">
      <alignment wrapText="1"/>
    </xf>
    <xf numFmtId="14" fontId="0" fillId="0" borderId="46" xfId="0" applyNumberFormat="1" applyBorder="1" applyAlignment="1">
      <alignment horizontal="center" wrapText="1"/>
    </xf>
    <xf numFmtId="165" fontId="10" fillId="0" borderId="46" xfId="0" applyNumberFormat="1" applyFont="1" applyBorder="1" applyAlignment="1">
      <alignment horizontal="left" vertical="center" wrapText="1"/>
    </xf>
    <xf numFmtId="0" fontId="7" fillId="10" borderId="7" xfId="0" applyFont="1" applyFill="1" applyBorder="1" applyAlignment="1">
      <alignment horizontal="center" vertical="center" wrapText="1"/>
    </xf>
    <xf numFmtId="0" fontId="7" fillId="10" borderId="0" xfId="0" applyFont="1" applyFill="1" applyAlignment="1">
      <alignment horizontal="center" vertical="center" wrapText="1"/>
    </xf>
    <xf numFmtId="0" fontId="7" fillId="9" borderId="7" xfId="0" applyFont="1" applyFill="1" applyBorder="1" applyAlignment="1">
      <alignment horizontal="center" vertical="center" wrapText="1"/>
    </xf>
    <xf numFmtId="0" fontId="7" fillId="9" borderId="0" xfId="0" applyFont="1" applyFill="1" applyAlignment="1">
      <alignment horizontal="center" vertical="center" wrapText="1"/>
    </xf>
    <xf numFmtId="0" fontId="5" fillId="6" borderId="7" xfId="0" applyFont="1" applyFill="1" applyBorder="1" applyAlignment="1">
      <alignment horizontal="center" vertical="center"/>
    </xf>
    <xf numFmtId="0" fontId="5" fillId="6" borderId="0" xfId="0" applyFont="1" applyFill="1" applyAlignment="1">
      <alignment horizontal="center" vertical="center"/>
    </xf>
    <xf numFmtId="0" fontId="5" fillId="8" borderId="7" xfId="0" applyFont="1" applyFill="1" applyBorder="1" applyAlignment="1">
      <alignment horizontal="center" vertical="center" wrapText="1"/>
    </xf>
    <xf numFmtId="0" fontId="5" fillId="8" borderId="0" xfId="0" applyFont="1" applyFill="1" applyAlignment="1">
      <alignment horizontal="center" vertical="center" wrapText="1"/>
    </xf>
    <xf numFmtId="0" fontId="5" fillId="6" borderId="7" xfId="0" applyFont="1" applyFill="1" applyBorder="1" applyAlignment="1">
      <alignment horizontal="center" vertical="center" wrapText="1"/>
    </xf>
    <xf numFmtId="0" fontId="5" fillId="6" borderId="0" xfId="0" applyFont="1" applyFill="1" applyAlignment="1">
      <alignment horizontal="center" vertical="center" wrapText="1"/>
    </xf>
    <xf numFmtId="0" fontId="6" fillId="7" borderId="0" xfId="0" applyFont="1" applyFill="1" applyAlignment="1">
      <alignment horizontal="center" vertical="center"/>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0" fillId="10" borderId="5" xfId="0" applyFont="1" applyFill="1" applyBorder="1" applyAlignment="1">
      <alignment horizontal="center" vertical="center"/>
    </xf>
    <xf numFmtId="0" fontId="50" fillId="10" borderId="24" xfId="0" applyFont="1" applyFill="1" applyBorder="1" applyAlignment="1">
      <alignment horizontal="center" vertical="center"/>
    </xf>
    <xf numFmtId="0" fontId="50" fillId="10" borderId="13" xfId="0" applyFont="1" applyFill="1" applyBorder="1" applyAlignment="1">
      <alignment horizontal="center" vertical="center"/>
    </xf>
    <xf numFmtId="0" fontId="50" fillId="10" borderId="8" xfId="0" applyFont="1" applyFill="1" applyBorder="1" applyAlignment="1">
      <alignment horizontal="center" vertical="center"/>
    </xf>
    <xf numFmtId="0" fontId="50" fillId="10" borderId="36" xfId="0" applyFont="1" applyFill="1" applyBorder="1" applyAlignment="1">
      <alignment horizontal="center" vertical="center"/>
    </xf>
    <xf numFmtId="0" fontId="50" fillId="10" borderId="37" xfId="0" applyFont="1" applyFill="1" applyBorder="1" applyAlignment="1">
      <alignment horizontal="center" vertical="center"/>
    </xf>
    <xf numFmtId="0" fontId="50" fillId="10" borderId="38" xfId="0" applyFont="1" applyFill="1" applyBorder="1" applyAlignment="1">
      <alignment horizontal="center" vertical="center"/>
    </xf>
    <xf numFmtId="0" fontId="50" fillId="10" borderId="17" xfId="0" applyFont="1" applyFill="1" applyBorder="1" applyAlignment="1">
      <alignment horizontal="center" vertical="center"/>
    </xf>
    <xf numFmtId="0" fontId="49" fillId="10" borderId="5" xfId="0" applyFont="1" applyFill="1" applyBorder="1" applyAlignment="1">
      <alignment horizontal="center" vertical="center" wrapText="1"/>
    </xf>
    <xf numFmtId="0" fontId="49" fillId="10" borderId="24" xfId="0" applyFont="1" applyFill="1" applyBorder="1" applyAlignment="1">
      <alignment horizontal="center" vertical="center" wrapText="1"/>
    </xf>
    <xf numFmtId="0" fontId="49" fillId="10" borderId="13" xfId="0" applyFont="1" applyFill="1" applyBorder="1" applyAlignment="1">
      <alignment horizontal="center" vertical="center" wrapText="1"/>
    </xf>
    <xf numFmtId="0" fontId="49" fillId="10" borderId="8" xfId="0" applyFont="1" applyFill="1" applyBorder="1" applyAlignment="1">
      <alignment horizontal="center" vertical="center" wrapText="1"/>
    </xf>
    <xf numFmtId="0" fontId="50" fillId="17" borderId="39" xfId="0" applyFont="1" applyFill="1" applyBorder="1" applyAlignment="1">
      <alignment horizontal="center" vertical="center"/>
    </xf>
    <xf numFmtId="0" fontId="50" fillId="17" borderId="18" xfId="0" applyFont="1" applyFill="1" applyBorder="1" applyAlignment="1">
      <alignment horizontal="center" vertical="center"/>
    </xf>
  </cellXfs>
  <cellStyles count="3">
    <cellStyle name="Normal" xfId="0" builtinId="0"/>
    <cellStyle name="Normal 2" xfId="1" xr:uid="{EB6D39B0-B868-492A-8E2C-78D40D085CBB}"/>
    <cellStyle name="Porcentaje" xfId="2" builtinId="5"/>
  </cellStyles>
  <dxfs count="68">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yyyy\-mm\-dd"/>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E293B"/>
        <name val="Arial"/>
        <family val="2"/>
        <scheme val="none"/>
      </font>
      <fill>
        <patternFill patternType="solid">
          <fgColor rgb="FF000000"/>
          <bgColor rgb="FFFAFAFA"/>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fill>
        <patternFill patternType="solid">
          <fgColor rgb="FF000000"/>
          <bgColor rgb="FFFEF2F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fill>
        <patternFill patternType="solid">
          <fgColor rgb="FF000000"/>
          <bgColor rgb="FFFEF2F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fill>
        <patternFill patternType="solid">
          <fgColor rgb="FF000000"/>
          <bgColor rgb="FFFEF2F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C00000"/>
      </font>
      <numFmt numFmtId="167" formatCode="yyyy/mm/dd"/>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indexed="64"/>
        </bottom>
        <vertical/>
        <horizontal/>
      </border>
    </dxf>
    <dxf>
      <numFmt numFmtId="168" formatCode="d/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z val="8"/>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8"/>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rgb="FF002060"/>
        <name val="Calibri"/>
        <family val="2"/>
        <scheme val="none"/>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820139</xdr:colOff>
      <xdr:row>179</xdr:row>
      <xdr:rowOff>79375</xdr:rowOff>
    </xdr:from>
    <xdr:to>
      <xdr:col>14</xdr:col>
      <xdr:colOff>696260</xdr:colOff>
      <xdr:row>205</xdr:row>
      <xdr:rowOff>10541</xdr:rowOff>
    </xdr:to>
    <xdr:pic>
      <xdr:nvPicPr>
        <xdr:cNvPr id="4" name="Imagen 1">
          <a:extLst>
            <a:ext uri="{FF2B5EF4-FFF2-40B4-BE49-F238E27FC236}">
              <a16:creationId xmlns:a16="http://schemas.microsoft.com/office/drawing/2014/main" id="{F36CBE77-20C0-6D85-D70C-E03BEC3F4B45}"/>
            </a:ext>
          </a:extLst>
        </xdr:cNvPr>
        <xdr:cNvPicPr>
          <a:picLocks noChangeAspect="1"/>
        </xdr:cNvPicPr>
      </xdr:nvPicPr>
      <xdr:blipFill>
        <a:blip xmlns:r="http://schemas.openxmlformats.org/officeDocument/2006/relationships" r:embed="rId1"/>
        <a:stretch>
          <a:fillRect/>
        </a:stretch>
      </xdr:blipFill>
      <xdr:spPr>
        <a:xfrm>
          <a:off x="14583764" y="86883875"/>
          <a:ext cx="4622746" cy="5023866"/>
        </a:xfrm>
        <a:prstGeom prst="rect">
          <a:avLst/>
        </a:prstGeom>
      </xdr:spPr>
    </xdr:pic>
    <xdr:clientData/>
  </xdr:twoCellAnchor>
  <xdr:twoCellAnchor editAs="oneCell">
    <xdr:from>
      <xdr:col>15</xdr:col>
      <xdr:colOff>66675</xdr:colOff>
      <xdr:row>180</xdr:row>
      <xdr:rowOff>276225</xdr:rowOff>
    </xdr:from>
    <xdr:to>
      <xdr:col>17</xdr:col>
      <xdr:colOff>2124657</xdr:colOff>
      <xdr:row>187</xdr:row>
      <xdr:rowOff>79553</xdr:rowOff>
    </xdr:to>
    <xdr:pic>
      <xdr:nvPicPr>
        <xdr:cNvPr id="3" name="Imagen 2">
          <a:extLst>
            <a:ext uri="{FF2B5EF4-FFF2-40B4-BE49-F238E27FC236}">
              <a16:creationId xmlns:a16="http://schemas.microsoft.com/office/drawing/2014/main" id="{FEE242B6-453F-CF2D-9C40-9F0AD8B89F04}"/>
            </a:ext>
            <a:ext uri="{147F2762-F138-4A5C-976F-8EAC2B608ADB}">
              <a16:predDERef xmlns:a16="http://schemas.microsoft.com/office/drawing/2014/main" pred="{F36CBE77-20C0-6D85-D70C-E03BEC3F4B45}"/>
            </a:ext>
          </a:extLst>
        </xdr:cNvPr>
        <xdr:cNvPicPr>
          <a:picLocks noChangeAspect="1"/>
        </xdr:cNvPicPr>
      </xdr:nvPicPr>
      <xdr:blipFill>
        <a:blip xmlns:r="http://schemas.openxmlformats.org/officeDocument/2006/relationships" r:embed="rId2"/>
        <a:stretch>
          <a:fillRect/>
        </a:stretch>
      </xdr:blipFill>
      <xdr:spPr>
        <a:xfrm>
          <a:off x="19659600" y="9124950"/>
          <a:ext cx="4172532" cy="12892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mvergar\AppData\Local\Microsoft\Windows\INetCache\Content.Outlook\69XWZ2UE\Gesti&#243;n%20Identidades%20POA_BAU%202026.xlsx" TargetMode="External"/><Relationship Id="rId1" Type="http://schemas.openxmlformats.org/officeDocument/2006/relationships/externalLinkPath" Target="file:///C:\Users\amvergar\AppData\Local\Microsoft\Windows\INetCache\Content.Outlook\69XWZ2UE\Gesti&#243;n%20Identidades%20POA_BAU%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trategia CS"/>
      <sheetName val="Planes_POA"/>
      <sheetName val="Planes_BAU"/>
      <sheetName val="SailPoint_Fase2"/>
      <sheetName val="ISO 27001"/>
      <sheetName val="Procesos "/>
    </sheetNames>
    <sheetDataSet>
      <sheetData sheetId="0"/>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REQUELME BALCAZAR RICHARD ALEJANDRO" id="{F7AC8C87-B54B-41B0-A8C9-5B1903E5F467}" userId="S::rrequelm@pichincha.com::c5d5b672-3528-4bed-81d8-0194d0ccb51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C36F5-5FC2-457E-B9D1-30D07CD145C5}" name="Tabla54" displayName="Tabla54" ref="A1:AG8" totalsRowShown="0" headerRowDxfId="67" dataDxfId="66" headerRowBorderDxfId="64" tableBorderDxfId="65" totalsRowBorderDxfId="63">
  <autoFilter xmlns:x14="http://schemas.microsoft.com/office/spreadsheetml/2009/9/main" ref="A1:AG8" xr:uid="{E8BC36F5-5FC2-457E-B9D1-30D07CD145C5}">
    <filterColumn colId="4">
      <filters>
        <mc:AlternateContent xmlns:mc="http://schemas.openxmlformats.org/markup-compatibility/2006">
          <mc:Choice Requires="x14">
            <x14:filter val="1.1 Ana Maria Vergara|Richard Requelme|Jhonny B. Barreiro Ch._x000a_1.2 Ana Maria Vergara_x000a_1.3 Ana Maria Vergara|Jhonny B. Barreiro Ch._x000a_2.    Ana Maria Vergara_x000a_3. 1  Bryan Uyana_x000a_3. 2  Ana Maria Vergara_x000a_3.3   Richard Requelme_x000a_4.    Ana Maria Vergara|Ana Maria Fierro_x000a_5.   Jhonny B. Barreiro Ch"/>
            <x14:filter val="Bryan Uyana_x000a_Vinicio Samaniego_x000a_Ariel Villacis_x000a_Richard Requelme"/>
            <x14:filter val="Vinicio Samaniego_x000a_Richard Requelme"/>
          </mc:Choice>
          <mc:Fallback>
            <filter val="Bryan Uyana_x000a_Vinicio Samaniego_x000a_Ariel Villacis_x000a_Richard Requelme"/>
            <filter val="Vinicio Samaniego_x000a_Richard Requelme"/>
          </mc:Fallback>
        </mc:AlternateContent>
      </filters>
    </filterColumn>
  </autoFilter>
  <tableColumns count="33">
    <tableColumn id="1" xr3:uid="{27179F97-59C9-4B2C-8FC7-6556E09F4DFF}" name="ID ítem" dataDxfId="62"/>
    <tableColumn id="2" xr3:uid="{C263D899-6737-45C0-A10B-AF3198ADCD74}" name="Nombre de la iniciativa o Mejora" dataDxfId="61"/>
    <tableColumn id="3" xr3:uid="{3EE55160-ED99-40A1-BB7E-2792E9C2A65D}" name="Alcance detallado" dataDxfId="60"/>
    <tableColumn id="4" xr3:uid="{0766C28C-F902-47EE-BA0C-966E642B6FEA}" name="Entregables del proyecto" dataDxfId="59"/>
    <tableColumn id="6" xr3:uid="{CAAABA15-C0CE-4A65-9FCB-7354F7EB98B8}" name="Responsable" dataDxfId="58"/>
    <tableColumn id="7" xr3:uid="{C157E473-3799-4B6D-96BA-840712AEC66F}" name="Fecha Inicio" dataDxfId="57"/>
    <tableColumn id="8" xr3:uid="{9A03E900-C5B4-4E9B-91AA-6AAD1E2E26C5}" name="Fecha Fin" dataDxfId="56"/>
    <tableColumn id="9" xr3:uid="{689CF247-DCAF-467D-9CB7-6E3699B40FB1}" name="Estado" dataDxfId="55"/>
    <tableColumn id="5" xr3:uid="{7C85B448-45CE-46B5-9F50-7EA8F3E64D80}" name="Épicas" dataDxfId="54"/>
    <tableColumn id="10" xr3:uid="{AC5D506B-0E82-4484-B284-EC4C0EBBB30C}" name="Control ISO 27001:2022" dataDxfId="53"/>
    <tableColumn id="11" xr3:uid="{67D9912B-5E82-4BFF-8CAC-FA13DF94EFB1}" name="Programa CS " dataDxfId="52"/>
    <tableColumn id="12" xr3:uid="{12AD718B-AD7F-4C98-8282-F97E6B2E2104}" name="Línea Estratégica CS" dataDxfId="51">
      <calculatedColumnFormula>VLOOKUP(Tabla54[[#This Row],[Programa CS ]],'[1]Estrategia CS'!$B$1:$D$28,2,FALSE)</calculatedColumnFormula>
    </tableColumn>
    <tableColumn id="13" xr3:uid="{8B52793B-429F-418E-91B9-954A40002086}" name="Pilar Estratégico CS" dataDxfId="50">
      <calculatedColumnFormula>VLOOKUP(Tabla54[[#This Row],[Programa CS ]],'[1]Estrategia CS'!$B$1:$D$28,3,FALSE)</calculatedColumnFormula>
    </tableColumn>
    <tableColumn id="14" xr3:uid="{757C197A-CDAE-4BEC-BD63-A6D284913319}" name="Subproceso de CS" dataDxfId="49"/>
    <tableColumn id="15" xr3:uid="{2322D522-0253-44E8-BAD3-92CC77736F64}" name="Función NIST 2.0 " dataDxfId="48"/>
    <tableColumn id="16" xr3:uid="{F0C7976E-5E71-4B95-86A1-7349772E28AB}" name="Normativo (Regulatorio)" dataDxfId="47"/>
    <tableColumn id="17" xr3:uid="{473D6861-1247-499E-9B60-0DFB7051B93B}" name="Requiere mejora de procesos" dataDxfId="46"/>
    <tableColumn id="18" xr3:uid="{AAD6B3BB-8D53-4948-B610-C9F87AC42F1C}" name="Requiere de Tecnología" dataDxfId="45"/>
    <tableColumn id="19" xr3:uid="{67A4F9E0-F507-45C2-9D6F-876B9615CA1E}" name="Dependencia internas" dataDxfId="44"/>
    <tableColumn id="32" xr3:uid="{F3E03174-A840-453D-BC4D-5329B1A9BCA1}" name="Obs Inter-dependencias" dataDxfId="43"/>
    <tableColumn id="31" xr3:uid="{2DCF5E11-A2FD-4B26-A3E8-4BC2F7281A6A}" name="Dependencia externas" dataDxfId="42"/>
    <tableColumn id="30" xr3:uid="{72730FCF-90C0-41E0-8B40-32458C953E92}" name="Obs Inter-dependencias2" dataDxfId="41"/>
    <tableColumn id="27" xr3:uid="{CB6C359A-771E-495B-AA3A-D0AAD9D400A0}" name="Medio Gestión" dataDxfId="40"/>
    <tableColumn id="20" xr3:uid="{2F3FEFB5-FCD6-47D4-A916-4BB99515DAB7}" name="¿Mitiga Riesgos Formalizado?" dataDxfId="39"/>
    <tableColumn id="21" xr3:uid="{2780FD8F-0953-459A-8BA4-CE94FCD36ECB}" name="¿Tiene plan de acción formalizado ?" dataDxfId="38"/>
    <tableColumn id="22" xr3:uid="{E960D3C2-4416-419F-8A64-5118A19B87F5}" name="Código del Riesgo" dataDxfId="37"/>
    <tableColumn id="23" xr3:uid="{4AB95393-9D0A-4BAB-9D08-652FA2EFEB5B}" name="Código Tipo debilidad" dataDxfId="36"/>
    <tableColumn id="24" xr3:uid="{091727E7-21C0-4A5C-852A-4D17725C3179}" name="Código Control asociado RNF" dataDxfId="35"/>
    <tableColumn id="33" xr3:uid="{3F95074A-1683-43BB-B3D0-4880D231B0DB}" name="Obs Auditoría/SB/externa" dataDxfId="34"/>
    <tableColumn id="25" xr3:uid="{E55AE5BD-6A71-4779-AFEC-5942C9D2A07A}" name="Presupuesto Asignado" dataDxfId="33"/>
    <tableColumn id="26" xr3:uid="{CEA578EA-9B18-4786-9569-2B423CF17BE7}" name="Observación / Comentario" dataDxfId="32"/>
    <tableColumn id="28" xr3:uid="{2C0C6A77-14CA-49FC-9646-F06D34129022}" name="Columna1" dataDxfId="31"/>
    <tableColumn id="29" xr3:uid="{E132F68E-581F-4817-9FC1-97411BBD1A73}" name="Columna2" dataDxfId="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B0CE69-F5E6-4104-9167-6D4FBBD390AE}" name="Tabla2" displayName="Tabla2" ref="A1:N120" totalsRowCount="1" headerRowDxfId="29" dataDxfId="28">
  <autoFilter ref="A1:N119" xr:uid="{F24F0478-99A7-4475-B3AD-BEA72B949F5E}"/>
  <tableColumns count="14">
    <tableColumn id="1" xr3:uid="{B998749B-F980-47D5-8F9B-20ADDE4D8FC2}" name="Empresa" dataDxfId="26" totalsRowDxfId="27"/>
    <tableColumn id="2" xr3:uid="{C2231704-AFA7-4E14-810B-733DC394DA12}" name="Usuarios" totalsRowFunction="custom" dataDxfId="24" totalsRowDxfId="25">
      <totalsRowFormula>SUM(Tabla2[Usuarios])</totalsRowFormula>
    </tableColumn>
    <tableColumn id="3" xr3:uid="{B3CA0906-B7F4-46E7-BC63-05CB0F2E73EB}" name="Prioridad" dataDxfId="22" totalsRowDxfId="23"/>
    <tableColumn id="4" xr3:uid="{B34D1977-973D-4A1A-90DD-EB94114E8CBD}" name="Inicio Fecha Proyectada" dataDxfId="20" totalsRowDxfId="21"/>
    <tableColumn id="5" xr3:uid="{6F3DBE57-60FC-4AF9-A042-7321F4219DC1}" name="Fin Fecha Proyectada" dataDxfId="18" totalsRowDxfId="19"/>
    <tableColumn id="12" xr3:uid="{8299EC9F-41ED-4693-8521-9F3BE8F9C363}" name="Fin Fecha Real" dataDxfId="16" totalsRowDxfId="17" dataCellStyle="Normal 2"/>
    <tableColumn id="6" xr3:uid="{4146D7C2-D08C-45E7-9B09-6DE443B56214}" name="Fase" dataDxfId="14" totalsRowDxfId="15"/>
    <tableColumn id="7" xr3:uid="{93CD799E-C736-4007-AD00-8314B306829B}" name="Asignados" dataDxfId="12" totalsRowDxfId="13"/>
    <tableColumn id="14" xr3:uid="{3F2C17C6-8E2C-44EE-8310-7CE66DF00C5B}" name="Usuarios Certificados (Estructuras)" totalsRowFunction="custom" dataDxfId="10" totalsRowDxfId="11" dataCellStyle="Normal 2">
      <totalsRowFormula>SUM(Tabla2[Usuarios Certificados (Estructuras)])</totalsRowFormula>
    </tableColumn>
    <tableColumn id="9" xr3:uid="{9713FC98-94D3-45E1-9E1E-BD0D12578938}" name="Estado ESTRUCTURAS" dataDxfId="8" totalsRowDxfId="9" dataCellStyle="Normal 2"/>
    <tableColumn id="8" xr3:uid="{5103D687-642B-4102-B860-4C02E7F210B5}" name="Estado ROLES" dataDxfId="6" totalsRowDxfId="7"/>
    <tableColumn id="15" xr3:uid="{398A4CC4-D9C3-4DF0-BCF9-9F80D566F0A0}" name="Usuarios Asociados al Rol" totalsRowFunction="custom" dataDxfId="4" totalsRowDxfId="5" dataCellStyle="Normal 2">
      <totalsRowFormula>SUM(Tabla2[Usuarios Asociados al Rol])</totalsRowFormula>
    </tableColumn>
    <tableColumn id="11" xr3:uid="{D3ACED72-4F81-40DE-8353-268CDCC54DC9}" name="Roles creados" dataDxfId="2" totalsRowDxfId="3"/>
    <tableColumn id="10" xr3:uid="{78675EF4-3799-4FB4-9F8F-4FE6ED8D1254}" name="Observación / Cometnario" dataDxfId="0" totalsRowDxfId="1"/>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6-07-31T17:00:32.53" personId="{F7AC8C87-B54B-41B0-A8C9-5B1903E5F467}" id="{B88C476E-1C86-4014-AB80-1AB9D6C9A300}">
    <text>Conocido como Fullstack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68095-6D11-4FC0-A0C3-9EE1E95EF83D}">
  <dimension ref="A1:T147"/>
  <sheetViews>
    <sheetView topLeftCell="A138" zoomScale="75" zoomScaleNormal="75" workbookViewId="0">
      <selection activeCell="E15" sqref="E15"/>
    </sheetView>
  </sheetViews>
  <sheetFormatPr defaultColWidth="11.42578125" defaultRowHeight="15" outlineLevelRow="1"/>
  <cols>
    <col min="1" max="1" width="24.28515625" style="1" customWidth="1"/>
    <col min="2" max="2" width="27.28515625" style="1" bestFit="1" customWidth="1"/>
    <col min="3" max="3" width="55.7109375" style="1" customWidth="1"/>
    <col min="4" max="4" width="47.7109375" style="1" customWidth="1"/>
    <col min="5" max="5" width="103.5703125" style="1" customWidth="1"/>
    <col min="6" max="6" width="21.28515625" style="1" customWidth="1"/>
    <col min="7" max="7" width="18.28515625" style="1" customWidth="1"/>
    <col min="8" max="8" width="24" style="1" customWidth="1"/>
    <col min="9" max="9" width="25.7109375" style="1" customWidth="1"/>
    <col min="10" max="10" width="16.140625" style="1" customWidth="1"/>
    <col min="11" max="11" width="16" style="1" customWidth="1"/>
    <col min="12" max="12" width="17.140625" style="1" customWidth="1"/>
    <col min="13" max="13" width="15.7109375" style="1" customWidth="1"/>
    <col min="14" max="14" width="18.7109375" style="1" customWidth="1"/>
    <col min="15" max="15" width="24.28515625" style="1" customWidth="1"/>
    <col min="16" max="16" width="15.7109375" style="1" customWidth="1"/>
    <col min="17" max="17" width="13.28515625" style="1" customWidth="1"/>
    <col min="18" max="18" width="17.85546875" style="1" customWidth="1"/>
    <col min="19" max="19" width="11.42578125" style="1"/>
    <col min="20" max="20" width="84.28515625" style="1" customWidth="1"/>
    <col min="21" max="16384" width="11.42578125" style="1"/>
  </cols>
  <sheetData>
    <row r="1" spans="1:20" ht="30">
      <c r="A1" s="305" t="s">
        <v>0</v>
      </c>
      <c r="B1" s="298" t="s">
        <v>1</v>
      </c>
      <c r="C1" s="302" t="s">
        <v>2</v>
      </c>
      <c r="D1" s="302" t="s">
        <v>3</v>
      </c>
      <c r="E1" s="302" t="s">
        <v>4</v>
      </c>
      <c r="F1" s="302" t="s">
        <v>5</v>
      </c>
      <c r="G1" s="13" t="s">
        <v>6</v>
      </c>
      <c r="H1" s="304" t="s">
        <v>7</v>
      </c>
      <c r="I1" s="302" t="s">
        <v>8</v>
      </c>
      <c r="J1" s="13" t="s">
        <v>9</v>
      </c>
      <c r="K1" s="300" t="s">
        <v>10</v>
      </c>
      <c r="L1" s="300" t="s">
        <v>11</v>
      </c>
      <c r="M1" s="300" t="s">
        <v>12</v>
      </c>
      <c r="N1" s="300" t="s">
        <v>13</v>
      </c>
      <c r="O1" s="300" t="s">
        <v>14</v>
      </c>
      <c r="P1" s="296" t="s">
        <v>15</v>
      </c>
      <c r="Q1" s="15" t="s">
        <v>16</v>
      </c>
      <c r="R1" s="296" t="s">
        <v>17</v>
      </c>
      <c r="S1" s="294" t="s">
        <v>18</v>
      </c>
      <c r="T1" s="298" t="s">
        <v>19</v>
      </c>
    </row>
    <row r="2" spans="1:20" ht="30">
      <c r="A2" s="306"/>
      <c r="B2" s="299"/>
      <c r="C2" s="303"/>
      <c r="D2" s="303"/>
      <c r="E2" s="303"/>
      <c r="F2" s="303"/>
      <c r="G2" s="12" t="s">
        <v>4</v>
      </c>
      <c r="H2" s="304"/>
      <c r="I2" s="303"/>
      <c r="J2" s="12" t="s">
        <v>20</v>
      </c>
      <c r="K2" s="301"/>
      <c r="L2" s="301"/>
      <c r="M2" s="301"/>
      <c r="N2" s="301"/>
      <c r="O2" s="301"/>
      <c r="P2" s="297"/>
      <c r="Q2" s="14" t="s">
        <v>21</v>
      </c>
      <c r="R2" s="297"/>
      <c r="S2" s="295"/>
      <c r="T2" s="299"/>
    </row>
    <row r="3" spans="1:20" s="48" customFormat="1">
      <c r="A3" s="40" t="s">
        <v>22</v>
      </c>
      <c r="B3" s="41" t="s">
        <v>23</v>
      </c>
      <c r="C3" s="42" t="s">
        <v>24</v>
      </c>
      <c r="D3" s="42" t="s">
        <v>25</v>
      </c>
      <c r="E3" s="43" t="s">
        <v>26</v>
      </c>
      <c r="F3" s="44"/>
      <c r="G3" s="44"/>
      <c r="H3" s="45" t="s">
        <v>27</v>
      </c>
      <c r="I3" s="45" t="s">
        <v>28</v>
      </c>
      <c r="J3" s="45" t="s">
        <v>29</v>
      </c>
      <c r="K3" s="46">
        <v>0.25</v>
      </c>
      <c r="L3" s="46">
        <v>0.25</v>
      </c>
      <c r="M3" s="46">
        <v>0.25</v>
      </c>
      <c r="N3" s="45" t="s">
        <v>30</v>
      </c>
      <c r="O3" s="42" t="s">
        <v>31</v>
      </c>
      <c r="P3" s="45"/>
      <c r="Q3" s="45" t="s">
        <v>28</v>
      </c>
      <c r="R3" s="42" t="s">
        <v>32</v>
      </c>
      <c r="S3" s="46">
        <v>1</v>
      </c>
      <c r="T3" s="47" t="s">
        <v>33</v>
      </c>
    </row>
    <row r="4" spans="1:20" s="48" customFormat="1">
      <c r="A4" s="40" t="s">
        <v>22</v>
      </c>
      <c r="B4" s="41" t="s">
        <v>23</v>
      </c>
      <c r="C4" s="42" t="s">
        <v>34</v>
      </c>
      <c r="D4" s="42" t="s">
        <v>25</v>
      </c>
      <c r="E4" s="43" t="s">
        <v>35</v>
      </c>
      <c r="F4" s="44"/>
      <c r="G4" s="44"/>
      <c r="H4" s="45" t="s">
        <v>36</v>
      </c>
      <c r="I4" s="45" t="s">
        <v>28</v>
      </c>
      <c r="J4" s="45" t="s">
        <v>29</v>
      </c>
      <c r="K4" s="46">
        <v>0</v>
      </c>
      <c r="L4" s="46">
        <v>0</v>
      </c>
      <c r="M4" s="46">
        <v>0.25</v>
      </c>
      <c r="N4" s="45" t="s">
        <v>30</v>
      </c>
      <c r="O4" s="42" t="s">
        <v>31</v>
      </c>
      <c r="P4" s="45"/>
      <c r="Q4" s="45" t="s">
        <v>28</v>
      </c>
      <c r="R4" s="42" t="s">
        <v>37</v>
      </c>
      <c r="S4" s="46">
        <v>0.5</v>
      </c>
      <c r="T4" s="50" t="s">
        <v>38</v>
      </c>
    </row>
    <row r="5" spans="1:20" s="48" customFormat="1">
      <c r="A5" s="40" t="s">
        <v>22</v>
      </c>
      <c r="B5" s="41" t="s">
        <v>23</v>
      </c>
      <c r="C5" s="42" t="s">
        <v>39</v>
      </c>
      <c r="D5" s="42" t="s">
        <v>40</v>
      </c>
      <c r="E5" s="43" t="s">
        <v>41</v>
      </c>
      <c r="F5" s="44"/>
      <c r="G5" s="44"/>
      <c r="H5" s="45" t="s">
        <v>42</v>
      </c>
      <c r="I5" s="45" t="s">
        <v>28</v>
      </c>
      <c r="J5" s="45" t="s">
        <v>43</v>
      </c>
      <c r="K5" s="46">
        <v>0.25</v>
      </c>
      <c r="L5" s="46">
        <v>0</v>
      </c>
      <c r="M5" s="46">
        <v>0.25</v>
      </c>
      <c r="N5" s="45" t="s">
        <v>31</v>
      </c>
      <c r="O5" s="42" t="s">
        <v>44</v>
      </c>
      <c r="P5" s="45"/>
      <c r="Q5" s="45" t="s">
        <v>28</v>
      </c>
      <c r="R5" s="42" t="s">
        <v>32</v>
      </c>
      <c r="S5" s="46">
        <v>0.75</v>
      </c>
      <c r="T5" s="51" t="s">
        <v>45</v>
      </c>
    </row>
    <row r="6" spans="1:20" s="48" customFormat="1">
      <c r="A6" s="40" t="s">
        <v>22</v>
      </c>
      <c r="B6" s="41" t="s">
        <v>23</v>
      </c>
      <c r="C6" s="42" t="s">
        <v>39</v>
      </c>
      <c r="D6" s="42" t="s">
        <v>25</v>
      </c>
      <c r="E6" s="43" t="s">
        <v>46</v>
      </c>
      <c r="F6" s="44"/>
      <c r="G6" s="44"/>
      <c r="H6" s="45" t="s">
        <v>36</v>
      </c>
      <c r="I6" s="45" t="s">
        <v>28</v>
      </c>
      <c r="J6" s="45" t="s">
        <v>29</v>
      </c>
      <c r="K6" s="46">
        <v>0.25</v>
      </c>
      <c r="L6" s="46">
        <v>0.25</v>
      </c>
      <c r="M6" s="46">
        <v>0.25</v>
      </c>
      <c r="N6" s="45" t="s">
        <v>30</v>
      </c>
      <c r="O6" s="42" t="s">
        <v>31</v>
      </c>
      <c r="P6" s="45"/>
      <c r="Q6" s="45" t="s">
        <v>28</v>
      </c>
      <c r="R6" s="42" t="s">
        <v>37</v>
      </c>
      <c r="S6" s="46">
        <v>1</v>
      </c>
      <c r="T6" s="51" t="s">
        <v>47</v>
      </c>
    </row>
    <row r="7" spans="1:20" s="48" customFormat="1">
      <c r="A7" s="40" t="s">
        <v>22</v>
      </c>
      <c r="B7" s="41" t="s">
        <v>23</v>
      </c>
      <c r="C7" s="42" t="s">
        <v>39</v>
      </c>
      <c r="D7" s="42" t="s">
        <v>25</v>
      </c>
      <c r="E7" s="43" t="s">
        <v>48</v>
      </c>
      <c r="F7" s="44"/>
      <c r="G7" s="44"/>
      <c r="H7" s="45" t="s">
        <v>36</v>
      </c>
      <c r="I7" s="45" t="s">
        <v>28</v>
      </c>
      <c r="J7" s="45" t="s">
        <v>29</v>
      </c>
      <c r="K7" s="46">
        <v>0.25</v>
      </c>
      <c r="L7" s="46">
        <v>0.25</v>
      </c>
      <c r="M7" s="46">
        <v>0.25</v>
      </c>
      <c r="N7" s="45" t="s">
        <v>30</v>
      </c>
      <c r="O7" s="42" t="s">
        <v>31</v>
      </c>
      <c r="P7" s="45"/>
      <c r="Q7" s="45" t="s">
        <v>28</v>
      </c>
      <c r="R7" s="42" t="s">
        <v>37</v>
      </c>
      <c r="S7" s="46">
        <v>1</v>
      </c>
      <c r="T7" s="51" t="s">
        <v>49</v>
      </c>
    </row>
    <row r="8" spans="1:20" s="48" customFormat="1">
      <c r="A8" s="40" t="s">
        <v>22</v>
      </c>
      <c r="B8" s="41" t="s">
        <v>23</v>
      </c>
      <c r="C8" s="42" t="s">
        <v>39</v>
      </c>
      <c r="D8" s="42" t="s">
        <v>25</v>
      </c>
      <c r="E8" s="43" t="s">
        <v>50</v>
      </c>
      <c r="F8" s="44"/>
      <c r="G8" s="44"/>
      <c r="H8" s="45" t="s">
        <v>36</v>
      </c>
      <c r="I8" s="45" t="s">
        <v>28</v>
      </c>
      <c r="J8" s="45" t="s">
        <v>43</v>
      </c>
      <c r="K8" s="46">
        <v>0</v>
      </c>
      <c r="L8" s="46">
        <v>0.25</v>
      </c>
      <c r="M8" s="46">
        <v>0.25</v>
      </c>
      <c r="N8" s="45" t="s">
        <v>30</v>
      </c>
      <c r="O8" s="42" t="s">
        <v>31</v>
      </c>
      <c r="P8" s="45"/>
      <c r="Q8" s="45" t="s">
        <v>28</v>
      </c>
      <c r="R8" s="42" t="s">
        <v>37</v>
      </c>
      <c r="S8" s="46">
        <v>0.75</v>
      </c>
      <c r="T8" s="50" t="s">
        <v>51</v>
      </c>
    </row>
    <row r="9" spans="1:20" s="48" customFormat="1" ht="27">
      <c r="A9" s="40" t="s">
        <v>22</v>
      </c>
      <c r="B9" s="41" t="s">
        <v>23</v>
      </c>
      <c r="C9" s="42" t="s">
        <v>52</v>
      </c>
      <c r="D9" s="42" t="s">
        <v>53</v>
      </c>
      <c r="E9" s="43" t="s">
        <v>54</v>
      </c>
      <c r="F9" s="44"/>
      <c r="G9" s="44"/>
      <c r="H9" s="45" t="s">
        <v>36</v>
      </c>
      <c r="I9" s="45" t="s">
        <v>28</v>
      </c>
      <c r="J9" s="45" t="s">
        <v>29</v>
      </c>
      <c r="K9" s="46">
        <v>0.25</v>
      </c>
      <c r="L9" s="46">
        <v>0</v>
      </c>
      <c r="M9" s="46">
        <v>0.25</v>
      </c>
      <c r="N9" s="45" t="s">
        <v>31</v>
      </c>
      <c r="O9" s="42" t="s">
        <v>55</v>
      </c>
      <c r="P9" s="45"/>
      <c r="Q9" s="45" t="s">
        <v>28</v>
      </c>
      <c r="R9" s="42" t="s">
        <v>56</v>
      </c>
      <c r="S9" s="46">
        <v>0.75</v>
      </c>
      <c r="T9" s="50" t="s">
        <v>57</v>
      </c>
    </row>
    <row r="10" spans="1:20" s="29" customFormat="1">
      <c r="A10" s="26" t="s">
        <v>22</v>
      </c>
      <c r="B10" s="27" t="s">
        <v>23</v>
      </c>
      <c r="C10" s="28" t="s">
        <v>24</v>
      </c>
      <c r="D10" s="28" t="s">
        <v>25</v>
      </c>
      <c r="E10" s="49" t="s">
        <v>58</v>
      </c>
      <c r="F10" s="28"/>
      <c r="G10" s="49"/>
      <c r="H10" s="32" t="s">
        <v>27</v>
      </c>
      <c r="I10" s="32"/>
      <c r="J10" s="32" t="s">
        <v>29</v>
      </c>
      <c r="K10" s="33"/>
      <c r="L10" s="33"/>
      <c r="M10" s="33"/>
      <c r="N10" s="32" t="s">
        <v>30</v>
      </c>
      <c r="O10" s="28" t="s">
        <v>31</v>
      </c>
      <c r="P10" s="32"/>
      <c r="Q10" s="32" t="s">
        <v>28</v>
      </c>
      <c r="R10" s="28" t="s">
        <v>32</v>
      </c>
      <c r="S10" s="33"/>
      <c r="T10" s="34" t="s">
        <v>59</v>
      </c>
    </row>
    <row r="11" spans="1:20" s="29" customFormat="1">
      <c r="A11" s="26" t="s">
        <v>22</v>
      </c>
      <c r="B11" s="27" t="s">
        <v>23</v>
      </c>
      <c r="C11" s="28" t="s">
        <v>24</v>
      </c>
      <c r="D11" s="28" t="s">
        <v>53</v>
      </c>
      <c r="E11" s="49" t="s">
        <v>60</v>
      </c>
      <c r="F11" s="49"/>
      <c r="G11" s="49"/>
      <c r="H11" s="54"/>
      <c r="I11" s="32"/>
      <c r="J11" s="32"/>
      <c r="K11" s="33"/>
      <c r="L11" s="33"/>
      <c r="M11" s="33"/>
      <c r="N11" s="32"/>
      <c r="O11" s="28"/>
      <c r="P11" s="32"/>
      <c r="Q11" s="32"/>
      <c r="R11" s="28"/>
      <c r="S11" s="33"/>
      <c r="T11" s="34"/>
    </row>
    <row r="12" spans="1:20" s="29" customFormat="1" ht="27" outlineLevel="1">
      <c r="A12" s="26"/>
      <c r="B12" s="27"/>
      <c r="C12" s="28"/>
      <c r="D12" s="28"/>
      <c r="E12" s="49" t="s">
        <v>61</v>
      </c>
      <c r="F12" s="49"/>
      <c r="G12" s="49"/>
      <c r="H12" s="32" t="s">
        <v>27</v>
      </c>
      <c r="I12" s="32"/>
      <c r="J12" s="32"/>
      <c r="K12" s="33"/>
      <c r="L12" s="33"/>
      <c r="M12" s="33"/>
      <c r="N12" s="28" t="s">
        <v>31</v>
      </c>
      <c r="O12" s="28" t="s">
        <v>62</v>
      </c>
      <c r="P12" s="32"/>
      <c r="Q12" s="32" t="s">
        <v>28</v>
      </c>
      <c r="R12" s="28"/>
      <c r="S12" s="33"/>
      <c r="T12" s="34"/>
    </row>
    <row r="13" spans="1:20" s="29" customFormat="1" ht="27" outlineLevel="1">
      <c r="A13" s="26"/>
      <c r="B13" s="27"/>
      <c r="C13" s="28"/>
      <c r="D13" s="28"/>
      <c r="E13" s="49" t="s">
        <v>63</v>
      </c>
      <c r="F13" s="49"/>
      <c r="G13" s="49"/>
      <c r="H13" s="32" t="s">
        <v>27</v>
      </c>
      <c r="I13" s="32"/>
      <c r="J13" s="32"/>
      <c r="K13" s="33"/>
      <c r="L13" s="33"/>
      <c r="M13" s="33"/>
      <c r="N13" s="28" t="s">
        <v>31</v>
      </c>
      <c r="O13" s="28" t="s">
        <v>62</v>
      </c>
      <c r="P13" s="32"/>
      <c r="Q13" s="32" t="s">
        <v>28</v>
      </c>
      <c r="R13" s="28"/>
      <c r="S13" s="33"/>
      <c r="T13" s="34"/>
    </row>
    <row r="14" spans="1:20" s="29" customFormat="1" outlineLevel="1">
      <c r="A14" s="26"/>
      <c r="B14" s="27"/>
      <c r="C14" s="28"/>
      <c r="D14" s="28"/>
      <c r="E14" s="49" t="s">
        <v>64</v>
      </c>
      <c r="F14" s="49"/>
      <c r="G14" s="49"/>
      <c r="H14" s="32" t="s">
        <v>27</v>
      </c>
      <c r="I14" s="32"/>
      <c r="J14" s="32"/>
      <c r="K14" s="33"/>
      <c r="L14" s="33"/>
      <c r="M14" s="33"/>
      <c r="N14" s="28" t="s">
        <v>31</v>
      </c>
      <c r="O14" s="28" t="s">
        <v>65</v>
      </c>
      <c r="P14" s="32"/>
      <c r="Q14" s="32" t="s">
        <v>28</v>
      </c>
      <c r="R14" s="28"/>
      <c r="S14" s="33"/>
      <c r="T14" s="34"/>
    </row>
    <row r="15" spans="1:20" s="29" customFormat="1" outlineLevel="1">
      <c r="A15" s="26"/>
      <c r="B15" s="27"/>
      <c r="C15" s="28"/>
      <c r="D15" s="28"/>
      <c r="E15" s="49" t="s">
        <v>66</v>
      </c>
      <c r="F15" s="49"/>
      <c r="G15" s="49"/>
      <c r="H15" s="32" t="s">
        <v>27</v>
      </c>
      <c r="I15" s="32"/>
      <c r="J15" s="32"/>
      <c r="K15" s="33"/>
      <c r="L15" s="33"/>
      <c r="M15" s="33"/>
      <c r="N15" s="28" t="s">
        <v>31</v>
      </c>
      <c r="O15" s="28" t="s">
        <v>67</v>
      </c>
      <c r="P15" s="32"/>
      <c r="Q15" s="32" t="s">
        <v>28</v>
      </c>
      <c r="R15" s="28"/>
      <c r="S15" s="33"/>
      <c r="T15" s="34"/>
    </row>
    <row r="16" spans="1:20" s="29" customFormat="1" outlineLevel="1">
      <c r="A16" s="26"/>
      <c r="B16" s="27"/>
      <c r="C16" s="28"/>
      <c r="D16" s="28"/>
      <c r="E16" s="49" t="s">
        <v>68</v>
      </c>
      <c r="F16" s="49"/>
      <c r="G16" s="49"/>
      <c r="H16" s="32" t="s">
        <v>27</v>
      </c>
      <c r="I16" s="32"/>
      <c r="J16" s="32"/>
      <c r="K16" s="33"/>
      <c r="L16" s="33"/>
      <c r="M16" s="33"/>
      <c r="N16" s="28" t="s">
        <v>31</v>
      </c>
      <c r="O16" s="28" t="s">
        <v>37</v>
      </c>
      <c r="P16" s="32"/>
      <c r="Q16" s="32" t="s">
        <v>28</v>
      </c>
      <c r="R16" s="28"/>
      <c r="S16" s="33"/>
      <c r="T16" s="34"/>
    </row>
    <row r="17" spans="1:20" s="29" customFormat="1" outlineLevel="1">
      <c r="A17" s="26"/>
      <c r="B17" s="27"/>
      <c r="C17" s="28"/>
      <c r="D17" s="28"/>
      <c r="E17" s="49" t="s">
        <v>69</v>
      </c>
      <c r="F17" s="49"/>
      <c r="G17" s="49"/>
      <c r="H17" s="32" t="s">
        <v>27</v>
      </c>
      <c r="I17" s="32"/>
      <c r="J17" s="32"/>
      <c r="K17" s="33"/>
      <c r="L17" s="33"/>
      <c r="M17" s="33"/>
      <c r="N17" s="28" t="s">
        <v>31</v>
      </c>
      <c r="O17" s="28" t="s">
        <v>70</v>
      </c>
      <c r="P17" s="32"/>
      <c r="Q17" s="32" t="s">
        <v>28</v>
      </c>
      <c r="R17" s="28"/>
      <c r="S17" s="33"/>
      <c r="T17" s="34"/>
    </row>
    <row r="18" spans="1:20" s="29" customFormat="1" ht="27" outlineLevel="1">
      <c r="A18" s="26"/>
      <c r="B18" s="27"/>
      <c r="C18" s="28"/>
      <c r="D18" s="28"/>
      <c r="E18" s="49" t="s">
        <v>71</v>
      </c>
      <c r="F18" s="49"/>
      <c r="G18" s="49"/>
      <c r="H18" s="32" t="s">
        <v>27</v>
      </c>
      <c r="I18" s="32"/>
      <c r="J18" s="32"/>
      <c r="K18" s="33"/>
      <c r="L18" s="33"/>
      <c r="M18" s="33"/>
      <c r="N18" s="28" t="s">
        <v>31</v>
      </c>
      <c r="O18" s="28" t="s">
        <v>72</v>
      </c>
      <c r="P18" s="32"/>
      <c r="Q18" s="32" t="s">
        <v>28</v>
      </c>
      <c r="R18" s="28"/>
      <c r="S18" s="33"/>
      <c r="T18" s="34"/>
    </row>
    <row r="19" spans="1:20" s="29" customFormat="1" outlineLevel="1">
      <c r="A19" s="26"/>
      <c r="B19" s="27"/>
      <c r="C19" s="28"/>
      <c r="D19" s="28"/>
      <c r="E19" s="49" t="s">
        <v>73</v>
      </c>
      <c r="F19" s="49"/>
      <c r="G19" s="49"/>
      <c r="H19" s="32" t="s">
        <v>27</v>
      </c>
      <c r="I19" s="32"/>
      <c r="J19" s="32"/>
      <c r="K19" s="33"/>
      <c r="L19" s="33"/>
      <c r="M19" s="33"/>
      <c r="N19" s="28" t="s">
        <v>31</v>
      </c>
      <c r="O19" s="28" t="s">
        <v>65</v>
      </c>
      <c r="P19" s="32"/>
      <c r="Q19" s="32" t="s">
        <v>28</v>
      </c>
      <c r="R19" s="28"/>
      <c r="S19" s="33"/>
      <c r="T19" s="34"/>
    </row>
    <row r="20" spans="1:20" s="29" customFormat="1" outlineLevel="1">
      <c r="A20" s="26"/>
      <c r="B20" s="27"/>
      <c r="C20" s="28"/>
      <c r="D20" s="28"/>
      <c r="E20" s="49" t="s">
        <v>74</v>
      </c>
      <c r="F20" s="49"/>
      <c r="G20" s="49"/>
      <c r="H20" s="32" t="s">
        <v>27</v>
      </c>
      <c r="I20" s="32"/>
      <c r="J20" s="32"/>
      <c r="K20" s="33"/>
      <c r="L20" s="33"/>
      <c r="M20" s="33"/>
      <c r="N20" s="28" t="s">
        <v>31</v>
      </c>
      <c r="O20" s="28" t="s">
        <v>65</v>
      </c>
      <c r="P20" s="32"/>
      <c r="Q20" s="32" t="s">
        <v>28</v>
      </c>
      <c r="R20" s="28"/>
      <c r="S20" s="33"/>
      <c r="T20" s="34"/>
    </row>
    <row r="21" spans="1:20" s="29" customFormat="1" outlineLevel="1">
      <c r="A21" s="26"/>
      <c r="B21" s="27"/>
      <c r="C21" s="28"/>
      <c r="D21" s="28"/>
      <c r="E21" s="49" t="s">
        <v>75</v>
      </c>
      <c r="F21" s="49"/>
      <c r="G21" s="49"/>
      <c r="H21" s="32" t="s">
        <v>27</v>
      </c>
      <c r="I21" s="32"/>
      <c r="J21" s="32"/>
      <c r="K21" s="33"/>
      <c r="L21" s="33"/>
      <c r="M21" s="33"/>
      <c r="N21" s="28" t="s">
        <v>31</v>
      </c>
      <c r="O21" s="28" t="s">
        <v>37</v>
      </c>
      <c r="P21" s="32"/>
      <c r="Q21" s="32" t="s">
        <v>28</v>
      </c>
      <c r="R21" s="28"/>
      <c r="S21" s="33"/>
      <c r="T21" s="34"/>
    </row>
    <row r="22" spans="1:20" s="29" customFormat="1" outlineLevel="1">
      <c r="A22" s="26"/>
      <c r="B22" s="27"/>
      <c r="C22" s="28"/>
      <c r="D22" s="28"/>
      <c r="E22" s="49" t="s">
        <v>76</v>
      </c>
      <c r="F22" s="49"/>
      <c r="G22" s="49"/>
      <c r="H22" s="32" t="s">
        <v>27</v>
      </c>
      <c r="I22" s="32"/>
      <c r="J22" s="32"/>
      <c r="K22" s="33"/>
      <c r="L22" s="33"/>
      <c r="M22" s="33"/>
      <c r="N22" s="28" t="s">
        <v>31</v>
      </c>
      <c r="O22" s="28" t="s">
        <v>77</v>
      </c>
      <c r="P22" s="32"/>
      <c r="Q22" s="32" t="s">
        <v>28</v>
      </c>
      <c r="R22" s="28"/>
      <c r="S22" s="33"/>
      <c r="T22" s="34"/>
    </row>
    <row r="23" spans="1:20" s="29" customFormat="1" outlineLevel="1">
      <c r="A23" s="26"/>
      <c r="B23" s="27"/>
      <c r="C23" s="28"/>
      <c r="D23" s="28"/>
      <c r="E23" s="49" t="s">
        <v>78</v>
      </c>
      <c r="F23" s="49"/>
      <c r="G23" s="49"/>
      <c r="H23" s="32" t="s">
        <v>27</v>
      </c>
      <c r="I23" s="32"/>
      <c r="J23" s="32"/>
      <c r="K23" s="33"/>
      <c r="L23" s="33"/>
      <c r="M23" s="33"/>
      <c r="N23" s="28" t="s">
        <v>31</v>
      </c>
      <c r="O23" s="28" t="s">
        <v>65</v>
      </c>
      <c r="P23" s="32"/>
      <c r="Q23" s="32" t="s">
        <v>28</v>
      </c>
      <c r="R23" s="28"/>
      <c r="S23" s="33"/>
      <c r="T23" s="34"/>
    </row>
    <row r="24" spans="1:20" s="29" customFormat="1">
      <c r="A24" s="26" t="s">
        <v>22</v>
      </c>
      <c r="B24" s="27" t="s">
        <v>23</v>
      </c>
      <c r="C24" s="28" t="s">
        <v>24</v>
      </c>
      <c r="D24" s="28" t="s">
        <v>25</v>
      </c>
      <c r="E24" s="16" t="s">
        <v>79</v>
      </c>
      <c r="F24" s="31"/>
      <c r="G24" s="31"/>
      <c r="H24" s="32" t="s">
        <v>27</v>
      </c>
      <c r="I24" s="32"/>
      <c r="J24" s="32" t="s">
        <v>29</v>
      </c>
      <c r="K24" s="33"/>
      <c r="L24" s="33"/>
      <c r="M24" s="33"/>
      <c r="N24" s="32" t="s">
        <v>30</v>
      </c>
      <c r="O24" s="28" t="s">
        <v>31</v>
      </c>
      <c r="P24" s="32"/>
      <c r="Q24" s="32" t="s">
        <v>28</v>
      </c>
      <c r="R24" s="28" t="s">
        <v>32</v>
      </c>
      <c r="S24" s="33"/>
      <c r="T24" s="34"/>
    </row>
    <row r="25" spans="1:20" s="29" customFormat="1">
      <c r="A25" s="26" t="s">
        <v>22</v>
      </c>
      <c r="B25" s="27" t="s">
        <v>23</v>
      </c>
      <c r="C25" s="28" t="s">
        <v>24</v>
      </c>
      <c r="D25" s="28" t="s">
        <v>25</v>
      </c>
      <c r="E25" s="39" t="s">
        <v>80</v>
      </c>
      <c r="F25" s="49"/>
      <c r="G25" s="34"/>
      <c r="H25" s="32" t="s">
        <v>27</v>
      </c>
      <c r="I25" s="49"/>
      <c r="J25" s="32" t="s">
        <v>29</v>
      </c>
      <c r="K25" s="49"/>
      <c r="L25" s="49"/>
      <c r="M25" s="49"/>
      <c r="N25" s="32" t="s">
        <v>30</v>
      </c>
      <c r="O25" s="28" t="s">
        <v>31</v>
      </c>
      <c r="P25" s="54"/>
      <c r="Q25" s="32" t="s">
        <v>28</v>
      </c>
      <c r="R25" s="28" t="s">
        <v>37</v>
      </c>
      <c r="S25" s="33"/>
      <c r="T25" s="54"/>
    </row>
    <row r="26" spans="1:20" s="29" customFormat="1" outlineLevel="1">
      <c r="A26" s="26"/>
      <c r="B26" s="27"/>
      <c r="C26" s="28"/>
      <c r="D26" s="28"/>
      <c r="E26" s="39" t="s">
        <v>81</v>
      </c>
      <c r="F26" s="54"/>
      <c r="G26" s="54"/>
      <c r="H26" s="32" t="s">
        <v>27</v>
      </c>
      <c r="I26" s="49"/>
      <c r="J26" s="32" t="s">
        <v>29</v>
      </c>
      <c r="K26" s="49"/>
      <c r="L26" s="49"/>
      <c r="M26" s="49"/>
      <c r="N26" s="32" t="s">
        <v>30</v>
      </c>
      <c r="O26" s="28" t="s">
        <v>31</v>
      </c>
      <c r="P26" s="54"/>
      <c r="Q26" s="32" t="s">
        <v>28</v>
      </c>
      <c r="R26" s="28" t="s">
        <v>37</v>
      </c>
      <c r="S26" s="33"/>
      <c r="T26" s="54"/>
    </row>
    <row r="27" spans="1:20" s="29" customFormat="1" outlineLevel="1">
      <c r="A27" s="26"/>
      <c r="B27" s="27"/>
      <c r="C27" s="28"/>
      <c r="D27" s="28"/>
      <c r="E27" s="39" t="s">
        <v>82</v>
      </c>
      <c r="F27" s="49"/>
      <c r="G27" s="34"/>
      <c r="H27" s="32" t="s">
        <v>27</v>
      </c>
      <c r="I27" s="49"/>
      <c r="J27" s="32" t="s">
        <v>29</v>
      </c>
      <c r="K27" s="49"/>
      <c r="L27" s="49"/>
      <c r="M27" s="49"/>
      <c r="N27" s="32" t="s">
        <v>31</v>
      </c>
      <c r="O27" s="28" t="s">
        <v>37</v>
      </c>
      <c r="P27" s="54"/>
      <c r="Q27" s="32" t="s">
        <v>28</v>
      </c>
      <c r="R27" s="28" t="s">
        <v>32</v>
      </c>
      <c r="S27" s="33"/>
      <c r="T27" s="54"/>
    </row>
    <row r="28" spans="1:20" s="29" customFormat="1">
      <c r="A28" s="26" t="s">
        <v>22</v>
      </c>
      <c r="B28" s="27" t="s">
        <v>23</v>
      </c>
      <c r="C28" s="28" t="s">
        <v>83</v>
      </c>
      <c r="D28" s="28" t="s">
        <v>53</v>
      </c>
      <c r="E28" s="49" t="s">
        <v>84</v>
      </c>
      <c r="F28" s="49"/>
      <c r="G28" s="49"/>
      <c r="H28" s="32" t="s">
        <v>27</v>
      </c>
      <c r="I28" s="32"/>
      <c r="J28" s="32" t="s">
        <v>29</v>
      </c>
      <c r="K28" s="33"/>
      <c r="L28" s="33"/>
      <c r="M28" s="33"/>
      <c r="N28" s="32" t="s">
        <v>31</v>
      </c>
      <c r="O28" s="28" t="s">
        <v>37</v>
      </c>
      <c r="P28" s="54"/>
      <c r="Q28" s="32" t="s">
        <v>28</v>
      </c>
      <c r="R28" s="28" t="s">
        <v>32</v>
      </c>
      <c r="S28" s="54"/>
      <c r="T28" s="54"/>
    </row>
    <row r="29" spans="1:20" s="29" customFormat="1">
      <c r="A29" s="26"/>
      <c r="B29" s="27"/>
      <c r="C29" s="28"/>
      <c r="D29" s="28"/>
      <c r="E29" s="60" t="s">
        <v>85</v>
      </c>
      <c r="F29" s="49"/>
      <c r="G29" s="49"/>
      <c r="H29" s="32"/>
      <c r="I29" s="32"/>
      <c r="J29" s="32"/>
      <c r="K29" s="33"/>
      <c r="L29" s="33"/>
      <c r="M29" s="33"/>
      <c r="N29" s="32"/>
      <c r="O29" s="28"/>
      <c r="P29" s="54"/>
      <c r="Q29" s="32"/>
      <c r="R29" s="28"/>
      <c r="S29" s="54"/>
      <c r="T29" s="54"/>
    </row>
    <row r="30" spans="1:20" s="29" customFormat="1" ht="27">
      <c r="A30" s="26" t="s">
        <v>22</v>
      </c>
      <c r="B30" s="27" t="s">
        <v>23</v>
      </c>
      <c r="C30" s="28" t="s">
        <v>83</v>
      </c>
      <c r="D30" s="28" t="s">
        <v>86</v>
      </c>
      <c r="E30" s="39" t="s">
        <v>87</v>
      </c>
      <c r="F30" s="49"/>
      <c r="G30" s="49"/>
      <c r="H30" s="32"/>
      <c r="I30" s="32"/>
      <c r="J30" s="32"/>
      <c r="K30" s="33"/>
      <c r="L30" s="33"/>
      <c r="M30" s="33"/>
      <c r="N30" s="32"/>
      <c r="O30" s="28"/>
      <c r="P30" s="32"/>
      <c r="Q30" s="32"/>
      <c r="R30" s="28"/>
      <c r="S30" s="33"/>
      <c r="T30" s="34"/>
    </row>
    <row r="31" spans="1:20" s="29" customFormat="1" ht="40.5" outlineLevel="1">
      <c r="A31" s="54"/>
      <c r="B31" s="54"/>
      <c r="C31" s="54"/>
      <c r="D31" s="49"/>
      <c r="E31" s="39" t="s">
        <v>88</v>
      </c>
      <c r="F31" s="49"/>
      <c r="G31" s="49"/>
      <c r="H31" s="32" t="s">
        <v>89</v>
      </c>
      <c r="I31" s="32"/>
      <c r="J31" s="32" t="s">
        <v>90</v>
      </c>
      <c r="K31" s="33"/>
      <c r="L31" s="33"/>
      <c r="M31" s="33"/>
      <c r="N31" s="32" t="s">
        <v>31</v>
      </c>
      <c r="O31" s="28" t="s">
        <v>70</v>
      </c>
      <c r="P31" s="32"/>
      <c r="Q31" s="32" t="s">
        <v>28</v>
      </c>
      <c r="R31" s="28" t="s">
        <v>67</v>
      </c>
      <c r="S31" s="33"/>
      <c r="T31" s="34"/>
    </row>
    <row r="32" spans="1:20" s="29" customFormat="1" outlineLevel="1">
      <c r="A32" s="54"/>
      <c r="B32" s="54"/>
      <c r="C32" s="54"/>
      <c r="D32" s="49"/>
      <c r="E32" s="39" t="s">
        <v>91</v>
      </c>
      <c r="F32" s="49"/>
      <c r="G32" s="49"/>
      <c r="H32" s="32" t="s">
        <v>89</v>
      </c>
      <c r="I32" s="32"/>
      <c r="J32" s="32" t="s">
        <v>29</v>
      </c>
      <c r="K32" s="33"/>
      <c r="L32" s="33"/>
      <c r="M32" s="33"/>
      <c r="N32" s="32" t="s">
        <v>31</v>
      </c>
      <c r="O32" s="28" t="s">
        <v>70</v>
      </c>
      <c r="P32" s="32"/>
      <c r="Q32" s="32" t="s">
        <v>28</v>
      </c>
      <c r="R32" s="28" t="s">
        <v>67</v>
      </c>
      <c r="S32" s="33"/>
      <c r="T32" s="34"/>
    </row>
    <row r="33" spans="1:20" s="29" customFormat="1" ht="108" outlineLevel="1">
      <c r="A33" s="54"/>
      <c r="B33" s="54"/>
      <c r="C33" s="54"/>
      <c r="D33" s="49"/>
      <c r="E33" s="39" t="s">
        <v>92</v>
      </c>
      <c r="F33" s="49"/>
      <c r="G33" s="49"/>
      <c r="H33" s="32" t="s">
        <v>89</v>
      </c>
      <c r="I33" s="32"/>
      <c r="J33" s="32" t="s">
        <v>90</v>
      </c>
      <c r="K33" s="33"/>
      <c r="L33" s="33"/>
      <c r="M33" s="33"/>
      <c r="N33" s="32" t="s">
        <v>31</v>
      </c>
      <c r="O33" s="28" t="s">
        <v>93</v>
      </c>
      <c r="P33" s="32"/>
      <c r="Q33" s="32" t="s">
        <v>28</v>
      </c>
      <c r="R33" s="28" t="s">
        <v>23</v>
      </c>
      <c r="S33" s="33"/>
      <c r="T33" s="34"/>
    </row>
    <row r="34" spans="1:20" s="29" customFormat="1" ht="94.5" outlineLevel="1">
      <c r="A34" s="54"/>
      <c r="B34" s="54"/>
      <c r="C34" s="54"/>
      <c r="D34" s="49"/>
      <c r="E34" s="49" t="s">
        <v>94</v>
      </c>
      <c r="F34" s="49"/>
      <c r="G34" s="49"/>
      <c r="H34" s="32" t="s">
        <v>89</v>
      </c>
      <c r="I34" s="32"/>
      <c r="J34" s="32" t="s">
        <v>90</v>
      </c>
      <c r="K34" s="49"/>
      <c r="L34" s="49"/>
      <c r="M34" s="49"/>
      <c r="N34" s="28" t="s">
        <v>31</v>
      </c>
      <c r="O34" s="28" t="s">
        <v>93</v>
      </c>
      <c r="P34" s="54"/>
      <c r="Q34" s="32" t="s">
        <v>28</v>
      </c>
      <c r="R34" s="28" t="s">
        <v>23</v>
      </c>
      <c r="S34" s="33"/>
      <c r="T34" s="54"/>
    </row>
    <row r="35" spans="1:20" s="29" customFormat="1" outlineLevel="1">
      <c r="A35" s="54"/>
      <c r="B35" s="54"/>
      <c r="C35" s="54"/>
      <c r="D35" s="49"/>
      <c r="E35" s="39" t="s">
        <v>95</v>
      </c>
      <c r="F35" s="49"/>
      <c r="G35" s="49"/>
      <c r="H35" s="32" t="s">
        <v>89</v>
      </c>
      <c r="I35" s="32"/>
      <c r="J35" s="32" t="s">
        <v>29</v>
      </c>
      <c r="K35" s="33"/>
      <c r="L35" s="33"/>
      <c r="M35" s="33"/>
      <c r="N35" s="32" t="s">
        <v>31</v>
      </c>
      <c r="O35" s="28" t="s">
        <v>70</v>
      </c>
      <c r="P35" s="32"/>
      <c r="Q35" s="32" t="s">
        <v>28</v>
      </c>
      <c r="R35" s="28" t="s">
        <v>67</v>
      </c>
      <c r="S35" s="33"/>
      <c r="T35" s="34"/>
    </row>
    <row r="36" spans="1:20" s="29" customFormat="1" outlineLevel="1">
      <c r="A36" s="54"/>
      <c r="B36" s="54"/>
      <c r="C36" s="54"/>
      <c r="D36" s="49"/>
      <c r="E36" s="39" t="s">
        <v>96</v>
      </c>
      <c r="F36" s="49"/>
      <c r="G36" s="49"/>
      <c r="H36" s="32" t="s">
        <v>89</v>
      </c>
      <c r="I36" s="32"/>
      <c r="J36" s="32" t="s">
        <v>29</v>
      </c>
      <c r="K36" s="33"/>
      <c r="L36" s="33"/>
      <c r="M36" s="33"/>
      <c r="N36" s="32" t="s">
        <v>31</v>
      </c>
      <c r="O36" s="28" t="s">
        <v>44</v>
      </c>
      <c r="P36" s="32"/>
      <c r="Q36" s="32" t="s">
        <v>28</v>
      </c>
      <c r="R36" s="28" t="s">
        <v>67</v>
      </c>
      <c r="S36" s="33"/>
      <c r="T36" s="34"/>
    </row>
    <row r="37" spans="1:20" s="29" customFormat="1" outlineLevel="1">
      <c r="A37" s="54"/>
      <c r="B37" s="54"/>
      <c r="C37" s="54"/>
      <c r="D37" s="49"/>
      <c r="E37" s="49" t="s">
        <v>97</v>
      </c>
      <c r="F37" s="49"/>
      <c r="G37" s="49"/>
      <c r="H37" s="32" t="s">
        <v>89</v>
      </c>
      <c r="I37" s="49"/>
      <c r="J37" s="28" t="s">
        <v>29</v>
      </c>
      <c r="K37" s="49"/>
      <c r="L37" s="49"/>
      <c r="M37" s="49"/>
      <c r="N37" s="28" t="s">
        <v>31</v>
      </c>
      <c r="O37" s="28" t="s">
        <v>32</v>
      </c>
      <c r="P37" s="54"/>
      <c r="Q37" s="32" t="s">
        <v>28</v>
      </c>
      <c r="R37" s="28" t="s">
        <v>67</v>
      </c>
      <c r="S37" s="33"/>
      <c r="T37" s="54"/>
    </row>
    <row r="38" spans="1:20" s="29" customFormat="1" outlineLevel="1">
      <c r="A38" s="54"/>
      <c r="B38" s="54"/>
      <c r="C38" s="54"/>
      <c r="D38" s="49"/>
      <c r="E38" s="49" t="s">
        <v>98</v>
      </c>
      <c r="F38" s="49"/>
      <c r="G38" s="49"/>
      <c r="H38" s="32" t="s">
        <v>89</v>
      </c>
      <c r="I38" s="49"/>
      <c r="J38" s="28" t="s">
        <v>29</v>
      </c>
      <c r="K38" s="49"/>
      <c r="L38" s="49"/>
      <c r="M38" s="49"/>
      <c r="N38" s="28" t="s">
        <v>31</v>
      </c>
      <c r="O38" s="28" t="s">
        <v>32</v>
      </c>
      <c r="P38" s="54"/>
      <c r="Q38" s="32" t="s">
        <v>28</v>
      </c>
      <c r="R38" s="28" t="s">
        <v>67</v>
      </c>
      <c r="S38" s="33"/>
      <c r="T38" s="54"/>
    </row>
    <row r="39" spans="1:20" s="29" customFormat="1" outlineLevel="1">
      <c r="A39" s="54"/>
      <c r="B39" s="54"/>
      <c r="C39" s="54"/>
      <c r="D39" s="49"/>
      <c r="E39" s="39" t="s">
        <v>99</v>
      </c>
      <c r="F39" s="49"/>
      <c r="G39" s="49"/>
      <c r="H39" s="32" t="s">
        <v>89</v>
      </c>
      <c r="I39" s="49"/>
      <c r="J39" s="28" t="s">
        <v>29</v>
      </c>
      <c r="K39" s="49"/>
      <c r="L39" s="49"/>
      <c r="M39" s="49"/>
      <c r="N39" s="28" t="s">
        <v>31</v>
      </c>
      <c r="O39" s="28" t="s">
        <v>37</v>
      </c>
      <c r="P39" s="54"/>
      <c r="Q39" s="32" t="s">
        <v>28</v>
      </c>
      <c r="R39" s="28" t="s">
        <v>70</v>
      </c>
      <c r="S39" s="33"/>
      <c r="T39" s="54"/>
    </row>
    <row r="40" spans="1:20" s="29" customFormat="1" ht="108" outlineLevel="1">
      <c r="A40" s="54"/>
      <c r="B40" s="54"/>
      <c r="C40" s="54"/>
      <c r="D40" s="49"/>
      <c r="E40" s="39" t="s">
        <v>100</v>
      </c>
      <c r="F40" s="49"/>
      <c r="G40" s="49"/>
      <c r="H40" s="32" t="s">
        <v>89</v>
      </c>
      <c r="I40" s="32"/>
      <c r="J40" s="32" t="s">
        <v>101</v>
      </c>
      <c r="K40" s="33"/>
      <c r="L40" s="33"/>
      <c r="M40" s="33"/>
      <c r="N40" s="32" t="s">
        <v>31</v>
      </c>
      <c r="O40" s="28" t="s">
        <v>23</v>
      </c>
      <c r="P40" s="32"/>
      <c r="Q40" s="32" t="s">
        <v>28</v>
      </c>
      <c r="R40" s="28" t="s">
        <v>23</v>
      </c>
      <c r="S40" s="33"/>
      <c r="T40" s="34"/>
    </row>
    <row r="41" spans="1:20" s="29" customFormat="1" ht="27">
      <c r="A41" s="26" t="s">
        <v>22</v>
      </c>
      <c r="B41" s="27" t="s">
        <v>23</v>
      </c>
      <c r="C41" s="28" t="s">
        <v>83</v>
      </c>
      <c r="D41" s="28" t="s">
        <v>86</v>
      </c>
      <c r="E41" s="39" t="s">
        <v>102</v>
      </c>
      <c r="F41" s="49"/>
      <c r="G41" s="34"/>
      <c r="H41" s="49"/>
      <c r="I41" s="32"/>
      <c r="J41" s="32"/>
      <c r="K41" s="33"/>
      <c r="L41" s="33"/>
      <c r="M41" s="33"/>
      <c r="N41" s="49"/>
      <c r="O41" s="28"/>
      <c r="P41" s="54"/>
      <c r="Q41" s="32"/>
      <c r="R41" s="28"/>
      <c r="S41" s="33"/>
      <c r="T41" s="54"/>
    </row>
    <row r="42" spans="1:20" ht="27" outlineLevel="1">
      <c r="A42" s="58"/>
      <c r="B42" s="58"/>
      <c r="C42" s="58"/>
      <c r="D42" s="37"/>
      <c r="E42" s="39" t="s">
        <v>103</v>
      </c>
      <c r="F42" s="49"/>
      <c r="G42" s="49"/>
      <c r="H42" s="32" t="s">
        <v>27</v>
      </c>
      <c r="I42" s="49"/>
      <c r="J42" s="32" t="s">
        <v>29</v>
      </c>
      <c r="K42" s="49"/>
      <c r="L42" s="49"/>
      <c r="M42" s="49"/>
      <c r="N42" s="32" t="s">
        <v>31</v>
      </c>
      <c r="O42" s="28" t="s">
        <v>104</v>
      </c>
      <c r="P42" s="58"/>
      <c r="Q42" s="32" t="s">
        <v>28</v>
      </c>
      <c r="R42" s="28"/>
      <c r="S42" s="33"/>
      <c r="T42" s="28"/>
    </row>
    <row r="43" spans="1:20" ht="27" outlineLevel="1">
      <c r="A43" s="58"/>
      <c r="B43" s="58"/>
      <c r="C43" s="58"/>
      <c r="D43" s="37"/>
      <c r="E43" s="39" t="s">
        <v>105</v>
      </c>
      <c r="F43" s="49"/>
      <c r="G43" s="49"/>
      <c r="H43" s="32" t="s">
        <v>27</v>
      </c>
      <c r="I43" s="49"/>
      <c r="J43" s="32" t="s">
        <v>29</v>
      </c>
      <c r="K43" s="49"/>
      <c r="L43" s="49"/>
      <c r="M43" s="49"/>
      <c r="N43" s="32" t="s">
        <v>31</v>
      </c>
      <c r="O43" s="28" t="s">
        <v>104</v>
      </c>
      <c r="P43" s="58"/>
      <c r="Q43" s="32" t="s">
        <v>28</v>
      </c>
      <c r="R43" s="28"/>
      <c r="S43" s="33"/>
      <c r="T43" s="28"/>
    </row>
    <row r="44" spans="1:20" outlineLevel="1">
      <c r="A44" s="58"/>
      <c r="B44" s="58"/>
      <c r="C44" s="58"/>
      <c r="D44" s="37"/>
      <c r="E44" s="39" t="s">
        <v>106</v>
      </c>
      <c r="F44" s="49"/>
      <c r="G44" s="49"/>
      <c r="H44" s="32" t="s">
        <v>27</v>
      </c>
      <c r="I44" s="49"/>
      <c r="J44" s="32" t="s">
        <v>29</v>
      </c>
      <c r="K44" s="49"/>
      <c r="L44" s="49"/>
      <c r="M44" s="49"/>
      <c r="N44" s="32" t="s">
        <v>31</v>
      </c>
      <c r="O44" s="28" t="s">
        <v>32</v>
      </c>
      <c r="P44" s="58"/>
      <c r="Q44" s="32" t="s">
        <v>28</v>
      </c>
      <c r="R44" s="28"/>
      <c r="S44" s="33"/>
      <c r="T44" s="28"/>
    </row>
    <row r="45" spans="1:20" outlineLevel="1">
      <c r="A45" s="58"/>
      <c r="B45" s="58"/>
      <c r="C45" s="58"/>
      <c r="D45" s="37"/>
      <c r="E45" s="39" t="s">
        <v>107</v>
      </c>
      <c r="F45" s="49"/>
      <c r="G45" s="49"/>
      <c r="H45" s="32" t="s">
        <v>27</v>
      </c>
      <c r="I45" s="49"/>
      <c r="J45" s="32" t="s">
        <v>90</v>
      </c>
      <c r="K45" s="49"/>
      <c r="L45" s="49"/>
      <c r="M45" s="49"/>
      <c r="N45" s="32" t="s">
        <v>31</v>
      </c>
      <c r="O45" s="28" t="s">
        <v>37</v>
      </c>
      <c r="P45" s="58"/>
      <c r="Q45" s="32" t="s">
        <v>28</v>
      </c>
      <c r="R45" s="28"/>
      <c r="S45" s="33"/>
      <c r="T45" s="28"/>
    </row>
    <row r="46" spans="1:20" outlineLevel="1">
      <c r="A46" s="58"/>
      <c r="B46" s="58"/>
      <c r="C46" s="58"/>
      <c r="D46" s="37"/>
      <c r="E46" s="39" t="s">
        <v>108</v>
      </c>
      <c r="F46" s="49"/>
      <c r="G46" s="49"/>
      <c r="H46" s="32" t="s">
        <v>27</v>
      </c>
      <c r="I46" s="49"/>
      <c r="J46" s="32" t="s">
        <v>29</v>
      </c>
      <c r="K46" s="49"/>
      <c r="L46" s="49"/>
      <c r="M46" s="49"/>
      <c r="N46" s="32" t="s">
        <v>31</v>
      </c>
      <c r="O46" s="28" t="s">
        <v>23</v>
      </c>
      <c r="P46" s="58"/>
      <c r="Q46" s="28" t="s">
        <v>28</v>
      </c>
      <c r="R46" s="28"/>
      <c r="S46" s="28"/>
      <c r="T46" s="28"/>
    </row>
    <row r="47" spans="1:20" ht="27" outlineLevel="1">
      <c r="A47" s="58"/>
      <c r="B47" s="58"/>
      <c r="C47" s="58"/>
      <c r="D47" s="37"/>
      <c r="E47" s="39" t="s">
        <v>109</v>
      </c>
      <c r="F47" s="49"/>
      <c r="G47" s="49"/>
      <c r="H47" s="32" t="s">
        <v>27</v>
      </c>
      <c r="I47" s="49"/>
      <c r="J47" s="32" t="s">
        <v>101</v>
      </c>
      <c r="K47" s="49"/>
      <c r="L47" s="49"/>
      <c r="M47" s="49"/>
      <c r="N47" s="32" t="s">
        <v>31</v>
      </c>
      <c r="O47" s="28" t="s">
        <v>110</v>
      </c>
      <c r="P47" s="58"/>
      <c r="Q47" s="28" t="s">
        <v>28</v>
      </c>
      <c r="R47" s="28"/>
      <c r="S47" s="28"/>
      <c r="T47" s="28"/>
    </row>
    <row r="48" spans="1:20" ht="27" outlineLevel="1">
      <c r="A48" s="58"/>
      <c r="B48" s="58"/>
      <c r="C48" s="58"/>
      <c r="D48" s="37"/>
      <c r="E48" s="39" t="s">
        <v>111</v>
      </c>
      <c r="F48" s="49"/>
      <c r="G48" s="49"/>
      <c r="H48" s="32" t="s">
        <v>27</v>
      </c>
      <c r="I48" s="49"/>
      <c r="J48" s="32" t="s">
        <v>29</v>
      </c>
      <c r="K48" s="49"/>
      <c r="L48" s="49"/>
      <c r="M48" s="49"/>
      <c r="N48" s="32" t="s">
        <v>31</v>
      </c>
      <c r="O48" s="28" t="s">
        <v>112</v>
      </c>
      <c r="P48" s="58"/>
      <c r="Q48" s="28" t="s">
        <v>28</v>
      </c>
      <c r="R48" s="28"/>
      <c r="S48" s="28"/>
      <c r="T48" s="28"/>
    </row>
    <row r="49" spans="1:20" outlineLevel="1">
      <c r="A49" s="22"/>
      <c r="B49" s="23"/>
      <c r="C49" s="24"/>
      <c r="D49" s="24"/>
      <c r="E49" s="49" t="s">
        <v>113</v>
      </c>
      <c r="F49" s="49"/>
      <c r="G49" s="49"/>
      <c r="H49" s="32" t="s">
        <v>89</v>
      </c>
      <c r="I49" s="32"/>
      <c r="J49" s="32" t="s">
        <v>29</v>
      </c>
      <c r="K49" s="33"/>
      <c r="L49" s="33"/>
      <c r="M49" s="33"/>
      <c r="N49" s="32" t="s">
        <v>31</v>
      </c>
      <c r="O49" s="28" t="s">
        <v>44</v>
      </c>
      <c r="P49" s="58"/>
      <c r="Q49" s="28" t="s">
        <v>28</v>
      </c>
      <c r="R49" s="28"/>
      <c r="S49" s="28"/>
      <c r="T49" s="28"/>
    </row>
    <row r="50" spans="1:20" outlineLevel="1">
      <c r="A50" s="58"/>
      <c r="B50" s="58"/>
      <c r="C50" s="58"/>
      <c r="D50" s="37"/>
      <c r="E50" s="34" t="s">
        <v>114</v>
      </c>
      <c r="F50" s="37"/>
      <c r="G50" s="37"/>
      <c r="H50" s="37"/>
      <c r="I50" s="37"/>
      <c r="J50" s="37"/>
      <c r="K50" s="37"/>
      <c r="L50" s="37"/>
      <c r="M50" s="37"/>
      <c r="N50" s="32" t="s">
        <v>31</v>
      </c>
      <c r="O50" s="28" t="s">
        <v>32</v>
      </c>
      <c r="P50" s="58"/>
      <c r="Q50" s="28" t="s">
        <v>28</v>
      </c>
      <c r="R50" s="28"/>
      <c r="S50" s="28"/>
      <c r="T50" s="28"/>
    </row>
    <row r="51" spans="1:20" outlineLevel="1">
      <c r="A51" s="58"/>
      <c r="B51" s="58"/>
      <c r="C51" s="58"/>
      <c r="D51" s="37"/>
      <c r="E51" s="34" t="s">
        <v>115</v>
      </c>
      <c r="F51" s="37"/>
      <c r="G51" s="37"/>
      <c r="H51" s="37"/>
      <c r="I51" s="37"/>
      <c r="J51" s="37"/>
      <c r="K51" s="37"/>
      <c r="L51" s="37"/>
      <c r="M51" s="37"/>
      <c r="N51" s="32" t="s">
        <v>31</v>
      </c>
      <c r="O51" s="28" t="s">
        <v>32</v>
      </c>
      <c r="P51" s="58"/>
      <c r="Q51" s="28" t="s">
        <v>28</v>
      </c>
      <c r="R51" s="28"/>
      <c r="S51" s="28"/>
      <c r="T51" s="28"/>
    </row>
    <row r="52" spans="1:20" outlineLevel="1">
      <c r="A52" s="58"/>
      <c r="B52" s="58"/>
      <c r="C52" s="58"/>
      <c r="D52" s="37"/>
      <c r="E52" s="34" t="s">
        <v>116</v>
      </c>
      <c r="F52" s="37"/>
      <c r="G52" s="37"/>
      <c r="H52" s="37"/>
      <c r="I52" s="37"/>
      <c r="J52" s="37"/>
      <c r="K52" s="37"/>
      <c r="L52" s="37"/>
      <c r="M52" s="37"/>
      <c r="N52" s="32" t="s">
        <v>31</v>
      </c>
      <c r="O52" s="28" t="s">
        <v>32</v>
      </c>
      <c r="P52" s="58"/>
      <c r="Q52" s="28" t="s">
        <v>28</v>
      </c>
      <c r="R52" s="28"/>
      <c r="S52" s="28"/>
      <c r="T52" s="28"/>
    </row>
    <row r="53" spans="1:20" outlineLevel="1">
      <c r="A53" s="58"/>
      <c r="B53" s="58"/>
      <c r="C53" s="58"/>
      <c r="D53" s="37"/>
      <c r="E53" s="34" t="s">
        <v>117</v>
      </c>
      <c r="F53" s="37"/>
      <c r="G53" s="37"/>
      <c r="H53" s="37"/>
      <c r="I53" s="37"/>
      <c r="J53" s="37"/>
      <c r="K53" s="37"/>
      <c r="L53" s="37"/>
      <c r="M53" s="37"/>
      <c r="N53" s="32"/>
      <c r="O53" s="28"/>
      <c r="P53" s="58"/>
      <c r="Q53" s="28"/>
      <c r="R53" s="28"/>
      <c r="S53" s="28"/>
      <c r="T53" s="28"/>
    </row>
    <row r="54" spans="1:20" outlineLevel="1">
      <c r="A54" s="58"/>
      <c r="B54" s="58"/>
      <c r="C54" s="58"/>
      <c r="D54" s="37"/>
      <c r="E54" s="34" t="s">
        <v>118</v>
      </c>
      <c r="F54" s="37"/>
      <c r="G54" s="37"/>
      <c r="H54" s="37"/>
      <c r="I54" s="37"/>
      <c r="J54" s="37"/>
      <c r="K54" s="37"/>
      <c r="L54" s="37"/>
      <c r="M54" s="37"/>
      <c r="N54" s="32"/>
      <c r="O54" s="28"/>
      <c r="P54" s="58"/>
      <c r="Q54" s="28"/>
      <c r="R54" s="28"/>
      <c r="S54" s="28"/>
      <c r="T54" s="28"/>
    </row>
    <row r="55" spans="1:20" s="29" customFormat="1">
      <c r="A55" s="26" t="s">
        <v>22</v>
      </c>
      <c r="B55" s="27" t="s">
        <v>23</v>
      </c>
      <c r="C55" s="28" t="s">
        <v>83</v>
      </c>
      <c r="D55" s="28" t="s">
        <v>53</v>
      </c>
      <c r="E55" s="39" t="s">
        <v>119</v>
      </c>
      <c r="F55" s="49"/>
      <c r="G55" s="49"/>
      <c r="H55" s="49"/>
      <c r="I55" s="49"/>
      <c r="J55" s="49"/>
      <c r="K55" s="49"/>
      <c r="L55" s="49"/>
      <c r="M55" s="49"/>
      <c r="N55" s="49"/>
      <c r="O55" s="49"/>
      <c r="P55" s="54"/>
      <c r="Q55" s="54"/>
      <c r="R55" s="54"/>
      <c r="S55" s="54"/>
      <c r="T55" s="54"/>
    </row>
    <row r="56" spans="1:20" s="29" customFormat="1" outlineLevel="1">
      <c r="A56" s="26"/>
      <c r="B56" s="27"/>
      <c r="C56" s="28"/>
      <c r="D56" s="28"/>
      <c r="E56" s="39" t="s">
        <v>120</v>
      </c>
      <c r="F56" s="49"/>
      <c r="G56" s="49"/>
      <c r="H56" s="32" t="s">
        <v>27</v>
      </c>
      <c r="I56" s="32"/>
      <c r="J56" s="32" t="s">
        <v>29</v>
      </c>
      <c r="K56" s="33"/>
      <c r="L56" s="33"/>
      <c r="M56" s="33"/>
      <c r="N56" s="32" t="s">
        <v>31</v>
      </c>
      <c r="O56" s="28" t="s">
        <v>65</v>
      </c>
      <c r="P56" s="54"/>
      <c r="Q56" s="32" t="s">
        <v>28</v>
      </c>
      <c r="R56" s="28" t="s">
        <v>70</v>
      </c>
      <c r="S56" s="54"/>
      <c r="T56" s="54"/>
    </row>
    <row r="57" spans="1:20" s="29" customFormat="1" outlineLevel="1">
      <c r="A57" s="26"/>
      <c r="B57" s="27"/>
      <c r="C57" s="28"/>
      <c r="D57" s="28"/>
      <c r="E57" s="49" t="s">
        <v>121</v>
      </c>
      <c r="F57" s="49"/>
      <c r="G57" s="49"/>
      <c r="H57" s="32" t="s">
        <v>27</v>
      </c>
      <c r="I57" s="32"/>
      <c r="J57" s="32" t="s">
        <v>29</v>
      </c>
      <c r="K57" s="33"/>
      <c r="L57" s="33"/>
      <c r="M57" s="33"/>
      <c r="N57" s="32" t="s">
        <v>31</v>
      </c>
      <c r="O57" s="28" t="s">
        <v>65</v>
      </c>
      <c r="P57" s="54"/>
      <c r="Q57" s="32" t="s">
        <v>28</v>
      </c>
      <c r="R57" s="28" t="s">
        <v>70</v>
      </c>
      <c r="S57" s="54"/>
      <c r="T57" s="54"/>
    </row>
    <row r="58" spans="1:20" s="29" customFormat="1" outlineLevel="1">
      <c r="A58" s="54"/>
      <c r="B58" s="54"/>
      <c r="C58" s="54"/>
      <c r="D58" s="49"/>
      <c r="E58" s="39" t="s">
        <v>122</v>
      </c>
      <c r="F58" s="49"/>
      <c r="G58" s="49"/>
      <c r="H58" s="32" t="s">
        <v>27</v>
      </c>
      <c r="I58" s="32"/>
      <c r="J58" s="32" t="s">
        <v>29</v>
      </c>
      <c r="K58" s="33"/>
      <c r="L58" s="33"/>
      <c r="M58" s="33"/>
      <c r="N58" s="32" t="s">
        <v>31</v>
      </c>
      <c r="O58" s="28" t="s">
        <v>65</v>
      </c>
      <c r="P58" s="54"/>
      <c r="Q58" s="32" t="s">
        <v>28</v>
      </c>
      <c r="R58" s="28" t="s">
        <v>70</v>
      </c>
      <c r="S58" s="54"/>
      <c r="T58" s="54"/>
    </row>
    <row r="59" spans="1:20" s="29" customFormat="1" outlineLevel="1">
      <c r="A59" s="54"/>
      <c r="B59" s="54"/>
      <c r="C59" s="54"/>
      <c r="D59" s="49"/>
      <c r="E59" s="39" t="s">
        <v>123</v>
      </c>
      <c r="F59" s="49"/>
      <c r="G59" s="49"/>
      <c r="H59" s="32" t="s">
        <v>27</v>
      </c>
      <c r="I59" s="32"/>
      <c r="J59" s="32" t="s">
        <v>29</v>
      </c>
      <c r="K59" s="33"/>
      <c r="L59" s="33"/>
      <c r="M59" s="33"/>
      <c r="N59" s="32" t="s">
        <v>31</v>
      </c>
      <c r="O59" s="28" t="s">
        <v>65</v>
      </c>
      <c r="P59" s="54"/>
      <c r="Q59" s="32" t="s">
        <v>28</v>
      </c>
      <c r="R59" s="28" t="s">
        <v>70</v>
      </c>
      <c r="S59" s="54"/>
      <c r="T59" s="54"/>
    </row>
    <row r="60" spans="1:20" s="29" customFormat="1" outlineLevel="1">
      <c r="A60" s="54"/>
      <c r="B60" s="54"/>
      <c r="C60" s="54"/>
      <c r="D60" s="49"/>
      <c r="E60" s="49" t="s">
        <v>124</v>
      </c>
      <c r="F60" s="49"/>
      <c r="G60" s="49"/>
      <c r="H60" s="32" t="s">
        <v>27</v>
      </c>
      <c r="I60" s="32"/>
      <c r="J60" s="32" t="s">
        <v>29</v>
      </c>
      <c r="K60" s="33"/>
      <c r="L60" s="33"/>
      <c r="M60" s="33"/>
      <c r="N60" s="32" t="s">
        <v>31</v>
      </c>
      <c r="O60" s="28" t="s">
        <v>65</v>
      </c>
      <c r="P60" s="54"/>
      <c r="Q60" s="32" t="s">
        <v>28</v>
      </c>
      <c r="R60" s="28" t="s">
        <v>70</v>
      </c>
      <c r="S60" s="54"/>
      <c r="T60" s="54"/>
    </row>
    <row r="61" spans="1:20" s="29" customFormat="1" outlineLevel="1">
      <c r="A61" s="54"/>
      <c r="B61" s="54"/>
      <c r="C61" s="54"/>
      <c r="D61" s="49"/>
      <c r="E61" s="49" t="s">
        <v>125</v>
      </c>
      <c r="F61" s="49"/>
      <c r="G61" s="49"/>
      <c r="H61" s="32" t="s">
        <v>27</v>
      </c>
      <c r="I61" s="32"/>
      <c r="J61" s="32" t="s">
        <v>29</v>
      </c>
      <c r="K61" s="33"/>
      <c r="L61" s="33"/>
      <c r="M61" s="33"/>
      <c r="N61" s="32" t="s">
        <v>31</v>
      </c>
      <c r="O61" s="28" t="s">
        <v>65</v>
      </c>
      <c r="P61" s="54"/>
      <c r="Q61" s="32" t="s">
        <v>28</v>
      </c>
      <c r="R61" s="28" t="s">
        <v>70</v>
      </c>
      <c r="S61" s="54"/>
      <c r="T61" s="54"/>
    </row>
    <row r="62" spans="1:20" s="29" customFormat="1" ht="27" outlineLevel="1">
      <c r="A62" s="54"/>
      <c r="B62" s="54"/>
      <c r="C62" s="54"/>
      <c r="D62" s="49"/>
      <c r="E62" s="49" t="s">
        <v>126</v>
      </c>
      <c r="F62" s="49"/>
      <c r="G62" s="49"/>
      <c r="H62" s="32" t="s">
        <v>27</v>
      </c>
      <c r="I62" s="32"/>
      <c r="J62" s="32" t="s">
        <v>29</v>
      </c>
      <c r="K62" s="33"/>
      <c r="L62" s="33"/>
      <c r="M62" s="33"/>
      <c r="N62" s="32" t="s">
        <v>31</v>
      </c>
      <c r="O62" s="28" t="s">
        <v>65</v>
      </c>
      <c r="P62" s="54"/>
      <c r="Q62" s="32" t="s">
        <v>28</v>
      </c>
      <c r="R62" s="28" t="s">
        <v>70</v>
      </c>
      <c r="S62" s="54"/>
      <c r="T62" s="54"/>
    </row>
    <row r="63" spans="1:20" s="29" customFormat="1">
      <c r="A63" s="26" t="s">
        <v>22</v>
      </c>
      <c r="B63" s="27" t="s">
        <v>23</v>
      </c>
      <c r="C63" s="28" t="s">
        <v>83</v>
      </c>
      <c r="D63" s="28" t="s">
        <v>53</v>
      </c>
      <c r="E63" s="49" t="s">
        <v>127</v>
      </c>
      <c r="F63" s="49"/>
      <c r="G63" s="49"/>
      <c r="H63" s="32" t="s">
        <v>27</v>
      </c>
      <c r="I63" s="32"/>
      <c r="J63" s="32" t="s">
        <v>29</v>
      </c>
      <c r="K63" s="33"/>
      <c r="L63" s="33"/>
      <c r="M63" s="33"/>
      <c r="N63" s="32" t="s">
        <v>31</v>
      </c>
      <c r="O63" s="28" t="s">
        <v>65</v>
      </c>
      <c r="P63" s="54"/>
      <c r="Q63" s="32" t="s">
        <v>28</v>
      </c>
      <c r="R63" s="28" t="s">
        <v>70</v>
      </c>
      <c r="S63" s="54"/>
      <c r="T63" s="54"/>
    </row>
    <row r="64" spans="1:20" s="29" customFormat="1">
      <c r="A64" s="26" t="s">
        <v>22</v>
      </c>
      <c r="B64" s="27" t="s">
        <v>23</v>
      </c>
      <c r="C64" s="28" t="s">
        <v>83</v>
      </c>
      <c r="D64" s="28" t="s">
        <v>53</v>
      </c>
      <c r="E64" s="49" t="s">
        <v>128</v>
      </c>
      <c r="F64" s="49"/>
      <c r="G64" s="49"/>
      <c r="H64" s="32" t="s">
        <v>27</v>
      </c>
      <c r="I64" s="32"/>
      <c r="J64" s="32" t="s">
        <v>29</v>
      </c>
      <c r="K64" s="33"/>
      <c r="L64" s="33"/>
      <c r="M64" s="33"/>
      <c r="N64" s="32" t="s">
        <v>31</v>
      </c>
      <c r="O64" s="28" t="s">
        <v>65</v>
      </c>
      <c r="P64" s="54"/>
      <c r="Q64" s="32" t="s">
        <v>28</v>
      </c>
      <c r="R64" s="28" t="s">
        <v>70</v>
      </c>
      <c r="S64" s="54"/>
      <c r="T64" s="54"/>
    </row>
    <row r="65" spans="1:20" s="54" customFormat="1" ht="27">
      <c r="A65" s="26" t="s">
        <v>22</v>
      </c>
      <c r="B65" s="27" t="s">
        <v>23</v>
      </c>
      <c r="C65" s="28" t="s">
        <v>83</v>
      </c>
      <c r="D65" s="28" t="s">
        <v>86</v>
      </c>
      <c r="E65" s="39" t="s">
        <v>129</v>
      </c>
      <c r="F65" s="49"/>
      <c r="G65" s="49"/>
    </row>
    <row r="66" spans="1:20" s="54" customFormat="1" outlineLevel="1">
      <c r="A66" s="55"/>
      <c r="B66" s="27"/>
      <c r="C66" s="28"/>
      <c r="D66" s="28"/>
      <c r="E66" s="39" t="s">
        <v>130</v>
      </c>
      <c r="F66" s="49"/>
      <c r="G66" s="49"/>
      <c r="H66" s="32" t="s">
        <v>27</v>
      </c>
      <c r="I66" s="32"/>
      <c r="J66" s="32" t="s">
        <v>29</v>
      </c>
      <c r="K66" s="33"/>
      <c r="L66" s="33"/>
      <c r="M66" s="33"/>
      <c r="N66" s="32" t="s">
        <v>31</v>
      </c>
      <c r="O66" s="28" t="s">
        <v>44</v>
      </c>
      <c r="Q66" s="32" t="s">
        <v>28</v>
      </c>
      <c r="R66" s="28" t="s">
        <v>32</v>
      </c>
    </row>
    <row r="67" spans="1:20" s="29" customFormat="1" ht="27" outlineLevel="1">
      <c r="A67" s="54"/>
      <c r="B67" s="54"/>
      <c r="C67" s="54"/>
      <c r="D67" s="49"/>
      <c r="E67" s="49" t="s">
        <v>131</v>
      </c>
      <c r="F67" s="49"/>
      <c r="G67" s="49"/>
      <c r="H67" s="32" t="s">
        <v>27</v>
      </c>
      <c r="I67" s="32"/>
      <c r="J67" s="32" t="s">
        <v>101</v>
      </c>
      <c r="K67" s="33"/>
      <c r="L67" s="33"/>
      <c r="M67" s="33"/>
      <c r="N67" s="32" t="s">
        <v>31</v>
      </c>
      <c r="O67" s="28" t="s">
        <v>132</v>
      </c>
      <c r="P67" s="54"/>
      <c r="Q67" s="32" t="s">
        <v>28</v>
      </c>
      <c r="R67" s="28" t="s">
        <v>32</v>
      </c>
      <c r="S67" s="54"/>
      <c r="T67" s="54"/>
    </row>
    <row r="68" spans="1:20" s="38" customFormat="1">
      <c r="A68" s="26" t="s">
        <v>22</v>
      </c>
      <c r="B68" s="27" t="s">
        <v>23</v>
      </c>
      <c r="C68" s="28" t="s">
        <v>83</v>
      </c>
      <c r="D68" s="28" t="s">
        <v>53</v>
      </c>
      <c r="E68" s="39" t="s">
        <v>133</v>
      </c>
      <c r="F68" s="49"/>
      <c r="G68" s="49"/>
      <c r="H68" s="32" t="s">
        <v>134</v>
      </c>
      <c r="I68" s="32"/>
      <c r="J68" s="32" t="s">
        <v>90</v>
      </c>
      <c r="K68" s="33"/>
      <c r="L68" s="33"/>
      <c r="M68" s="33"/>
      <c r="N68" s="32" t="s">
        <v>31</v>
      </c>
      <c r="O68" s="28" t="s">
        <v>32</v>
      </c>
      <c r="P68" s="54"/>
      <c r="Q68" s="32" t="s">
        <v>28</v>
      </c>
      <c r="R68" s="28" t="s">
        <v>37</v>
      </c>
    </row>
    <row r="69" spans="1:20" s="38" customFormat="1" outlineLevel="1">
      <c r="A69" s="26"/>
      <c r="B69" s="27"/>
      <c r="C69" s="28"/>
      <c r="D69" s="28"/>
      <c r="E69" s="39" t="s">
        <v>135</v>
      </c>
      <c r="F69" s="49"/>
      <c r="G69" s="49"/>
      <c r="H69" s="32"/>
      <c r="I69" s="32"/>
      <c r="J69" s="32"/>
      <c r="K69" s="33"/>
      <c r="L69" s="33"/>
      <c r="M69" s="33"/>
      <c r="N69" s="32"/>
      <c r="O69" s="54"/>
      <c r="P69" s="54"/>
      <c r="Q69" s="54"/>
      <c r="R69" s="54"/>
    </row>
    <row r="70" spans="1:20" s="29" customFormat="1" ht="54">
      <c r="A70" s="26" t="s">
        <v>22</v>
      </c>
      <c r="B70" s="27" t="s">
        <v>23</v>
      </c>
      <c r="C70" s="28" t="s">
        <v>83</v>
      </c>
      <c r="D70" s="28" t="s">
        <v>86</v>
      </c>
      <c r="E70" s="39" t="s">
        <v>136</v>
      </c>
      <c r="F70" s="49"/>
      <c r="G70" s="49"/>
      <c r="H70" s="32" t="s">
        <v>89</v>
      </c>
      <c r="I70" s="32"/>
      <c r="J70" s="32" t="s">
        <v>90</v>
      </c>
      <c r="K70" s="33"/>
      <c r="L70" s="33"/>
      <c r="M70" s="33"/>
      <c r="N70" s="32" t="s">
        <v>31</v>
      </c>
      <c r="O70" s="28" t="s">
        <v>137</v>
      </c>
      <c r="P70" s="54"/>
      <c r="Q70" s="32" t="s">
        <v>28</v>
      </c>
      <c r="R70" s="28" t="s">
        <v>32</v>
      </c>
      <c r="S70" s="54"/>
      <c r="T70" s="54"/>
    </row>
    <row r="71" spans="1:20" hidden="1" outlineLevel="1">
      <c r="A71" s="58"/>
      <c r="B71" s="58"/>
      <c r="C71" s="58"/>
      <c r="D71" s="37"/>
      <c r="E71" s="37" t="s">
        <v>138</v>
      </c>
      <c r="F71" s="37"/>
      <c r="G71" s="37"/>
      <c r="H71" s="37"/>
      <c r="I71" s="37"/>
      <c r="J71" s="37"/>
      <c r="K71" s="37"/>
      <c r="L71" s="37"/>
      <c r="M71" s="37"/>
      <c r="N71" s="37"/>
      <c r="O71" s="37"/>
      <c r="P71" s="58"/>
      <c r="Q71" s="58"/>
      <c r="R71" s="58"/>
      <c r="S71" s="58"/>
      <c r="T71" s="58"/>
    </row>
    <row r="72" spans="1:20" hidden="1" outlineLevel="1">
      <c r="A72" s="58"/>
      <c r="B72" s="58"/>
      <c r="C72" s="58"/>
      <c r="D72" s="37"/>
      <c r="E72" s="37" t="s">
        <v>139</v>
      </c>
      <c r="F72" s="37"/>
      <c r="G72" s="37"/>
      <c r="H72" s="37"/>
      <c r="I72" s="37"/>
      <c r="J72" s="37"/>
      <c r="K72" s="37"/>
      <c r="L72" s="37"/>
      <c r="M72" s="37"/>
      <c r="N72" s="37"/>
      <c r="O72" s="37"/>
      <c r="P72" s="58"/>
      <c r="Q72" s="58"/>
      <c r="R72" s="58"/>
      <c r="S72" s="58"/>
      <c r="T72" s="58"/>
    </row>
    <row r="73" spans="1:20" hidden="1" outlineLevel="1">
      <c r="A73" s="58"/>
      <c r="B73" s="58"/>
      <c r="C73" s="58"/>
      <c r="D73" s="37"/>
      <c r="E73" s="37" t="s">
        <v>140</v>
      </c>
      <c r="F73" s="37"/>
      <c r="G73" s="37"/>
      <c r="H73" s="37"/>
      <c r="I73" s="37"/>
      <c r="J73" s="37"/>
      <c r="K73" s="37"/>
      <c r="L73" s="37"/>
      <c r="M73" s="37"/>
      <c r="N73" s="37"/>
      <c r="O73" s="37"/>
      <c r="P73" s="58"/>
      <c r="Q73" s="58"/>
      <c r="R73" s="58"/>
      <c r="S73" s="58"/>
      <c r="T73" s="58"/>
    </row>
    <row r="74" spans="1:20" hidden="1" outlineLevel="1">
      <c r="A74" s="58"/>
      <c r="B74" s="58"/>
      <c r="C74" s="58"/>
      <c r="D74" s="37"/>
      <c r="E74" s="37" t="s">
        <v>141</v>
      </c>
      <c r="F74" s="37"/>
      <c r="G74" s="37"/>
      <c r="H74" s="37"/>
      <c r="I74" s="37"/>
      <c r="J74" s="37"/>
      <c r="K74" s="37"/>
      <c r="L74" s="37"/>
      <c r="M74" s="37"/>
      <c r="N74" s="37"/>
      <c r="O74" s="37"/>
      <c r="P74" s="58"/>
      <c r="Q74" s="58"/>
      <c r="R74" s="58"/>
      <c r="S74" s="58"/>
      <c r="T74" s="58"/>
    </row>
    <row r="75" spans="1:20" s="29" customFormat="1" collapsed="1">
      <c r="A75" s="26" t="s">
        <v>22</v>
      </c>
      <c r="B75" s="27" t="s">
        <v>23</v>
      </c>
      <c r="C75" s="28" t="s">
        <v>83</v>
      </c>
      <c r="D75" s="28" t="s">
        <v>40</v>
      </c>
      <c r="E75" s="39" t="s">
        <v>142</v>
      </c>
      <c r="F75" s="49"/>
      <c r="G75" s="49"/>
      <c r="H75" s="32"/>
      <c r="I75" s="32"/>
      <c r="J75" s="32"/>
      <c r="K75" s="33"/>
      <c r="L75" s="33"/>
      <c r="M75" s="33"/>
      <c r="N75" s="32"/>
      <c r="O75" s="28"/>
      <c r="P75" s="54"/>
      <c r="Q75" s="54"/>
      <c r="R75" s="54"/>
      <c r="S75" s="54"/>
      <c r="T75" s="54"/>
    </row>
    <row r="76" spans="1:20" s="29" customFormat="1" ht="27" outlineLevel="1">
      <c r="A76" s="54"/>
      <c r="B76" s="54"/>
      <c r="C76" s="54"/>
      <c r="D76" s="49"/>
      <c r="E76" s="49" t="s">
        <v>143</v>
      </c>
      <c r="F76" s="49"/>
      <c r="G76" s="49"/>
      <c r="H76" s="32" t="s">
        <v>89</v>
      </c>
      <c r="I76" s="32"/>
      <c r="J76" s="32" t="s">
        <v>101</v>
      </c>
      <c r="K76" s="49"/>
      <c r="L76" s="49"/>
      <c r="M76" s="49"/>
      <c r="N76" s="32" t="s">
        <v>31</v>
      </c>
      <c r="O76" s="28" t="s">
        <v>62</v>
      </c>
      <c r="P76" s="54"/>
      <c r="Q76" s="32" t="s">
        <v>28</v>
      </c>
      <c r="R76" s="28" t="s">
        <v>70</v>
      </c>
      <c r="S76" s="54"/>
      <c r="T76" s="54"/>
    </row>
    <row r="77" spans="1:20" s="29" customFormat="1" ht="27" outlineLevel="1">
      <c r="A77" s="54"/>
      <c r="B77" s="54"/>
      <c r="C77" s="54"/>
      <c r="D77" s="49"/>
      <c r="E77" s="49" t="s">
        <v>139</v>
      </c>
      <c r="F77" s="49"/>
      <c r="G77" s="49"/>
      <c r="H77" s="32" t="s">
        <v>89</v>
      </c>
      <c r="I77" s="32"/>
      <c r="J77" s="32" t="s">
        <v>101</v>
      </c>
      <c r="K77" s="49"/>
      <c r="L77" s="49"/>
      <c r="M77" s="49"/>
      <c r="N77" s="32" t="s">
        <v>31</v>
      </c>
      <c r="O77" s="28" t="s">
        <v>62</v>
      </c>
      <c r="P77" s="54"/>
      <c r="Q77" s="32" t="s">
        <v>28</v>
      </c>
      <c r="R77" s="28" t="s">
        <v>70</v>
      </c>
      <c r="S77" s="54"/>
      <c r="T77" s="54"/>
    </row>
    <row r="78" spans="1:20" s="29" customFormat="1" ht="27" outlineLevel="1">
      <c r="A78" s="54"/>
      <c r="B78" s="54"/>
      <c r="C78" s="54"/>
      <c r="D78" s="49"/>
      <c r="E78" s="49" t="s">
        <v>144</v>
      </c>
      <c r="F78" s="49"/>
      <c r="G78" s="49"/>
      <c r="H78" s="32" t="s">
        <v>89</v>
      </c>
      <c r="I78" s="32"/>
      <c r="J78" s="32" t="s">
        <v>101</v>
      </c>
      <c r="K78" s="49"/>
      <c r="L78" s="49"/>
      <c r="M78" s="49"/>
      <c r="N78" s="32" t="s">
        <v>31</v>
      </c>
      <c r="O78" s="28" t="s">
        <v>62</v>
      </c>
      <c r="P78" s="54"/>
      <c r="Q78" s="32" t="s">
        <v>28</v>
      </c>
      <c r="R78" s="28" t="s">
        <v>70</v>
      </c>
      <c r="S78" s="54"/>
      <c r="T78" s="54"/>
    </row>
    <row r="79" spans="1:20" s="29" customFormat="1" ht="27" outlineLevel="1">
      <c r="A79" s="54"/>
      <c r="B79" s="54"/>
      <c r="C79" s="54"/>
      <c r="D79" s="49"/>
      <c r="E79" s="49" t="s">
        <v>145</v>
      </c>
      <c r="F79" s="49"/>
      <c r="G79" s="49"/>
      <c r="H79" s="32" t="s">
        <v>89</v>
      </c>
      <c r="I79" s="32"/>
      <c r="J79" s="32" t="s">
        <v>101</v>
      </c>
      <c r="K79" s="49"/>
      <c r="L79" s="49"/>
      <c r="M79" s="49"/>
      <c r="N79" s="32" t="s">
        <v>31</v>
      </c>
      <c r="O79" s="28" t="s">
        <v>62</v>
      </c>
      <c r="P79" s="54"/>
      <c r="Q79" s="32" t="s">
        <v>28</v>
      </c>
      <c r="R79" s="28" t="s">
        <v>70</v>
      </c>
      <c r="S79" s="54"/>
      <c r="T79" s="54"/>
    </row>
    <row r="80" spans="1:20" s="29" customFormat="1" ht="27" outlineLevel="1">
      <c r="A80" s="54"/>
      <c r="B80" s="54"/>
      <c r="C80" s="54"/>
      <c r="D80" s="49"/>
      <c r="E80" s="49" t="s">
        <v>146</v>
      </c>
      <c r="F80" s="49"/>
      <c r="G80" s="49"/>
      <c r="H80" s="32" t="s">
        <v>89</v>
      </c>
      <c r="I80" s="32"/>
      <c r="J80" s="32" t="s">
        <v>101</v>
      </c>
      <c r="K80" s="49"/>
      <c r="L80" s="49"/>
      <c r="M80" s="49"/>
      <c r="N80" s="32" t="s">
        <v>31</v>
      </c>
      <c r="O80" s="28" t="s">
        <v>62</v>
      </c>
      <c r="P80" s="54"/>
      <c r="Q80" s="32" t="s">
        <v>28</v>
      </c>
      <c r="R80" s="28" t="s">
        <v>70</v>
      </c>
      <c r="S80" s="54"/>
      <c r="T80" s="54"/>
    </row>
    <row r="81" spans="1:20" s="5" customFormat="1" outlineLevel="1">
      <c r="A81" s="52"/>
      <c r="B81" s="17"/>
      <c r="C81" s="19"/>
      <c r="D81" s="19"/>
      <c r="E81" s="49" t="s">
        <v>147</v>
      </c>
      <c r="F81" s="53"/>
      <c r="G81" s="53"/>
      <c r="H81" s="32" t="s">
        <v>89</v>
      </c>
      <c r="I81" s="32"/>
      <c r="J81" s="32" t="s">
        <v>101</v>
      </c>
      <c r="K81" s="18"/>
      <c r="L81" s="18"/>
      <c r="M81" s="18"/>
      <c r="N81" s="32" t="s">
        <v>31</v>
      </c>
      <c r="O81" s="28" t="s">
        <v>148</v>
      </c>
      <c r="P81" s="59"/>
      <c r="Q81" s="32" t="s">
        <v>28</v>
      </c>
      <c r="R81" s="28" t="s">
        <v>70</v>
      </c>
      <c r="S81" s="59"/>
      <c r="T81" s="59"/>
    </row>
    <row r="82" spans="1:20" s="29" customFormat="1" outlineLevel="1">
      <c r="A82" s="54"/>
      <c r="B82" s="54"/>
      <c r="C82" s="54"/>
      <c r="D82" s="49"/>
      <c r="E82" s="49" t="s">
        <v>149</v>
      </c>
      <c r="F82" s="49"/>
      <c r="G82" s="49"/>
      <c r="H82" s="32" t="s">
        <v>89</v>
      </c>
      <c r="I82" s="32"/>
      <c r="J82" s="32" t="s">
        <v>101</v>
      </c>
      <c r="K82" s="33"/>
      <c r="L82" s="33"/>
      <c r="M82" s="33"/>
      <c r="N82" s="32" t="s">
        <v>31</v>
      </c>
      <c r="O82" s="28" t="s">
        <v>77</v>
      </c>
      <c r="P82" s="54"/>
      <c r="Q82" s="32" t="s">
        <v>28</v>
      </c>
      <c r="R82" s="28" t="s">
        <v>70</v>
      </c>
      <c r="S82" s="54"/>
      <c r="T82" s="54"/>
    </row>
    <row r="83" spans="1:20" s="29" customFormat="1" outlineLevel="1">
      <c r="A83" s="54"/>
      <c r="B83" s="54"/>
      <c r="C83" s="54"/>
      <c r="D83" s="49"/>
      <c r="E83" s="49" t="s">
        <v>150</v>
      </c>
      <c r="F83" s="49"/>
      <c r="G83" s="49"/>
      <c r="H83" s="32" t="s">
        <v>89</v>
      </c>
      <c r="I83" s="32"/>
      <c r="J83" s="32" t="s">
        <v>101</v>
      </c>
      <c r="K83" s="33"/>
      <c r="L83" s="33"/>
      <c r="M83" s="33"/>
      <c r="N83" s="32" t="s">
        <v>31</v>
      </c>
      <c r="O83" s="28" t="s">
        <v>77</v>
      </c>
      <c r="P83" s="54"/>
      <c r="Q83" s="32" t="s">
        <v>28</v>
      </c>
      <c r="R83" s="28" t="s">
        <v>70</v>
      </c>
      <c r="S83" s="54"/>
      <c r="T83" s="54"/>
    </row>
    <row r="84" spans="1:20" s="29" customFormat="1" outlineLevel="1">
      <c r="A84" s="54"/>
      <c r="B84" s="54"/>
      <c r="C84" s="54"/>
      <c r="D84" s="49"/>
      <c r="E84" s="49" t="s">
        <v>151</v>
      </c>
      <c r="F84" s="49"/>
      <c r="G84" s="49"/>
      <c r="H84" s="32" t="s">
        <v>89</v>
      </c>
      <c r="I84" s="32"/>
      <c r="J84" s="32" t="s">
        <v>101</v>
      </c>
      <c r="K84" s="33"/>
      <c r="L84" s="33"/>
      <c r="M84" s="33"/>
      <c r="N84" s="32" t="s">
        <v>31</v>
      </c>
      <c r="O84" s="28" t="s">
        <v>77</v>
      </c>
      <c r="P84" s="54"/>
      <c r="Q84" s="32" t="s">
        <v>28</v>
      </c>
      <c r="R84" s="28" t="s">
        <v>70</v>
      </c>
      <c r="S84" s="54"/>
      <c r="T84" s="54"/>
    </row>
    <row r="85" spans="1:20" s="29" customFormat="1" outlineLevel="1">
      <c r="A85" s="54"/>
      <c r="B85" s="54"/>
      <c r="C85" s="54"/>
      <c r="D85" s="49"/>
      <c r="E85" s="49" t="s">
        <v>152</v>
      </c>
      <c r="F85" s="49"/>
      <c r="G85" s="49"/>
      <c r="H85" s="32" t="s">
        <v>89</v>
      </c>
      <c r="I85" s="32"/>
      <c r="J85" s="32" t="s">
        <v>101</v>
      </c>
      <c r="K85" s="33"/>
      <c r="L85" s="33"/>
      <c r="M85" s="33"/>
      <c r="N85" s="32" t="s">
        <v>31</v>
      </c>
      <c r="O85" s="28" t="s">
        <v>77</v>
      </c>
      <c r="P85" s="54"/>
      <c r="Q85" s="32" t="s">
        <v>28</v>
      </c>
      <c r="R85" s="28" t="s">
        <v>70</v>
      </c>
      <c r="S85" s="54"/>
      <c r="T85" s="54"/>
    </row>
    <row r="86" spans="1:20" s="29" customFormat="1" ht="27">
      <c r="A86" s="26" t="s">
        <v>22</v>
      </c>
      <c r="B86" s="27" t="s">
        <v>23</v>
      </c>
      <c r="C86" s="28" t="s">
        <v>83</v>
      </c>
      <c r="D86" s="28" t="s">
        <v>86</v>
      </c>
      <c r="E86" s="39" t="s">
        <v>153</v>
      </c>
      <c r="F86" s="49"/>
      <c r="G86" s="49"/>
      <c r="H86" s="54"/>
      <c r="I86" s="54"/>
      <c r="J86" s="54"/>
      <c r="K86" s="49"/>
      <c r="L86" s="49"/>
      <c r="M86" s="49"/>
      <c r="N86" s="32"/>
      <c r="O86" s="32"/>
      <c r="P86" s="54"/>
      <c r="Q86" s="54"/>
      <c r="R86" s="54"/>
      <c r="S86" s="54"/>
      <c r="T86" s="54"/>
    </row>
    <row r="87" spans="1:20" outlineLevel="1">
      <c r="A87" s="58"/>
      <c r="B87" s="58"/>
      <c r="C87" s="58"/>
      <c r="D87" s="37"/>
      <c r="E87" s="36" t="s">
        <v>154</v>
      </c>
      <c r="F87" s="37"/>
      <c r="G87" s="37"/>
      <c r="H87" s="25" t="s">
        <v>89</v>
      </c>
      <c r="I87" s="37"/>
      <c r="J87" s="25" t="s">
        <v>29</v>
      </c>
      <c r="K87" s="37"/>
      <c r="L87" s="37"/>
      <c r="M87" s="37"/>
      <c r="N87" s="32" t="s">
        <v>31</v>
      </c>
      <c r="O87" s="56" t="s">
        <v>148</v>
      </c>
      <c r="P87" s="58"/>
      <c r="Q87" s="32" t="s">
        <v>28</v>
      </c>
      <c r="R87" s="28" t="s">
        <v>155</v>
      </c>
      <c r="S87" s="58"/>
      <c r="T87" s="58"/>
    </row>
    <row r="88" spans="1:20" outlineLevel="1">
      <c r="A88" s="58"/>
      <c r="B88" s="58"/>
      <c r="C88" s="58"/>
      <c r="D88" s="37"/>
      <c r="E88" s="36" t="s">
        <v>156</v>
      </c>
      <c r="F88" s="37"/>
      <c r="G88" s="37"/>
      <c r="H88" s="25" t="s">
        <v>89</v>
      </c>
      <c r="I88" s="37"/>
      <c r="J88" s="25" t="s">
        <v>29</v>
      </c>
      <c r="K88" s="37"/>
      <c r="L88" s="37"/>
      <c r="M88" s="37"/>
      <c r="N88" s="32" t="s">
        <v>31</v>
      </c>
      <c r="O88" s="56" t="s">
        <v>32</v>
      </c>
      <c r="P88" s="58"/>
      <c r="Q88" s="32" t="s">
        <v>28</v>
      </c>
      <c r="R88" s="28" t="s">
        <v>65</v>
      </c>
      <c r="S88" s="58"/>
      <c r="T88" s="58"/>
    </row>
    <row r="89" spans="1:20" outlineLevel="1">
      <c r="A89" s="58"/>
      <c r="B89" s="58"/>
      <c r="C89" s="58"/>
      <c r="D89" s="37"/>
      <c r="E89" s="36" t="s">
        <v>157</v>
      </c>
      <c r="F89" s="37"/>
      <c r="G89" s="37"/>
      <c r="H89" s="25" t="s">
        <v>89</v>
      </c>
      <c r="I89" s="37"/>
      <c r="J89" s="25" t="s">
        <v>29</v>
      </c>
      <c r="K89" s="37"/>
      <c r="L89" s="37"/>
      <c r="M89" s="37"/>
      <c r="N89" s="32" t="s">
        <v>31</v>
      </c>
      <c r="O89" s="56" t="s">
        <v>70</v>
      </c>
      <c r="P89" s="58"/>
      <c r="Q89" s="32" t="s">
        <v>28</v>
      </c>
      <c r="R89" s="28" t="s">
        <v>65</v>
      </c>
      <c r="S89" s="58"/>
      <c r="T89" s="58"/>
    </row>
    <row r="90" spans="1:20" outlineLevel="1">
      <c r="A90" s="58"/>
      <c r="B90" s="58"/>
      <c r="C90" s="58"/>
      <c r="D90" s="37"/>
      <c r="E90" s="37" t="s">
        <v>158</v>
      </c>
      <c r="F90" s="37"/>
      <c r="G90" s="37"/>
      <c r="H90" s="25" t="s">
        <v>89</v>
      </c>
      <c r="I90" s="37"/>
      <c r="J90" s="25" t="s">
        <v>29</v>
      </c>
      <c r="K90" s="37"/>
      <c r="L90" s="37"/>
      <c r="M90" s="37"/>
      <c r="N90" s="32" t="s">
        <v>31</v>
      </c>
      <c r="O90" s="56" t="s">
        <v>65</v>
      </c>
      <c r="P90" s="58"/>
      <c r="Q90" s="32" t="s">
        <v>28</v>
      </c>
      <c r="R90" s="28" t="s">
        <v>32</v>
      </c>
      <c r="S90" s="58"/>
      <c r="T90" s="58"/>
    </row>
    <row r="91" spans="1:20" s="29" customFormat="1">
      <c r="A91" s="26" t="s">
        <v>22</v>
      </c>
      <c r="B91" s="27" t="s">
        <v>23</v>
      </c>
      <c r="C91" s="28" t="s">
        <v>24</v>
      </c>
      <c r="D91" s="28" t="s">
        <v>25</v>
      </c>
      <c r="E91" s="62" t="s">
        <v>159</v>
      </c>
      <c r="F91" s="49"/>
      <c r="G91" s="49"/>
      <c r="H91" s="32" t="s">
        <v>27</v>
      </c>
      <c r="I91" s="32"/>
      <c r="J91" s="32" t="s">
        <v>90</v>
      </c>
      <c r="K91" s="33"/>
      <c r="L91" s="33"/>
      <c r="M91" s="33"/>
      <c r="N91" s="32" t="s">
        <v>31</v>
      </c>
      <c r="O91" s="28" t="s">
        <v>148</v>
      </c>
      <c r="P91" s="54"/>
      <c r="Q91" s="32" t="s">
        <v>28</v>
      </c>
      <c r="R91" s="28" t="s">
        <v>32</v>
      </c>
      <c r="S91" s="54"/>
      <c r="T91" s="54"/>
    </row>
    <row r="92" spans="1:20" s="29" customFormat="1" ht="27">
      <c r="A92" s="26" t="s">
        <v>22</v>
      </c>
      <c r="B92" s="27" t="s">
        <v>23</v>
      </c>
      <c r="C92" s="28" t="s">
        <v>24</v>
      </c>
      <c r="D92" s="28" t="s">
        <v>86</v>
      </c>
      <c r="E92" s="49" t="s">
        <v>160</v>
      </c>
      <c r="F92" s="49"/>
      <c r="G92" s="49"/>
      <c r="H92" s="32" t="s">
        <v>27</v>
      </c>
      <c r="I92" s="32"/>
      <c r="J92" s="32" t="s">
        <v>90</v>
      </c>
      <c r="K92" s="33"/>
      <c r="L92" s="33"/>
      <c r="M92" s="33"/>
      <c r="N92" s="32" t="s">
        <v>31</v>
      </c>
      <c r="O92" s="28" t="s">
        <v>161</v>
      </c>
      <c r="P92" s="54"/>
      <c r="Q92" s="32" t="s">
        <v>28</v>
      </c>
      <c r="R92" s="28" t="s">
        <v>37</v>
      </c>
      <c r="S92" s="54"/>
      <c r="T92" s="54"/>
    </row>
    <row r="93" spans="1:20" s="29" customFormat="1" ht="27">
      <c r="A93" s="26" t="s">
        <v>22</v>
      </c>
      <c r="B93" s="27" t="s">
        <v>23</v>
      </c>
      <c r="C93" s="28" t="s">
        <v>24</v>
      </c>
      <c r="D93" s="28" t="s">
        <v>86</v>
      </c>
      <c r="E93" s="49" t="s">
        <v>162</v>
      </c>
      <c r="F93" s="49"/>
      <c r="G93" s="49"/>
      <c r="H93" s="49"/>
      <c r="I93" s="49"/>
      <c r="J93" s="49"/>
      <c r="K93" s="49"/>
      <c r="L93" s="49"/>
      <c r="M93" s="49"/>
      <c r="N93" s="49"/>
      <c r="O93" s="49"/>
      <c r="P93" s="54"/>
      <c r="Q93" s="32"/>
      <c r="R93" s="28"/>
      <c r="S93" s="54"/>
      <c r="T93" s="54"/>
    </row>
    <row r="94" spans="1:20" ht="27" outlineLevel="1">
      <c r="A94" s="35"/>
      <c r="B94" s="23"/>
      <c r="C94" s="24"/>
      <c r="D94" s="24"/>
      <c r="E94" s="49" t="s">
        <v>163</v>
      </c>
      <c r="F94" s="49"/>
      <c r="G94" s="49"/>
      <c r="H94" s="32" t="s">
        <v>27</v>
      </c>
      <c r="I94" s="32"/>
      <c r="J94" s="32" t="s">
        <v>29</v>
      </c>
      <c r="K94" s="33"/>
      <c r="L94" s="33"/>
      <c r="M94" s="33"/>
      <c r="N94" s="32" t="s">
        <v>31</v>
      </c>
      <c r="O94" s="28" t="s">
        <v>32</v>
      </c>
      <c r="P94" s="58"/>
      <c r="Q94" s="32" t="s">
        <v>28</v>
      </c>
      <c r="R94" s="28" t="s">
        <v>37</v>
      </c>
      <c r="S94" s="58"/>
      <c r="T94" s="58"/>
    </row>
    <row r="95" spans="1:20" outlineLevel="1">
      <c r="A95" s="58"/>
      <c r="B95" s="58"/>
      <c r="C95" s="58"/>
      <c r="D95" s="37"/>
      <c r="E95" s="49" t="s">
        <v>164</v>
      </c>
      <c r="F95" s="49"/>
      <c r="G95" s="49"/>
      <c r="H95" s="32" t="s">
        <v>27</v>
      </c>
      <c r="I95" s="32"/>
      <c r="J95" s="32" t="s">
        <v>29</v>
      </c>
      <c r="K95" s="33"/>
      <c r="L95" s="33"/>
      <c r="M95" s="33"/>
      <c r="N95" s="32" t="s">
        <v>31</v>
      </c>
      <c r="O95" s="28" t="s">
        <v>32</v>
      </c>
      <c r="P95" s="58"/>
      <c r="Q95" s="32" t="s">
        <v>28</v>
      </c>
      <c r="R95" s="28" t="s">
        <v>65</v>
      </c>
      <c r="S95" s="58"/>
      <c r="T95" s="58"/>
    </row>
    <row r="96" spans="1:20" ht="27" outlineLevel="1">
      <c r="A96" s="22"/>
      <c r="B96" s="23"/>
      <c r="C96" s="24"/>
      <c r="D96" s="24"/>
      <c r="E96" s="49" t="s">
        <v>165</v>
      </c>
      <c r="F96" s="49"/>
      <c r="G96" s="49"/>
      <c r="H96" s="32" t="s">
        <v>89</v>
      </c>
      <c r="I96" s="32"/>
      <c r="J96" s="32" t="s">
        <v>29</v>
      </c>
      <c r="K96" s="33"/>
      <c r="L96" s="33"/>
      <c r="M96" s="33"/>
      <c r="N96" s="32" t="s">
        <v>31</v>
      </c>
      <c r="O96" s="28" t="s">
        <v>55</v>
      </c>
      <c r="P96" s="58"/>
      <c r="Q96" s="32" t="s">
        <v>28</v>
      </c>
      <c r="R96" s="28" t="s">
        <v>70</v>
      </c>
      <c r="S96" s="58"/>
      <c r="T96" s="58"/>
    </row>
    <row r="97" spans="1:20" outlineLevel="1">
      <c r="A97" s="22"/>
      <c r="B97" s="23"/>
      <c r="C97" s="24"/>
      <c r="D97" s="24"/>
      <c r="E97" s="49" t="s">
        <v>166</v>
      </c>
      <c r="F97" s="49"/>
      <c r="G97" s="49"/>
      <c r="H97" s="32"/>
      <c r="I97" s="32"/>
      <c r="J97" s="32" t="s">
        <v>29</v>
      </c>
      <c r="K97" s="33"/>
      <c r="L97" s="33"/>
      <c r="M97" s="33"/>
      <c r="N97" s="32" t="s">
        <v>31</v>
      </c>
      <c r="O97" s="28" t="s">
        <v>70</v>
      </c>
      <c r="P97" s="58"/>
      <c r="Q97" s="32" t="s">
        <v>28</v>
      </c>
      <c r="R97" s="28" t="s">
        <v>65</v>
      </c>
      <c r="S97" s="58"/>
      <c r="T97" s="58"/>
    </row>
    <row r="98" spans="1:20" outlineLevel="1">
      <c r="A98" s="22"/>
      <c r="B98" s="23"/>
      <c r="C98" s="24"/>
      <c r="D98" s="24"/>
      <c r="E98" s="49" t="s">
        <v>167</v>
      </c>
      <c r="F98" s="49"/>
      <c r="G98" s="49"/>
      <c r="H98" s="32"/>
      <c r="I98" s="32"/>
      <c r="J98" s="32" t="s">
        <v>29</v>
      </c>
      <c r="K98" s="33"/>
      <c r="L98" s="33"/>
      <c r="M98" s="33"/>
      <c r="N98" s="32" t="s">
        <v>31</v>
      </c>
      <c r="O98" s="28" t="s">
        <v>32</v>
      </c>
      <c r="P98" s="58"/>
      <c r="Q98" s="32" t="s">
        <v>28</v>
      </c>
      <c r="R98" s="28" t="s">
        <v>70</v>
      </c>
      <c r="S98" s="58"/>
      <c r="T98" s="58"/>
    </row>
    <row r="99" spans="1:20" outlineLevel="1">
      <c r="A99" s="22"/>
      <c r="B99" s="23"/>
      <c r="C99" s="24"/>
      <c r="D99" s="24"/>
      <c r="E99" s="49" t="s">
        <v>168</v>
      </c>
      <c r="F99" s="49"/>
      <c r="G99" s="49"/>
      <c r="H99" s="32" t="s">
        <v>27</v>
      </c>
      <c r="I99" s="32"/>
      <c r="J99" s="32" t="s">
        <v>29</v>
      </c>
      <c r="K99" s="33"/>
      <c r="L99" s="33"/>
      <c r="M99" s="33"/>
      <c r="N99" s="32" t="s">
        <v>31</v>
      </c>
      <c r="O99" s="28" t="s">
        <v>32</v>
      </c>
      <c r="P99" s="58"/>
      <c r="Q99" s="32"/>
      <c r="R99" s="28"/>
      <c r="S99" s="58"/>
      <c r="T99" s="58"/>
    </row>
    <row r="100" spans="1:20" s="29" customFormat="1">
      <c r="A100" s="26" t="s">
        <v>22</v>
      </c>
      <c r="B100" s="27" t="s">
        <v>23</v>
      </c>
      <c r="C100" s="28" t="s">
        <v>83</v>
      </c>
      <c r="D100" s="28" t="s">
        <v>40</v>
      </c>
      <c r="E100" s="39" t="s">
        <v>169</v>
      </c>
      <c r="F100" s="49"/>
      <c r="G100" s="49"/>
      <c r="H100" s="32" t="s">
        <v>89</v>
      </c>
      <c r="I100" s="32"/>
      <c r="J100" s="32" t="s">
        <v>101</v>
      </c>
      <c r="K100" s="33"/>
      <c r="L100" s="33"/>
      <c r="M100" s="33"/>
      <c r="N100" s="32" t="s">
        <v>31</v>
      </c>
      <c r="O100" s="28" t="s">
        <v>77</v>
      </c>
      <c r="P100" s="54"/>
      <c r="Q100" s="32" t="s">
        <v>28</v>
      </c>
      <c r="R100" s="28" t="s">
        <v>70</v>
      </c>
      <c r="S100" s="54"/>
      <c r="T100" s="54"/>
    </row>
    <row r="101" spans="1:20" s="29" customFormat="1">
      <c r="A101" s="26" t="s">
        <v>22</v>
      </c>
      <c r="B101" s="27" t="s">
        <v>23</v>
      </c>
      <c r="C101" s="28" t="s">
        <v>83</v>
      </c>
      <c r="D101" s="28" t="s">
        <v>53</v>
      </c>
      <c r="E101" s="49" t="s">
        <v>170</v>
      </c>
      <c r="F101" s="49"/>
      <c r="G101" s="49"/>
      <c r="H101" s="32" t="s">
        <v>27</v>
      </c>
      <c r="I101" s="32"/>
      <c r="J101" s="32" t="s">
        <v>29</v>
      </c>
      <c r="K101" s="33"/>
      <c r="L101" s="33"/>
      <c r="M101" s="33"/>
      <c r="N101" s="32" t="s">
        <v>31</v>
      </c>
      <c r="O101" s="28" t="s">
        <v>65</v>
      </c>
      <c r="P101" s="54"/>
      <c r="Q101" s="32" t="s">
        <v>28</v>
      </c>
      <c r="R101" s="28" t="s">
        <v>70</v>
      </c>
      <c r="S101" s="54"/>
      <c r="T101" s="54"/>
    </row>
    <row r="102" spans="1:20" s="29" customFormat="1" ht="27">
      <c r="A102" s="26" t="s">
        <v>22</v>
      </c>
      <c r="B102" s="27" t="s">
        <v>23</v>
      </c>
      <c r="C102" s="28" t="s">
        <v>83</v>
      </c>
      <c r="D102" s="28" t="s">
        <v>86</v>
      </c>
      <c r="E102" s="39" t="s">
        <v>171</v>
      </c>
      <c r="F102" s="49"/>
      <c r="G102" s="49"/>
      <c r="H102" s="54"/>
      <c r="I102" s="54"/>
      <c r="J102" s="54"/>
      <c r="K102" s="54"/>
      <c r="L102" s="54"/>
      <c r="M102" s="54"/>
      <c r="N102" s="54"/>
      <c r="O102" s="54"/>
      <c r="P102" s="54"/>
      <c r="Q102" s="32"/>
      <c r="R102" s="28"/>
      <c r="S102" s="54"/>
      <c r="T102" s="54"/>
    </row>
    <row r="103" spans="1:20" s="29" customFormat="1" outlineLevel="1">
      <c r="A103" s="54"/>
      <c r="B103" s="54"/>
      <c r="C103" s="54"/>
      <c r="D103" s="49"/>
      <c r="E103" s="49" t="s">
        <v>172</v>
      </c>
      <c r="F103" s="49"/>
      <c r="G103" s="49"/>
      <c r="H103" s="32" t="s">
        <v>89</v>
      </c>
      <c r="I103" s="32"/>
      <c r="J103" s="32" t="s">
        <v>101</v>
      </c>
      <c r="K103" s="33"/>
      <c r="L103" s="33"/>
      <c r="M103" s="33"/>
      <c r="N103" s="32" t="s">
        <v>31</v>
      </c>
      <c r="O103" s="32" t="s">
        <v>67</v>
      </c>
      <c r="P103" s="54"/>
      <c r="Q103" s="32" t="s">
        <v>28</v>
      </c>
      <c r="R103" s="28" t="s">
        <v>70</v>
      </c>
      <c r="S103" s="54"/>
      <c r="T103" s="54"/>
    </row>
    <row r="104" spans="1:20" s="29" customFormat="1" outlineLevel="1">
      <c r="A104" s="54"/>
      <c r="B104" s="54"/>
      <c r="C104" s="54"/>
      <c r="D104" s="49"/>
      <c r="E104" s="49" t="s">
        <v>173</v>
      </c>
      <c r="F104" s="49"/>
      <c r="G104" s="49"/>
      <c r="H104" s="32" t="s">
        <v>89</v>
      </c>
      <c r="I104" s="32"/>
      <c r="J104" s="32" t="s">
        <v>101</v>
      </c>
      <c r="K104" s="33"/>
      <c r="L104" s="33"/>
      <c r="M104" s="33"/>
      <c r="N104" s="32" t="s">
        <v>31</v>
      </c>
      <c r="O104" s="32" t="s">
        <v>67</v>
      </c>
      <c r="P104" s="54"/>
      <c r="Q104" s="32" t="s">
        <v>28</v>
      </c>
      <c r="R104" s="28" t="s">
        <v>70</v>
      </c>
      <c r="S104" s="54"/>
      <c r="T104" s="54"/>
    </row>
    <row r="105" spans="1:20" s="29" customFormat="1" outlineLevel="1">
      <c r="A105" s="54"/>
      <c r="B105" s="54"/>
      <c r="C105" s="54"/>
      <c r="D105" s="49"/>
      <c r="E105" s="49" t="s">
        <v>174</v>
      </c>
      <c r="F105" s="49"/>
      <c r="G105" s="49"/>
      <c r="H105" s="32" t="s">
        <v>89</v>
      </c>
      <c r="I105" s="32"/>
      <c r="J105" s="32" t="s">
        <v>101</v>
      </c>
      <c r="K105" s="33"/>
      <c r="L105" s="33"/>
      <c r="M105" s="33"/>
      <c r="N105" s="32" t="s">
        <v>31</v>
      </c>
      <c r="O105" s="32" t="s">
        <v>67</v>
      </c>
      <c r="P105" s="54"/>
      <c r="Q105" s="32" t="s">
        <v>28</v>
      </c>
      <c r="R105" s="28" t="s">
        <v>70</v>
      </c>
      <c r="S105" s="54"/>
      <c r="T105" s="54"/>
    </row>
    <row r="106" spans="1:20" s="29" customFormat="1" outlineLevel="1">
      <c r="A106" s="54"/>
      <c r="B106" s="54"/>
      <c r="C106" s="54"/>
      <c r="D106" s="49"/>
      <c r="E106" s="49" t="s">
        <v>175</v>
      </c>
      <c r="F106" s="49"/>
      <c r="G106" s="49"/>
      <c r="H106" s="32" t="s">
        <v>89</v>
      </c>
      <c r="I106" s="32"/>
      <c r="J106" s="32" t="s">
        <v>101</v>
      </c>
      <c r="K106" s="33"/>
      <c r="L106" s="33"/>
      <c r="M106" s="33"/>
      <c r="N106" s="32" t="s">
        <v>31</v>
      </c>
      <c r="O106" s="32" t="s">
        <v>67</v>
      </c>
      <c r="P106" s="54"/>
      <c r="Q106" s="32" t="s">
        <v>28</v>
      </c>
      <c r="R106" s="28" t="s">
        <v>70</v>
      </c>
      <c r="S106" s="54"/>
      <c r="T106" s="54"/>
    </row>
    <row r="107" spans="1:20" s="29" customFormat="1" outlineLevel="1">
      <c r="A107" s="54"/>
      <c r="B107" s="54"/>
      <c r="C107" s="54"/>
      <c r="D107" s="49"/>
      <c r="E107" s="49" t="s">
        <v>176</v>
      </c>
      <c r="F107" s="49"/>
      <c r="G107" s="49"/>
      <c r="H107" s="32" t="s">
        <v>89</v>
      </c>
      <c r="I107" s="32"/>
      <c r="J107" s="32" t="s">
        <v>101</v>
      </c>
      <c r="K107" s="33"/>
      <c r="L107" s="33"/>
      <c r="M107" s="33"/>
      <c r="N107" s="32" t="s">
        <v>31</v>
      </c>
      <c r="O107" s="32" t="s">
        <v>67</v>
      </c>
      <c r="P107" s="54"/>
      <c r="Q107" s="32" t="s">
        <v>28</v>
      </c>
      <c r="R107" s="28" t="s">
        <v>70</v>
      </c>
      <c r="S107" s="54"/>
      <c r="T107" s="54"/>
    </row>
    <row r="108" spans="1:20" s="29" customFormat="1" outlineLevel="1">
      <c r="A108" s="54"/>
      <c r="B108" s="54"/>
      <c r="C108" s="54"/>
      <c r="D108" s="49"/>
      <c r="E108" s="49" t="s">
        <v>177</v>
      </c>
      <c r="F108" s="49"/>
      <c r="G108" s="49"/>
      <c r="H108" s="32" t="s">
        <v>27</v>
      </c>
      <c r="I108" s="32"/>
      <c r="J108" s="32" t="s">
        <v>29</v>
      </c>
      <c r="K108" s="49"/>
      <c r="L108" s="49"/>
      <c r="M108" s="49"/>
      <c r="N108" s="32" t="s">
        <v>31</v>
      </c>
      <c r="O108" s="28" t="s">
        <v>65</v>
      </c>
      <c r="P108" s="54"/>
      <c r="Q108" s="32" t="s">
        <v>28</v>
      </c>
      <c r="R108" s="28" t="s">
        <v>32</v>
      </c>
      <c r="S108" s="54"/>
      <c r="T108" s="54"/>
    </row>
    <row r="109" spans="1:20" s="29" customFormat="1" outlineLevel="1">
      <c r="A109" s="26"/>
      <c r="B109" s="27"/>
      <c r="C109" s="28"/>
      <c r="D109" s="28"/>
      <c r="E109" s="49" t="s">
        <v>178</v>
      </c>
      <c r="F109" s="49"/>
      <c r="G109" s="49"/>
      <c r="H109" s="32" t="s">
        <v>89</v>
      </c>
      <c r="I109" s="32"/>
      <c r="J109" s="32" t="s">
        <v>101</v>
      </c>
      <c r="K109" s="33"/>
      <c r="L109" s="33"/>
      <c r="M109" s="33"/>
      <c r="N109" s="32" t="s">
        <v>31</v>
      </c>
      <c r="O109" s="28" t="s">
        <v>179</v>
      </c>
      <c r="P109" s="54"/>
      <c r="Q109" s="32" t="s">
        <v>28</v>
      </c>
      <c r="R109" s="28" t="s">
        <v>70</v>
      </c>
      <c r="S109" s="54"/>
      <c r="T109" s="54"/>
    </row>
    <row r="110" spans="1:20" s="29" customFormat="1" ht="27">
      <c r="A110" s="26" t="s">
        <v>22</v>
      </c>
      <c r="B110" s="27" t="s">
        <v>23</v>
      </c>
      <c r="C110" s="28" t="s">
        <v>83</v>
      </c>
      <c r="D110" s="28" t="s">
        <v>40</v>
      </c>
      <c r="E110" s="57" t="s">
        <v>180</v>
      </c>
      <c r="F110" s="28"/>
      <c r="G110" s="28"/>
      <c r="H110" s="32" t="s">
        <v>89</v>
      </c>
      <c r="I110" s="32"/>
      <c r="J110" s="32" t="s">
        <v>90</v>
      </c>
      <c r="K110" s="33"/>
      <c r="L110" s="33"/>
      <c r="M110" s="33"/>
      <c r="N110" s="32" t="s">
        <v>31</v>
      </c>
      <c r="O110" s="28" t="s">
        <v>72</v>
      </c>
      <c r="P110" s="54"/>
      <c r="Q110" s="32" t="s">
        <v>28</v>
      </c>
      <c r="R110" s="28" t="s">
        <v>37</v>
      </c>
      <c r="S110" s="54"/>
      <c r="T110" s="54"/>
    </row>
    <row r="111" spans="1:20" s="29" customFormat="1" ht="27">
      <c r="A111" s="26" t="s">
        <v>22</v>
      </c>
      <c r="B111" s="27" t="s">
        <v>23</v>
      </c>
      <c r="C111" s="28" t="s">
        <v>83</v>
      </c>
      <c r="D111" s="28" t="s">
        <v>86</v>
      </c>
      <c r="E111" s="39" t="s">
        <v>181</v>
      </c>
      <c r="F111" s="49"/>
      <c r="G111" s="49"/>
      <c r="H111" s="49"/>
      <c r="I111" s="49"/>
      <c r="J111" s="49"/>
      <c r="K111" s="49"/>
      <c r="L111" s="49"/>
      <c r="M111" s="49"/>
      <c r="N111" s="49"/>
      <c r="O111" s="49"/>
      <c r="P111" s="54"/>
      <c r="Q111" s="32"/>
      <c r="R111" s="28"/>
      <c r="S111" s="54"/>
      <c r="T111" s="54"/>
    </row>
    <row r="112" spans="1:20" s="30" customFormat="1" outlineLevel="1">
      <c r="A112" s="35"/>
      <c r="B112" s="23"/>
      <c r="C112" s="24"/>
      <c r="D112" s="24"/>
      <c r="E112" s="57" t="s">
        <v>182</v>
      </c>
      <c r="F112" s="28"/>
      <c r="G112" s="28"/>
      <c r="H112" s="32" t="s">
        <v>89</v>
      </c>
      <c r="I112" s="32"/>
      <c r="J112" s="32" t="s">
        <v>29</v>
      </c>
      <c r="K112" s="33"/>
      <c r="L112" s="33"/>
      <c r="M112" s="33"/>
      <c r="N112" s="32" t="s">
        <v>31</v>
      </c>
      <c r="O112" s="28" t="s">
        <v>65</v>
      </c>
      <c r="P112" s="38"/>
      <c r="Q112" s="32" t="s">
        <v>28</v>
      </c>
      <c r="R112" s="28" t="s">
        <v>70</v>
      </c>
      <c r="S112" s="38"/>
      <c r="T112" s="38"/>
    </row>
    <row r="113" spans="1:20" outlineLevel="1">
      <c r="A113" s="58"/>
      <c r="B113" s="58"/>
      <c r="C113" s="58"/>
      <c r="D113" s="37"/>
      <c r="E113" s="16" t="s">
        <v>183</v>
      </c>
      <c r="F113" s="28"/>
      <c r="G113" s="28"/>
      <c r="H113" s="32" t="s">
        <v>89</v>
      </c>
      <c r="I113" s="28"/>
      <c r="J113" s="32" t="s">
        <v>101</v>
      </c>
      <c r="K113" s="28"/>
      <c r="L113" s="28"/>
      <c r="M113" s="28"/>
      <c r="N113" s="32" t="s">
        <v>31</v>
      </c>
      <c r="O113" s="28" t="s">
        <v>77</v>
      </c>
      <c r="P113" s="58"/>
      <c r="Q113" s="32" t="s">
        <v>28</v>
      </c>
      <c r="R113" s="28" t="s">
        <v>65</v>
      </c>
      <c r="S113" s="58"/>
      <c r="T113" s="58"/>
    </row>
    <row r="114" spans="1:20" outlineLevel="1">
      <c r="A114" s="58"/>
      <c r="B114" s="58"/>
      <c r="C114" s="58"/>
      <c r="D114" s="37"/>
      <c r="E114" s="16" t="s">
        <v>184</v>
      </c>
      <c r="F114" s="28"/>
      <c r="G114" s="28"/>
      <c r="H114" s="32" t="s">
        <v>89</v>
      </c>
      <c r="I114" s="32"/>
      <c r="J114" s="32" t="s">
        <v>29</v>
      </c>
      <c r="K114" s="28"/>
      <c r="L114" s="28"/>
      <c r="M114" s="28"/>
      <c r="N114" s="32" t="s">
        <v>31</v>
      </c>
      <c r="O114" s="28" t="s">
        <v>65</v>
      </c>
      <c r="P114" s="58"/>
      <c r="Q114" s="32" t="s">
        <v>28</v>
      </c>
      <c r="R114" s="28" t="s">
        <v>32</v>
      </c>
      <c r="S114" s="58"/>
      <c r="T114" s="58"/>
    </row>
    <row r="115" spans="1:20" outlineLevel="1">
      <c r="A115" s="58"/>
      <c r="B115" s="58"/>
      <c r="C115" s="58"/>
      <c r="D115" s="37"/>
      <c r="E115" s="37" t="s">
        <v>185</v>
      </c>
      <c r="F115" s="37"/>
      <c r="G115" s="37"/>
      <c r="H115" s="32" t="s">
        <v>89</v>
      </c>
      <c r="I115" s="32"/>
      <c r="J115" s="32" t="s">
        <v>29</v>
      </c>
      <c r="K115" s="37"/>
      <c r="L115" s="37"/>
      <c r="M115" s="37"/>
      <c r="N115" s="32" t="s">
        <v>31</v>
      </c>
      <c r="O115" s="56" t="s">
        <v>65</v>
      </c>
      <c r="P115" s="58"/>
      <c r="Q115" s="32" t="s">
        <v>28</v>
      </c>
      <c r="R115" s="28" t="s">
        <v>70</v>
      </c>
      <c r="S115" s="58"/>
      <c r="T115" s="58"/>
    </row>
    <row r="116" spans="1:20" s="29" customFormat="1" outlineLevel="1">
      <c r="A116" s="54"/>
      <c r="B116" s="54"/>
      <c r="C116" s="54"/>
      <c r="D116" s="49"/>
      <c r="E116" s="49" t="s">
        <v>186</v>
      </c>
      <c r="F116" s="49"/>
      <c r="G116" s="49"/>
      <c r="H116" s="49"/>
      <c r="I116" s="49"/>
      <c r="J116" s="28" t="s">
        <v>29</v>
      </c>
      <c r="K116" s="49"/>
      <c r="L116" s="49"/>
      <c r="M116" s="49"/>
      <c r="N116" s="32" t="s">
        <v>31</v>
      </c>
      <c r="O116" s="28" t="s">
        <v>65</v>
      </c>
      <c r="P116" s="54"/>
      <c r="Q116" s="32" t="s">
        <v>28</v>
      </c>
      <c r="R116" s="28" t="s">
        <v>70</v>
      </c>
      <c r="S116" s="54"/>
      <c r="T116" s="54"/>
    </row>
    <row r="117" spans="1:20" s="29" customFormat="1" outlineLevel="1">
      <c r="A117" s="54"/>
      <c r="B117" s="54"/>
      <c r="C117" s="54"/>
      <c r="D117" s="49"/>
      <c r="E117" s="49" t="s">
        <v>187</v>
      </c>
      <c r="F117" s="49"/>
      <c r="G117" s="49"/>
      <c r="H117" s="49"/>
      <c r="I117" s="49"/>
      <c r="J117" s="28" t="s">
        <v>29</v>
      </c>
      <c r="K117" s="49"/>
      <c r="L117" s="49"/>
      <c r="M117" s="49"/>
      <c r="N117" s="32" t="s">
        <v>31</v>
      </c>
      <c r="O117" s="28" t="s">
        <v>65</v>
      </c>
      <c r="P117" s="54"/>
      <c r="Q117" s="32" t="s">
        <v>28</v>
      </c>
      <c r="R117" s="28" t="s">
        <v>70</v>
      </c>
      <c r="S117" s="54"/>
      <c r="T117" s="54"/>
    </row>
    <row r="118" spans="1:20" s="29" customFormat="1" ht="40.5" outlineLevel="1">
      <c r="A118" s="54"/>
      <c r="B118" s="54"/>
      <c r="C118" s="54"/>
      <c r="D118" s="49"/>
      <c r="E118" s="49" t="s">
        <v>188</v>
      </c>
      <c r="F118" s="49"/>
      <c r="G118" s="49"/>
      <c r="H118" s="49"/>
      <c r="I118" s="49"/>
      <c r="J118" s="28" t="s">
        <v>90</v>
      </c>
      <c r="K118" s="49"/>
      <c r="L118" s="49"/>
      <c r="M118" s="49"/>
      <c r="N118" s="32" t="s">
        <v>31</v>
      </c>
      <c r="O118" s="28" t="s">
        <v>189</v>
      </c>
      <c r="P118" s="54"/>
      <c r="Q118" s="32" t="s">
        <v>28</v>
      </c>
      <c r="R118" s="28" t="s">
        <v>32</v>
      </c>
      <c r="S118" s="54"/>
      <c r="T118" s="54"/>
    </row>
    <row r="119" spans="1:20" s="29" customFormat="1" ht="27">
      <c r="A119" s="26" t="s">
        <v>22</v>
      </c>
      <c r="B119" s="27" t="s">
        <v>23</v>
      </c>
      <c r="C119" s="28" t="s">
        <v>83</v>
      </c>
      <c r="D119" s="28" t="s">
        <v>53</v>
      </c>
      <c r="E119" s="49" t="s">
        <v>190</v>
      </c>
      <c r="F119" s="49"/>
      <c r="G119" s="49"/>
      <c r="H119" s="32" t="s">
        <v>27</v>
      </c>
      <c r="I119" s="32"/>
      <c r="J119" s="32" t="s">
        <v>29</v>
      </c>
      <c r="K119" s="33"/>
      <c r="L119" s="33"/>
      <c r="M119" s="33"/>
      <c r="N119" s="32" t="s">
        <v>31</v>
      </c>
      <c r="O119" s="28" t="s">
        <v>65</v>
      </c>
      <c r="P119" s="54"/>
      <c r="Q119" s="32" t="s">
        <v>28</v>
      </c>
      <c r="R119" s="28" t="s">
        <v>32</v>
      </c>
      <c r="S119" s="54"/>
      <c r="T119" s="54"/>
    </row>
    <row r="120" spans="1:20" s="29" customFormat="1">
      <c r="A120" s="26" t="s">
        <v>22</v>
      </c>
      <c r="B120" s="27" t="s">
        <v>23</v>
      </c>
      <c r="C120" s="28" t="s">
        <v>83</v>
      </c>
      <c r="D120" s="28" t="s">
        <v>40</v>
      </c>
      <c r="E120" s="49" t="s">
        <v>191</v>
      </c>
      <c r="F120" s="49"/>
      <c r="G120" s="49"/>
      <c r="H120" s="32" t="s">
        <v>27</v>
      </c>
      <c r="I120" s="32"/>
      <c r="J120" s="32" t="s">
        <v>29</v>
      </c>
      <c r="K120" s="33"/>
      <c r="L120" s="33"/>
      <c r="M120" s="33"/>
      <c r="N120" s="32" t="s">
        <v>31</v>
      </c>
      <c r="O120" s="28" t="s">
        <v>70</v>
      </c>
      <c r="P120" s="54"/>
      <c r="Q120" s="32" t="s">
        <v>28</v>
      </c>
      <c r="R120" s="28" t="s">
        <v>65</v>
      </c>
      <c r="S120" s="54"/>
      <c r="T120" s="54"/>
    </row>
    <row r="121" spans="1:20" s="29" customFormat="1" hidden="1" outlineLevel="1">
      <c r="A121" s="26"/>
      <c r="B121" s="27"/>
      <c r="C121" s="28"/>
      <c r="D121" s="28"/>
      <c r="E121" s="49" t="s">
        <v>192</v>
      </c>
      <c r="F121" s="49"/>
      <c r="G121" s="49"/>
      <c r="H121" s="32"/>
      <c r="I121" s="32"/>
      <c r="J121" s="32"/>
      <c r="K121" s="33"/>
      <c r="L121" s="33"/>
      <c r="M121" s="33"/>
      <c r="N121" s="32"/>
      <c r="O121" s="28"/>
      <c r="P121" s="54"/>
      <c r="Q121" s="32"/>
      <c r="R121" s="28"/>
      <c r="S121" s="54"/>
      <c r="T121" s="54"/>
    </row>
    <row r="122" spans="1:20" s="29" customFormat="1" ht="27" collapsed="1">
      <c r="A122" s="26" t="s">
        <v>22</v>
      </c>
      <c r="B122" s="27" t="s">
        <v>23</v>
      </c>
      <c r="C122" s="28" t="s">
        <v>83</v>
      </c>
      <c r="D122" s="28" t="s">
        <v>86</v>
      </c>
      <c r="E122" s="49" t="s">
        <v>193</v>
      </c>
      <c r="F122" s="49"/>
      <c r="G122" s="49"/>
      <c r="H122" s="32" t="s">
        <v>89</v>
      </c>
      <c r="I122" s="32"/>
      <c r="J122" s="32" t="s">
        <v>90</v>
      </c>
      <c r="K122" s="33"/>
      <c r="L122" s="33"/>
      <c r="M122" s="33"/>
      <c r="N122" s="32" t="s">
        <v>31</v>
      </c>
      <c r="O122" s="28" t="s">
        <v>161</v>
      </c>
      <c r="P122" s="54"/>
      <c r="Q122" s="32" t="s">
        <v>28</v>
      </c>
      <c r="R122" s="28" t="s">
        <v>37</v>
      </c>
      <c r="S122" s="54"/>
      <c r="T122" s="54"/>
    </row>
    <row r="123" spans="1:20" ht="40.5">
      <c r="A123" s="26" t="s">
        <v>22</v>
      </c>
      <c r="B123" s="27" t="s">
        <v>23</v>
      </c>
      <c r="C123" s="28" t="s">
        <v>83</v>
      </c>
      <c r="D123" s="28" t="s">
        <v>86</v>
      </c>
      <c r="E123" s="37" t="s">
        <v>194</v>
      </c>
      <c r="F123" s="37"/>
      <c r="G123" s="37"/>
      <c r="H123" s="56" t="s">
        <v>89</v>
      </c>
      <c r="I123" s="56"/>
      <c r="J123" s="56" t="s">
        <v>29</v>
      </c>
      <c r="K123" s="37"/>
      <c r="L123" s="37"/>
      <c r="M123" s="37"/>
      <c r="N123" s="32" t="s">
        <v>31</v>
      </c>
      <c r="O123" s="28" t="s">
        <v>195</v>
      </c>
      <c r="P123" s="58"/>
      <c r="Q123" s="32" t="s">
        <v>28</v>
      </c>
      <c r="R123" s="28" t="s">
        <v>65</v>
      </c>
      <c r="S123" s="58"/>
      <c r="T123" s="58"/>
    </row>
    <row r="124" spans="1:20" ht="40.5">
      <c r="A124" s="26" t="s">
        <v>22</v>
      </c>
      <c r="B124" s="27" t="s">
        <v>23</v>
      </c>
      <c r="C124" s="28" t="s">
        <v>83</v>
      </c>
      <c r="D124" s="28" t="s">
        <v>86</v>
      </c>
      <c r="E124" s="37" t="s">
        <v>196</v>
      </c>
      <c r="F124" s="37"/>
      <c r="G124" s="37"/>
      <c r="H124" s="56" t="s">
        <v>89</v>
      </c>
      <c r="I124" s="37"/>
      <c r="J124" s="56" t="s">
        <v>29</v>
      </c>
      <c r="K124" s="37"/>
      <c r="L124" s="37"/>
      <c r="M124" s="37"/>
      <c r="N124" s="32" t="s">
        <v>31</v>
      </c>
      <c r="O124" s="28" t="s">
        <v>195</v>
      </c>
      <c r="P124" s="58"/>
      <c r="Q124" s="32" t="s">
        <v>28</v>
      </c>
      <c r="R124" s="28" t="s">
        <v>65</v>
      </c>
      <c r="S124" s="58"/>
      <c r="T124" s="58"/>
    </row>
    <row r="125" spans="1:20" ht="27">
      <c r="A125" s="26" t="s">
        <v>22</v>
      </c>
      <c r="B125" s="27" t="s">
        <v>23</v>
      </c>
      <c r="C125" s="28" t="s">
        <v>83</v>
      </c>
      <c r="D125" s="28" t="s">
        <v>86</v>
      </c>
      <c r="E125" s="37" t="s">
        <v>197</v>
      </c>
      <c r="F125" s="37"/>
      <c r="G125" s="37"/>
      <c r="H125" s="56" t="s">
        <v>134</v>
      </c>
      <c r="I125" s="37"/>
      <c r="J125" s="56" t="s">
        <v>90</v>
      </c>
      <c r="K125" s="37"/>
      <c r="L125" s="37"/>
      <c r="M125" s="37"/>
      <c r="N125" s="32" t="s">
        <v>31</v>
      </c>
      <c r="O125" s="28" t="s">
        <v>23</v>
      </c>
      <c r="P125" s="58"/>
      <c r="Q125" s="32" t="s">
        <v>28</v>
      </c>
      <c r="R125" s="28" t="s">
        <v>23</v>
      </c>
      <c r="S125" s="58"/>
      <c r="T125" s="58"/>
    </row>
    <row r="126" spans="1:20">
      <c r="A126" s="26" t="s">
        <v>22</v>
      </c>
      <c r="B126" s="27" t="s">
        <v>23</v>
      </c>
      <c r="C126" s="28" t="s">
        <v>83</v>
      </c>
      <c r="D126" s="28" t="s">
        <v>53</v>
      </c>
      <c r="E126" s="37" t="s">
        <v>198</v>
      </c>
      <c r="F126" s="37"/>
      <c r="G126" s="37"/>
      <c r="H126" s="56" t="s">
        <v>89</v>
      </c>
      <c r="I126" s="56"/>
      <c r="J126" s="56" t="s">
        <v>29</v>
      </c>
      <c r="K126" s="37"/>
      <c r="L126" s="37"/>
      <c r="M126" s="37"/>
      <c r="N126" s="56" t="s">
        <v>31</v>
      </c>
      <c r="O126" s="56" t="s">
        <v>32</v>
      </c>
      <c r="P126" s="58"/>
      <c r="Q126" s="32" t="s">
        <v>28</v>
      </c>
      <c r="R126" s="28" t="s">
        <v>37</v>
      </c>
      <c r="S126" s="58"/>
      <c r="T126" s="58"/>
    </row>
    <row r="127" spans="1:20">
      <c r="A127" s="26" t="s">
        <v>22</v>
      </c>
      <c r="B127" s="27" t="s">
        <v>23</v>
      </c>
      <c r="C127" s="28" t="s">
        <v>83</v>
      </c>
      <c r="D127" s="28" t="s">
        <v>40</v>
      </c>
      <c r="E127" s="37" t="s">
        <v>199</v>
      </c>
      <c r="F127" s="37"/>
      <c r="G127" s="37"/>
      <c r="H127" s="56" t="s">
        <v>89</v>
      </c>
      <c r="I127" s="56"/>
      <c r="J127" s="56" t="s">
        <v>29</v>
      </c>
      <c r="K127" s="37"/>
      <c r="L127" s="37"/>
      <c r="M127" s="37"/>
      <c r="N127" s="56" t="s">
        <v>31</v>
      </c>
      <c r="O127" s="56" t="s">
        <v>70</v>
      </c>
      <c r="P127" s="58"/>
      <c r="Q127" s="32" t="s">
        <v>28</v>
      </c>
      <c r="R127" s="28" t="s">
        <v>65</v>
      </c>
      <c r="S127" s="58"/>
      <c r="T127" s="58"/>
    </row>
    <row r="128" spans="1:20" ht="27">
      <c r="A128" s="26" t="s">
        <v>22</v>
      </c>
      <c r="B128" s="27" t="s">
        <v>23</v>
      </c>
      <c r="C128" s="28" t="s">
        <v>83</v>
      </c>
      <c r="D128" s="28" t="s">
        <v>86</v>
      </c>
      <c r="E128" s="36" t="s">
        <v>200</v>
      </c>
      <c r="F128" s="37"/>
      <c r="G128" s="37"/>
      <c r="H128" s="56" t="s">
        <v>134</v>
      </c>
      <c r="I128" s="56"/>
      <c r="J128" s="56" t="s">
        <v>29</v>
      </c>
      <c r="K128" s="37"/>
      <c r="L128" s="37"/>
      <c r="M128" s="37"/>
      <c r="N128" s="56" t="s">
        <v>31</v>
      </c>
      <c r="O128" s="56" t="s">
        <v>201</v>
      </c>
      <c r="P128" s="58"/>
      <c r="Q128" s="32" t="s">
        <v>28</v>
      </c>
      <c r="R128" s="28" t="s">
        <v>32</v>
      </c>
      <c r="S128" s="58"/>
      <c r="T128" s="58"/>
    </row>
    <row r="129" spans="1:18">
      <c r="A129" s="26" t="s">
        <v>22</v>
      </c>
      <c r="B129" s="27" t="s">
        <v>23</v>
      </c>
      <c r="C129" s="28" t="s">
        <v>83</v>
      </c>
      <c r="D129" s="28" t="s">
        <v>40</v>
      </c>
      <c r="E129" s="21" t="s">
        <v>202</v>
      </c>
      <c r="F129" s="20"/>
      <c r="H129" s="32" t="s">
        <v>27</v>
      </c>
      <c r="I129" s="32"/>
      <c r="J129" s="32" t="s">
        <v>29</v>
      </c>
      <c r="K129" s="33"/>
      <c r="L129" s="33"/>
      <c r="M129" s="33"/>
      <c r="N129" s="32" t="s">
        <v>31</v>
      </c>
      <c r="O129" s="28" t="s">
        <v>32</v>
      </c>
      <c r="Q129" s="32" t="s">
        <v>28</v>
      </c>
      <c r="R129" s="28" t="s">
        <v>37</v>
      </c>
    </row>
    <row r="130" spans="1:18">
      <c r="A130" s="26" t="s">
        <v>22</v>
      </c>
      <c r="B130" s="27" t="s">
        <v>23</v>
      </c>
      <c r="C130" s="28" t="s">
        <v>83</v>
      </c>
      <c r="D130" s="28" t="s">
        <v>40</v>
      </c>
      <c r="E130" s="21" t="s">
        <v>203</v>
      </c>
      <c r="H130" s="32" t="s">
        <v>134</v>
      </c>
      <c r="I130" s="32"/>
      <c r="J130" s="32" t="s">
        <v>101</v>
      </c>
      <c r="N130" s="32" t="s">
        <v>31</v>
      </c>
      <c r="O130" s="28" t="s">
        <v>32</v>
      </c>
      <c r="Q130" s="32" t="s">
        <v>28</v>
      </c>
      <c r="R130" s="28" t="s">
        <v>32</v>
      </c>
    </row>
    <row r="131" spans="1:18">
      <c r="E131" s="61" t="s">
        <v>204</v>
      </c>
    </row>
    <row r="132" spans="1:18">
      <c r="A132" s="26" t="s">
        <v>22</v>
      </c>
      <c r="B132" s="27" t="s">
        <v>23</v>
      </c>
      <c r="C132" s="28" t="s">
        <v>83</v>
      </c>
      <c r="D132" s="28" t="s">
        <v>40</v>
      </c>
      <c r="E132" s="61" t="s">
        <v>205</v>
      </c>
      <c r="H132" s="32" t="s">
        <v>27</v>
      </c>
      <c r="I132" s="32"/>
      <c r="J132" s="32" t="s">
        <v>29</v>
      </c>
      <c r="N132" s="32" t="s">
        <v>31</v>
      </c>
      <c r="O132" s="28" t="s">
        <v>70</v>
      </c>
      <c r="Q132" s="32" t="s">
        <v>28</v>
      </c>
      <c r="R132" s="28" t="s">
        <v>65</v>
      </c>
    </row>
    <row r="133" spans="1:18">
      <c r="E133" s="63" t="s">
        <v>206</v>
      </c>
    </row>
    <row r="134" spans="1:18">
      <c r="E134" s="20" t="s">
        <v>207</v>
      </c>
    </row>
    <row r="135" spans="1:18">
      <c r="E135" s="37" t="s">
        <v>208</v>
      </c>
    </row>
    <row r="136" spans="1:18">
      <c r="E136" s="37" t="s">
        <v>209</v>
      </c>
    </row>
    <row r="137" spans="1:18" ht="27">
      <c r="E137" s="37" t="s">
        <v>210</v>
      </c>
    </row>
    <row r="138" spans="1:18">
      <c r="E138" s="37" t="s">
        <v>211</v>
      </c>
    </row>
    <row r="139" spans="1:18">
      <c r="E139" s="37" t="s">
        <v>212</v>
      </c>
    </row>
    <row r="140" spans="1:18">
      <c r="E140" s="37" t="s">
        <v>213</v>
      </c>
    </row>
    <row r="141" spans="1:18">
      <c r="E141" s="1" t="s">
        <v>214</v>
      </c>
    </row>
    <row r="142" spans="1:18" ht="30">
      <c r="E142" s="1" t="s">
        <v>215</v>
      </c>
    </row>
    <row r="143" spans="1:18">
      <c r="E143" s="1" t="s">
        <v>216</v>
      </c>
    </row>
    <row r="144" spans="1:18">
      <c r="E144" s="1" t="s">
        <v>217</v>
      </c>
    </row>
    <row r="145" spans="5:5" ht="45">
      <c r="E145" s="1" t="s">
        <v>218</v>
      </c>
    </row>
    <row r="146" spans="5:5">
      <c r="E146" s="1" t="s">
        <v>219</v>
      </c>
    </row>
    <row r="147" spans="5:5">
      <c r="E147" s="1" t="s">
        <v>220</v>
      </c>
    </row>
  </sheetData>
  <mergeCells count="17">
    <mergeCell ref="F1:F2"/>
    <mergeCell ref="H1:H2"/>
    <mergeCell ref="I1:I2"/>
    <mergeCell ref="A1:A2"/>
    <mergeCell ref="B1:B2"/>
    <mergeCell ref="C1:C2"/>
    <mergeCell ref="D1:D2"/>
    <mergeCell ref="E1:E2"/>
    <mergeCell ref="S1:S2"/>
    <mergeCell ref="R1:R2"/>
    <mergeCell ref="T1:T2"/>
    <mergeCell ref="K1:K2"/>
    <mergeCell ref="L1:L2"/>
    <mergeCell ref="M1:M2"/>
    <mergeCell ref="N1:N2"/>
    <mergeCell ref="O1:O2"/>
    <mergeCell ref="P1:P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472A-34A4-49BF-BB20-670C9420C08E}">
  <dimension ref="A1:H131"/>
  <sheetViews>
    <sheetView topLeftCell="A85" zoomScale="65" zoomScaleNormal="65" workbookViewId="0">
      <selection activeCell="D20" sqref="D20"/>
    </sheetView>
  </sheetViews>
  <sheetFormatPr defaultColWidth="11.42578125" defaultRowHeight="15"/>
  <cols>
    <col min="1" max="1" width="16" style="1" customWidth="1"/>
    <col min="2" max="2" width="116.7109375" style="1" customWidth="1"/>
    <col min="3" max="3" width="55.7109375" style="1" customWidth="1"/>
    <col min="4" max="4" width="76.140625" style="1" bestFit="1" customWidth="1"/>
    <col min="5" max="5" width="20.28515625" style="1" customWidth="1"/>
    <col min="6" max="6" width="21.28515625" style="1" customWidth="1"/>
    <col min="7" max="7" width="18.28515625" style="1" customWidth="1"/>
    <col min="8" max="8" width="24" style="1" customWidth="1"/>
    <col min="9" max="16384" width="11.42578125" style="1"/>
  </cols>
  <sheetData>
    <row r="1" spans="1:8" ht="32.25" customHeight="1">
      <c r="A1" s="309" t="s">
        <v>5</v>
      </c>
      <c r="B1" s="8" t="s">
        <v>6</v>
      </c>
      <c r="C1" s="311" t="s">
        <v>7</v>
      </c>
      <c r="D1" s="309" t="s">
        <v>8</v>
      </c>
      <c r="E1" s="8" t="s">
        <v>9</v>
      </c>
      <c r="F1" s="307" t="s">
        <v>10</v>
      </c>
      <c r="G1" s="307" t="s">
        <v>11</v>
      </c>
      <c r="H1" s="307" t="s">
        <v>12</v>
      </c>
    </row>
    <row r="2" spans="1:8" ht="32.25" customHeight="1" thickBot="1">
      <c r="A2" s="310"/>
      <c r="B2" s="9" t="s">
        <v>4</v>
      </c>
      <c r="C2" s="312"/>
      <c r="D2" s="310"/>
      <c r="E2" s="9" t="s">
        <v>20</v>
      </c>
      <c r="F2" s="308"/>
      <c r="G2" s="308"/>
      <c r="H2" s="308"/>
    </row>
    <row r="3" spans="1:8">
      <c r="A3" s="10"/>
      <c r="B3" s="10"/>
      <c r="C3" s="11"/>
      <c r="D3" s="10"/>
      <c r="E3" s="10"/>
      <c r="F3" s="10"/>
      <c r="G3" s="10"/>
      <c r="H3" s="10"/>
    </row>
    <row r="4" spans="1:8">
      <c r="A4" s="10"/>
      <c r="B4" s="10"/>
      <c r="C4" s="11"/>
      <c r="D4" s="10"/>
      <c r="E4" s="10"/>
      <c r="F4" s="10"/>
      <c r="G4" s="10"/>
      <c r="H4" s="10"/>
    </row>
    <row r="5" spans="1:8">
      <c r="A5" s="10"/>
      <c r="B5" s="10"/>
      <c r="C5" s="11"/>
      <c r="D5" s="10"/>
      <c r="E5" s="10"/>
      <c r="F5" s="10"/>
      <c r="G5" s="10"/>
      <c r="H5" s="10"/>
    </row>
    <row r="6" spans="1:8">
      <c r="A6" s="10"/>
      <c r="B6" s="10"/>
      <c r="C6" s="11"/>
      <c r="D6" s="10"/>
      <c r="E6" s="10"/>
      <c r="F6" s="10"/>
      <c r="G6" s="10"/>
      <c r="H6" s="10"/>
    </row>
    <row r="7" spans="1:8">
      <c r="A7" s="10"/>
      <c r="B7" s="10"/>
      <c r="C7" s="11"/>
      <c r="D7" s="10"/>
      <c r="E7" s="10"/>
      <c r="F7" s="10"/>
      <c r="G7" s="10"/>
      <c r="H7" s="10"/>
    </row>
    <row r="8" spans="1:8">
      <c r="A8" s="10"/>
      <c r="B8" s="10"/>
      <c r="C8" s="11"/>
      <c r="D8" s="10"/>
      <c r="E8" s="10"/>
      <c r="F8" s="10"/>
      <c r="G8" s="10"/>
      <c r="H8" s="10"/>
    </row>
    <row r="9" spans="1:8">
      <c r="A9" s="10"/>
      <c r="B9" s="10"/>
      <c r="C9" s="11"/>
      <c r="D9" s="10"/>
      <c r="E9" s="10"/>
      <c r="F9" s="10"/>
      <c r="G9" s="10"/>
      <c r="H9" s="10"/>
    </row>
    <row r="10" spans="1:8">
      <c r="A10" s="10"/>
      <c r="B10" s="10"/>
      <c r="C10" s="11"/>
      <c r="D10" s="10"/>
      <c r="E10" s="10"/>
      <c r="F10" s="10"/>
      <c r="G10" s="10"/>
      <c r="H10" s="10"/>
    </row>
    <row r="11" spans="1:8">
      <c r="A11" s="10"/>
      <c r="B11" s="10"/>
      <c r="C11" s="11"/>
      <c r="D11" s="10"/>
      <c r="E11" s="10"/>
      <c r="F11" s="10"/>
      <c r="G11" s="10"/>
      <c r="H11" s="10"/>
    </row>
    <row r="12" spans="1:8">
      <c r="B12" s="4" t="s">
        <v>221</v>
      </c>
    </row>
    <row r="13" spans="1:8">
      <c r="B13" s="1" t="s">
        <v>222</v>
      </c>
      <c r="C13" s="1" t="s">
        <v>31</v>
      </c>
    </row>
    <row r="14" spans="1:8">
      <c r="A14" s="1">
        <v>1</v>
      </c>
      <c r="B14" s="2" t="s">
        <v>223</v>
      </c>
      <c r="C14" s="1" t="s">
        <v>224</v>
      </c>
    </row>
    <row r="15" spans="1:8">
      <c r="B15" s="2" t="s">
        <v>225</v>
      </c>
    </row>
    <row r="16" spans="1:8">
      <c r="B16" s="2" t="s">
        <v>226</v>
      </c>
    </row>
    <row r="17" spans="1:4">
      <c r="B17" s="2" t="s">
        <v>227</v>
      </c>
    </row>
    <row r="18" spans="1:4">
      <c r="B18" s="2" t="s">
        <v>228</v>
      </c>
    </row>
    <row r="19" spans="1:4">
      <c r="B19" s="2" t="s">
        <v>229</v>
      </c>
    </row>
    <row r="20" spans="1:4" ht="30">
      <c r="A20" s="1">
        <v>2</v>
      </c>
      <c r="B20" s="2" t="s">
        <v>230</v>
      </c>
    </row>
    <row r="21" spans="1:4" ht="45">
      <c r="B21" s="2" t="s">
        <v>88</v>
      </c>
      <c r="C21" s="1" t="s">
        <v>70</v>
      </c>
    </row>
    <row r="22" spans="1:4">
      <c r="B22" s="2" t="s">
        <v>91</v>
      </c>
      <c r="C22" s="1" t="s">
        <v>70</v>
      </c>
    </row>
    <row r="23" spans="1:4">
      <c r="B23" s="3" t="s">
        <v>231</v>
      </c>
    </row>
    <row r="24" spans="1:4">
      <c r="B24" s="2" t="s">
        <v>95</v>
      </c>
      <c r="C24" s="1" t="s">
        <v>70</v>
      </c>
    </row>
    <row r="25" spans="1:4">
      <c r="A25" s="1">
        <v>3</v>
      </c>
      <c r="B25" s="2" t="s">
        <v>232</v>
      </c>
    </row>
    <row r="26" spans="1:4" ht="30">
      <c r="B26" s="2" t="s">
        <v>233</v>
      </c>
    </row>
    <row r="27" spans="1:4">
      <c r="B27" s="2" t="s">
        <v>234</v>
      </c>
    </row>
    <row r="28" spans="1:4">
      <c r="B28" s="2" t="s">
        <v>235</v>
      </c>
    </row>
    <row r="29" spans="1:4">
      <c r="A29" s="1">
        <v>4</v>
      </c>
      <c r="B29" s="2" t="s">
        <v>236</v>
      </c>
      <c r="D29" t="s">
        <v>237</v>
      </c>
    </row>
    <row r="30" spans="1:4">
      <c r="B30" s="2" t="s">
        <v>105</v>
      </c>
      <c r="C30" s="1" t="s">
        <v>65</v>
      </c>
    </row>
    <row r="31" spans="1:4">
      <c r="A31" s="1">
        <v>5</v>
      </c>
      <c r="B31" s="2" t="s">
        <v>238</v>
      </c>
    </row>
    <row r="32" spans="1:4">
      <c r="B32" s="2" t="s">
        <v>239</v>
      </c>
      <c r="C32" s="1" t="s">
        <v>70</v>
      </c>
    </row>
    <row r="33" spans="1:3">
      <c r="A33" s="1">
        <v>6</v>
      </c>
      <c r="B33" s="2" t="s">
        <v>240</v>
      </c>
      <c r="C33" s="1" t="s">
        <v>70</v>
      </c>
    </row>
    <row r="34" spans="1:3">
      <c r="A34" s="1">
        <v>7</v>
      </c>
      <c r="B34" s="2" t="s">
        <v>241</v>
      </c>
      <c r="C34" s="1" t="s">
        <v>224</v>
      </c>
    </row>
    <row r="35" spans="1:3">
      <c r="B35" s="7" t="s">
        <v>242</v>
      </c>
    </row>
    <row r="36" spans="1:3">
      <c r="A36" s="1">
        <v>8</v>
      </c>
      <c r="B36" s="2" t="s">
        <v>243</v>
      </c>
    </row>
    <row r="37" spans="1:3">
      <c r="A37" s="1">
        <v>9</v>
      </c>
      <c r="B37" s="2" t="s">
        <v>244</v>
      </c>
      <c r="C37" s="1" t="s">
        <v>65</v>
      </c>
    </row>
    <row r="38" spans="1:3">
      <c r="A38" s="1">
        <v>10</v>
      </c>
      <c r="B38" s="2" t="s">
        <v>245</v>
      </c>
      <c r="C38" s="1" t="s">
        <v>70</v>
      </c>
    </row>
    <row r="39" spans="1:3">
      <c r="A39" s="1">
        <v>11</v>
      </c>
      <c r="B39" s="2" t="s">
        <v>246</v>
      </c>
      <c r="C39" s="1" t="s">
        <v>70</v>
      </c>
    </row>
    <row r="40" spans="1:3">
      <c r="B40" s="2" t="s">
        <v>247</v>
      </c>
    </row>
    <row r="41" spans="1:3">
      <c r="A41" s="1">
        <v>12</v>
      </c>
      <c r="B41" s="3" t="s">
        <v>248</v>
      </c>
      <c r="C41" s="1" t="s">
        <v>70</v>
      </c>
    </row>
    <row r="42" spans="1:3">
      <c r="B42" s="1" t="s">
        <v>249</v>
      </c>
    </row>
    <row r="43" spans="1:3">
      <c r="B43" s="1" t="s">
        <v>250</v>
      </c>
    </row>
    <row r="44" spans="1:3">
      <c r="A44" s="1">
        <v>13</v>
      </c>
      <c r="B44" s="2" t="s">
        <v>251</v>
      </c>
      <c r="C44" s="1" t="s">
        <v>70</v>
      </c>
    </row>
    <row r="45" spans="1:3">
      <c r="B45" s="6" t="s">
        <v>252</v>
      </c>
    </row>
    <row r="46" spans="1:3">
      <c r="A46" s="1">
        <v>15</v>
      </c>
      <c r="B46" s="2" t="s">
        <v>253</v>
      </c>
      <c r="C46" s="1" t="s">
        <v>254</v>
      </c>
    </row>
    <row r="47" spans="1:3">
      <c r="B47" s="1" t="s">
        <v>138</v>
      </c>
    </row>
    <row r="48" spans="1:3">
      <c r="B48" s="1" t="s">
        <v>139</v>
      </c>
    </row>
    <row r="49" spans="1:3">
      <c r="B49" s="1" t="s">
        <v>140</v>
      </c>
    </row>
    <row r="50" spans="1:3">
      <c r="B50" s="1" t="s">
        <v>141</v>
      </c>
    </row>
    <row r="51" spans="1:3">
      <c r="A51" s="1">
        <v>16</v>
      </c>
      <c r="B51" s="2" t="s">
        <v>255</v>
      </c>
    </row>
    <row r="52" spans="1:3">
      <c r="B52" s="1" t="s">
        <v>143</v>
      </c>
    </row>
    <row r="53" spans="1:3">
      <c r="B53" s="1" t="s">
        <v>139</v>
      </c>
    </row>
    <row r="54" spans="1:3">
      <c r="B54" s="1" t="s">
        <v>144</v>
      </c>
    </row>
    <row r="55" spans="1:3">
      <c r="B55" s="1" t="s">
        <v>145</v>
      </c>
    </row>
    <row r="56" spans="1:3">
      <c r="B56" s="1" t="s">
        <v>146</v>
      </c>
    </row>
    <row r="57" spans="1:3">
      <c r="A57" s="1">
        <v>17</v>
      </c>
      <c r="B57" s="2" t="s">
        <v>256</v>
      </c>
      <c r="C57" s="1" t="s">
        <v>224</v>
      </c>
    </row>
    <row r="58" spans="1:3">
      <c r="B58" s="2" t="s">
        <v>154</v>
      </c>
    </row>
    <row r="59" spans="1:3">
      <c r="B59" s="2" t="s">
        <v>257</v>
      </c>
    </row>
    <row r="60" spans="1:3">
      <c r="B60" s="2" t="s">
        <v>157</v>
      </c>
    </row>
    <row r="61" spans="1:3">
      <c r="B61" s="2" t="s">
        <v>258</v>
      </c>
    </row>
    <row r="62" spans="1:3">
      <c r="B62" s="1" t="s">
        <v>259</v>
      </c>
      <c r="C62" s="1" t="s">
        <v>70</v>
      </c>
    </row>
    <row r="63" spans="1:3">
      <c r="B63" s="1" t="s">
        <v>260</v>
      </c>
      <c r="C63" s="1" t="s">
        <v>31</v>
      </c>
    </row>
    <row r="64" spans="1:3">
      <c r="B64" s="1" t="s">
        <v>261</v>
      </c>
      <c r="C64" s="1" t="s">
        <v>31</v>
      </c>
    </row>
    <row r="65" spans="1:3">
      <c r="B65" s="4" t="s">
        <v>262</v>
      </c>
    </row>
    <row r="66" spans="1:3">
      <c r="A66" s="1">
        <v>18</v>
      </c>
      <c r="B66" s="2" t="s">
        <v>263</v>
      </c>
      <c r="C66" s="1" t="s">
        <v>264</v>
      </c>
    </row>
    <row r="67" spans="1:3">
      <c r="A67" s="1">
        <v>19</v>
      </c>
      <c r="B67" s="2" t="s">
        <v>265</v>
      </c>
      <c r="C67" s="1" t="s">
        <v>266</v>
      </c>
    </row>
    <row r="68" spans="1:3">
      <c r="A68" s="1">
        <v>20</v>
      </c>
      <c r="B68" s="2" t="s">
        <v>267</v>
      </c>
      <c r="C68" s="1" t="s">
        <v>65</v>
      </c>
    </row>
    <row r="69" spans="1:3">
      <c r="A69" s="1">
        <v>21</v>
      </c>
      <c r="B69" s="2" t="s">
        <v>268</v>
      </c>
    </row>
    <row r="70" spans="1:3">
      <c r="B70" s="1" t="s">
        <v>124</v>
      </c>
    </row>
    <row r="71" spans="1:3">
      <c r="B71" s="6" t="s">
        <v>269</v>
      </c>
    </row>
    <row r="72" spans="1:3">
      <c r="A72" s="1">
        <v>22</v>
      </c>
      <c r="B72" s="2" t="s">
        <v>270</v>
      </c>
      <c r="C72" s="1" t="s">
        <v>67</v>
      </c>
    </row>
    <row r="73" spans="1:3">
      <c r="B73" s="1" t="s">
        <v>172</v>
      </c>
    </row>
    <row r="74" spans="1:3">
      <c r="B74" s="1" t="s">
        <v>173</v>
      </c>
    </row>
    <row r="75" spans="1:3">
      <c r="B75" s="1" t="s">
        <v>174</v>
      </c>
    </row>
    <row r="76" spans="1:3">
      <c r="B76" s="1" t="s">
        <v>175</v>
      </c>
    </row>
    <row r="77" spans="1:3">
      <c r="B77" s="5" t="s">
        <v>271</v>
      </c>
      <c r="C77" s="1" t="s">
        <v>272</v>
      </c>
    </row>
    <row r="78" spans="1:3">
      <c r="A78" s="1">
        <v>23</v>
      </c>
      <c r="B78" s="2" t="s">
        <v>273</v>
      </c>
      <c r="C78" s="1" t="s">
        <v>70</v>
      </c>
    </row>
    <row r="79" spans="1:3">
      <c r="A79" s="1">
        <v>24</v>
      </c>
      <c r="B79" s="2" t="s">
        <v>274</v>
      </c>
      <c r="C79" s="1" t="s">
        <v>70</v>
      </c>
    </row>
    <row r="80" spans="1:3">
      <c r="A80" s="1">
        <v>25</v>
      </c>
      <c r="B80" s="2" t="s">
        <v>275</v>
      </c>
      <c r="C80" s="1" t="s">
        <v>70</v>
      </c>
    </row>
    <row r="81" spans="1:3">
      <c r="A81" s="1">
        <v>26</v>
      </c>
      <c r="B81" s="2" t="s">
        <v>276</v>
      </c>
      <c r="C81" s="1" t="s">
        <v>70</v>
      </c>
    </row>
    <row r="82" spans="1:3">
      <c r="A82" s="1">
        <v>27</v>
      </c>
      <c r="B82" s="2" t="s">
        <v>277</v>
      </c>
      <c r="C82" s="1" t="s">
        <v>272</v>
      </c>
    </row>
    <row r="83" spans="1:3">
      <c r="A83" s="1">
        <v>28</v>
      </c>
      <c r="B83" s="2" t="s">
        <v>278</v>
      </c>
      <c r="C83" s="1" t="s">
        <v>272</v>
      </c>
    </row>
    <row r="84" spans="1:3">
      <c r="B84" s="4" t="s">
        <v>279</v>
      </c>
    </row>
    <row r="86" spans="1:3">
      <c r="B86" s="1" t="s">
        <v>280</v>
      </c>
      <c r="C86" s="1" t="s">
        <v>148</v>
      </c>
    </row>
    <row r="88" spans="1:3">
      <c r="B88" s="1" t="s">
        <v>281</v>
      </c>
      <c r="C88" s="1" t="s">
        <v>148</v>
      </c>
    </row>
    <row r="89" spans="1:3">
      <c r="B89" s="1" t="s">
        <v>282</v>
      </c>
      <c r="C89" s="1" t="s">
        <v>148</v>
      </c>
    </row>
    <row r="90" spans="1:3">
      <c r="B90" s="1" t="s">
        <v>147</v>
      </c>
      <c r="C90" s="1" t="s">
        <v>148</v>
      </c>
    </row>
    <row r="91" spans="1:3">
      <c r="B91" s="1" t="s">
        <v>283</v>
      </c>
    </row>
    <row r="92" spans="1:3">
      <c r="B92" s="1" t="s">
        <v>284</v>
      </c>
      <c r="C92" s="1" t="s">
        <v>148</v>
      </c>
    </row>
    <row r="93" spans="1:3" ht="30" customHeight="1">
      <c r="B93" s="1" t="s">
        <v>285</v>
      </c>
      <c r="C93" s="1" t="s">
        <v>148</v>
      </c>
    </row>
    <row r="94" spans="1:3">
      <c r="B94" s="1" t="s">
        <v>286</v>
      </c>
    </row>
    <row r="95" spans="1:3">
      <c r="B95" s="1" t="s">
        <v>287</v>
      </c>
      <c r="C95" s="1" t="s">
        <v>148</v>
      </c>
    </row>
    <row r="96" spans="1:3">
      <c r="B96" s="1" t="s">
        <v>288</v>
      </c>
      <c r="C96" s="1" t="s">
        <v>148</v>
      </c>
    </row>
    <row r="97" spans="1:3">
      <c r="B97" s="1" t="s">
        <v>289</v>
      </c>
      <c r="C97" s="1" t="s">
        <v>148</v>
      </c>
    </row>
    <row r="99" spans="1:3">
      <c r="B99" s="1" t="s">
        <v>290</v>
      </c>
      <c r="C99" s="1" t="s">
        <v>179</v>
      </c>
    </row>
    <row r="100" spans="1:3">
      <c r="B100" s="1" t="s">
        <v>291</v>
      </c>
    </row>
    <row r="101" spans="1:3">
      <c r="B101" s="1" t="s">
        <v>103</v>
      </c>
      <c r="C101" s="1" t="s">
        <v>179</v>
      </c>
    </row>
    <row r="102" spans="1:3">
      <c r="B102" s="1" t="s">
        <v>292</v>
      </c>
      <c r="C102" s="1" t="s">
        <v>179</v>
      </c>
    </row>
    <row r="103" spans="1:3">
      <c r="B103" s="1" t="s">
        <v>293</v>
      </c>
    </row>
    <row r="104" spans="1:3">
      <c r="B104" s="1" t="s">
        <v>176</v>
      </c>
    </row>
    <row r="106" spans="1:3">
      <c r="B106" s="6" t="s">
        <v>294</v>
      </c>
    </row>
    <row r="107" spans="1:3">
      <c r="A107" s="1">
        <v>14</v>
      </c>
      <c r="B107" s="2" t="s">
        <v>295</v>
      </c>
      <c r="C107" s="1" t="s">
        <v>77</v>
      </c>
    </row>
    <row r="108" spans="1:3" ht="33.75" customHeight="1">
      <c r="B108" s="2" t="s">
        <v>296</v>
      </c>
    </row>
    <row r="109" spans="1:3">
      <c r="B109" s="2"/>
    </row>
    <row r="110" spans="1:3">
      <c r="B110" s="2" t="s">
        <v>297</v>
      </c>
    </row>
    <row r="111" spans="1:3">
      <c r="B111" s="2"/>
    </row>
    <row r="112" spans="1:3">
      <c r="B112" s="1" t="s">
        <v>149</v>
      </c>
      <c r="C112" s="1" t="s">
        <v>77</v>
      </c>
    </row>
    <row r="113" spans="2:3">
      <c r="B113" s="5" t="s">
        <v>183</v>
      </c>
      <c r="C113" s="1" t="s">
        <v>77</v>
      </c>
    </row>
    <row r="115" spans="2:3">
      <c r="B115" s="1" t="s">
        <v>298</v>
      </c>
    </row>
    <row r="116" spans="2:3" ht="30">
      <c r="B116" s="1" t="s">
        <v>299</v>
      </c>
      <c r="C116" s="1" t="s">
        <v>77</v>
      </c>
    </row>
    <row r="117" spans="2:3">
      <c r="B117" s="1" t="s">
        <v>150</v>
      </c>
      <c r="C117" s="1" t="s">
        <v>77</v>
      </c>
    </row>
    <row r="118" spans="2:3">
      <c r="B118" s="1" t="s">
        <v>151</v>
      </c>
      <c r="C118" s="1" t="s">
        <v>77</v>
      </c>
    </row>
    <row r="119" spans="2:3">
      <c r="B119" s="1" t="s">
        <v>152</v>
      </c>
      <c r="C119" s="1" t="s">
        <v>77</v>
      </c>
    </row>
    <row r="121" spans="2:3">
      <c r="B121" s="1" t="s">
        <v>300</v>
      </c>
      <c r="C121" s="1" t="s">
        <v>65</v>
      </c>
    </row>
    <row r="122" spans="2:3">
      <c r="B122" s="1" t="s">
        <v>184</v>
      </c>
      <c r="C122" s="1" t="s">
        <v>65</v>
      </c>
    </row>
    <row r="123" spans="2:3">
      <c r="B123" s="1" t="s">
        <v>185</v>
      </c>
      <c r="C123" s="1" t="s">
        <v>65</v>
      </c>
    </row>
    <row r="125" spans="2:3">
      <c r="B125" s="1" t="s">
        <v>301</v>
      </c>
      <c r="C125" s="1" t="s">
        <v>272</v>
      </c>
    </row>
    <row r="128" spans="2:3">
      <c r="B128" s="4" t="s">
        <v>302</v>
      </c>
    </row>
    <row r="129" spans="2:3">
      <c r="B129" s="1" t="s">
        <v>303</v>
      </c>
      <c r="C129" s="1" t="s">
        <v>148</v>
      </c>
    </row>
    <row r="131" spans="2:3" ht="30">
      <c r="B131" s="1" t="s">
        <v>304</v>
      </c>
      <c r="C131" s="1" t="s">
        <v>31</v>
      </c>
    </row>
  </sheetData>
  <mergeCells count="6">
    <mergeCell ref="H1:H2"/>
    <mergeCell ref="A1:A2"/>
    <mergeCell ref="C1:C2"/>
    <mergeCell ref="D1:D2"/>
    <mergeCell ref="F1:F2"/>
    <mergeCell ref="G1:G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739B-32C0-4338-9257-6C8EB1340AED}">
  <sheetPr>
    <tabColor rgb="FF00B050"/>
  </sheetPr>
  <dimension ref="A1:AA194"/>
  <sheetViews>
    <sheetView topLeftCell="P1" zoomScale="60" zoomScaleNormal="60" workbookViewId="0">
      <pane ySplit="1" topLeftCell="A152" activePane="bottomLeft" state="frozen"/>
      <selection pane="bottomLeft" activeCell="T169" sqref="T169"/>
      <selection activeCell="B1" sqref="B1"/>
    </sheetView>
  </sheetViews>
  <sheetFormatPr defaultColWidth="11.42578125" defaultRowHeight="15"/>
  <cols>
    <col min="1" max="1" width="0" style="1" hidden="1" customWidth="1"/>
    <col min="2" max="2" width="12.7109375" style="1" customWidth="1"/>
    <col min="3" max="3" width="35.85546875" style="1" customWidth="1"/>
    <col min="4" max="4" width="122.7109375" style="143" customWidth="1"/>
    <col min="5" max="5" width="19" style="118" customWidth="1"/>
    <col min="6" max="6" width="16.140625" style="118" customWidth="1"/>
    <col min="7" max="7" width="17" style="118" customWidth="1"/>
    <col min="8" max="11" width="0" style="118" hidden="1" customWidth="1"/>
    <col min="12" max="12" width="24.28515625" style="118" customWidth="1"/>
    <col min="13" max="14" width="15" style="212" customWidth="1"/>
    <col min="15" max="15" width="16.140625" style="212" customWidth="1"/>
    <col min="16" max="16" width="18.140625" style="118" customWidth="1"/>
    <col min="17" max="17" width="13.5703125" style="118" customWidth="1"/>
    <col min="18" max="18" width="63" style="143" customWidth="1"/>
    <col min="19" max="16384" width="11.42578125" style="1"/>
  </cols>
  <sheetData>
    <row r="1" spans="1:21" s="118" customFormat="1" ht="40.5">
      <c r="A1" s="215" t="s">
        <v>2</v>
      </c>
      <c r="B1" s="260" t="s">
        <v>305</v>
      </c>
      <c r="C1" s="260" t="s">
        <v>306</v>
      </c>
      <c r="D1" s="260" t="s">
        <v>4</v>
      </c>
      <c r="E1" s="260" t="s">
        <v>5</v>
      </c>
      <c r="F1" s="260" t="s">
        <v>307</v>
      </c>
      <c r="G1" s="260" t="s">
        <v>308</v>
      </c>
      <c r="H1" s="260" t="s">
        <v>309</v>
      </c>
      <c r="I1" s="260" t="s">
        <v>310</v>
      </c>
      <c r="J1" s="260" t="s">
        <v>8</v>
      </c>
      <c r="K1" s="260" t="s">
        <v>13</v>
      </c>
      <c r="L1" s="260" t="s">
        <v>14</v>
      </c>
      <c r="M1" s="261" t="s">
        <v>311</v>
      </c>
      <c r="N1" s="261" t="s">
        <v>312</v>
      </c>
      <c r="O1" s="261" t="s">
        <v>313</v>
      </c>
      <c r="P1" s="260" t="s">
        <v>314</v>
      </c>
      <c r="Q1" s="260" t="s">
        <v>315</v>
      </c>
      <c r="R1" s="260" t="s">
        <v>19</v>
      </c>
      <c r="T1" s="239" t="s">
        <v>316</v>
      </c>
      <c r="U1" s="239" t="s">
        <v>317</v>
      </c>
    </row>
    <row r="2" spans="1:21" ht="54">
      <c r="A2" s="217" t="s">
        <v>83</v>
      </c>
      <c r="B2" s="262">
        <v>2026</v>
      </c>
      <c r="C2" s="263" t="s">
        <v>318</v>
      </c>
      <c r="D2" s="262" t="s">
        <v>319</v>
      </c>
      <c r="E2" s="264"/>
      <c r="F2" s="264" t="s">
        <v>320</v>
      </c>
      <c r="G2" s="264" t="s">
        <v>321</v>
      </c>
      <c r="H2" s="264"/>
      <c r="I2" s="264" t="s">
        <v>27</v>
      </c>
      <c r="J2" s="264"/>
      <c r="K2" s="265" t="s">
        <v>322</v>
      </c>
      <c r="L2" s="266" t="s">
        <v>323</v>
      </c>
      <c r="M2" s="267">
        <v>45658</v>
      </c>
      <c r="N2" s="267">
        <v>46087</v>
      </c>
      <c r="O2" s="267">
        <v>46084</v>
      </c>
      <c r="P2" s="264"/>
      <c r="Q2" s="268">
        <v>1</v>
      </c>
      <c r="R2" s="262"/>
    </row>
    <row r="3" spans="1:21">
      <c r="A3" s="217"/>
      <c r="B3" s="262">
        <v>2026</v>
      </c>
      <c r="C3" s="263" t="s">
        <v>318</v>
      </c>
      <c r="D3" s="262" t="s">
        <v>324</v>
      </c>
      <c r="E3" s="264"/>
      <c r="F3" s="264" t="s">
        <v>320</v>
      </c>
      <c r="G3" s="264" t="s">
        <v>321</v>
      </c>
      <c r="H3" s="264"/>
      <c r="I3" s="264" t="s">
        <v>27</v>
      </c>
      <c r="J3" s="264"/>
      <c r="K3" s="265" t="s">
        <v>322</v>
      </c>
      <c r="L3" s="266" t="s">
        <v>323</v>
      </c>
      <c r="M3" s="267">
        <v>45658</v>
      </c>
      <c r="N3" s="267">
        <v>46087</v>
      </c>
      <c r="O3" s="267">
        <v>46084</v>
      </c>
      <c r="P3" s="264"/>
      <c r="Q3" s="268">
        <v>1</v>
      </c>
      <c r="R3" s="262"/>
    </row>
    <row r="4" spans="1:21">
      <c r="A4" s="217"/>
      <c r="B4" s="262">
        <v>2026</v>
      </c>
      <c r="C4" s="263" t="s">
        <v>318</v>
      </c>
      <c r="D4" s="262" t="s">
        <v>325</v>
      </c>
      <c r="E4" s="264"/>
      <c r="F4" s="264" t="s">
        <v>320</v>
      </c>
      <c r="G4" s="264" t="s">
        <v>321</v>
      </c>
      <c r="H4" s="264"/>
      <c r="I4" s="264" t="s">
        <v>27</v>
      </c>
      <c r="J4" s="264"/>
      <c r="K4" s="265" t="s">
        <v>322</v>
      </c>
      <c r="L4" s="266" t="s">
        <v>323</v>
      </c>
      <c r="M4" s="267">
        <v>45839</v>
      </c>
      <c r="N4" s="267">
        <v>46087</v>
      </c>
      <c r="O4" s="267">
        <v>46084</v>
      </c>
      <c r="P4" s="264"/>
      <c r="Q4" s="268">
        <v>1</v>
      </c>
      <c r="R4" s="262"/>
    </row>
    <row r="5" spans="1:21">
      <c r="A5" s="217"/>
      <c r="B5" s="262">
        <v>2026</v>
      </c>
      <c r="C5" s="263" t="s">
        <v>318</v>
      </c>
      <c r="D5" s="262" t="s">
        <v>326</v>
      </c>
      <c r="E5" s="264"/>
      <c r="F5" s="264" t="s">
        <v>320</v>
      </c>
      <c r="G5" s="264" t="s">
        <v>321</v>
      </c>
      <c r="H5" s="264"/>
      <c r="I5" s="264" t="s">
        <v>27</v>
      </c>
      <c r="J5" s="264"/>
      <c r="K5" s="265" t="s">
        <v>322</v>
      </c>
      <c r="L5" s="266" t="s">
        <v>327</v>
      </c>
      <c r="M5" s="267">
        <v>45962</v>
      </c>
      <c r="N5" s="267">
        <v>46087</v>
      </c>
      <c r="O5" s="267">
        <v>46087</v>
      </c>
      <c r="P5" s="264"/>
      <c r="Q5" s="268">
        <v>1</v>
      </c>
      <c r="R5" s="262"/>
    </row>
    <row r="6" spans="1:21">
      <c r="A6" s="217"/>
      <c r="B6" s="262">
        <v>2026</v>
      </c>
      <c r="C6" s="263" t="s">
        <v>318</v>
      </c>
      <c r="D6" s="262" t="s">
        <v>328</v>
      </c>
      <c r="E6" s="264"/>
      <c r="F6" s="264" t="s">
        <v>329</v>
      </c>
      <c r="G6" s="264" t="s">
        <v>321</v>
      </c>
      <c r="H6" s="264"/>
      <c r="I6" s="264" t="s">
        <v>27</v>
      </c>
      <c r="J6" s="264"/>
      <c r="K6" s="265" t="s">
        <v>322</v>
      </c>
      <c r="L6" s="266" t="s">
        <v>327</v>
      </c>
      <c r="M6" s="267">
        <v>45992</v>
      </c>
      <c r="N6" s="267"/>
      <c r="O6" s="267">
        <v>46387</v>
      </c>
      <c r="P6" s="264"/>
      <c r="Q6" s="268">
        <v>0.5</v>
      </c>
      <c r="R6" s="262"/>
    </row>
    <row r="7" spans="1:21">
      <c r="A7" s="217"/>
      <c r="B7" s="262">
        <v>2026</v>
      </c>
      <c r="C7" s="263" t="s">
        <v>318</v>
      </c>
      <c r="D7" s="262" t="s">
        <v>330</v>
      </c>
      <c r="E7" s="266"/>
      <c r="F7" s="266" t="s">
        <v>320</v>
      </c>
      <c r="G7" s="264" t="s">
        <v>321</v>
      </c>
      <c r="H7" s="264"/>
      <c r="I7" s="264" t="s">
        <v>27</v>
      </c>
      <c r="J7" s="264"/>
      <c r="K7" s="265" t="s">
        <v>322</v>
      </c>
      <c r="L7" s="266" t="s">
        <v>44</v>
      </c>
      <c r="M7" s="267"/>
      <c r="N7" s="267">
        <v>46084</v>
      </c>
      <c r="O7" s="267">
        <v>46084</v>
      </c>
      <c r="P7" s="264"/>
      <c r="Q7" s="268">
        <v>1</v>
      </c>
      <c r="R7" s="262"/>
    </row>
    <row r="8" spans="1:21">
      <c r="A8" s="217"/>
      <c r="B8" s="262">
        <v>2026</v>
      </c>
      <c r="C8" s="263" t="s">
        <v>318</v>
      </c>
      <c r="D8" s="262" t="s">
        <v>331</v>
      </c>
      <c r="E8" s="264"/>
      <c r="F8" s="264" t="s">
        <v>320</v>
      </c>
      <c r="G8" s="264" t="s">
        <v>321</v>
      </c>
      <c r="H8" s="264"/>
      <c r="I8" s="264" t="s">
        <v>27</v>
      </c>
      <c r="J8" s="264"/>
      <c r="K8" s="265" t="s">
        <v>322</v>
      </c>
      <c r="L8" s="266" t="s">
        <v>327</v>
      </c>
      <c r="M8" s="267"/>
      <c r="N8" s="267">
        <v>46080</v>
      </c>
      <c r="O8" s="267">
        <v>46080</v>
      </c>
      <c r="P8" s="264"/>
      <c r="Q8" s="268">
        <v>1</v>
      </c>
      <c r="R8" s="262" t="s">
        <v>332</v>
      </c>
    </row>
    <row r="9" spans="1:21" ht="54">
      <c r="A9" s="217" t="s">
        <v>83</v>
      </c>
      <c r="B9" s="262">
        <v>2026</v>
      </c>
      <c r="C9" s="263" t="s">
        <v>333</v>
      </c>
      <c r="D9" s="269" t="s">
        <v>334</v>
      </c>
      <c r="E9" s="264"/>
      <c r="F9" s="264" t="s">
        <v>329</v>
      </c>
      <c r="G9" s="264" t="s">
        <v>321</v>
      </c>
      <c r="H9" s="264"/>
      <c r="I9" s="264" t="s">
        <v>89</v>
      </c>
      <c r="J9" s="264"/>
      <c r="K9" s="265" t="s">
        <v>322</v>
      </c>
      <c r="L9" s="266" t="s">
        <v>323</v>
      </c>
      <c r="M9" s="267">
        <v>46327</v>
      </c>
      <c r="N9" s="267"/>
      <c r="O9" s="267">
        <v>46387</v>
      </c>
      <c r="P9" s="264"/>
      <c r="Q9" s="268">
        <v>0</v>
      </c>
      <c r="R9" s="262" t="s">
        <v>335</v>
      </c>
    </row>
    <row r="10" spans="1:21">
      <c r="A10" s="223"/>
      <c r="B10" s="262">
        <v>2026</v>
      </c>
      <c r="C10" s="263" t="s">
        <v>333</v>
      </c>
      <c r="D10" s="262" t="s">
        <v>336</v>
      </c>
      <c r="E10" s="264"/>
      <c r="F10" s="264" t="s">
        <v>337</v>
      </c>
      <c r="G10" s="264" t="s">
        <v>321</v>
      </c>
      <c r="H10" s="264"/>
      <c r="I10" s="264" t="s">
        <v>89</v>
      </c>
      <c r="J10" s="264"/>
      <c r="K10" s="265" t="s">
        <v>322</v>
      </c>
      <c r="L10" s="266" t="s">
        <v>323</v>
      </c>
      <c r="M10" s="267"/>
      <c r="N10" s="267"/>
      <c r="O10" s="267"/>
      <c r="P10" s="264"/>
      <c r="Q10" s="268">
        <v>0</v>
      </c>
      <c r="R10" s="262" t="s">
        <v>338</v>
      </c>
    </row>
    <row r="11" spans="1:21">
      <c r="A11" s="223"/>
      <c r="B11" s="262">
        <v>2026</v>
      </c>
      <c r="C11" s="263" t="s">
        <v>333</v>
      </c>
      <c r="D11" s="262" t="s">
        <v>339</v>
      </c>
      <c r="E11" s="264"/>
      <c r="F11" s="264" t="s">
        <v>329</v>
      </c>
      <c r="G11" s="264" t="s">
        <v>321</v>
      </c>
      <c r="H11" s="264"/>
      <c r="I11" s="264" t="s">
        <v>89</v>
      </c>
      <c r="J11" s="264"/>
      <c r="K11" s="265" t="s">
        <v>322</v>
      </c>
      <c r="L11" s="266" t="s">
        <v>67</v>
      </c>
      <c r="M11" s="267">
        <v>46143</v>
      </c>
      <c r="N11" s="267"/>
      <c r="O11" s="267">
        <v>46235</v>
      </c>
      <c r="P11" s="264"/>
      <c r="Q11" s="268">
        <v>0.05</v>
      </c>
      <c r="R11" s="262" t="s">
        <v>340</v>
      </c>
    </row>
    <row r="12" spans="1:21">
      <c r="A12" s="223"/>
      <c r="B12" s="262">
        <v>2026</v>
      </c>
      <c r="C12" s="263" t="s">
        <v>333</v>
      </c>
      <c r="D12" s="262" t="s">
        <v>341</v>
      </c>
      <c r="E12" s="264"/>
      <c r="F12" s="264" t="s">
        <v>320</v>
      </c>
      <c r="G12" s="264" t="s">
        <v>321</v>
      </c>
      <c r="H12" s="264"/>
      <c r="I12" s="264" t="s">
        <v>89</v>
      </c>
      <c r="J12" s="264"/>
      <c r="K12" s="265" t="s">
        <v>322</v>
      </c>
      <c r="L12" s="266" t="s">
        <v>323</v>
      </c>
      <c r="M12" s="267">
        <v>46143</v>
      </c>
      <c r="N12" s="267">
        <v>46143</v>
      </c>
      <c r="O12" s="267">
        <v>46143</v>
      </c>
      <c r="P12" s="264"/>
      <c r="Q12" s="268">
        <v>1</v>
      </c>
      <c r="R12" s="262" t="s">
        <v>342</v>
      </c>
    </row>
    <row r="13" spans="1:21" ht="53.25" customHeight="1">
      <c r="A13" s="223"/>
      <c r="B13" s="262">
        <v>2026</v>
      </c>
      <c r="C13" s="263" t="s">
        <v>333</v>
      </c>
      <c r="D13" s="270" t="s">
        <v>343</v>
      </c>
      <c r="E13" s="264"/>
      <c r="F13" s="264" t="s">
        <v>329</v>
      </c>
      <c r="G13" s="264" t="s">
        <v>344</v>
      </c>
      <c r="H13" s="264"/>
      <c r="I13" s="264" t="s">
        <v>89</v>
      </c>
      <c r="J13" s="264"/>
      <c r="K13" s="265" t="s">
        <v>322</v>
      </c>
      <c r="L13" s="266" t="s">
        <v>323</v>
      </c>
      <c r="M13" s="267">
        <v>46143</v>
      </c>
      <c r="N13" s="267"/>
      <c r="O13" s="267">
        <v>46295</v>
      </c>
      <c r="P13" s="264"/>
      <c r="Q13" s="268">
        <v>0.25</v>
      </c>
      <c r="R13" s="271" t="s">
        <v>345</v>
      </c>
      <c r="S13" s="224"/>
    </row>
    <row r="14" spans="1:21" ht="40.5">
      <c r="A14" s="223"/>
      <c r="B14" s="262">
        <v>2026</v>
      </c>
      <c r="C14" s="263" t="s">
        <v>333</v>
      </c>
      <c r="D14" s="262" t="s">
        <v>346</v>
      </c>
      <c r="E14" s="264"/>
      <c r="F14" s="264" t="s">
        <v>329</v>
      </c>
      <c r="G14" s="264" t="s">
        <v>344</v>
      </c>
      <c r="H14" s="264"/>
      <c r="I14" s="264" t="s">
        <v>89</v>
      </c>
      <c r="J14" s="264"/>
      <c r="K14" s="265" t="s">
        <v>322</v>
      </c>
      <c r="L14" s="266" t="s">
        <v>323</v>
      </c>
      <c r="M14" s="267">
        <v>46143</v>
      </c>
      <c r="N14" s="267"/>
      <c r="O14" s="267">
        <v>46326</v>
      </c>
      <c r="P14" s="264"/>
      <c r="Q14" s="268">
        <v>0.5</v>
      </c>
      <c r="R14" s="271" t="s">
        <v>347</v>
      </c>
    </row>
    <row r="15" spans="1:21" ht="27">
      <c r="A15" s="223"/>
      <c r="B15" s="262">
        <v>2026</v>
      </c>
      <c r="C15" s="263" t="s">
        <v>333</v>
      </c>
      <c r="D15" s="262" t="s">
        <v>348</v>
      </c>
      <c r="E15" s="264"/>
      <c r="F15" s="264" t="s">
        <v>320</v>
      </c>
      <c r="G15" s="264" t="s">
        <v>344</v>
      </c>
      <c r="H15" s="264"/>
      <c r="I15" s="264" t="s">
        <v>89</v>
      </c>
      <c r="J15" s="264"/>
      <c r="K15" s="265" t="s">
        <v>322</v>
      </c>
      <c r="L15" s="266" t="s">
        <v>323</v>
      </c>
      <c r="M15" s="267">
        <v>46143</v>
      </c>
      <c r="N15" s="267">
        <v>46173</v>
      </c>
      <c r="O15" s="267">
        <v>46173</v>
      </c>
      <c r="P15" s="264"/>
      <c r="Q15" s="268">
        <v>1</v>
      </c>
      <c r="R15" s="262" t="s">
        <v>349</v>
      </c>
    </row>
    <row r="16" spans="1:21">
      <c r="A16" s="223"/>
      <c r="B16" s="262">
        <v>2026</v>
      </c>
      <c r="C16" s="263" t="s">
        <v>333</v>
      </c>
      <c r="D16" s="269" t="s">
        <v>350</v>
      </c>
      <c r="E16" s="264"/>
      <c r="F16" s="264" t="s">
        <v>337</v>
      </c>
      <c r="G16" s="264" t="s">
        <v>321</v>
      </c>
      <c r="H16" s="264"/>
      <c r="I16" s="264" t="s">
        <v>89</v>
      </c>
      <c r="J16" s="264"/>
      <c r="K16" s="265" t="s">
        <v>322</v>
      </c>
      <c r="L16" s="266" t="s">
        <v>323</v>
      </c>
      <c r="M16" s="267">
        <v>46143</v>
      </c>
      <c r="N16" s="267"/>
      <c r="O16" s="272">
        <v>46387</v>
      </c>
      <c r="P16" s="264"/>
      <c r="Q16" s="268"/>
      <c r="R16" s="262" t="s">
        <v>351</v>
      </c>
    </row>
    <row r="17" spans="1:27">
      <c r="A17" s="223"/>
      <c r="B17" s="262">
        <v>2026</v>
      </c>
      <c r="C17" s="263" t="s">
        <v>333</v>
      </c>
      <c r="D17" s="262" t="s">
        <v>352</v>
      </c>
      <c r="E17" s="264"/>
      <c r="F17" s="264" t="s">
        <v>320</v>
      </c>
      <c r="G17" s="264" t="s">
        <v>344</v>
      </c>
      <c r="H17" s="264"/>
      <c r="I17" s="264" t="s">
        <v>89</v>
      </c>
      <c r="J17" s="264"/>
      <c r="K17" s="265" t="s">
        <v>322</v>
      </c>
      <c r="L17" s="266" t="s">
        <v>323</v>
      </c>
      <c r="M17" s="267">
        <v>46113</v>
      </c>
      <c r="N17" s="267">
        <v>46153</v>
      </c>
      <c r="O17" s="267">
        <v>46153</v>
      </c>
      <c r="P17" s="266"/>
      <c r="Q17" s="268">
        <v>1</v>
      </c>
      <c r="R17" s="262"/>
    </row>
    <row r="18" spans="1:27">
      <c r="A18" s="223"/>
      <c r="B18" s="262">
        <v>2026</v>
      </c>
      <c r="C18" s="263" t="s">
        <v>333</v>
      </c>
      <c r="D18" s="262" t="s">
        <v>353</v>
      </c>
      <c r="E18" s="264"/>
      <c r="F18" s="264" t="s">
        <v>320</v>
      </c>
      <c r="G18" s="264" t="s">
        <v>344</v>
      </c>
      <c r="H18" s="264"/>
      <c r="I18" s="264" t="s">
        <v>134</v>
      </c>
      <c r="J18" s="264"/>
      <c r="K18" s="265" t="s">
        <v>322</v>
      </c>
      <c r="L18" s="266" t="s">
        <v>323</v>
      </c>
      <c r="M18" s="272">
        <v>46143</v>
      </c>
      <c r="N18" s="267">
        <v>46155</v>
      </c>
      <c r="O18" s="267">
        <v>46155</v>
      </c>
      <c r="P18" s="266"/>
      <c r="Q18" s="268">
        <v>1</v>
      </c>
      <c r="R18" s="262"/>
    </row>
    <row r="19" spans="1:27">
      <c r="A19" s="223"/>
      <c r="B19" s="262">
        <v>2026</v>
      </c>
      <c r="C19" s="263" t="s">
        <v>333</v>
      </c>
      <c r="D19" s="262" t="s">
        <v>354</v>
      </c>
      <c r="E19" s="264"/>
      <c r="F19" s="264" t="s">
        <v>320</v>
      </c>
      <c r="G19" s="264" t="s">
        <v>355</v>
      </c>
      <c r="H19" s="264"/>
      <c r="I19" s="264" t="s">
        <v>27</v>
      </c>
      <c r="J19" s="264"/>
      <c r="K19" s="265"/>
      <c r="L19" s="266" t="s">
        <v>323</v>
      </c>
      <c r="M19" s="272">
        <v>46155</v>
      </c>
      <c r="N19" s="267">
        <v>46161</v>
      </c>
      <c r="O19" s="267">
        <v>46161</v>
      </c>
      <c r="P19" s="266"/>
      <c r="Q19" s="268">
        <v>1</v>
      </c>
      <c r="R19" s="270" t="s">
        <v>356</v>
      </c>
    </row>
    <row r="20" spans="1:27" ht="27">
      <c r="A20" s="223"/>
      <c r="B20" s="262">
        <v>2026</v>
      </c>
      <c r="C20" s="263" t="s">
        <v>333</v>
      </c>
      <c r="D20" s="262" t="s">
        <v>357</v>
      </c>
      <c r="E20" s="264"/>
      <c r="F20" s="264" t="s">
        <v>320</v>
      </c>
      <c r="G20" s="264" t="s">
        <v>321</v>
      </c>
      <c r="H20" s="264"/>
      <c r="I20" s="264" t="s">
        <v>134</v>
      </c>
      <c r="J20" s="264"/>
      <c r="K20" s="265" t="s">
        <v>322</v>
      </c>
      <c r="L20" s="266" t="s">
        <v>358</v>
      </c>
      <c r="M20" s="272">
        <v>46155</v>
      </c>
      <c r="N20" s="272">
        <v>46168</v>
      </c>
      <c r="O20" s="272">
        <v>46168</v>
      </c>
      <c r="P20" s="266"/>
      <c r="Q20" s="268">
        <v>1</v>
      </c>
      <c r="R20" s="262"/>
    </row>
    <row r="21" spans="1:27" s="29" customFormat="1" ht="81">
      <c r="B21" s="270">
        <v>2026</v>
      </c>
      <c r="C21" s="263" t="s">
        <v>333</v>
      </c>
      <c r="D21" s="270" t="s">
        <v>359</v>
      </c>
      <c r="E21" s="266"/>
      <c r="F21" s="266" t="s">
        <v>329</v>
      </c>
      <c r="G21" s="266" t="s">
        <v>321</v>
      </c>
      <c r="H21" s="266"/>
      <c r="I21" s="273"/>
      <c r="J21" s="273"/>
      <c r="K21" s="273"/>
      <c r="L21" s="266" t="s">
        <v>360</v>
      </c>
      <c r="M21" s="272">
        <v>46213</v>
      </c>
      <c r="N21" s="272"/>
      <c r="O21" s="272">
        <v>46265</v>
      </c>
      <c r="P21" s="266"/>
      <c r="Q21" s="274">
        <v>0.7</v>
      </c>
      <c r="R21" s="270" t="s">
        <v>361</v>
      </c>
      <c r="S21" s="236"/>
      <c r="T21" s="28"/>
      <c r="U21" s="28"/>
      <c r="V21" s="225"/>
      <c r="W21" s="225"/>
      <c r="X21" s="225"/>
      <c r="Y21" s="28"/>
      <c r="Z21" s="28"/>
      <c r="AA21" s="16"/>
    </row>
    <row r="22" spans="1:27" s="29" customFormat="1" ht="81">
      <c r="B22" s="270">
        <v>2026</v>
      </c>
      <c r="C22" s="263" t="s">
        <v>333</v>
      </c>
      <c r="D22" s="270" t="s">
        <v>362</v>
      </c>
      <c r="E22" s="266"/>
      <c r="F22" s="266" t="s">
        <v>329</v>
      </c>
      <c r="G22" s="266" t="s">
        <v>363</v>
      </c>
      <c r="H22" s="266" t="s">
        <v>364</v>
      </c>
      <c r="I22" s="273">
        <v>46143</v>
      </c>
      <c r="J22" s="273"/>
      <c r="K22" s="273">
        <v>46387</v>
      </c>
      <c r="L22" s="266" t="s">
        <v>365</v>
      </c>
      <c r="M22" s="272">
        <v>46113</v>
      </c>
      <c r="N22" s="272"/>
      <c r="O22" s="272">
        <v>46295</v>
      </c>
      <c r="P22" s="272"/>
      <c r="Q22" s="274">
        <v>0.7</v>
      </c>
      <c r="R22" s="263" t="s">
        <v>366</v>
      </c>
    </row>
    <row r="23" spans="1:27" s="29" customFormat="1" ht="81">
      <c r="B23" s="270">
        <v>2026</v>
      </c>
      <c r="C23" s="263" t="s">
        <v>333</v>
      </c>
      <c r="D23" s="270" t="s">
        <v>367</v>
      </c>
      <c r="E23" s="266"/>
      <c r="F23" s="266" t="s">
        <v>329</v>
      </c>
      <c r="G23" s="266" t="s">
        <v>363</v>
      </c>
      <c r="H23" s="266" t="s">
        <v>364</v>
      </c>
      <c r="I23" s="273">
        <v>46143</v>
      </c>
      <c r="J23" s="273"/>
      <c r="K23" s="273">
        <v>46387</v>
      </c>
      <c r="L23" s="266" t="s">
        <v>323</v>
      </c>
      <c r="M23" s="272">
        <v>46113</v>
      </c>
      <c r="N23" s="272"/>
      <c r="O23" s="272">
        <v>46387</v>
      </c>
      <c r="P23" s="272"/>
      <c r="Q23" s="274">
        <v>0.5</v>
      </c>
      <c r="R23" s="263" t="s">
        <v>368</v>
      </c>
    </row>
    <row r="24" spans="1:27" s="29" customFormat="1" ht="81">
      <c r="B24" s="270">
        <v>2026</v>
      </c>
      <c r="C24" s="263" t="s">
        <v>333</v>
      </c>
      <c r="D24" s="270" t="s">
        <v>369</v>
      </c>
      <c r="E24" s="266"/>
      <c r="F24" s="266" t="s">
        <v>329</v>
      </c>
      <c r="G24" s="266" t="s">
        <v>363</v>
      </c>
      <c r="H24" s="266" t="s">
        <v>364</v>
      </c>
      <c r="I24" s="273">
        <v>46143</v>
      </c>
      <c r="J24" s="273"/>
      <c r="K24" s="273">
        <v>46387</v>
      </c>
      <c r="L24" s="266" t="s">
        <v>323</v>
      </c>
      <c r="M24" s="272">
        <v>46113</v>
      </c>
      <c r="N24" s="272"/>
      <c r="O24" s="272">
        <v>46387</v>
      </c>
      <c r="P24" s="272"/>
      <c r="Q24" s="274">
        <v>0.5</v>
      </c>
      <c r="R24" s="263" t="s">
        <v>370</v>
      </c>
    </row>
    <row r="25" spans="1:27" s="29" customFormat="1" ht="81">
      <c r="B25" s="270">
        <v>2026</v>
      </c>
      <c r="C25" s="263" t="s">
        <v>333</v>
      </c>
      <c r="D25" s="270" t="s">
        <v>371</v>
      </c>
      <c r="E25" s="266"/>
      <c r="F25" s="266" t="s">
        <v>329</v>
      </c>
      <c r="G25" s="266" t="s">
        <v>363</v>
      </c>
      <c r="H25" s="266" t="s">
        <v>364</v>
      </c>
      <c r="I25" s="273">
        <v>46143</v>
      </c>
      <c r="J25" s="273"/>
      <c r="K25" s="273">
        <v>46387</v>
      </c>
      <c r="L25" s="266" t="s">
        <v>372</v>
      </c>
      <c r="M25" s="272">
        <v>46113</v>
      </c>
      <c r="N25" s="272"/>
      <c r="O25" s="272">
        <v>46387</v>
      </c>
      <c r="P25" s="272"/>
      <c r="Q25" s="274">
        <v>0.2</v>
      </c>
      <c r="R25" s="263" t="s">
        <v>373</v>
      </c>
    </row>
    <row r="26" spans="1:27" s="29" customFormat="1" ht="81">
      <c r="B26" s="270">
        <v>2026</v>
      </c>
      <c r="C26" s="263" t="s">
        <v>333</v>
      </c>
      <c r="D26" s="270" t="s">
        <v>374</v>
      </c>
      <c r="E26" s="266"/>
      <c r="F26" s="266" t="s">
        <v>329</v>
      </c>
      <c r="G26" s="266" t="s">
        <v>363</v>
      </c>
      <c r="H26" s="266" t="s">
        <v>364</v>
      </c>
      <c r="I26" s="273">
        <v>46143</v>
      </c>
      <c r="J26" s="273"/>
      <c r="K26" s="273">
        <v>46387</v>
      </c>
      <c r="L26" s="266" t="s">
        <v>323</v>
      </c>
      <c r="M26" s="272">
        <v>46113</v>
      </c>
      <c r="N26" s="272"/>
      <c r="O26" s="272">
        <v>46387</v>
      </c>
      <c r="P26" s="272"/>
      <c r="Q26" s="274">
        <v>0.5</v>
      </c>
      <c r="R26" s="263" t="s">
        <v>375</v>
      </c>
    </row>
    <row r="27" spans="1:27" s="29" customFormat="1" ht="81">
      <c r="B27" s="270">
        <v>2026</v>
      </c>
      <c r="C27" s="263" t="s">
        <v>333</v>
      </c>
      <c r="D27" s="270" t="s">
        <v>376</v>
      </c>
      <c r="E27" s="266"/>
      <c r="F27" s="266" t="s">
        <v>329</v>
      </c>
      <c r="G27" s="266" t="s">
        <v>363</v>
      </c>
      <c r="H27" s="266" t="s">
        <v>364</v>
      </c>
      <c r="I27" s="273">
        <v>46143</v>
      </c>
      <c r="J27" s="273"/>
      <c r="K27" s="273">
        <v>46387</v>
      </c>
      <c r="L27" s="266" t="s">
        <v>365</v>
      </c>
      <c r="M27" s="272">
        <v>46113</v>
      </c>
      <c r="N27" s="272"/>
      <c r="O27" s="272">
        <v>46295</v>
      </c>
      <c r="P27" s="272"/>
      <c r="Q27" s="274">
        <v>0.9</v>
      </c>
      <c r="R27" s="263" t="s">
        <v>377</v>
      </c>
    </row>
    <row r="28" spans="1:27" ht="54">
      <c r="A28" s="217" t="s">
        <v>83</v>
      </c>
      <c r="B28" s="262">
        <v>2026</v>
      </c>
      <c r="C28" s="263" t="s">
        <v>333</v>
      </c>
      <c r="D28" s="262" t="s">
        <v>378</v>
      </c>
      <c r="E28" s="264"/>
      <c r="F28" s="264" t="s">
        <v>320</v>
      </c>
      <c r="G28" s="264" t="s">
        <v>344</v>
      </c>
      <c r="H28" s="264"/>
      <c r="I28" s="264" t="s">
        <v>134</v>
      </c>
      <c r="J28" s="264"/>
      <c r="K28" s="265" t="s">
        <v>322</v>
      </c>
      <c r="L28" s="266" t="s">
        <v>323</v>
      </c>
      <c r="M28" s="272">
        <v>46209</v>
      </c>
      <c r="N28" s="272">
        <v>46233</v>
      </c>
      <c r="O28" s="272">
        <v>46233</v>
      </c>
      <c r="P28" s="264"/>
      <c r="Q28" s="268">
        <v>1</v>
      </c>
      <c r="R28" s="262" t="s">
        <v>379</v>
      </c>
    </row>
    <row r="29" spans="1:27" ht="27">
      <c r="A29" s="217"/>
      <c r="B29" s="262">
        <v>2026</v>
      </c>
      <c r="C29" s="263" t="s">
        <v>333</v>
      </c>
      <c r="D29" s="262" t="s">
        <v>380</v>
      </c>
      <c r="E29" s="264"/>
      <c r="F29" s="264" t="s">
        <v>320</v>
      </c>
      <c r="G29" s="264" t="s">
        <v>344</v>
      </c>
      <c r="H29" s="264"/>
      <c r="I29" s="264" t="s">
        <v>134</v>
      </c>
      <c r="J29" s="264"/>
      <c r="K29" s="265" t="s">
        <v>322</v>
      </c>
      <c r="L29" s="266" t="s">
        <v>360</v>
      </c>
      <c r="M29" s="272">
        <v>46143</v>
      </c>
      <c r="N29" s="272">
        <v>46173</v>
      </c>
      <c r="O29" s="272">
        <v>46173</v>
      </c>
      <c r="P29" s="264"/>
      <c r="Q29" s="268">
        <v>1</v>
      </c>
      <c r="R29" s="262" t="s">
        <v>381</v>
      </c>
    </row>
    <row r="30" spans="1:27" s="20" customFormat="1" ht="81">
      <c r="A30" s="1"/>
      <c r="B30" s="270">
        <v>2026</v>
      </c>
      <c r="C30" s="263" t="s">
        <v>333</v>
      </c>
      <c r="D30" s="270" t="s">
        <v>382</v>
      </c>
      <c r="E30" s="266" t="s">
        <v>383</v>
      </c>
      <c r="F30" s="266" t="s">
        <v>329</v>
      </c>
      <c r="G30" s="266" t="s">
        <v>269</v>
      </c>
      <c r="H30" s="266" t="s">
        <v>364</v>
      </c>
      <c r="I30" s="275">
        <v>46143</v>
      </c>
      <c r="J30" s="273"/>
      <c r="K30" s="273">
        <v>46387</v>
      </c>
      <c r="L30" s="266" t="s">
        <v>360</v>
      </c>
      <c r="M30" s="272">
        <v>46113</v>
      </c>
      <c r="N30" s="272"/>
      <c r="O30" s="272"/>
      <c r="P30" s="264"/>
      <c r="Q30" s="268">
        <v>1</v>
      </c>
      <c r="R30" s="263" t="s">
        <v>384</v>
      </c>
    </row>
    <row r="31" spans="1:27" ht="81">
      <c r="B31" s="270">
        <v>2026</v>
      </c>
      <c r="C31" s="263" t="s">
        <v>333</v>
      </c>
      <c r="D31" s="270" t="s">
        <v>385</v>
      </c>
      <c r="E31" s="266"/>
      <c r="F31" s="266" t="s">
        <v>320</v>
      </c>
      <c r="G31" s="266" t="s">
        <v>363</v>
      </c>
      <c r="H31" s="266" t="s">
        <v>364</v>
      </c>
      <c r="I31" s="275">
        <v>46143</v>
      </c>
      <c r="J31" s="273"/>
      <c r="K31" s="273">
        <v>46387</v>
      </c>
      <c r="L31" s="266" t="s">
        <v>323</v>
      </c>
      <c r="M31" s="272">
        <v>46204</v>
      </c>
      <c r="N31" s="272">
        <v>46218</v>
      </c>
      <c r="O31" s="272">
        <v>46218</v>
      </c>
      <c r="P31" s="276"/>
      <c r="Q31" s="268">
        <v>1</v>
      </c>
      <c r="R31" s="263" t="s">
        <v>386</v>
      </c>
    </row>
    <row r="32" spans="1:27" s="20" customFormat="1" ht="54">
      <c r="A32" s="1"/>
      <c r="B32" s="270">
        <v>2026</v>
      </c>
      <c r="C32" s="270" t="s">
        <v>333</v>
      </c>
      <c r="D32" s="270" t="s">
        <v>387</v>
      </c>
      <c r="E32" s="266"/>
      <c r="F32" s="266" t="s">
        <v>329</v>
      </c>
      <c r="G32" s="266" t="s">
        <v>321</v>
      </c>
      <c r="H32" s="266" t="s">
        <v>388</v>
      </c>
      <c r="I32" s="273">
        <v>46143</v>
      </c>
      <c r="J32" s="273">
        <v>46143</v>
      </c>
      <c r="K32" s="273">
        <v>46143</v>
      </c>
      <c r="L32" s="266" t="s">
        <v>389</v>
      </c>
      <c r="M32" s="272">
        <v>46266</v>
      </c>
      <c r="N32" s="272"/>
      <c r="O32" s="272">
        <v>46296</v>
      </c>
      <c r="P32" s="266"/>
      <c r="Q32" s="268">
        <v>0.3</v>
      </c>
      <c r="R32" s="270" t="s">
        <v>390</v>
      </c>
      <c r="S32" s="236"/>
      <c r="T32" s="28"/>
      <c r="U32" s="28"/>
      <c r="V32" s="225"/>
      <c r="W32" s="225"/>
      <c r="X32" s="225"/>
      <c r="Y32" s="28"/>
      <c r="Z32" s="28"/>
      <c r="AA32" s="16"/>
    </row>
    <row r="33" spans="1:27" ht="121.5">
      <c r="B33" s="270">
        <v>2026</v>
      </c>
      <c r="C33" s="270" t="s">
        <v>333</v>
      </c>
      <c r="D33" s="270" t="s">
        <v>391</v>
      </c>
      <c r="E33" s="266"/>
      <c r="F33" s="266" t="s">
        <v>329</v>
      </c>
      <c r="G33" s="266" t="s">
        <v>363</v>
      </c>
      <c r="H33" s="266" t="s">
        <v>364</v>
      </c>
      <c r="I33" s="273">
        <v>46143</v>
      </c>
      <c r="J33" s="273"/>
      <c r="K33" s="273">
        <v>46387</v>
      </c>
      <c r="L33" s="266" t="s">
        <v>323</v>
      </c>
      <c r="M33" s="272">
        <v>46202</v>
      </c>
      <c r="N33" s="276"/>
      <c r="O33" s="272">
        <v>46280</v>
      </c>
      <c r="P33" s="266"/>
      <c r="Q33" s="268">
        <v>0.7</v>
      </c>
      <c r="R33" s="263" t="s">
        <v>392</v>
      </c>
    </row>
    <row r="34" spans="1:27" ht="81">
      <c r="B34" s="270">
        <v>2026</v>
      </c>
      <c r="C34" s="270" t="s">
        <v>333</v>
      </c>
      <c r="D34" s="270" t="s">
        <v>393</v>
      </c>
      <c r="E34" s="266"/>
      <c r="F34" s="266" t="s">
        <v>320</v>
      </c>
      <c r="G34" s="266" t="s">
        <v>363</v>
      </c>
      <c r="H34" s="266" t="s">
        <v>364</v>
      </c>
      <c r="I34" s="273">
        <v>46143</v>
      </c>
      <c r="J34" s="273"/>
      <c r="K34" s="273">
        <v>46387</v>
      </c>
      <c r="L34" s="266" t="s">
        <v>323</v>
      </c>
      <c r="M34" s="272">
        <v>46107</v>
      </c>
      <c r="N34" s="272">
        <v>46148</v>
      </c>
      <c r="O34" s="272">
        <v>46148</v>
      </c>
      <c r="P34" s="266"/>
      <c r="Q34" s="268">
        <v>1</v>
      </c>
      <c r="R34" s="270" t="s">
        <v>394</v>
      </c>
    </row>
    <row r="35" spans="1:27" s="20" customFormat="1" ht="27">
      <c r="A35" s="1"/>
      <c r="B35" s="270">
        <v>2026</v>
      </c>
      <c r="C35" s="270" t="s">
        <v>333</v>
      </c>
      <c r="D35" s="270" t="s">
        <v>395</v>
      </c>
      <c r="E35" s="266"/>
      <c r="F35" s="266" t="s">
        <v>329</v>
      </c>
      <c r="G35" s="266" t="s">
        <v>269</v>
      </c>
      <c r="H35" s="266"/>
      <c r="I35" s="273"/>
      <c r="J35" s="273"/>
      <c r="K35" s="273"/>
      <c r="L35" s="266" t="s">
        <v>396</v>
      </c>
      <c r="M35" s="272"/>
      <c r="N35" s="272"/>
      <c r="O35" s="272">
        <v>46265</v>
      </c>
      <c r="P35" s="266"/>
      <c r="Q35" s="268">
        <v>0.5</v>
      </c>
      <c r="R35" s="270" t="s">
        <v>397</v>
      </c>
    </row>
    <row r="36" spans="1:27" s="20" customFormat="1" ht="54">
      <c r="A36" s="1"/>
      <c r="B36" s="270">
        <v>2026</v>
      </c>
      <c r="C36" s="270" t="s">
        <v>333</v>
      </c>
      <c r="D36" s="270" t="s">
        <v>398</v>
      </c>
      <c r="E36" s="266"/>
      <c r="F36" s="266" t="s">
        <v>329</v>
      </c>
      <c r="G36" s="266" t="s">
        <v>269</v>
      </c>
      <c r="H36" s="266" t="s">
        <v>399</v>
      </c>
      <c r="I36" s="273"/>
      <c r="J36" s="273"/>
      <c r="K36" s="273"/>
      <c r="L36" s="266" t="s">
        <v>396</v>
      </c>
      <c r="M36" s="272"/>
      <c r="N36" s="272"/>
      <c r="O36" s="272">
        <v>46265</v>
      </c>
      <c r="P36" s="266"/>
      <c r="Q36" s="268">
        <v>0.5</v>
      </c>
      <c r="R36" s="270" t="s">
        <v>400</v>
      </c>
    </row>
    <row r="37" spans="1:27" ht="40.5">
      <c r="B37" s="270">
        <v>2026</v>
      </c>
      <c r="C37" s="270" t="s">
        <v>333</v>
      </c>
      <c r="D37" s="270" t="s">
        <v>401</v>
      </c>
      <c r="E37" s="266"/>
      <c r="F37" s="266" t="s">
        <v>329</v>
      </c>
      <c r="G37" s="266" t="s">
        <v>269</v>
      </c>
      <c r="H37" s="266"/>
      <c r="I37" s="273"/>
      <c r="J37" s="273"/>
      <c r="K37" s="273"/>
      <c r="L37" s="264" t="s">
        <v>402</v>
      </c>
      <c r="M37" s="272"/>
      <c r="N37" s="272"/>
      <c r="O37" s="272">
        <v>46272</v>
      </c>
      <c r="P37" s="266"/>
      <c r="Q37" s="268">
        <v>0.25</v>
      </c>
      <c r="R37" s="270" t="s">
        <v>403</v>
      </c>
      <c r="S37" s="236"/>
      <c r="T37" s="28"/>
      <c r="U37" s="28"/>
      <c r="V37" s="225"/>
      <c r="W37" s="225"/>
      <c r="X37" s="225"/>
      <c r="Y37" s="28"/>
      <c r="Z37" s="28"/>
      <c r="AA37" s="16"/>
    </row>
    <row r="38" spans="1:27">
      <c r="B38" s="270">
        <v>2026</v>
      </c>
      <c r="C38" s="263" t="s">
        <v>404</v>
      </c>
      <c r="D38" s="270" t="s">
        <v>405</v>
      </c>
      <c r="E38" s="266"/>
      <c r="F38" s="266" t="s">
        <v>329</v>
      </c>
      <c r="G38" s="266" t="s">
        <v>269</v>
      </c>
      <c r="H38" s="266"/>
      <c r="I38" s="273"/>
      <c r="J38" s="273"/>
      <c r="K38" s="273"/>
      <c r="L38" s="264" t="s">
        <v>70</v>
      </c>
      <c r="M38" s="272">
        <v>46235</v>
      </c>
      <c r="N38" s="272"/>
      <c r="O38" s="272">
        <v>46265</v>
      </c>
      <c r="P38" s="266"/>
      <c r="Q38" s="268">
        <v>0</v>
      </c>
      <c r="R38" s="270"/>
      <c r="S38" s="236"/>
      <c r="T38" s="28"/>
      <c r="U38" s="28"/>
      <c r="V38" s="225"/>
      <c r="W38" s="225"/>
      <c r="X38" s="225"/>
      <c r="Y38" s="28"/>
      <c r="Z38" s="28"/>
      <c r="AA38" s="16"/>
    </row>
    <row r="39" spans="1:27" s="20" customFormat="1" ht="40.5">
      <c r="A39" s="1"/>
      <c r="B39" s="270">
        <v>2026</v>
      </c>
      <c r="C39" s="270" t="s">
        <v>333</v>
      </c>
      <c r="D39" s="270" t="s">
        <v>406</v>
      </c>
      <c r="E39" s="266"/>
      <c r="F39" s="266" t="s">
        <v>329</v>
      </c>
      <c r="G39" s="266" t="s">
        <v>269</v>
      </c>
      <c r="H39" s="266" t="s">
        <v>396</v>
      </c>
      <c r="I39" s="273"/>
      <c r="J39" s="273"/>
      <c r="K39" s="273">
        <v>46265</v>
      </c>
      <c r="L39" s="264" t="s">
        <v>44</v>
      </c>
      <c r="M39" s="272"/>
      <c r="N39" s="272"/>
      <c r="O39" s="272">
        <v>46295</v>
      </c>
      <c r="P39" s="266"/>
      <c r="Q39" s="268">
        <v>0.1</v>
      </c>
      <c r="R39" s="270" t="s">
        <v>407</v>
      </c>
    </row>
    <row r="40" spans="1:27" s="20" customFormat="1" ht="40.5">
      <c r="A40" s="1"/>
      <c r="B40" s="270">
        <v>2026</v>
      </c>
      <c r="C40" s="270" t="s">
        <v>333</v>
      </c>
      <c r="D40" s="270" t="s">
        <v>408</v>
      </c>
      <c r="E40" s="266"/>
      <c r="F40" s="266" t="s">
        <v>329</v>
      </c>
      <c r="G40" s="266" t="s">
        <v>269</v>
      </c>
      <c r="H40" s="266" t="s">
        <v>396</v>
      </c>
      <c r="I40" s="273"/>
      <c r="J40" s="273"/>
      <c r="K40" s="273">
        <v>46265</v>
      </c>
      <c r="L40" s="264" t="s">
        <v>396</v>
      </c>
      <c r="M40" s="272"/>
      <c r="N40" s="272"/>
      <c r="O40" s="272">
        <v>46295</v>
      </c>
      <c r="P40" s="266"/>
      <c r="Q40" s="268">
        <v>0.1</v>
      </c>
      <c r="R40" s="270" t="s">
        <v>407</v>
      </c>
    </row>
    <row r="41" spans="1:27" ht="27">
      <c r="B41" s="270">
        <v>2026</v>
      </c>
      <c r="C41" s="263" t="s">
        <v>409</v>
      </c>
      <c r="D41" s="270" t="s">
        <v>410</v>
      </c>
      <c r="E41" s="266"/>
      <c r="F41" s="266" t="s">
        <v>329</v>
      </c>
      <c r="G41" s="266" t="s">
        <v>269</v>
      </c>
      <c r="H41" s="266"/>
      <c r="I41" s="273"/>
      <c r="J41" s="273"/>
      <c r="K41" s="273"/>
      <c r="L41" s="266" t="s">
        <v>67</v>
      </c>
      <c r="M41" s="272">
        <v>46211</v>
      </c>
      <c r="N41" s="272"/>
      <c r="O41" s="272">
        <v>46233</v>
      </c>
      <c r="P41" s="266"/>
      <c r="Q41" s="268">
        <v>0.5</v>
      </c>
      <c r="R41" s="270" t="s">
        <v>411</v>
      </c>
      <c r="S41" s="236"/>
      <c r="T41" s="28"/>
      <c r="U41" s="28"/>
      <c r="V41" s="225"/>
      <c r="W41" s="225"/>
      <c r="X41" s="225"/>
      <c r="Y41" s="28"/>
      <c r="Z41" s="28"/>
      <c r="AA41" s="16"/>
    </row>
    <row r="42" spans="1:27" ht="27">
      <c r="B42" s="270">
        <v>2026</v>
      </c>
      <c r="C42" s="263" t="s">
        <v>409</v>
      </c>
      <c r="D42" s="270" t="s">
        <v>412</v>
      </c>
      <c r="E42" s="266"/>
      <c r="F42" s="266" t="s">
        <v>329</v>
      </c>
      <c r="G42" s="266" t="s">
        <v>269</v>
      </c>
      <c r="H42" s="266"/>
      <c r="I42" s="273"/>
      <c r="J42" s="273"/>
      <c r="K42" s="273"/>
      <c r="L42" s="266" t="s">
        <v>67</v>
      </c>
      <c r="M42" s="272">
        <v>46211</v>
      </c>
      <c r="N42" s="272"/>
      <c r="O42" s="272">
        <v>46233</v>
      </c>
      <c r="P42" s="266"/>
      <c r="Q42" s="268">
        <v>0.75</v>
      </c>
      <c r="R42" s="270" t="s">
        <v>413</v>
      </c>
      <c r="S42" s="236"/>
      <c r="T42" s="28"/>
      <c r="U42" s="28"/>
      <c r="V42" s="225"/>
      <c r="W42" s="225"/>
      <c r="X42" s="225"/>
      <c r="Y42" s="28"/>
      <c r="Z42" s="28"/>
      <c r="AA42" s="16"/>
    </row>
    <row r="43" spans="1:27" ht="27">
      <c r="A43" s="223"/>
      <c r="B43" s="262">
        <v>2026</v>
      </c>
      <c r="C43" s="263" t="s">
        <v>414</v>
      </c>
      <c r="D43" s="262" t="s">
        <v>415</v>
      </c>
      <c r="E43" s="266"/>
      <c r="F43" s="264" t="s">
        <v>337</v>
      </c>
      <c r="G43" s="264" t="s">
        <v>321</v>
      </c>
      <c r="H43" s="264"/>
      <c r="I43" s="264" t="s">
        <v>89</v>
      </c>
      <c r="J43" s="264"/>
      <c r="K43" s="265" t="s">
        <v>322</v>
      </c>
      <c r="L43" s="266" t="s">
        <v>396</v>
      </c>
      <c r="M43" s="272"/>
      <c r="N43" s="272"/>
      <c r="O43" s="272"/>
      <c r="P43" s="264"/>
      <c r="Q43" s="264" t="s">
        <v>416</v>
      </c>
      <c r="R43" s="262" t="s">
        <v>417</v>
      </c>
    </row>
    <row r="44" spans="1:27" s="29" customFormat="1" ht="27">
      <c r="A44" s="226"/>
      <c r="B44" s="270">
        <v>2026</v>
      </c>
      <c r="C44" s="263" t="s">
        <v>418</v>
      </c>
      <c r="D44" s="270" t="s">
        <v>419</v>
      </c>
      <c r="E44" s="266"/>
      <c r="F44" s="266" t="s">
        <v>320</v>
      </c>
      <c r="G44" s="266" t="s">
        <v>321</v>
      </c>
      <c r="H44" s="266"/>
      <c r="I44" s="266" t="s">
        <v>89</v>
      </c>
      <c r="J44" s="266"/>
      <c r="K44" s="265" t="s">
        <v>322</v>
      </c>
      <c r="L44" s="266" t="s">
        <v>396</v>
      </c>
      <c r="M44" s="272">
        <v>46163</v>
      </c>
      <c r="N44" s="272">
        <v>46203</v>
      </c>
      <c r="O44" s="272">
        <v>46203</v>
      </c>
      <c r="P44" s="266"/>
      <c r="Q44" s="274">
        <v>1</v>
      </c>
      <c r="R44" s="270" t="s">
        <v>420</v>
      </c>
    </row>
    <row r="45" spans="1:27" ht="40.5">
      <c r="B45" s="270">
        <v>2026</v>
      </c>
      <c r="C45" s="263" t="s">
        <v>418</v>
      </c>
      <c r="D45" s="270" t="s">
        <v>421</v>
      </c>
      <c r="E45" s="266"/>
      <c r="F45" s="266" t="s">
        <v>320</v>
      </c>
      <c r="G45" s="266" t="s">
        <v>321</v>
      </c>
      <c r="H45" s="266"/>
      <c r="I45" s="273"/>
      <c r="J45" s="273"/>
      <c r="K45" s="273"/>
      <c r="L45" s="266" t="s">
        <v>365</v>
      </c>
      <c r="M45" s="272">
        <v>46204</v>
      </c>
      <c r="N45" s="272">
        <v>46234</v>
      </c>
      <c r="O45" s="272">
        <v>46234</v>
      </c>
      <c r="P45" s="266"/>
      <c r="Q45" s="268">
        <v>1</v>
      </c>
      <c r="R45" s="263" t="s">
        <v>422</v>
      </c>
      <c r="S45" s="236"/>
      <c r="T45" s="28"/>
      <c r="U45" s="28"/>
      <c r="V45" s="225"/>
      <c r="W45" s="225"/>
      <c r="X45" s="225"/>
      <c r="Y45" s="28"/>
      <c r="Z45" s="28"/>
      <c r="AA45" s="16"/>
    </row>
    <row r="46" spans="1:27">
      <c r="A46" s="217"/>
      <c r="B46" s="262">
        <v>2026</v>
      </c>
      <c r="C46" s="263" t="s">
        <v>423</v>
      </c>
      <c r="D46" s="270" t="s">
        <v>424</v>
      </c>
      <c r="E46" s="264"/>
      <c r="F46" s="264" t="s">
        <v>320</v>
      </c>
      <c r="G46" s="264" t="s">
        <v>321</v>
      </c>
      <c r="H46" s="264"/>
      <c r="I46" s="264" t="s">
        <v>27</v>
      </c>
      <c r="J46" s="264"/>
      <c r="K46" s="265" t="s">
        <v>322</v>
      </c>
      <c r="L46" s="266" t="s">
        <v>327</v>
      </c>
      <c r="M46" s="272"/>
      <c r="N46" s="272">
        <v>46080</v>
      </c>
      <c r="O46" s="272">
        <v>46080</v>
      </c>
      <c r="P46" s="264"/>
      <c r="Q46" s="268">
        <v>1</v>
      </c>
      <c r="R46" s="262"/>
    </row>
    <row r="47" spans="1:27" ht="27">
      <c r="A47" s="223"/>
      <c r="B47" s="262">
        <v>2026</v>
      </c>
      <c r="C47" s="263" t="s">
        <v>425</v>
      </c>
      <c r="D47" s="262" t="s">
        <v>426</v>
      </c>
      <c r="E47" s="264"/>
      <c r="F47" s="264" t="s">
        <v>320</v>
      </c>
      <c r="G47" s="264" t="s">
        <v>363</v>
      </c>
      <c r="H47" s="264" t="s">
        <v>28</v>
      </c>
      <c r="I47" s="264" t="s">
        <v>27</v>
      </c>
      <c r="J47" s="264"/>
      <c r="K47" s="265" t="s">
        <v>322</v>
      </c>
      <c r="L47" s="266" t="s">
        <v>327</v>
      </c>
      <c r="M47" s="272">
        <v>46098</v>
      </c>
      <c r="N47" s="272">
        <v>46190</v>
      </c>
      <c r="O47" s="272">
        <v>46249</v>
      </c>
      <c r="P47" s="264"/>
      <c r="Q47" s="268">
        <v>1</v>
      </c>
      <c r="R47" s="262" t="s">
        <v>427</v>
      </c>
    </row>
    <row r="48" spans="1:27" ht="27">
      <c r="A48" s="223"/>
      <c r="B48" s="270">
        <v>2026</v>
      </c>
      <c r="C48" s="263" t="s">
        <v>428</v>
      </c>
      <c r="D48" s="270" t="s">
        <v>429</v>
      </c>
      <c r="E48" s="266"/>
      <c r="F48" s="266" t="s">
        <v>329</v>
      </c>
      <c r="G48" s="266" t="s">
        <v>363</v>
      </c>
      <c r="H48" s="266"/>
      <c r="I48" s="266" t="s">
        <v>27</v>
      </c>
      <c r="J48" s="266"/>
      <c r="K48" s="265" t="s">
        <v>322</v>
      </c>
      <c r="L48" s="266" t="s">
        <v>430</v>
      </c>
      <c r="M48" s="272">
        <v>46156</v>
      </c>
      <c r="N48" s="272"/>
      <c r="O48" s="272">
        <v>46272</v>
      </c>
      <c r="P48" s="266"/>
      <c r="Q48" s="274">
        <v>0.9</v>
      </c>
      <c r="R48" s="270" t="s">
        <v>431</v>
      </c>
    </row>
    <row r="49" spans="1:27" ht="46.5" customHeight="1">
      <c r="A49" s="223"/>
      <c r="B49" s="262">
        <v>2026</v>
      </c>
      <c r="C49" s="262" t="s">
        <v>432</v>
      </c>
      <c r="D49" s="262" t="s">
        <v>433</v>
      </c>
      <c r="E49" s="264"/>
      <c r="F49" s="264" t="s">
        <v>329</v>
      </c>
      <c r="G49" s="264" t="s">
        <v>363</v>
      </c>
      <c r="H49" s="264" t="s">
        <v>28</v>
      </c>
      <c r="I49" s="264" t="s">
        <v>27</v>
      </c>
      <c r="J49" s="264"/>
      <c r="K49" s="264" t="s">
        <v>322</v>
      </c>
      <c r="L49" s="264" t="s">
        <v>434</v>
      </c>
      <c r="M49" s="272">
        <v>46023</v>
      </c>
      <c r="N49" s="272"/>
      <c r="O49" s="272">
        <v>46387</v>
      </c>
      <c r="P49" s="264"/>
      <c r="Q49" s="268">
        <v>0.71</v>
      </c>
      <c r="R49" s="262" t="s">
        <v>435</v>
      </c>
    </row>
    <row r="50" spans="1:27" ht="17.25" customHeight="1">
      <c r="A50" s="223"/>
      <c r="B50" s="277">
        <v>2026</v>
      </c>
      <c r="C50" s="277" t="s">
        <v>436</v>
      </c>
      <c r="D50" s="277" t="s">
        <v>437</v>
      </c>
      <c r="E50" s="278" t="s">
        <v>383</v>
      </c>
      <c r="F50" s="278" t="s">
        <v>329</v>
      </c>
      <c r="G50" s="278" t="s">
        <v>269</v>
      </c>
      <c r="H50" s="264"/>
      <c r="I50" s="264"/>
      <c r="J50" s="278"/>
      <c r="K50" s="264"/>
      <c r="L50" s="265" t="s">
        <v>67</v>
      </c>
      <c r="M50" s="272"/>
      <c r="N50" s="272"/>
      <c r="O50" s="272"/>
      <c r="P50" s="279"/>
      <c r="Q50" s="268">
        <v>1</v>
      </c>
      <c r="R50" s="280" t="s">
        <v>438</v>
      </c>
    </row>
    <row r="51" spans="1:27" ht="57.75" customHeight="1">
      <c r="A51" s="223"/>
      <c r="B51" s="262">
        <v>2026</v>
      </c>
      <c r="C51" s="263" t="s">
        <v>432</v>
      </c>
      <c r="D51" s="262" t="s">
        <v>439</v>
      </c>
      <c r="E51" s="264"/>
      <c r="F51" s="264" t="s">
        <v>329</v>
      </c>
      <c r="G51" s="264" t="s">
        <v>363</v>
      </c>
      <c r="H51" s="264"/>
      <c r="I51" s="264" t="s">
        <v>89</v>
      </c>
      <c r="J51" s="264"/>
      <c r="K51" s="265" t="s">
        <v>322</v>
      </c>
      <c r="L51" s="266" t="s">
        <v>65</v>
      </c>
      <c r="M51" s="272"/>
      <c r="N51" s="272"/>
      <c r="O51" s="272">
        <v>46182</v>
      </c>
      <c r="P51" s="264"/>
      <c r="Q51" s="268">
        <v>0.5</v>
      </c>
      <c r="R51" s="262" t="s">
        <v>440</v>
      </c>
    </row>
    <row r="52" spans="1:27" ht="40.5">
      <c r="A52" s="223"/>
      <c r="B52" s="262">
        <v>2026</v>
      </c>
      <c r="C52" s="263" t="s">
        <v>441</v>
      </c>
      <c r="D52" s="262" t="s">
        <v>442</v>
      </c>
      <c r="E52" s="266"/>
      <c r="F52" s="264" t="s">
        <v>329</v>
      </c>
      <c r="G52" s="264" t="s">
        <v>363</v>
      </c>
      <c r="H52" s="264" t="s">
        <v>28</v>
      </c>
      <c r="I52" s="264" t="s">
        <v>27</v>
      </c>
      <c r="J52" s="264"/>
      <c r="K52" s="265" t="s">
        <v>322</v>
      </c>
      <c r="L52" s="266" t="s">
        <v>443</v>
      </c>
      <c r="M52" s="272">
        <v>46157</v>
      </c>
      <c r="N52" s="272"/>
      <c r="O52" s="272">
        <v>46310</v>
      </c>
      <c r="P52" s="264"/>
      <c r="Q52" s="268">
        <v>0.05</v>
      </c>
      <c r="R52" s="262" t="s">
        <v>444</v>
      </c>
    </row>
    <row r="53" spans="1:27" ht="67.5">
      <c r="A53" s="223"/>
      <c r="B53" s="262">
        <v>2026</v>
      </c>
      <c r="C53" s="263" t="s">
        <v>441</v>
      </c>
      <c r="D53" s="262" t="s">
        <v>445</v>
      </c>
      <c r="E53" s="266"/>
      <c r="F53" s="264" t="s">
        <v>329</v>
      </c>
      <c r="G53" s="264" t="s">
        <v>321</v>
      </c>
      <c r="H53" s="264"/>
      <c r="I53" s="264" t="s">
        <v>27</v>
      </c>
      <c r="J53" s="264"/>
      <c r="K53" s="265" t="s">
        <v>322</v>
      </c>
      <c r="L53" s="266" t="s">
        <v>443</v>
      </c>
      <c r="M53" s="272">
        <v>46210</v>
      </c>
      <c r="N53" s="272"/>
      <c r="O53" s="272">
        <v>46387</v>
      </c>
      <c r="P53" s="264"/>
      <c r="Q53" s="268">
        <v>0.25</v>
      </c>
      <c r="R53" s="262" t="s">
        <v>446</v>
      </c>
    </row>
    <row r="54" spans="1:27" ht="40.5">
      <c r="A54" s="223"/>
      <c r="B54" s="262">
        <v>2026</v>
      </c>
      <c r="C54" s="263" t="s">
        <v>441</v>
      </c>
      <c r="D54" s="262" t="s">
        <v>447</v>
      </c>
      <c r="E54" s="266"/>
      <c r="F54" s="264" t="s">
        <v>329</v>
      </c>
      <c r="G54" s="264" t="s">
        <v>321</v>
      </c>
      <c r="H54" s="264"/>
      <c r="I54" s="264" t="s">
        <v>89</v>
      </c>
      <c r="J54" s="264"/>
      <c r="K54" s="265" t="s">
        <v>322</v>
      </c>
      <c r="L54" s="266" t="s">
        <v>443</v>
      </c>
      <c r="M54" s="272">
        <v>46249</v>
      </c>
      <c r="N54" s="272"/>
      <c r="O54" s="272">
        <v>46356</v>
      </c>
      <c r="P54" s="264"/>
      <c r="Q54" s="268">
        <v>0.1</v>
      </c>
      <c r="R54" s="262"/>
    </row>
    <row r="55" spans="1:27" ht="40.5">
      <c r="A55" s="223"/>
      <c r="B55" s="262">
        <v>2026</v>
      </c>
      <c r="C55" s="263" t="s">
        <v>441</v>
      </c>
      <c r="D55" s="262" t="s">
        <v>448</v>
      </c>
      <c r="E55" s="266"/>
      <c r="F55" s="264" t="s">
        <v>320</v>
      </c>
      <c r="G55" s="264" t="s">
        <v>269</v>
      </c>
      <c r="H55" s="264"/>
      <c r="I55" s="264" t="s">
        <v>134</v>
      </c>
      <c r="J55" s="264"/>
      <c r="K55" s="265" t="s">
        <v>322</v>
      </c>
      <c r="L55" s="266" t="s">
        <v>44</v>
      </c>
      <c r="M55" s="272">
        <v>46188</v>
      </c>
      <c r="N55" s="272">
        <v>46204</v>
      </c>
      <c r="O55" s="272">
        <v>46204</v>
      </c>
      <c r="P55" s="264"/>
      <c r="Q55" s="268">
        <v>1</v>
      </c>
      <c r="R55" s="262" t="s">
        <v>449</v>
      </c>
    </row>
    <row r="56" spans="1:27" s="20" customFormat="1" ht="81">
      <c r="A56" s="1"/>
      <c r="B56" s="270">
        <v>2026</v>
      </c>
      <c r="C56" s="263" t="s">
        <v>441</v>
      </c>
      <c r="D56" s="270" t="s">
        <v>450</v>
      </c>
      <c r="E56" s="266"/>
      <c r="F56" s="266" t="s">
        <v>320</v>
      </c>
      <c r="G56" s="266" t="s">
        <v>363</v>
      </c>
      <c r="H56" s="266" t="s">
        <v>364</v>
      </c>
      <c r="I56" s="275">
        <v>46143</v>
      </c>
      <c r="J56" s="273"/>
      <c r="K56" s="273">
        <v>46387</v>
      </c>
      <c r="L56" s="266" t="s">
        <v>365</v>
      </c>
      <c r="M56" s="272">
        <v>46174</v>
      </c>
      <c r="N56" s="272">
        <v>46175</v>
      </c>
      <c r="O56" s="272">
        <v>46175</v>
      </c>
      <c r="P56" s="264"/>
      <c r="Q56" s="268">
        <v>1</v>
      </c>
      <c r="R56" s="263" t="s">
        <v>451</v>
      </c>
    </row>
    <row r="57" spans="1:27" ht="81">
      <c r="B57" s="270">
        <v>2026</v>
      </c>
      <c r="C57" s="263" t="s">
        <v>441</v>
      </c>
      <c r="D57" s="270" t="s">
        <v>452</v>
      </c>
      <c r="E57" s="266"/>
      <c r="F57" s="266" t="s">
        <v>320</v>
      </c>
      <c r="G57" s="266" t="s">
        <v>363</v>
      </c>
      <c r="H57" s="266" t="s">
        <v>364</v>
      </c>
      <c r="I57" s="275">
        <v>46143</v>
      </c>
      <c r="J57" s="273"/>
      <c r="K57" s="273">
        <v>46387</v>
      </c>
      <c r="L57" s="266" t="s">
        <v>358</v>
      </c>
      <c r="M57" s="272">
        <v>46134</v>
      </c>
      <c r="N57" s="272">
        <v>46156</v>
      </c>
      <c r="O57" s="272">
        <v>46156</v>
      </c>
      <c r="P57" s="264"/>
      <c r="Q57" s="268">
        <v>1</v>
      </c>
      <c r="R57" s="263" t="s">
        <v>453</v>
      </c>
    </row>
    <row r="58" spans="1:27" ht="81">
      <c r="B58" s="270">
        <v>2026</v>
      </c>
      <c r="C58" s="263" t="s">
        <v>441</v>
      </c>
      <c r="D58" s="270" t="s">
        <v>454</v>
      </c>
      <c r="E58" s="266"/>
      <c r="F58" s="266" t="s">
        <v>320</v>
      </c>
      <c r="G58" s="266" t="s">
        <v>363</v>
      </c>
      <c r="H58" s="266" t="s">
        <v>364</v>
      </c>
      <c r="I58" s="275">
        <v>46143</v>
      </c>
      <c r="J58" s="273"/>
      <c r="K58" s="273">
        <v>46387</v>
      </c>
      <c r="L58" s="266" t="s">
        <v>323</v>
      </c>
      <c r="M58" s="272">
        <v>46185</v>
      </c>
      <c r="N58" s="272">
        <v>46203</v>
      </c>
      <c r="O58" s="272">
        <v>46203</v>
      </c>
      <c r="P58" s="264"/>
      <c r="Q58" s="268">
        <v>1</v>
      </c>
      <c r="R58" s="263" t="s">
        <v>455</v>
      </c>
    </row>
    <row r="59" spans="1:27" ht="40.5">
      <c r="A59" s="223"/>
      <c r="B59" s="270">
        <v>2026</v>
      </c>
      <c r="C59" s="263" t="s">
        <v>456</v>
      </c>
      <c r="D59" s="270" t="s">
        <v>457</v>
      </c>
      <c r="E59" s="266"/>
      <c r="F59" s="266" t="s">
        <v>320</v>
      </c>
      <c r="G59" s="264" t="s">
        <v>269</v>
      </c>
      <c r="H59" s="266"/>
      <c r="I59" s="266" t="s">
        <v>27</v>
      </c>
      <c r="J59" s="266"/>
      <c r="K59" s="265" t="s">
        <v>322</v>
      </c>
      <c r="L59" s="266" t="s">
        <v>458</v>
      </c>
      <c r="M59" s="272">
        <v>46163</v>
      </c>
      <c r="N59" s="272">
        <v>46203</v>
      </c>
      <c r="O59" s="272">
        <v>46203</v>
      </c>
      <c r="P59" s="266"/>
      <c r="Q59" s="268">
        <v>1</v>
      </c>
      <c r="R59" s="262" t="s">
        <v>459</v>
      </c>
    </row>
    <row r="60" spans="1:27" ht="81">
      <c r="B60" s="270">
        <v>2026</v>
      </c>
      <c r="C60" s="270" t="s">
        <v>460</v>
      </c>
      <c r="D60" s="270" t="s">
        <v>461</v>
      </c>
      <c r="E60" s="266"/>
      <c r="F60" s="266" t="s">
        <v>329</v>
      </c>
      <c r="G60" s="266" t="s">
        <v>269</v>
      </c>
      <c r="H60" s="266"/>
      <c r="I60" s="273"/>
      <c r="J60" s="273"/>
      <c r="K60" s="273"/>
      <c r="L60" s="266" t="s">
        <v>323</v>
      </c>
      <c r="M60" s="272">
        <v>46249</v>
      </c>
      <c r="N60" s="272"/>
      <c r="O60" s="272">
        <v>46326</v>
      </c>
      <c r="P60" s="266"/>
      <c r="Q60" s="268">
        <v>0.5</v>
      </c>
      <c r="R60" s="263" t="s">
        <v>462</v>
      </c>
      <c r="S60" s="236"/>
      <c r="T60" s="28"/>
      <c r="U60" s="28"/>
      <c r="V60" s="225"/>
      <c r="W60" s="225"/>
      <c r="X60" s="225"/>
      <c r="Y60" s="28"/>
      <c r="Z60" s="28"/>
      <c r="AA60" s="16"/>
    </row>
    <row r="61" spans="1:27" ht="54">
      <c r="A61" s="223"/>
      <c r="B61" s="262">
        <v>2026</v>
      </c>
      <c r="C61" s="263" t="s">
        <v>463</v>
      </c>
      <c r="D61" s="262" t="s">
        <v>464</v>
      </c>
      <c r="E61" s="264"/>
      <c r="F61" s="264" t="s">
        <v>329</v>
      </c>
      <c r="G61" s="264" t="s">
        <v>363</v>
      </c>
      <c r="H61" s="264" t="s">
        <v>28</v>
      </c>
      <c r="I61" s="264" t="s">
        <v>27</v>
      </c>
      <c r="J61" s="264"/>
      <c r="K61" s="265" t="s">
        <v>322</v>
      </c>
      <c r="L61" s="266" t="s">
        <v>465</v>
      </c>
      <c r="M61" s="272">
        <v>46157</v>
      </c>
      <c r="N61" s="272"/>
      <c r="O61" s="272">
        <v>46280</v>
      </c>
      <c r="P61" s="264"/>
      <c r="Q61" s="268">
        <v>0.2</v>
      </c>
      <c r="R61" s="262" t="s">
        <v>466</v>
      </c>
    </row>
    <row r="62" spans="1:27" ht="40.5">
      <c r="A62" s="223"/>
      <c r="B62" s="262">
        <v>2026</v>
      </c>
      <c r="C62" s="263" t="s">
        <v>467</v>
      </c>
      <c r="D62" s="262" t="s">
        <v>468</v>
      </c>
      <c r="E62" s="264"/>
      <c r="F62" s="264" t="s">
        <v>329</v>
      </c>
      <c r="G62" s="264" t="s">
        <v>363</v>
      </c>
      <c r="H62" s="264" t="s">
        <v>28</v>
      </c>
      <c r="I62" s="264" t="s">
        <v>89</v>
      </c>
      <c r="J62" s="264"/>
      <c r="K62" s="265" t="s">
        <v>322</v>
      </c>
      <c r="L62" s="266" t="s">
        <v>469</v>
      </c>
      <c r="M62" s="272">
        <v>46157</v>
      </c>
      <c r="N62" s="272"/>
      <c r="O62" s="272">
        <v>46280</v>
      </c>
      <c r="P62" s="264"/>
      <c r="Q62" s="268">
        <v>0.2</v>
      </c>
      <c r="R62" s="262"/>
    </row>
    <row r="63" spans="1:27" ht="27">
      <c r="A63" s="223"/>
      <c r="B63" s="270">
        <v>2026</v>
      </c>
      <c r="C63" s="263" t="s">
        <v>470</v>
      </c>
      <c r="D63" s="270" t="s">
        <v>471</v>
      </c>
      <c r="E63" s="266"/>
      <c r="F63" s="266" t="s">
        <v>329</v>
      </c>
      <c r="G63" s="266" t="s">
        <v>363</v>
      </c>
      <c r="H63" s="266" t="s">
        <v>28</v>
      </c>
      <c r="I63" s="266" t="s">
        <v>27</v>
      </c>
      <c r="J63" s="266"/>
      <c r="K63" s="265" t="s">
        <v>322</v>
      </c>
      <c r="L63" s="266" t="s">
        <v>472</v>
      </c>
      <c r="M63" s="272">
        <v>46174</v>
      </c>
      <c r="N63" s="272"/>
      <c r="O63" s="272">
        <v>46387</v>
      </c>
      <c r="P63" s="266"/>
      <c r="Q63" s="268"/>
      <c r="R63" s="262" t="s">
        <v>473</v>
      </c>
    </row>
    <row r="64" spans="1:27" ht="27">
      <c r="A64" s="223"/>
      <c r="B64" s="262">
        <v>2026</v>
      </c>
      <c r="C64" s="263" t="s">
        <v>474</v>
      </c>
      <c r="D64" s="270" t="s">
        <v>475</v>
      </c>
      <c r="E64" s="266"/>
      <c r="F64" s="264" t="s">
        <v>329</v>
      </c>
      <c r="G64" s="264" t="s">
        <v>321</v>
      </c>
      <c r="H64" s="264" t="s">
        <v>28</v>
      </c>
      <c r="I64" s="264" t="s">
        <v>27</v>
      </c>
      <c r="J64" s="264"/>
      <c r="K64" s="265" t="s">
        <v>322</v>
      </c>
      <c r="L64" s="266" t="s">
        <v>458</v>
      </c>
      <c r="M64" s="272">
        <v>46143</v>
      </c>
      <c r="N64" s="272"/>
      <c r="O64" s="272">
        <v>46295</v>
      </c>
      <c r="P64" s="264"/>
      <c r="Q64" s="268">
        <v>0.5</v>
      </c>
      <c r="R64" s="262" t="s">
        <v>476</v>
      </c>
    </row>
    <row r="65" spans="1:27" ht="27">
      <c r="A65" s="223"/>
      <c r="B65" s="262">
        <v>2026</v>
      </c>
      <c r="C65" s="263" t="s">
        <v>477</v>
      </c>
      <c r="D65" s="262" t="s">
        <v>478</v>
      </c>
      <c r="E65" s="266"/>
      <c r="F65" s="264" t="s">
        <v>329</v>
      </c>
      <c r="G65" s="264" t="s">
        <v>321</v>
      </c>
      <c r="H65" s="264"/>
      <c r="I65" s="264" t="s">
        <v>27</v>
      </c>
      <c r="J65" s="264"/>
      <c r="K65" s="265" t="s">
        <v>322</v>
      </c>
      <c r="L65" s="266" t="s">
        <v>44</v>
      </c>
      <c r="M65" s="272">
        <v>46174</v>
      </c>
      <c r="N65" s="272"/>
      <c r="O65" s="272">
        <v>46295</v>
      </c>
      <c r="P65" s="264"/>
      <c r="Q65" s="268">
        <v>0.5</v>
      </c>
      <c r="R65" s="262" t="s">
        <v>479</v>
      </c>
    </row>
    <row r="66" spans="1:27" ht="54">
      <c r="A66" s="223"/>
      <c r="B66" s="262">
        <v>2026</v>
      </c>
      <c r="C66" s="263" t="s">
        <v>477</v>
      </c>
      <c r="D66" s="262" t="s">
        <v>480</v>
      </c>
      <c r="E66" s="264"/>
      <c r="F66" s="264" t="s">
        <v>329</v>
      </c>
      <c r="G66" s="264" t="s">
        <v>321</v>
      </c>
      <c r="H66" s="264"/>
      <c r="I66" s="264" t="s">
        <v>27</v>
      </c>
      <c r="J66" s="264"/>
      <c r="K66" s="265" t="s">
        <v>322</v>
      </c>
      <c r="L66" s="266" t="s">
        <v>44</v>
      </c>
      <c r="M66" s="272">
        <v>46204</v>
      </c>
      <c r="N66" s="272"/>
      <c r="O66" s="272">
        <v>46264</v>
      </c>
      <c r="P66" s="264"/>
      <c r="Q66" s="268">
        <v>0.5</v>
      </c>
      <c r="R66" s="262" t="s">
        <v>481</v>
      </c>
    </row>
    <row r="67" spans="1:27">
      <c r="A67" s="223"/>
      <c r="B67" s="262">
        <v>2026</v>
      </c>
      <c r="C67" s="263" t="s">
        <v>477</v>
      </c>
      <c r="D67" s="262" t="s">
        <v>482</v>
      </c>
      <c r="E67" s="264"/>
      <c r="F67" s="264" t="s">
        <v>329</v>
      </c>
      <c r="G67" s="264" t="s">
        <v>321</v>
      </c>
      <c r="H67" s="264"/>
      <c r="I67" s="264" t="s">
        <v>27</v>
      </c>
      <c r="J67" s="264"/>
      <c r="K67" s="265" t="s">
        <v>322</v>
      </c>
      <c r="L67" s="266" t="s">
        <v>483</v>
      </c>
      <c r="M67" s="272">
        <v>46174</v>
      </c>
      <c r="N67" s="272"/>
      <c r="O67" s="272"/>
      <c r="P67" s="264"/>
      <c r="Q67" s="268">
        <v>0.05</v>
      </c>
      <c r="R67" s="262"/>
    </row>
    <row r="68" spans="1:27" s="29" customFormat="1" ht="46.5" customHeight="1">
      <c r="A68" s="226"/>
      <c r="B68" s="270">
        <v>2026</v>
      </c>
      <c r="C68" s="263" t="s">
        <v>477</v>
      </c>
      <c r="D68" s="270" t="s">
        <v>484</v>
      </c>
      <c r="E68" s="266"/>
      <c r="F68" s="266" t="s">
        <v>329</v>
      </c>
      <c r="G68" s="266" t="s">
        <v>321</v>
      </c>
      <c r="H68" s="266"/>
      <c r="I68" s="266" t="s">
        <v>27</v>
      </c>
      <c r="J68" s="266"/>
      <c r="K68" s="265" t="s">
        <v>322</v>
      </c>
      <c r="L68" s="266" t="s">
        <v>44</v>
      </c>
      <c r="M68" s="272">
        <v>46218</v>
      </c>
      <c r="N68" s="272"/>
      <c r="O68" s="272">
        <v>46264</v>
      </c>
      <c r="P68" s="266"/>
      <c r="Q68" s="274">
        <v>0.2</v>
      </c>
      <c r="R68" s="270"/>
    </row>
    <row r="69" spans="1:27">
      <c r="A69" s="223"/>
      <c r="B69" s="262">
        <v>2026</v>
      </c>
      <c r="C69" s="263" t="s">
        <v>485</v>
      </c>
      <c r="D69" s="262" t="s">
        <v>486</v>
      </c>
      <c r="E69" s="264" t="s">
        <v>383</v>
      </c>
      <c r="F69" s="264" t="s">
        <v>329</v>
      </c>
      <c r="G69" s="264" t="s">
        <v>269</v>
      </c>
      <c r="H69" s="264"/>
      <c r="I69" s="264" t="s">
        <v>89</v>
      </c>
      <c r="J69" s="264"/>
      <c r="K69" s="265" t="s">
        <v>322</v>
      </c>
      <c r="L69" s="266" t="s">
        <v>70</v>
      </c>
      <c r="M69" s="272"/>
      <c r="N69" s="272"/>
      <c r="O69" s="272"/>
      <c r="P69" s="264"/>
      <c r="Q69" s="268">
        <v>1</v>
      </c>
      <c r="R69" s="262"/>
    </row>
    <row r="70" spans="1:27" ht="27">
      <c r="A70" s="223"/>
      <c r="B70" s="262">
        <v>2026</v>
      </c>
      <c r="C70" s="263" t="s">
        <v>485</v>
      </c>
      <c r="D70" s="262" t="s">
        <v>487</v>
      </c>
      <c r="E70" s="264"/>
      <c r="F70" s="264" t="s">
        <v>329</v>
      </c>
      <c r="G70" s="264" t="s">
        <v>321</v>
      </c>
      <c r="H70" s="264"/>
      <c r="I70" s="264" t="s">
        <v>27</v>
      </c>
      <c r="J70" s="264"/>
      <c r="K70" s="265" t="s">
        <v>322</v>
      </c>
      <c r="L70" s="266" t="s">
        <v>488</v>
      </c>
      <c r="M70" s="272">
        <v>46162</v>
      </c>
      <c r="N70" s="272">
        <v>46387</v>
      </c>
      <c r="O70" s="272"/>
      <c r="P70" s="264"/>
      <c r="Q70" s="268">
        <v>0.25</v>
      </c>
      <c r="R70" s="270" t="s">
        <v>489</v>
      </c>
    </row>
    <row r="71" spans="1:27" ht="40.5">
      <c r="A71" s="223"/>
      <c r="B71" s="262">
        <v>2026</v>
      </c>
      <c r="C71" s="263" t="s">
        <v>485</v>
      </c>
      <c r="D71" s="262" t="s">
        <v>490</v>
      </c>
      <c r="E71" s="264"/>
      <c r="F71" s="264" t="s">
        <v>329</v>
      </c>
      <c r="G71" s="264" t="s">
        <v>321</v>
      </c>
      <c r="H71" s="264"/>
      <c r="I71" s="264"/>
      <c r="J71" s="264"/>
      <c r="K71" s="265"/>
      <c r="L71" s="266" t="s">
        <v>491</v>
      </c>
      <c r="M71" s="272">
        <v>46212</v>
      </c>
      <c r="N71" s="272"/>
      <c r="O71" s="272">
        <v>46326</v>
      </c>
      <c r="P71" s="264"/>
      <c r="Q71" s="268">
        <v>0.15</v>
      </c>
      <c r="R71" s="270" t="s">
        <v>492</v>
      </c>
    </row>
    <row r="72" spans="1:27" s="29" customFormat="1">
      <c r="A72" s="223"/>
      <c r="B72" s="262">
        <v>2026</v>
      </c>
      <c r="C72" s="263" t="s">
        <v>404</v>
      </c>
      <c r="D72" s="270" t="s">
        <v>493</v>
      </c>
      <c r="E72" s="264" t="s">
        <v>383</v>
      </c>
      <c r="F72" s="266" t="s">
        <v>329</v>
      </c>
      <c r="G72" s="266" t="s">
        <v>269</v>
      </c>
      <c r="H72" s="266"/>
      <c r="I72" s="266" t="s">
        <v>27</v>
      </c>
      <c r="J72" s="264"/>
      <c r="K72" s="265" t="s">
        <v>322</v>
      </c>
      <c r="L72" s="266" t="s">
        <v>70</v>
      </c>
      <c r="M72" s="272"/>
      <c r="N72" s="272"/>
      <c r="O72" s="272"/>
      <c r="P72" s="266"/>
      <c r="Q72" s="268">
        <v>1</v>
      </c>
      <c r="R72" s="270" t="s">
        <v>494</v>
      </c>
    </row>
    <row r="73" spans="1:27" s="29" customFormat="1" ht="67.5">
      <c r="A73" s="223"/>
      <c r="B73" s="262">
        <v>2026</v>
      </c>
      <c r="C73" s="263" t="s">
        <v>495</v>
      </c>
      <c r="D73" s="270" t="s">
        <v>496</v>
      </c>
      <c r="E73" s="264"/>
      <c r="F73" s="266" t="s">
        <v>329</v>
      </c>
      <c r="G73" s="266" t="s">
        <v>321</v>
      </c>
      <c r="H73" s="266"/>
      <c r="I73" s="266" t="s">
        <v>27</v>
      </c>
      <c r="J73" s="264"/>
      <c r="K73" s="265" t="s">
        <v>322</v>
      </c>
      <c r="L73" s="266" t="s">
        <v>396</v>
      </c>
      <c r="M73" s="272">
        <v>46210</v>
      </c>
      <c r="N73" s="272"/>
      <c r="O73" s="272">
        <v>46248</v>
      </c>
      <c r="P73" s="266"/>
      <c r="Q73" s="274">
        <v>0.25</v>
      </c>
      <c r="R73" s="270" t="s">
        <v>497</v>
      </c>
    </row>
    <row r="74" spans="1:27" ht="40.5">
      <c r="A74" s="223"/>
      <c r="B74" s="262">
        <v>2026</v>
      </c>
      <c r="C74" s="263" t="s">
        <v>498</v>
      </c>
      <c r="D74" s="270" t="s">
        <v>499</v>
      </c>
      <c r="E74" s="264" t="s">
        <v>383</v>
      </c>
      <c r="F74" s="264" t="s">
        <v>329</v>
      </c>
      <c r="G74" s="264" t="s">
        <v>344</v>
      </c>
      <c r="H74" s="264"/>
      <c r="I74" s="264" t="s">
        <v>89</v>
      </c>
      <c r="J74" s="264"/>
      <c r="K74" s="265" t="s">
        <v>322</v>
      </c>
      <c r="L74" s="266" t="s">
        <v>500</v>
      </c>
      <c r="M74" s="272"/>
      <c r="N74" s="272"/>
      <c r="O74" s="272"/>
      <c r="P74" s="264"/>
      <c r="Q74" s="268">
        <v>1</v>
      </c>
      <c r="R74" s="262" t="s">
        <v>501</v>
      </c>
    </row>
    <row r="75" spans="1:27" ht="27">
      <c r="A75" s="223"/>
      <c r="B75" s="262">
        <v>2026</v>
      </c>
      <c r="C75" s="263" t="s">
        <v>502</v>
      </c>
      <c r="D75" s="270" t="s">
        <v>503</v>
      </c>
      <c r="E75" s="264"/>
      <c r="F75" s="264" t="s">
        <v>320</v>
      </c>
      <c r="G75" s="264" t="s">
        <v>321</v>
      </c>
      <c r="H75" s="264"/>
      <c r="I75" s="264" t="s">
        <v>89</v>
      </c>
      <c r="J75" s="264"/>
      <c r="K75" s="265" t="s">
        <v>322</v>
      </c>
      <c r="L75" s="266" t="s">
        <v>360</v>
      </c>
      <c r="M75" s="272">
        <v>46154</v>
      </c>
      <c r="N75" s="272">
        <v>46169</v>
      </c>
      <c r="O75" s="272">
        <v>46169</v>
      </c>
      <c r="P75" s="264"/>
      <c r="Q75" s="268">
        <v>1</v>
      </c>
      <c r="R75" s="262" t="s">
        <v>504</v>
      </c>
    </row>
    <row r="76" spans="1:27" ht="135">
      <c r="A76" s="223"/>
      <c r="B76" s="262">
        <v>2026</v>
      </c>
      <c r="C76" s="263" t="s">
        <v>502</v>
      </c>
      <c r="D76" s="270" t="s">
        <v>505</v>
      </c>
      <c r="E76" s="264"/>
      <c r="F76" s="266" t="s">
        <v>320</v>
      </c>
      <c r="G76" s="266" t="s">
        <v>363</v>
      </c>
      <c r="H76" s="266" t="s">
        <v>360</v>
      </c>
      <c r="I76" s="272">
        <v>46204</v>
      </c>
      <c r="J76" s="272">
        <v>46218</v>
      </c>
      <c r="K76" s="272">
        <v>46218</v>
      </c>
      <c r="L76" s="266" t="s">
        <v>360</v>
      </c>
      <c r="M76" s="272">
        <v>46190</v>
      </c>
      <c r="N76" s="272">
        <v>46198</v>
      </c>
      <c r="O76" s="272">
        <v>46198</v>
      </c>
      <c r="P76" s="264"/>
      <c r="Q76" s="268">
        <v>1</v>
      </c>
      <c r="R76" s="271" t="s">
        <v>506</v>
      </c>
    </row>
    <row r="77" spans="1:27" ht="94.5">
      <c r="B77" s="270">
        <v>2026</v>
      </c>
      <c r="C77" s="263" t="s">
        <v>502</v>
      </c>
      <c r="D77" s="270" t="s">
        <v>507</v>
      </c>
      <c r="E77" s="266"/>
      <c r="F77" s="266" t="s">
        <v>320</v>
      </c>
      <c r="G77" s="266" t="s">
        <v>321</v>
      </c>
      <c r="H77" s="266" t="s">
        <v>44</v>
      </c>
      <c r="I77" s="273"/>
      <c r="J77" s="273"/>
      <c r="K77" s="273"/>
      <c r="L77" s="266" t="s">
        <v>44</v>
      </c>
      <c r="M77" s="272">
        <v>46184</v>
      </c>
      <c r="N77" s="272">
        <v>46191</v>
      </c>
      <c r="O77" s="272">
        <v>46191</v>
      </c>
      <c r="P77" s="266"/>
      <c r="Q77" s="268">
        <v>1</v>
      </c>
      <c r="R77" s="270" t="s">
        <v>508</v>
      </c>
      <c r="S77" s="236"/>
      <c r="T77" s="28"/>
      <c r="U77" s="28"/>
      <c r="V77" s="225"/>
      <c r="W77" s="225"/>
      <c r="X77" s="225"/>
      <c r="Y77" s="28"/>
      <c r="Z77" s="28"/>
      <c r="AA77" s="16"/>
    </row>
    <row r="78" spans="1:27" s="227" customFormat="1" ht="27">
      <c r="A78" s="1"/>
      <c r="B78" s="270">
        <v>2026</v>
      </c>
      <c r="C78" s="263" t="s">
        <v>502</v>
      </c>
      <c r="D78" s="270" t="s">
        <v>509</v>
      </c>
      <c r="E78" s="266"/>
      <c r="F78" s="266" t="s">
        <v>329</v>
      </c>
      <c r="G78" s="266" t="s">
        <v>321</v>
      </c>
      <c r="H78" s="266" t="s">
        <v>44</v>
      </c>
      <c r="I78" s="276"/>
      <c r="J78" s="276"/>
      <c r="K78" s="276"/>
      <c r="L78" s="264" t="s">
        <v>402</v>
      </c>
      <c r="M78" s="272">
        <v>46237</v>
      </c>
      <c r="N78" s="272"/>
      <c r="O78" s="272">
        <v>46272</v>
      </c>
      <c r="P78" s="266"/>
      <c r="Q78" s="268">
        <v>0</v>
      </c>
      <c r="R78" s="262" t="s">
        <v>510</v>
      </c>
    </row>
    <row r="79" spans="1:27" s="29" customFormat="1" ht="54">
      <c r="A79" s="226"/>
      <c r="B79" s="270">
        <v>2026</v>
      </c>
      <c r="C79" s="263" t="s">
        <v>511</v>
      </c>
      <c r="D79" s="270" t="s">
        <v>512</v>
      </c>
      <c r="E79" s="266"/>
      <c r="F79" s="266" t="s">
        <v>329</v>
      </c>
      <c r="G79" s="266" t="s">
        <v>321</v>
      </c>
      <c r="H79" s="266"/>
      <c r="I79" s="266"/>
      <c r="J79" s="266"/>
      <c r="K79" s="265"/>
      <c r="L79" s="266" t="s">
        <v>44</v>
      </c>
      <c r="M79" s="272">
        <v>46223</v>
      </c>
      <c r="N79" s="272"/>
      <c r="O79" s="272">
        <v>46265</v>
      </c>
      <c r="P79" s="266"/>
      <c r="Q79" s="268">
        <v>0.8</v>
      </c>
      <c r="R79" s="270" t="s">
        <v>513</v>
      </c>
    </row>
    <row r="80" spans="1:27" ht="27">
      <c r="A80" s="223"/>
      <c r="B80" s="262">
        <v>2026</v>
      </c>
      <c r="C80" s="263" t="s">
        <v>514</v>
      </c>
      <c r="D80" s="262" t="s">
        <v>515</v>
      </c>
      <c r="E80" s="264"/>
      <c r="F80" s="264" t="s">
        <v>320</v>
      </c>
      <c r="G80" s="264" t="s">
        <v>321</v>
      </c>
      <c r="H80" s="264"/>
      <c r="I80" s="264" t="s">
        <v>89</v>
      </c>
      <c r="J80" s="264"/>
      <c r="K80" s="265" t="s">
        <v>322</v>
      </c>
      <c r="L80" s="266" t="s">
        <v>396</v>
      </c>
      <c r="M80" s="272">
        <v>46174</v>
      </c>
      <c r="N80" s="272">
        <v>46203</v>
      </c>
      <c r="O80" s="272">
        <v>46203</v>
      </c>
      <c r="P80" s="264"/>
      <c r="Q80" s="268">
        <v>1</v>
      </c>
      <c r="R80" s="262" t="s">
        <v>516</v>
      </c>
    </row>
    <row r="81" spans="1:27" s="20" customFormat="1" ht="27">
      <c r="A81" s="1"/>
      <c r="B81" s="262">
        <v>2026</v>
      </c>
      <c r="C81" s="263" t="s">
        <v>514</v>
      </c>
      <c r="D81" s="262" t="s">
        <v>517</v>
      </c>
      <c r="E81" s="264"/>
      <c r="F81" s="264" t="s">
        <v>320</v>
      </c>
      <c r="G81" s="264" t="s">
        <v>321</v>
      </c>
      <c r="H81" s="264"/>
      <c r="I81" s="264"/>
      <c r="J81" s="264"/>
      <c r="K81" s="265"/>
      <c r="L81" s="266" t="s">
        <v>44</v>
      </c>
      <c r="M81" s="272">
        <v>46217</v>
      </c>
      <c r="N81" s="272">
        <v>46225</v>
      </c>
      <c r="O81" s="272">
        <v>46225</v>
      </c>
      <c r="P81" s="264"/>
      <c r="Q81" s="268">
        <v>1</v>
      </c>
      <c r="R81" s="262" t="s">
        <v>518</v>
      </c>
    </row>
    <row r="82" spans="1:27" s="20" customFormat="1">
      <c r="A82" s="1"/>
      <c r="B82" s="262">
        <v>2026</v>
      </c>
      <c r="C82" s="263" t="s">
        <v>514</v>
      </c>
      <c r="D82" s="262" t="s">
        <v>519</v>
      </c>
      <c r="E82" s="264"/>
      <c r="F82" s="264" t="s">
        <v>320</v>
      </c>
      <c r="G82" s="264" t="s">
        <v>321</v>
      </c>
      <c r="H82" s="264"/>
      <c r="I82" s="264"/>
      <c r="J82" s="264"/>
      <c r="K82" s="265"/>
      <c r="L82" s="266" t="s">
        <v>44</v>
      </c>
      <c r="M82" s="272">
        <v>46210</v>
      </c>
      <c r="N82" s="272">
        <v>46217</v>
      </c>
      <c r="O82" s="272">
        <v>46217</v>
      </c>
      <c r="P82" s="264"/>
      <c r="Q82" s="268">
        <v>1</v>
      </c>
      <c r="R82" s="262" t="s">
        <v>520</v>
      </c>
    </row>
    <row r="83" spans="1:27" s="20" customFormat="1" ht="67.5">
      <c r="A83" s="1"/>
      <c r="B83" s="262">
        <v>2026</v>
      </c>
      <c r="C83" s="263" t="s">
        <v>514</v>
      </c>
      <c r="D83" s="262" t="s">
        <v>521</v>
      </c>
      <c r="E83" s="264"/>
      <c r="F83" s="264" t="s">
        <v>329</v>
      </c>
      <c r="G83" s="264" t="s">
        <v>321</v>
      </c>
      <c r="H83" s="264"/>
      <c r="I83" s="264"/>
      <c r="J83" s="264"/>
      <c r="K83" s="265"/>
      <c r="L83" s="266" t="s">
        <v>44</v>
      </c>
      <c r="M83" s="272">
        <v>46204</v>
      </c>
      <c r="N83" s="272"/>
      <c r="O83" s="272">
        <v>46326</v>
      </c>
      <c r="P83" s="264"/>
      <c r="Q83" s="268">
        <v>0.3</v>
      </c>
      <c r="R83" s="262" t="s">
        <v>522</v>
      </c>
    </row>
    <row r="84" spans="1:27" ht="96" customHeight="1">
      <c r="A84" s="223"/>
      <c r="B84" s="262">
        <v>2026</v>
      </c>
      <c r="C84" s="263" t="s">
        <v>523</v>
      </c>
      <c r="D84" s="270" t="s">
        <v>524</v>
      </c>
      <c r="E84" s="264"/>
      <c r="F84" s="264" t="s">
        <v>320</v>
      </c>
      <c r="G84" s="264" t="s">
        <v>355</v>
      </c>
      <c r="H84" s="264"/>
      <c r="I84" s="264" t="s">
        <v>27</v>
      </c>
      <c r="J84" s="264"/>
      <c r="K84" s="265" t="s">
        <v>322</v>
      </c>
      <c r="L84" s="266" t="s">
        <v>525</v>
      </c>
      <c r="M84" s="272">
        <v>46192</v>
      </c>
      <c r="N84" s="272">
        <v>46199</v>
      </c>
      <c r="O84" s="272">
        <v>46199</v>
      </c>
      <c r="P84" s="264"/>
      <c r="Q84" s="268">
        <v>1</v>
      </c>
      <c r="R84" s="262" t="s">
        <v>526</v>
      </c>
    </row>
    <row r="85" spans="1:27" ht="94.5">
      <c r="A85" s="223"/>
      <c r="B85" s="262">
        <v>2026</v>
      </c>
      <c r="C85" s="263" t="s">
        <v>527</v>
      </c>
      <c r="D85" s="270" t="s">
        <v>528</v>
      </c>
      <c r="E85" s="264"/>
      <c r="F85" s="264" t="s">
        <v>329</v>
      </c>
      <c r="G85" s="264" t="s">
        <v>321</v>
      </c>
      <c r="H85" s="264"/>
      <c r="I85" s="264" t="s">
        <v>27</v>
      </c>
      <c r="J85" s="264"/>
      <c r="K85" s="265" t="s">
        <v>322</v>
      </c>
      <c r="L85" s="266" t="s">
        <v>529</v>
      </c>
      <c r="M85" s="272">
        <v>46218</v>
      </c>
      <c r="N85" s="272"/>
      <c r="O85" s="272">
        <v>46326</v>
      </c>
      <c r="P85" s="264"/>
      <c r="Q85" s="268">
        <v>0.2</v>
      </c>
      <c r="R85" s="262" t="s">
        <v>530</v>
      </c>
      <c r="S85" s="228"/>
    </row>
    <row r="86" spans="1:27" ht="27">
      <c r="B86" s="270">
        <v>2026</v>
      </c>
      <c r="C86" s="270" t="s">
        <v>531</v>
      </c>
      <c r="D86" s="270" t="s">
        <v>532</v>
      </c>
      <c r="E86" s="266"/>
      <c r="F86" s="266" t="s">
        <v>320</v>
      </c>
      <c r="G86" s="266" t="s">
        <v>269</v>
      </c>
      <c r="H86" s="266"/>
      <c r="I86" s="273"/>
      <c r="J86" s="273"/>
      <c r="K86" s="273"/>
      <c r="L86" s="266" t="s">
        <v>533</v>
      </c>
      <c r="M86" s="272">
        <v>46225</v>
      </c>
      <c r="N86" s="272">
        <v>46233</v>
      </c>
      <c r="O86" s="272">
        <v>46233</v>
      </c>
      <c r="P86" s="266"/>
      <c r="Q86" s="268">
        <v>1</v>
      </c>
      <c r="R86" s="270" t="s">
        <v>534</v>
      </c>
      <c r="S86" s="236"/>
      <c r="T86" s="28"/>
      <c r="U86" s="28"/>
      <c r="V86" s="225"/>
      <c r="W86" s="225"/>
      <c r="X86" s="225"/>
      <c r="Y86" s="28"/>
      <c r="Z86" s="28"/>
      <c r="AA86" s="16"/>
    </row>
    <row r="87" spans="1:27" s="29" customFormat="1">
      <c r="A87" s="226"/>
      <c r="B87" s="270">
        <v>2026</v>
      </c>
      <c r="C87" s="263" t="s">
        <v>535</v>
      </c>
      <c r="D87" s="270" t="s">
        <v>536</v>
      </c>
      <c r="E87" s="266"/>
      <c r="F87" s="266" t="s">
        <v>329</v>
      </c>
      <c r="G87" s="266" t="s">
        <v>363</v>
      </c>
      <c r="H87" s="266"/>
      <c r="I87" s="266" t="s">
        <v>89</v>
      </c>
      <c r="J87" s="266"/>
      <c r="K87" s="265" t="s">
        <v>322</v>
      </c>
      <c r="L87" s="266" t="s">
        <v>327</v>
      </c>
      <c r="M87" s="272">
        <v>46113</v>
      </c>
      <c r="N87" s="272">
        <v>46265</v>
      </c>
      <c r="O87" s="272"/>
      <c r="P87" s="266"/>
      <c r="Q87" s="268">
        <v>0.05</v>
      </c>
      <c r="R87" s="270" t="s">
        <v>537</v>
      </c>
    </row>
    <row r="88" spans="1:27" s="29" customFormat="1">
      <c r="A88" s="226"/>
      <c r="B88" s="270">
        <v>2026</v>
      </c>
      <c r="C88" s="263" t="s">
        <v>535</v>
      </c>
      <c r="D88" s="270" t="s">
        <v>538</v>
      </c>
      <c r="E88" s="266"/>
      <c r="F88" s="266" t="s">
        <v>329</v>
      </c>
      <c r="G88" s="266" t="s">
        <v>363</v>
      </c>
      <c r="H88" s="266"/>
      <c r="I88" s="266" t="s">
        <v>89</v>
      </c>
      <c r="J88" s="266"/>
      <c r="K88" s="265" t="s">
        <v>322</v>
      </c>
      <c r="L88" s="266" t="s">
        <v>327</v>
      </c>
      <c r="M88" s="272">
        <v>46023</v>
      </c>
      <c r="N88" s="272">
        <v>46387</v>
      </c>
      <c r="O88" s="272"/>
      <c r="P88" s="266"/>
      <c r="Q88" s="268">
        <v>0.5</v>
      </c>
      <c r="R88" s="270" t="s">
        <v>539</v>
      </c>
    </row>
    <row r="89" spans="1:27" s="29" customFormat="1" ht="27">
      <c r="A89" s="226"/>
      <c r="B89" s="270">
        <v>2026</v>
      </c>
      <c r="C89" s="263" t="s">
        <v>535</v>
      </c>
      <c r="D89" s="270" t="s">
        <v>540</v>
      </c>
      <c r="E89" s="266"/>
      <c r="F89" s="266" t="s">
        <v>329</v>
      </c>
      <c r="G89" s="266" t="s">
        <v>344</v>
      </c>
      <c r="H89" s="266"/>
      <c r="I89" s="266" t="s">
        <v>134</v>
      </c>
      <c r="J89" s="266"/>
      <c r="K89" s="265" t="s">
        <v>322</v>
      </c>
      <c r="L89" s="266" t="s">
        <v>327</v>
      </c>
      <c r="M89" s="272">
        <v>46113</v>
      </c>
      <c r="N89" s="272">
        <v>46265</v>
      </c>
      <c r="O89" s="272"/>
      <c r="P89" s="266"/>
      <c r="Q89" s="268">
        <v>0.2</v>
      </c>
      <c r="R89" s="270" t="s">
        <v>541</v>
      </c>
    </row>
    <row r="90" spans="1:27" s="29" customFormat="1" ht="27">
      <c r="A90" s="226"/>
      <c r="B90" s="270">
        <v>2026</v>
      </c>
      <c r="C90" s="263" t="s">
        <v>535</v>
      </c>
      <c r="D90" s="270" t="s">
        <v>542</v>
      </c>
      <c r="E90" s="266"/>
      <c r="F90" s="266" t="s">
        <v>329</v>
      </c>
      <c r="G90" s="266" t="s">
        <v>321</v>
      </c>
      <c r="H90" s="266"/>
      <c r="I90" s="266" t="s">
        <v>27</v>
      </c>
      <c r="J90" s="266"/>
      <c r="K90" s="265" t="s">
        <v>322</v>
      </c>
      <c r="L90" s="266" t="s">
        <v>327</v>
      </c>
      <c r="M90" s="272">
        <v>46023</v>
      </c>
      <c r="N90" s="272">
        <v>46295</v>
      </c>
      <c r="O90" s="272"/>
      <c r="P90" s="266"/>
      <c r="Q90" s="268">
        <v>0.71</v>
      </c>
      <c r="R90" s="270" t="s">
        <v>543</v>
      </c>
    </row>
    <row r="91" spans="1:27" s="29" customFormat="1" ht="27">
      <c r="A91" s="226"/>
      <c r="B91" s="270">
        <v>2026</v>
      </c>
      <c r="C91" s="263" t="s">
        <v>544</v>
      </c>
      <c r="D91" s="270" t="s">
        <v>545</v>
      </c>
      <c r="E91" s="266" t="s">
        <v>383</v>
      </c>
      <c r="F91" s="266" t="s">
        <v>320</v>
      </c>
      <c r="G91" s="266" t="s">
        <v>363</v>
      </c>
      <c r="H91" s="266"/>
      <c r="I91" s="266" t="s">
        <v>27</v>
      </c>
      <c r="J91" s="266"/>
      <c r="K91" s="265" t="s">
        <v>322</v>
      </c>
      <c r="L91" s="266" t="s">
        <v>488</v>
      </c>
      <c r="M91" s="272">
        <v>46175</v>
      </c>
      <c r="N91" s="272">
        <v>46234</v>
      </c>
      <c r="O91" s="272"/>
      <c r="P91" s="266"/>
      <c r="Q91" s="268">
        <v>1</v>
      </c>
      <c r="R91" s="270" t="s">
        <v>546</v>
      </c>
    </row>
    <row r="92" spans="1:27" s="29" customFormat="1" ht="40.5">
      <c r="A92" s="226"/>
      <c r="B92" s="270">
        <v>2026</v>
      </c>
      <c r="C92" s="263" t="s">
        <v>547</v>
      </c>
      <c r="D92" s="270" t="s">
        <v>548</v>
      </c>
      <c r="E92" s="266"/>
      <c r="F92" s="266" t="s">
        <v>329</v>
      </c>
      <c r="G92" s="266" t="s">
        <v>321</v>
      </c>
      <c r="H92" s="266"/>
      <c r="I92" s="266" t="s">
        <v>27</v>
      </c>
      <c r="J92" s="266"/>
      <c r="K92" s="265" t="s">
        <v>322</v>
      </c>
      <c r="L92" s="266" t="s">
        <v>488</v>
      </c>
      <c r="M92" s="272">
        <v>46023</v>
      </c>
      <c r="N92" s="272">
        <v>46326</v>
      </c>
      <c r="O92" s="272"/>
      <c r="P92" s="266"/>
      <c r="Q92" s="268">
        <v>0.75</v>
      </c>
      <c r="R92" s="270" t="s">
        <v>549</v>
      </c>
      <c r="S92" s="229" t="s">
        <v>550</v>
      </c>
    </row>
    <row r="93" spans="1:27" s="29" customFormat="1" ht="54">
      <c r="A93" s="226"/>
      <c r="B93" s="270">
        <v>2026</v>
      </c>
      <c r="C93" s="263" t="s">
        <v>551</v>
      </c>
      <c r="D93" s="270" t="s">
        <v>552</v>
      </c>
      <c r="E93" s="266"/>
      <c r="F93" s="266" t="s">
        <v>320</v>
      </c>
      <c r="G93" s="266" t="s">
        <v>269</v>
      </c>
      <c r="H93" s="266"/>
      <c r="I93" s="266" t="s">
        <v>134</v>
      </c>
      <c r="J93" s="266"/>
      <c r="K93" s="265" t="s">
        <v>322</v>
      </c>
      <c r="L93" s="266" t="s">
        <v>488</v>
      </c>
      <c r="M93" s="272">
        <v>46164</v>
      </c>
      <c r="N93" s="272">
        <v>46206</v>
      </c>
      <c r="O93" s="272">
        <v>46206</v>
      </c>
      <c r="P93" s="266"/>
      <c r="Q93" s="268">
        <v>1</v>
      </c>
      <c r="R93" s="270" t="s">
        <v>553</v>
      </c>
    </row>
    <row r="94" spans="1:27" ht="27">
      <c r="A94" s="223"/>
      <c r="B94" s="262">
        <v>2026</v>
      </c>
      <c r="C94" s="263" t="s">
        <v>404</v>
      </c>
      <c r="D94" s="262" t="s">
        <v>554</v>
      </c>
      <c r="E94" s="264" t="s">
        <v>383</v>
      </c>
      <c r="F94" s="264" t="s">
        <v>337</v>
      </c>
      <c r="G94" s="264" t="s">
        <v>269</v>
      </c>
      <c r="H94" s="264"/>
      <c r="I94" s="264" t="s">
        <v>27</v>
      </c>
      <c r="J94" s="264"/>
      <c r="K94" s="265" t="s">
        <v>322</v>
      </c>
      <c r="L94" s="266" t="s">
        <v>555</v>
      </c>
      <c r="M94" s="272">
        <v>46023</v>
      </c>
      <c r="N94" s="272"/>
      <c r="O94" s="272"/>
      <c r="P94" s="264"/>
      <c r="Q94" s="268">
        <v>1</v>
      </c>
      <c r="R94" s="262" t="s">
        <v>556</v>
      </c>
    </row>
    <row r="95" spans="1:27" ht="27">
      <c r="B95" s="262">
        <v>2026</v>
      </c>
      <c r="C95" s="263" t="s">
        <v>404</v>
      </c>
      <c r="D95" s="270" t="s">
        <v>557</v>
      </c>
      <c r="E95" s="266"/>
      <c r="F95" s="266" t="s">
        <v>337</v>
      </c>
      <c r="G95" s="266" t="s">
        <v>269</v>
      </c>
      <c r="H95" s="266"/>
      <c r="I95" s="273"/>
      <c r="J95" s="273"/>
      <c r="K95" s="273"/>
      <c r="L95" s="266" t="s">
        <v>458</v>
      </c>
      <c r="M95" s="272"/>
      <c r="N95" s="272"/>
      <c r="O95" s="272"/>
      <c r="P95" s="266"/>
      <c r="Q95" s="268"/>
      <c r="R95" s="270" t="s">
        <v>558</v>
      </c>
      <c r="S95" s="236"/>
      <c r="T95" s="28"/>
      <c r="U95" s="28"/>
      <c r="V95" s="225"/>
      <c r="W95" s="225"/>
      <c r="X95" s="225"/>
      <c r="Y95" s="28"/>
      <c r="Z95" s="28"/>
      <c r="AA95" s="16"/>
    </row>
    <row r="96" spans="1:27" s="29" customFormat="1" ht="67.5">
      <c r="A96" s="226"/>
      <c r="B96" s="270">
        <v>2026</v>
      </c>
      <c r="C96" s="263" t="s">
        <v>559</v>
      </c>
      <c r="D96" s="270" t="s">
        <v>560</v>
      </c>
      <c r="E96" s="266"/>
      <c r="F96" s="266" t="s">
        <v>329</v>
      </c>
      <c r="G96" s="266" t="s">
        <v>344</v>
      </c>
      <c r="H96" s="266"/>
      <c r="I96" s="266" t="s">
        <v>27</v>
      </c>
      <c r="J96" s="266"/>
      <c r="K96" s="265" t="s">
        <v>322</v>
      </c>
      <c r="L96" s="266" t="s">
        <v>327</v>
      </c>
      <c r="M96" s="272">
        <v>46113</v>
      </c>
      <c r="N96" s="272">
        <v>46265</v>
      </c>
      <c r="O96" s="272"/>
      <c r="P96" s="266"/>
      <c r="Q96" s="268">
        <v>0.9</v>
      </c>
      <c r="R96" s="270" t="s">
        <v>561</v>
      </c>
    </row>
    <row r="97" spans="1:27" s="29" customFormat="1" ht="27">
      <c r="A97" s="226"/>
      <c r="B97" s="270">
        <v>2026</v>
      </c>
      <c r="C97" s="263" t="s">
        <v>559</v>
      </c>
      <c r="D97" s="270" t="s">
        <v>562</v>
      </c>
      <c r="E97" s="266"/>
      <c r="F97" s="266" t="s">
        <v>329</v>
      </c>
      <c r="G97" s="266" t="s">
        <v>563</v>
      </c>
      <c r="H97" s="266"/>
      <c r="I97" s="266" t="s">
        <v>27</v>
      </c>
      <c r="J97" s="266"/>
      <c r="K97" s="265" t="s">
        <v>322</v>
      </c>
      <c r="L97" s="266" t="s">
        <v>327</v>
      </c>
      <c r="M97" s="272">
        <v>46023</v>
      </c>
      <c r="N97" s="272"/>
      <c r="O97" s="272"/>
      <c r="P97" s="266"/>
      <c r="Q97" s="268">
        <v>0.9</v>
      </c>
      <c r="R97" s="270" t="s">
        <v>564</v>
      </c>
    </row>
    <row r="98" spans="1:27">
      <c r="B98" s="270">
        <v>2026</v>
      </c>
      <c r="C98" s="263" t="s">
        <v>559</v>
      </c>
      <c r="D98" s="270" t="s">
        <v>565</v>
      </c>
      <c r="E98" s="266"/>
      <c r="F98" s="266" t="s">
        <v>329</v>
      </c>
      <c r="G98" s="266" t="s">
        <v>269</v>
      </c>
      <c r="H98" s="266"/>
      <c r="I98" s="273"/>
      <c r="J98" s="273"/>
      <c r="K98" s="273"/>
      <c r="L98" s="266" t="s">
        <v>70</v>
      </c>
      <c r="M98" s="272">
        <v>46224</v>
      </c>
      <c r="N98" s="272"/>
      <c r="O98" s="272">
        <v>46325</v>
      </c>
      <c r="P98" s="266"/>
      <c r="Q98" s="268">
        <v>0</v>
      </c>
      <c r="R98" s="270"/>
      <c r="S98" s="236"/>
      <c r="T98" s="28"/>
      <c r="U98" s="28"/>
      <c r="V98" s="225"/>
      <c r="W98" s="225"/>
      <c r="X98" s="225"/>
      <c r="Y98" s="28"/>
      <c r="Z98" s="28"/>
      <c r="AA98" s="16"/>
    </row>
    <row r="99" spans="1:27">
      <c r="B99" s="270">
        <v>2026</v>
      </c>
      <c r="C99" s="263" t="s">
        <v>559</v>
      </c>
      <c r="D99" s="270" t="s">
        <v>566</v>
      </c>
      <c r="E99" s="266"/>
      <c r="F99" s="266" t="s">
        <v>329</v>
      </c>
      <c r="G99" s="266" t="s">
        <v>321</v>
      </c>
      <c r="H99" s="266"/>
      <c r="I99" s="273"/>
      <c r="J99" s="273"/>
      <c r="K99" s="273"/>
      <c r="L99" s="266" t="s">
        <v>327</v>
      </c>
      <c r="M99" s="272">
        <v>46204</v>
      </c>
      <c r="N99" s="272"/>
      <c r="O99" s="272"/>
      <c r="P99" s="266"/>
      <c r="Q99" s="268">
        <v>0.8</v>
      </c>
      <c r="R99" s="270" t="s">
        <v>567</v>
      </c>
    </row>
    <row r="100" spans="1:27">
      <c r="B100" s="270">
        <v>2026</v>
      </c>
      <c r="C100" s="263" t="s">
        <v>559</v>
      </c>
      <c r="D100" s="262" t="s">
        <v>568</v>
      </c>
      <c r="E100" s="266"/>
      <c r="F100" s="266" t="s">
        <v>329</v>
      </c>
      <c r="G100" s="266" t="s">
        <v>269</v>
      </c>
      <c r="H100" s="266"/>
      <c r="I100" s="273"/>
      <c r="J100" s="273"/>
      <c r="K100" s="273"/>
      <c r="L100" s="266" t="s">
        <v>327</v>
      </c>
      <c r="M100" s="272">
        <v>46235</v>
      </c>
      <c r="N100" s="272"/>
      <c r="O100" s="272"/>
      <c r="P100" s="266"/>
      <c r="Q100" s="268">
        <v>0.5</v>
      </c>
      <c r="R100" s="263" t="s">
        <v>569</v>
      </c>
    </row>
    <row r="101" spans="1:27" ht="27">
      <c r="B101" s="270">
        <v>2026</v>
      </c>
      <c r="C101" s="263" t="s">
        <v>559</v>
      </c>
      <c r="D101" s="281" t="s">
        <v>570</v>
      </c>
      <c r="E101" s="266"/>
      <c r="F101" s="266" t="s">
        <v>329</v>
      </c>
      <c r="G101" s="266" t="s">
        <v>269</v>
      </c>
      <c r="H101" s="266"/>
      <c r="I101" s="273"/>
      <c r="J101" s="273"/>
      <c r="K101" s="273"/>
      <c r="L101" s="266" t="s">
        <v>488</v>
      </c>
      <c r="M101" s="272">
        <v>46266</v>
      </c>
      <c r="N101" s="272"/>
      <c r="O101" s="272"/>
      <c r="P101" s="266"/>
      <c r="Q101" s="268">
        <v>0</v>
      </c>
      <c r="R101" s="263" t="s">
        <v>571</v>
      </c>
    </row>
    <row r="102" spans="1:27" ht="40.5">
      <c r="A102" s="223"/>
      <c r="B102" s="262">
        <v>2026</v>
      </c>
      <c r="C102" s="263" t="s">
        <v>279</v>
      </c>
      <c r="D102" s="262" t="s">
        <v>572</v>
      </c>
      <c r="E102" s="264"/>
      <c r="F102" s="264" t="s">
        <v>329</v>
      </c>
      <c r="G102" s="264" t="s">
        <v>563</v>
      </c>
      <c r="H102" s="264"/>
      <c r="I102" s="264" t="s">
        <v>27</v>
      </c>
      <c r="J102" s="264"/>
      <c r="K102" s="265" t="s">
        <v>322</v>
      </c>
      <c r="L102" s="266" t="s">
        <v>573</v>
      </c>
      <c r="M102" s="272">
        <v>46113</v>
      </c>
      <c r="N102" s="272"/>
      <c r="O102" s="272">
        <v>46295</v>
      </c>
      <c r="P102" s="264"/>
      <c r="Q102" s="268">
        <v>0.5</v>
      </c>
      <c r="R102" s="262" t="s">
        <v>574</v>
      </c>
    </row>
    <row r="103" spans="1:27" s="29" customFormat="1">
      <c r="A103" s="223"/>
      <c r="B103" s="262">
        <v>2026</v>
      </c>
      <c r="C103" s="263" t="s">
        <v>279</v>
      </c>
      <c r="D103" s="270" t="s">
        <v>575</v>
      </c>
      <c r="E103" s="264"/>
      <c r="F103" s="266" t="s">
        <v>329</v>
      </c>
      <c r="G103" s="266" t="s">
        <v>269</v>
      </c>
      <c r="H103" s="266" t="s">
        <v>28</v>
      </c>
      <c r="I103" s="266" t="s">
        <v>27</v>
      </c>
      <c r="J103" s="264"/>
      <c r="K103" s="265" t="s">
        <v>322</v>
      </c>
      <c r="L103" s="266" t="s">
        <v>576</v>
      </c>
      <c r="M103" s="272">
        <v>46204</v>
      </c>
      <c r="N103" s="272"/>
      <c r="O103" s="272">
        <v>46387</v>
      </c>
      <c r="P103" s="266"/>
      <c r="Q103" s="268">
        <v>0.05</v>
      </c>
      <c r="R103" s="270"/>
    </row>
    <row r="104" spans="1:27">
      <c r="A104" s="223"/>
      <c r="B104" s="262">
        <v>2026</v>
      </c>
      <c r="C104" s="263" t="s">
        <v>279</v>
      </c>
      <c r="D104" s="270" t="s">
        <v>577</v>
      </c>
      <c r="E104" s="264"/>
      <c r="F104" s="264" t="s">
        <v>320</v>
      </c>
      <c r="G104" s="264" t="s">
        <v>321</v>
      </c>
      <c r="H104" s="264"/>
      <c r="I104" s="264" t="s">
        <v>89</v>
      </c>
      <c r="J104" s="264"/>
      <c r="K104" s="265" t="s">
        <v>322</v>
      </c>
      <c r="L104" s="266" t="s">
        <v>70</v>
      </c>
      <c r="M104" s="272">
        <v>46146</v>
      </c>
      <c r="N104" s="272">
        <v>46154</v>
      </c>
      <c r="O104" s="272">
        <v>46154</v>
      </c>
      <c r="P104" s="264"/>
      <c r="Q104" s="268">
        <v>1</v>
      </c>
      <c r="R104" s="262"/>
    </row>
    <row r="105" spans="1:27" s="29" customFormat="1">
      <c r="A105" s="226"/>
      <c r="B105" s="270">
        <v>2026</v>
      </c>
      <c r="C105" s="263" t="s">
        <v>279</v>
      </c>
      <c r="D105" s="270" t="s">
        <v>578</v>
      </c>
      <c r="E105" s="266"/>
      <c r="F105" s="266" t="s">
        <v>320</v>
      </c>
      <c r="G105" s="266" t="s">
        <v>579</v>
      </c>
      <c r="H105" s="266"/>
      <c r="I105" s="266" t="s">
        <v>27</v>
      </c>
      <c r="J105" s="266"/>
      <c r="K105" s="265" t="s">
        <v>322</v>
      </c>
      <c r="L105" s="266" t="s">
        <v>533</v>
      </c>
      <c r="M105" s="272"/>
      <c r="N105" s="272">
        <v>46183</v>
      </c>
      <c r="O105" s="272">
        <v>46183</v>
      </c>
      <c r="P105" s="266"/>
      <c r="Q105" s="268">
        <v>1</v>
      </c>
      <c r="R105" s="270" t="s">
        <v>580</v>
      </c>
    </row>
    <row r="106" spans="1:27" s="29" customFormat="1" ht="40.5">
      <c r="A106" s="226"/>
      <c r="B106" s="270">
        <v>2026</v>
      </c>
      <c r="C106" s="263" t="s">
        <v>279</v>
      </c>
      <c r="D106" s="270" t="s">
        <v>581</v>
      </c>
      <c r="E106" s="264"/>
      <c r="F106" s="266" t="s">
        <v>320</v>
      </c>
      <c r="G106" s="266" t="s">
        <v>321</v>
      </c>
      <c r="H106" s="266"/>
      <c r="I106" s="266"/>
      <c r="J106" s="266"/>
      <c r="K106" s="265"/>
      <c r="L106" s="266" t="s">
        <v>582</v>
      </c>
      <c r="M106" s="272">
        <v>46196</v>
      </c>
      <c r="N106" s="272">
        <v>46224</v>
      </c>
      <c r="O106" s="272">
        <v>46224</v>
      </c>
      <c r="P106" s="266"/>
      <c r="Q106" s="268">
        <v>1</v>
      </c>
      <c r="R106" s="270" t="s">
        <v>583</v>
      </c>
    </row>
    <row r="107" spans="1:27" s="29" customFormat="1">
      <c r="A107" s="226"/>
      <c r="B107" s="270">
        <v>2026</v>
      </c>
      <c r="C107" s="263" t="s">
        <v>279</v>
      </c>
      <c r="D107" s="270" t="s">
        <v>584</v>
      </c>
      <c r="E107" s="264"/>
      <c r="F107" s="266" t="s">
        <v>329</v>
      </c>
      <c r="G107" s="266" t="s">
        <v>321</v>
      </c>
      <c r="H107" s="266"/>
      <c r="I107" s="266"/>
      <c r="J107" s="266"/>
      <c r="K107" s="265"/>
      <c r="L107" s="266" t="s">
        <v>576</v>
      </c>
      <c r="M107" s="272"/>
      <c r="N107" s="272"/>
      <c r="O107" s="272">
        <v>46295</v>
      </c>
      <c r="P107" s="266"/>
      <c r="Q107" s="268">
        <v>0.05</v>
      </c>
      <c r="R107" s="270" t="s">
        <v>585</v>
      </c>
    </row>
    <row r="108" spans="1:27" s="20" customFormat="1" ht="54">
      <c r="A108" s="1"/>
      <c r="B108" s="262">
        <v>2026</v>
      </c>
      <c r="C108" s="263" t="s">
        <v>279</v>
      </c>
      <c r="D108" s="270" t="s">
        <v>586</v>
      </c>
      <c r="E108" s="264"/>
      <c r="F108" s="266" t="s">
        <v>320</v>
      </c>
      <c r="G108" s="264" t="s">
        <v>563</v>
      </c>
      <c r="H108" s="266" t="s">
        <v>587</v>
      </c>
      <c r="I108" s="279">
        <v>46133</v>
      </c>
      <c r="J108" s="279">
        <v>46156</v>
      </c>
      <c r="K108" s="275">
        <f>J108</f>
        <v>46156</v>
      </c>
      <c r="L108" s="266" t="s">
        <v>587</v>
      </c>
      <c r="M108" s="272">
        <v>46210</v>
      </c>
      <c r="N108" s="272">
        <v>46239</v>
      </c>
      <c r="O108" s="272">
        <v>46239</v>
      </c>
      <c r="P108" s="264"/>
      <c r="Q108" s="268">
        <v>1</v>
      </c>
      <c r="R108" s="262" t="s">
        <v>588</v>
      </c>
    </row>
    <row r="109" spans="1:27" ht="40.5">
      <c r="A109" s="223"/>
      <c r="B109" s="262">
        <v>2026</v>
      </c>
      <c r="C109" s="263" t="s">
        <v>279</v>
      </c>
      <c r="D109" s="270" t="s">
        <v>589</v>
      </c>
      <c r="E109" s="264"/>
      <c r="F109" s="264" t="s">
        <v>320</v>
      </c>
      <c r="G109" s="264" t="s">
        <v>563</v>
      </c>
      <c r="H109" s="264"/>
      <c r="I109" s="264" t="s">
        <v>27</v>
      </c>
      <c r="J109" s="264"/>
      <c r="K109" s="265" t="s">
        <v>322</v>
      </c>
      <c r="L109" s="266" t="s">
        <v>587</v>
      </c>
      <c r="M109" s="272">
        <v>46133</v>
      </c>
      <c r="N109" s="272">
        <v>46156</v>
      </c>
      <c r="O109" s="272">
        <v>46156</v>
      </c>
      <c r="P109" s="264"/>
      <c r="Q109" s="268">
        <v>1</v>
      </c>
      <c r="R109" s="262" t="s">
        <v>590</v>
      </c>
    </row>
    <row r="110" spans="1:27">
      <c r="A110" s="223"/>
      <c r="B110" s="262">
        <v>2026</v>
      </c>
      <c r="C110" s="262" t="s">
        <v>591</v>
      </c>
      <c r="D110" s="262" t="s">
        <v>592</v>
      </c>
      <c r="E110" s="264"/>
      <c r="F110" s="264" t="s">
        <v>320</v>
      </c>
      <c r="G110" s="264" t="s">
        <v>563</v>
      </c>
      <c r="H110" s="264"/>
      <c r="I110" s="264" t="s">
        <v>27</v>
      </c>
      <c r="J110" s="264"/>
      <c r="K110" s="264" t="s">
        <v>322</v>
      </c>
      <c r="L110" s="264" t="s">
        <v>533</v>
      </c>
      <c r="M110" s="272">
        <v>46028</v>
      </c>
      <c r="N110" s="272">
        <v>46295</v>
      </c>
      <c r="O110" s="272">
        <v>46295</v>
      </c>
      <c r="P110" s="264"/>
      <c r="Q110" s="268">
        <v>1</v>
      </c>
      <c r="R110" s="262" t="s">
        <v>593</v>
      </c>
    </row>
    <row r="111" spans="1:27">
      <c r="A111" s="223"/>
      <c r="B111" s="262">
        <v>2026</v>
      </c>
      <c r="C111" s="262" t="s">
        <v>591</v>
      </c>
      <c r="D111" s="262" t="s">
        <v>594</v>
      </c>
      <c r="E111" s="264"/>
      <c r="F111" s="264" t="s">
        <v>320</v>
      </c>
      <c r="G111" s="264" t="s">
        <v>563</v>
      </c>
      <c r="H111" s="264"/>
      <c r="I111" s="264" t="s">
        <v>27</v>
      </c>
      <c r="J111" s="264"/>
      <c r="K111" s="264" t="s">
        <v>322</v>
      </c>
      <c r="L111" s="264" t="s">
        <v>533</v>
      </c>
      <c r="M111" s="272">
        <v>46028</v>
      </c>
      <c r="N111" s="272">
        <v>46295</v>
      </c>
      <c r="O111" s="272">
        <v>46295</v>
      </c>
      <c r="P111" s="264"/>
      <c r="Q111" s="268">
        <v>1</v>
      </c>
      <c r="R111" s="262" t="s">
        <v>595</v>
      </c>
    </row>
    <row r="112" spans="1:27" ht="40.5">
      <c r="A112" s="223"/>
      <c r="B112" s="262">
        <v>2026</v>
      </c>
      <c r="C112" s="262" t="s">
        <v>591</v>
      </c>
      <c r="D112" s="262" t="s">
        <v>596</v>
      </c>
      <c r="E112" s="264"/>
      <c r="F112" s="264" t="s">
        <v>329</v>
      </c>
      <c r="G112" s="264" t="s">
        <v>563</v>
      </c>
      <c r="H112" s="264"/>
      <c r="I112" s="264" t="s">
        <v>27</v>
      </c>
      <c r="J112" s="264"/>
      <c r="K112" s="264" t="s">
        <v>322</v>
      </c>
      <c r="L112" s="264" t="s">
        <v>533</v>
      </c>
      <c r="M112" s="272">
        <v>46064</v>
      </c>
      <c r="N112" s="272"/>
      <c r="O112" s="272">
        <v>46295</v>
      </c>
      <c r="P112" s="264"/>
      <c r="Q112" s="268">
        <v>0.5</v>
      </c>
      <c r="R112" s="262" t="s">
        <v>597</v>
      </c>
    </row>
    <row r="113" spans="1:27" ht="67.5">
      <c r="A113" s="223"/>
      <c r="B113" s="262">
        <v>2026</v>
      </c>
      <c r="C113" s="262" t="s">
        <v>591</v>
      </c>
      <c r="D113" s="262" t="s">
        <v>598</v>
      </c>
      <c r="E113" s="264"/>
      <c r="F113" s="264" t="s">
        <v>329</v>
      </c>
      <c r="G113" s="264" t="s">
        <v>563</v>
      </c>
      <c r="H113" s="264"/>
      <c r="I113" s="264" t="s">
        <v>27</v>
      </c>
      <c r="J113" s="264"/>
      <c r="K113" s="264" t="s">
        <v>322</v>
      </c>
      <c r="L113" s="264" t="s">
        <v>533</v>
      </c>
      <c r="M113" s="272">
        <v>46295</v>
      </c>
      <c r="N113" s="272"/>
      <c r="O113" s="272">
        <v>46295</v>
      </c>
      <c r="P113" s="264"/>
      <c r="Q113" s="268">
        <v>0.25</v>
      </c>
      <c r="R113" s="262" t="s">
        <v>599</v>
      </c>
    </row>
    <row r="114" spans="1:27" ht="27">
      <c r="A114" s="223"/>
      <c r="B114" s="262">
        <v>2026</v>
      </c>
      <c r="C114" s="262" t="s">
        <v>600</v>
      </c>
      <c r="D114" s="270" t="s">
        <v>601</v>
      </c>
      <c r="E114" s="264"/>
      <c r="F114" s="264" t="s">
        <v>320</v>
      </c>
      <c r="G114" s="264" t="s">
        <v>344</v>
      </c>
      <c r="H114" s="264"/>
      <c r="I114" s="264" t="s">
        <v>27</v>
      </c>
      <c r="J114" s="264"/>
      <c r="K114" s="265" t="s">
        <v>322</v>
      </c>
      <c r="L114" s="266" t="s">
        <v>533</v>
      </c>
      <c r="M114" s="272"/>
      <c r="N114" s="272">
        <v>46184</v>
      </c>
      <c r="O114" s="272">
        <v>46184</v>
      </c>
      <c r="P114" s="264"/>
      <c r="Q114" s="268">
        <v>1</v>
      </c>
      <c r="R114" s="262" t="s">
        <v>602</v>
      </c>
    </row>
    <row r="115" spans="1:27" ht="27">
      <c r="A115" s="223"/>
      <c r="B115" s="262">
        <v>2026</v>
      </c>
      <c r="C115" s="263" t="s">
        <v>603</v>
      </c>
      <c r="D115" s="262" t="s">
        <v>604</v>
      </c>
      <c r="E115" s="264"/>
      <c r="F115" s="264" t="s">
        <v>329</v>
      </c>
      <c r="G115" s="264" t="s">
        <v>344</v>
      </c>
      <c r="H115" s="264"/>
      <c r="I115" s="264" t="s">
        <v>27</v>
      </c>
      <c r="J115" s="264"/>
      <c r="K115" s="264" t="s">
        <v>322</v>
      </c>
      <c r="L115" s="264" t="s">
        <v>533</v>
      </c>
      <c r="M115" s="272">
        <v>46279</v>
      </c>
      <c r="N115" s="272"/>
      <c r="O115" s="272">
        <v>46387</v>
      </c>
      <c r="P115" s="264"/>
      <c r="Q115" s="268">
        <v>0</v>
      </c>
      <c r="R115" s="262" t="s">
        <v>605</v>
      </c>
    </row>
    <row r="116" spans="1:27">
      <c r="A116" s="223"/>
      <c r="B116" s="262">
        <v>2026</v>
      </c>
      <c r="C116" s="263" t="s">
        <v>603</v>
      </c>
      <c r="D116" s="262" t="s">
        <v>606</v>
      </c>
      <c r="E116" s="264"/>
      <c r="F116" s="264" t="s">
        <v>337</v>
      </c>
      <c r="G116" s="264" t="s">
        <v>363</v>
      </c>
      <c r="H116" s="264"/>
      <c r="I116" s="264" t="s">
        <v>27</v>
      </c>
      <c r="J116" s="264"/>
      <c r="K116" s="265" t="s">
        <v>322</v>
      </c>
      <c r="L116" s="266" t="s">
        <v>70</v>
      </c>
      <c r="M116" s="272">
        <v>46023</v>
      </c>
      <c r="N116" s="272">
        <v>46233</v>
      </c>
      <c r="O116" s="272">
        <v>46233</v>
      </c>
      <c r="P116" s="264"/>
      <c r="Q116" s="268">
        <v>1</v>
      </c>
      <c r="R116" s="262" t="s">
        <v>607</v>
      </c>
    </row>
    <row r="117" spans="1:27">
      <c r="A117" s="223"/>
      <c r="B117" s="262">
        <v>2026</v>
      </c>
      <c r="C117" s="263" t="s">
        <v>608</v>
      </c>
      <c r="D117" s="262" t="s">
        <v>609</v>
      </c>
      <c r="E117" s="264"/>
      <c r="F117" s="264" t="s">
        <v>329</v>
      </c>
      <c r="G117" s="264" t="s">
        <v>344</v>
      </c>
      <c r="H117" s="264"/>
      <c r="I117" s="264" t="s">
        <v>27</v>
      </c>
      <c r="J117" s="264"/>
      <c r="K117" s="265" t="s">
        <v>322</v>
      </c>
      <c r="L117" s="266" t="s">
        <v>70</v>
      </c>
      <c r="M117" s="272">
        <v>46082</v>
      </c>
      <c r="N117" s="272"/>
      <c r="O117" s="272">
        <v>46265</v>
      </c>
      <c r="P117" s="264"/>
      <c r="Q117" s="268">
        <v>0.93</v>
      </c>
      <c r="R117" s="262"/>
    </row>
    <row r="118" spans="1:27">
      <c r="A118" s="223"/>
      <c r="B118" s="262">
        <v>2026</v>
      </c>
      <c r="C118" s="263" t="s">
        <v>610</v>
      </c>
      <c r="D118" s="270" t="s">
        <v>611</v>
      </c>
      <c r="E118" s="264"/>
      <c r="F118" s="264" t="s">
        <v>320</v>
      </c>
      <c r="G118" s="264" t="s">
        <v>344</v>
      </c>
      <c r="H118" s="264"/>
      <c r="I118" s="264"/>
      <c r="J118" s="264"/>
      <c r="K118" s="265" t="s">
        <v>322</v>
      </c>
      <c r="L118" s="266" t="s">
        <v>70</v>
      </c>
      <c r="M118" s="272">
        <v>46113</v>
      </c>
      <c r="N118" s="272">
        <v>46204</v>
      </c>
      <c r="O118" s="272">
        <v>46204</v>
      </c>
      <c r="P118" s="264"/>
      <c r="Q118" s="268">
        <v>1</v>
      </c>
      <c r="R118" s="262"/>
    </row>
    <row r="119" spans="1:27">
      <c r="A119" s="223"/>
      <c r="B119" s="262">
        <v>2026</v>
      </c>
      <c r="C119" s="263" t="s">
        <v>612</v>
      </c>
      <c r="D119" s="270" t="s">
        <v>613</v>
      </c>
      <c r="E119" s="266"/>
      <c r="F119" s="266" t="s">
        <v>320</v>
      </c>
      <c r="G119" s="266" t="s">
        <v>344</v>
      </c>
      <c r="H119" s="266"/>
      <c r="I119" s="266" t="s">
        <v>89</v>
      </c>
      <c r="J119" s="266"/>
      <c r="K119" s="266" t="s">
        <v>322</v>
      </c>
      <c r="L119" s="266" t="s">
        <v>614</v>
      </c>
      <c r="M119" s="272"/>
      <c r="N119" s="272">
        <v>46223</v>
      </c>
      <c r="O119" s="272">
        <v>46223</v>
      </c>
      <c r="P119" s="264"/>
      <c r="Q119" s="268">
        <v>1</v>
      </c>
      <c r="R119" s="262"/>
    </row>
    <row r="120" spans="1:27" ht="94.5">
      <c r="B120" s="270">
        <v>2026</v>
      </c>
      <c r="C120" s="270" t="s">
        <v>612</v>
      </c>
      <c r="D120" s="270" t="s">
        <v>615</v>
      </c>
      <c r="E120" s="266"/>
      <c r="F120" s="266" t="s">
        <v>329</v>
      </c>
      <c r="G120" s="266" t="s">
        <v>344</v>
      </c>
      <c r="H120" s="266"/>
      <c r="I120" s="273"/>
      <c r="J120" s="273"/>
      <c r="K120" s="273"/>
      <c r="L120" s="266" t="s">
        <v>616</v>
      </c>
      <c r="M120" s="272">
        <v>46224</v>
      </c>
      <c r="N120" s="272" t="s">
        <v>617</v>
      </c>
      <c r="O120" s="272">
        <v>46226</v>
      </c>
      <c r="P120" s="266"/>
      <c r="Q120" s="268">
        <v>0.9</v>
      </c>
      <c r="R120" s="270" t="s">
        <v>618</v>
      </c>
      <c r="S120" s="236"/>
      <c r="T120" s="28"/>
      <c r="U120" s="28"/>
      <c r="V120" s="225"/>
      <c r="W120" s="225"/>
      <c r="X120" s="225"/>
      <c r="Y120" s="28"/>
      <c r="Z120" s="28"/>
      <c r="AA120" s="16"/>
    </row>
    <row r="121" spans="1:27">
      <c r="B121" s="270">
        <v>2026</v>
      </c>
      <c r="C121" s="270" t="s">
        <v>612</v>
      </c>
      <c r="D121" s="270" t="s">
        <v>619</v>
      </c>
      <c r="E121" s="266"/>
      <c r="F121" s="266" t="s">
        <v>320</v>
      </c>
      <c r="G121" s="266" t="s">
        <v>344</v>
      </c>
      <c r="H121" s="266"/>
      <c r="I121" s="273"/>
      <c r="J121" s="273"/>
      <c r="K121" s="273"/>
      <c r="L121" s="266" t="s">
        <v>614</v>
      </c>
      <c r="M121" s="272"/>
      <c r="N121" s="272"/>
      <c r="O121" s="272"/>
      <c r="P121" s="266"/>
      <c r="Q121" s="268">
        <v>1</v>
      </c>
      <c r="R121" s="270" t="s">
        <v>620</v>
      </c>
      <c r="S121" s="236"/>
      <c r="T121" s="28"/>
      <c r="U121" s="28"/>
      <c r="V121" s="225"/>
      <c r="W121" s="225"/>
      <c r="X121" s="225"/>
      <c r="Y121" s="28"/>
      <c r="Z121" s="28"/>
      <c r="AA121" s="16"/>
    </row>
    <row r="122" spans="1:27" ht="27">
      <c r="A122" s="223"/>
      <c r="B122" s="262">
        <v>2026</v>
      </c>
      <c r="C122" s="263" t="s">
        <v>612</v>
      </c>
      <c r="D122" s="262" t="s">
        <v>621</v>
      </c>
      <c r="E122" s="264"/>
      <c r="F122" s="264" t="s">
        <v>329</v>
      </c>
      <c r="G122" s="264" t="s">
        <v>344</v>
      </c>
      <c r="H122" s="264"/>
      <c r="I122" s="264" t="s">
        <v>89</v>
      </c>
      <c r="J122" s="264"/>
      <c r="K122" s="264" t="s">
        <v>322</v>
      </c>
      <c r="L122" s="264" t="s">
        <v>622</v>
      </c>
      <c r="M122" s="272">
        <v>46174</v>
      </c>
      <c r="N122" s="272"/>
      <c r="O122" s="272">
        <v>46295</v>
      </c>
      <c r="P122" s="264"/>
      <c r="Q122" s="268">
        <v>0.25</v>
      </c>
      <c r="R122" s="262" t="s">
        <v>623</v>
      </c>
    </row>
    <row r="123" spans="1:27">
      <c r="A123" s="223"/>
      <c r="B123" s="262">
        <v>2026</v>
      </c>
      <c r="C123" s="263" t="s">
        <v>612</v>
      </c>
      <c r="D123" s="262" t="s">
        <v>624</v>
      </c>
      <c r="E123" s="264"/>
      <c r="F123" s="264" t="s">
        <v>329</v>
      </c>
      <c r="G123" s="264" t="s">
        <v>344</v>
      </c>
      <c r="H123" s="264"/>
      <c r="I123" s="264" t="s">
        <v>89</v>
      </c>
      <c r="J123" s="264"/>
      <c r="K123" s="264" t="s">
        <v>322</v>
      </c>
      <c r="L123" s="264" t="s">
        <v>70</v>
      </c>
      <c r="M123" s="272">
        <v>46218</v>
      </c>
      <c r="N123" s="272"/>
      <c r="O123" s="272">
        <v>46325</v>
      </c>
      <c r="P123" s="264"/>
      <c r="Q123" s="268">
        <v>0.25</v>
      </c>
      <c r="R123" s="262" t="s">
        <v>623</v>
      </c>
    </row>
    <row r="124" spans="1:27" ht="27">
      <c r="A124" s="223"/>
      <c r="B124" s="262">
        <v>2026</v>
      </c>
      <c r="C124" s="263" t="s">
        <v>579</v>
      </c>
      <c r="D124" s="262" t="s">
        <v>625</v>
      </c>
      <c r="E124" s="264"/>
      <c r="F124" s="264" t="s">
        <v>320</v>
      </c>
      <c r="G124" s="264" t="s">
        <v>579</v>
      </c>
      <c r="H124" s="264"/>
      <c r="I124" s="264" t="s">
        <v>27</v>
      </c>
      <c r="J124" s="264"/>
      <c r="K124" s="264" t="s">
        <v>322</v>
      </c>
      <c r="L124" s="264" t="s">
        <v>533</v>
      </c>
      <c r="M124" s="272"/>
      <c r="N124" s="272">
        <v>46326</v>
      </c>
      <c r="O124" s="272">
        <v>46326</v>
      </c>
      <c r="P124" s="264"/>
      <c r="Q124" s="268">
        <v>1</v>
      </c>
      <c r="R124" s="262" t="s">
        <v>626</v>
      </c>
    </row>
    <row r="125" spans="1:27" ht="27">
      <c r="A125" s="223"/>
      <c r="B125" s="262">
        <v>2026</v>
      </c>
      <c r="C125" s="263" t="s">
        <v>579</v>
      </c>
      <c r="D125" s="262" t="s">
        <v>627</v>
      </c>
      <c r="E125" s="264"/>
      <c r="F125" s="264" t="s">
        <v>329</v>
      </c>
      <c r="G125" s="264" t="s">
        <v>579</v>
      </c>
      <c r="H125" s="264"/>
      <c r="I125" s="264" t="s">
        <v>27</v>
      </c>
      <c r="J125" s="264"/>
      <c r="K125" s="264" t="s">
        <v>322</v>
      </c>
      <c r="L125" s="264" t="s">
        <v>628</v>
      </c>
      <c r="M125" s="272">
        <v>46082</v>
      </c>
      <c r="N125" s="272"/>
      <c r="O125" s="272">
        <v>46295</v>
      </c>
      <c r="P125" s="264"/>
      <c r="Q125" s="268">
        <v>0.5</v>
      </c>
      <c r="R125" s="262" t="s">
        <v>629</v>
      </c>
    </row>
    <row r="126" spans="1:27">
      <c r="A126" s="223"/>
      <c r="B126" s="262">
        <v>2026</v>
      </c>
      <c r="C126" s="263" t="s">
        <v>579</v>
      </c>
      <c r="D126" s="262" t="s">
        <v>630</v>
      </c>
      <c r="E126" s="264"/>
      <c r="F126" s="264" t="s">
        <v>320</v>
      </c>
      <c r="G126" s="264" t="s">
        <v>579</v>
      </c>
      <c r="H126" s="264"/>
      <c r="I126" s="264" t="s">
        <v>27</v>
      </c>
      <c r="J126" s="264"/>
      <c r="K126" s="264" t="s">
        <v>322</v>
      </c>
      <c r="L126" s="264" t="s">
        <v>65</v>
      </c>
      <c r="M126" s="272"/>
      <c r="N126" s="272">
        <v>46165</v>
      </c>
      <c r="O126" s="272">
        <v>46165</v>
      </c>
      <c r="P126" s="264"/>
      <c r="Q126" s="268">
        <v>1</v>
      </c>
      <c r="R126" s="262"/>
    </row>
    <row r="127" spans="1:27" ht="16.5" customHeight="1">
      <c r="A127" s="223"/>
      <c r="B127" s="262">
        <v>2026</v>
      </c>
      <c r="C127" s="263" t="s">
        <v>579</v>
      </c>
      <c r="D127" s="262" t="s">
        <v>631</v>
      </c>
      <c r="E127" s="264"/>
      <c r="F127" s="264" t="s">
        <v>329</v>
      </c>
      <c r="G127" s="264" t="s">
        <v>579</v>
      </c>
      <c r="H127" s="264"/>
      <c r="I127" s="264" t="s">
        <v>27</v>
      </c>
      <c r="J127" s="264"/>
      <c r="K127" s="264" t="s">
        <v>322</v>
      </c>
      <c r="L127" s="264" t="s">
        <v>65</v>
      </c>
      <c r="M127" s="272"/>
      <c r="N127" s="272"/>
      <c r="O127" s="272">
        <v>46233</v>
      </c>
      <c r="P127" s="264"/>
      <c r="Q127" s="268"/>
      <c r="R127" s="262"/>
    </row>
    <row r="128" spans="1:27" ht="28.5" customHeight="1">
      <c r="A128" s="223"/>
      <c r="B128" s="262">
        <v>2026</v>
      </c>
      <c r="C128" s="263" t="s">
        <v>579</v>
      </c>
      <c r="D128" s="262" t="s">
        <v>632</v>
      </c>
      <c r="E128" s="264"/>
      <c r="F128" s="264" t="s">
        <v>320</v>
      </c>
      <c r="G128" s="264" t="s">
        <v>579</v>
      </c>
      <c r="H128" s="264"/>
      <c r="I128" s="264" t="s">
        <v>27</v>
      </c>
      <c r="J128" s="264"/>
      <c r="K128" s="264" t="s">
        <v>322</v>
      </c>
      <c r="L128" s="264" t="s">
        <v>633</v>
      </c>
      <c r="M128" s="272">
        <v>46084</v>
      </c>
      <c r="N128" s="272">
        <v>46203</v>
      </c>
      <c r="O128" s="272">
        <v>46203</v>
      </c>
      <c r="P128" s="264"/>
      <c r="Q128" s="268">
        <v>1</v>
      </c>
      <c r="R128" s="262"/>
    </row>
    <row r="129" spans="1:27" ht="28.5" customHeight="1">
      <c r="A129" s="223"/>
      <c r="B129" s="262">
        <v>2026</v>
      </c>
      <c r="C129" s="263" t="s">
        <v>579</v>
      </c>
      <c r="D129" s="262" t="s">
        <v>634</v>
      </c>
      <c r="E129" s="264"/>
      <c r="F129" s="264" t="s">
        <v>329</v>
      </c>
      <c r="G129" s="264" t="s">
        <v>579</v>
      </c>
      <c r="H129" s="264"/>
      <c r="I129" s="264" t="s">
        <v>27</v>
      </c>
      <c r="J129" s="264"/>
      <c r="K129" s="264" t="s">
        <v>322</v>
      </c>
      <c r="L129" s="264" t="s">
        <v>65</v>
      </c>
      <c r="M129" s="272"/>
      <c r="N129" s="272"/>
      <c r="O129" s="272">
        <v>46265</v>
      </c>
      <c r="P129" s="264"/>
      <c r="Q129" s="268"/>
      <c r="R129" s="262"/>
    </row>
    <row r="130" spans="1:27">
      <c r="B130" s="270">
        <v>2026</v>
      </c>
      <c r="C130" s="270" t="s">
        <v>579</v>
      </c>
      <c r="D130" s="270" t="s">
        <v>635</v>
      </c>
      <c r="E130" s="266"/>
      <c r="F130" s="266" t="s">
        <v>329</v>
      </c>
      <c r="G130" s="266" t="s">
        <v>269</v>
      </c>
      <c r="H130" s="266"/>
      <c r="I130" s="273"/>
      <c r="J130" s="273"/>
      <c r="K130" s="273"/>
      <c r="L130" s="266" t="s">
        <v>67</v>
      </c>
      <c r="M130" s="272">
        <v>46188</v>
      </c>
      <c r="N130" s="272"/>
      <c r="O130" s="272">
        <v>46264</v>
      </c>
      <c r="P130" s="266"/>
      <c r="Q130" s="268">
        <v>0.5</v>
      </c>
      <c r="R130" s="270" t="s">
        <v>636</v>
      </c>
      <c r="S130" s="236"/>
      <c r="T130" s="28"/>
      <c r="U130" s="28"/>
      <c r="V130" s="225"/>
      <c r="W130" s="225"/>
      <c r="X130" s="225"/>
      <c r="Y130" s="28"/>
      <c r="Z130" s="28"/>
      <c r="AA130" s="16"/>
    </row>
    <row r="131" spans="1:27" ht="40.5">
      <c r="A131" s="223"/>
      <c r="B131" s="262">
        <v>2026</v>
      </c>
      <c r="C131" s="263" t="s">
        <v>637</v>
      </c>
      <c r="D131" s="262" t="s">
        <v>638</v>
      </c>
      <c r="E131" s="264" t="s">
        <v>639</v>
      </c>
      <c r="F131" s="264" t="s">
        <v>329</v>
      </c>
      <c r="G131" s="264" t="s">
        <v>269</v>
      </c>
      <c r="H131" s="264"/>
      <c r="I131" s="264" t="s">
        <v>27</v>
      </c>
      <c r="J131" s="264"/>
      <c r="K131" s="264" t="s">
        <v>322</v>
      </c>
      <c r="L131" s="264" t="s">
        <v>533</v>
      </c>
      <c r="M131" s="272">
        <v>46181</v>
      </c>
      <c r="N131" s="272"/>
      <c r="O131" s="272"/>
      <c r="P131" s="264"/>
      <c r="Q131" s="268">
        <v>1</v>
      </c>
      <c r="R131" s="262" t="s">
        <v>640</v>
      </c>
    </row>
    <row r="132" spans="1:27" ht="67.5">
      <c r="A132" s="223"/>
      <c r="B132" s="262">
        <v>2026</v>
      </c>
      <c r="C132" s="263" t="s">
        <v>637</v>
      </c>
      <c r="D132" s="262" t="s">
        <v>641</v>
      </c>
      <c r="E132" s="264"/>
      <c r="F132" s="264" t="s">
        <v>320</v>
      </c>
      <c r="G132" s="264" t="s">
        <v>269</v>
      </c>
      <c r="H132" s="264"/>
      <c r="I132" s="264" t="s">
        <v>27</v>
      </c>
      <c r="J132" s="264"/>
      <c r="K132" s="264" t="s">
        <v>322</v>
      </c>
      <c r="L132" s="264" t="s">
        <v>533</v>
      </c>
      <c r="M132" s="272">
        <v>46167</v>
      </c>
      <c r="N132" s="272">
        <v>46185</v>
      </c>
      <c r="O132" s="272">
        <v>46185</v>
      </c>
      <c r="P132" s="264"/>
      <c r="Q132" s="268">
        <v>1</v>
      </c>
      <c r="R132" s="262" t="s">
        <v>642</v>
      </c>
    </row>
    <row r="133" spans="1:27" ht="55.5" customHeight="1">
      <c r="A133" s="223"/>
      <c r="B133" s="262">
        <v>2026</v>
      </c>
      <c r="C133" s="263" t="s">
        <v>637</v>
      </c>
      <c r="D133" s="262" t="s">
        <v>643</v>
      </c>
      <c r="E133" s="264"/>
      <c r="F133" s="264" t="s">
        <v>320</v>
      </c>
      <c r="G133" s="264" t="s">
        <v>269</v>
      </c>
      <c r="H133" s="264"/>
      <c r="I133" s="264" t="s">
        <v>27</v>
      </c>
      <c r="J133" s="264"/>
      <c r="K133" s="264" t="s">
        <v>322</v>
      </c>
      <c r="L133" s="264" t="s">
        <v>533</v>
      </c>
      <c r="M133" s="272">
        <v>46211</v>
      </c>
      <c r="N133" s="272">
        <v>46240</v>
      </c>
      <c r="O133" s="272">
        <v>46240</v>
      </c>
      <c r="P133" s="264"/>
      <c r="Q133" s="268">
        <v>1</v>
      </c>
      <c r="R133" s="262" t="s">
        <v>644</v>
      </c>
    </row>
    <row r="134" spans="1:27" ht="27">
      <c r="A134" s="223"/>
      <c r="B134" s="262">
        <v>2026</v>
      </c>
      <c r="C134" s="263" t="s">
        <v>637</v>
      </c>
      <c r="D134" s="262" t="s">
        <v>645</v>
      </c>
      <c r="E134" s="264"/>
      <c r="F134" s="264" t="s">
        <v>329</v>
      </c>
      <c r="G134" s="264" t="s">
        <v>269</v>
      </c>
      <c r="H134" s="264"/>
      <c r="I134" s="264" t="s">
        <v>27</v>
      </c>
      <c r="J134" s="264"/>
      <c r="K134" s="264" t="s">
        <v>322</v>
      </c>
      <c r="L134" s="264" t="s">
        <v>533</v>
      </c>
      <c r="M134" s="272">
        <v>46223</v>
      </c>
      <c r="N134" s="272"/>
      <c r="O134" s="272">
        <v>46387</v>
      </c>
      <c r="P134" s="264"/>
      <c r="Q134" s="268">
        <v>0.25</v>
      </c>
      <c r="R134" s="262" t="s">
        <v>646</v>
      </c>
    </row>
    <row r="135" spans="1:27" ht="53.25" customHeight="1">
      <c r="B135" s="270">
        <v>2026</v>
      </c>
      <c r="C135" s="263" t="s">
        <v>637</v>
      </c>
      <c r="D135" s="270" t="s">
        <v>647</v>
      </c>
      <c r="E135" s="266"/>
      <c r="F135" s="266" t="s">
        <v>320</v>
      </c>
      <c r="G135" s="266" t="s">
        <v>269</v>
      </c>
      <c r="H135" s="266"/>
      <c r="I135" s="273"/>
      <c r="J135" s="273"/>
      <c r="K135" s="273"/>
      <c r="L135" s="266" t="s">
        <v>533</v>
      </c>
      <c r="M135" s="272">
        <v>46220</v>
      </c>
      <c r="N135" s="272">
        <v>46241</v>
      </c>
      <c r="O135" s="272">
        <v>46241</v>
      </c>
      <c r="P135" s="266"/>
      <c r="Q135" s="268">
        <v>1</v>
      </c>
      <c r="R135" s="270" t="s">
        <v>648</v>
      </c>
      <c r="S135" s="236"/>
      <c r="T135" s="28"/>
      <c r="U135" s="28"/>
      <c r="V135" s="225"/>
      <c r="W135" s="225"/>
      <c r="X135" s="225"/>
      <c r="Y135" s="28"/>
      <c r="Z135" s="28"/>
      <c r="AA135" s="16"/>
    </row>
    <row r="136" spans="1:27" s="29" customFormat="1">
      <c r="A136" s="5"/>
      <c r="B136" s="270">
        <v>2026</v>
      </c>
      <c r="C136" s="263" t="s">
        <v>637</v>
      </c>
      <c r="D136" s="270" t="s">
        <v>649</v>
      </c>
      <c r="E136" s="266"/>
      <c r="F136" s="264" t="s">
        <v>329</v>
      </c>
      <c r="G136" s="266" t="s">
        <v>269</v>
      </c>
      <c r="H136" s="282"/>
      <c r="I136" s="283"/>
      <c r="J136" s="283"/>
      <c r="K136" s="283"/>
      <c r="L136" s="266" t="s">
        <v>533</v>
      </c>
      <c r="M136" s="272">
        <v>46234</v>
      </c>
      <c r="N136" s="284"/>
      <c r="O136" s="272">
        <v>46255</v>
      </c>
      <c r="P136" s="266"/>
      <c r="Q136" s="268">
        <v>0.8</v>
      </c>
      <c r="R136" s="270" t="s">
        <v>650</v>
      </c>
      <c r="S136" s="236"/>
      <c r="T136" s="28"/>
      <c r="U136" s="28"/>
      <c r="V136" s="225"/>
      <c r="W136" s="225"/>
      <c r="X136" s="225"/>
      <c r="Y136" s="28"/>
      <c r="Z136" s="28"/>
      <c r="AA136" s="16"/>
    </row>
    <row r="137" spans="1:27">
      <c r="A137" s="223"/>
      <c r="B137" s="262">
        <v>2026</v>
      </c>
      <c r="C137" s="263" t="s">
        <v>651</v>
      </c>
      <c r="D137" s="262" t="s">
        <v>652</v>
      </c>
      <c r="E137" s="264"/>
      <c r="F137" s="264" t="s">
        <v>329</v>
      </c>
      <c r="G137" s="264" t="s">
        <v>269</v>
      </c>
      <c r="H137" s="264"/>
      <c r="I137" s="264"/>
      <c r="J137" s="264"/>
      <c r="K137" s="264"/>
      <c r="L137" s="264" t="s">
        <v>533</v>
      </c>
      <c r="M137" s="272">
        <v>46210</v>
      </c>
      <c r="N137" s="272"/>
      <c r="O137" s="272">
        <v>46272</v>
      </c>
      <c r="P137" s="264"/>
      <c r="Q137" s="268">
        <v>0.75</v>
      </c>
      <c r="R137" s="262"/>
    </row>
    <row r="138" spans="1:27">
      <c r="A138" s="223"/>
      <c r="B138" s="262">
        <v>2026</v>
      </c>
      <c r="C138" s="263" t="s">
        <v>653</v>
      </c>
      <c r="D138" s="262" t="s">
        <v>654</v>
      </c>
      <c r="E138" s="264"/>
      <c r="F138" s="264" t="s">
        <v>320</v>
      </c>
      <c r="G138" s="264" t="s">
        <v>269</v>
      </c>
      <c r="H138" s="264"/>
      <c r="I138" s="264"/>
      <c r="J138" s="264"/>
      <c r="K138" s="264"/>
      <c r="L138" s="264" t="s">
        <v>533</v>
      </c>
      <c r="M138" s="272">
        <v>46203</v>
      </c>
      <c r="N138" s="272">
        <v>46211</v>
      </c>
      <c r="O138" s="272">
        <v>46211</v>
      </c>
      <c r="P138" s="264"/>
      <c r="Q138" s="268">
        <v>1</v>
      </c>
      <c r="R138" s="262" t="s">
        <v>655</v>
      </c>
    </row>
    <row r="139" spans="1:27" s="5" customFormat="1">
      <c r="A139" s="230"/>
      <c r="B139" s="281">
        <v>2026</v>
      </c>
      <c r="C139" s="281" t="s">
        <v>656</v>
      </c>
      <c r="D139" s="281" t="s">
        <v>657</v>
      </c>
      <c r="E139" s="282"/>
      <c r="F139" s="282" t="s">
        <v>320</v>
      </c>
      <c r="G139" s="282" t="s">
        <v>269</v>
      </c>
      <c r="H139" s="282"/>
      <c r="I139" s="282" t="s">
        <v>27</v>
      </c>
      <c r="J139" s="282"/>
      <c r="K139" s="282" t="s">
        <v>322</v>
      </c>
      <c r="L139" s="282" t="s">
        <v>67</v>
      </c>
      <c r="M139" s="272">
        <v>46153</v>
      </c>
      <c r="N139" s="272">
        <v>46197</v>
      </c>
      <c r="O139" s="272">
        <v>46199</v>
      </c>
      <c r="P139" s="282"/>
      <c r="Q139" s="268">
        <v>1</v>
      </c>
      <c r="R139" s="281" t="s">
        <v>658</v>
      </c>
    </row>
    <row r="140" spans="1:27" s="29" customFormat="1" ht="81">
      <c r="A140" s="226"/>
      <c r="B140" s="270">
        <v>2026</v>
      </c>
      <c r="C140" s="270" t="s">
        <v>659</v>
      </c>
      <c r="D140" s="270" t="s">
        <v>660</v>
      </c>
      <c r="E140" s="266"/>
      <c r="F140" s="266" t="s">
        <v>329</v>
      </c>
      <c r="G140" s="266" t="s">
        <v>321</v>
      </c>
      <c r="H140" s="266"/>
      <c r="I140" s="266" t="s">
        <v>27</v>
      </c>
      <c r="J140" s="266"/>
      <c r="K140" s="266" t="s">
        <v>322</v>
      </c>
      <c r="L140" s="266" t="s">
        <v>323</v>
      </c>
      <c r="M140" s="272" t="s">
        <v>661</v>
      </c>
      <c r="N140" s="272"/>
      <c r="O140" s="272">
        <v>46326</v>
      </c>
      <c r="P140" s="266"/>
      <c r="Q140" s="268">
        <v>0.3</v>
      </c>
      <c r="R140" s="270" t="s">
        <v>662</v>
      </c>
    </row>
    <row r="141" spans="1:27" s="29" customFormat="1" ht="27">
      <c r="A141" s="226"/>
      <c r="B141" s="270">
        <v>2026</v>
      </c>
      <c r="C141" s="270" t="s">
        <v>663</v>
      </c>
      <c r="D141" s="270" t="s">
        <v>664</v>
      </c>
      <c r="E141" s="266"/>
      <c r="F141" s="266" t="s">
        <v>329</v>
      </c>
      <c r="G141" s="266" t="s">
        <v>321</v>
      </c>
      <c r="H141" s="266"/>
      <c r="I141" s="266" t="s">
        <v>27</v>
      </c>
      <c r="J141" s="266"/>
      <c r="K141" s="266" t="s">
        <v>322</v>
      </c>
      <c r="L141" s="266" t="s">
        <v>665</v>
      </c>
      <c r="M141" s="272">
        <v>46235</v>
      </c>
      <c r="N141" s="272"/>
      <c r="O141" s="272">
        <v>46325</v>
      </c>
      <c r="P141" s="266"/>
      <c r="Q141" s="268">
        <v>0.33</v>
      </c>
      <c r="R141" s="270"/>
    </row>
    <row r="142" spans="1:27" s="29" customFormat="1" ht="27">
      <c r="A142" s="226"/>
      <c r="B142" s="270">
        <v>2026</v>
      </c>
      <c r="C142" s="270" t="s">
        <v>666</v>
      </c>
      <c r="D142" s="270" t="s">
        <v>667</v>
      </c>
      <c r="E142" s="266"/>
      <c r="F142" s="266" t="s">
        <v>320</v>
      </c>
      <c r="G142" s="266" t="s">
        <v>321</v>
      </c>
      <c r="H142" s="266"/>
      <c r="I142" s="266" t="s">
        <v>27</v>
      </c>
      <c r="J142" s="266"/>
      <c r="K142" s="266" t="s">
        <v>322</v>
      </c>
      <c r="L142" s="266" t="s">
        <v>668</v>
      </c>
      <c r="M142" s="272"/>
      <c r="N142" s="272">
        <v>46199</v>
      </c>
      <c r="O142" s="272">
        <v>46199</v>
      </c>
      <c r="P142" s="266"/>
      <c r="Q142" s="268">
        <v>1</v>
      </c>
      <c r="R142" s="270"/>
    </row>
    <row r="143" spans="1:27" s="29" customFormat="1" ht="81">
      <c r="A143" s="226"/>
      <c r="B143" s="270">
        <v>2026</v>
      </c>
      <c r="C143" s="270" t="s">
        <v>666</v>
      </c>
      <c r="D143" s="270" t="s">
        <v>669</v>
      </c>
      <c r="E143" s="266"/>
      <c r="F143" s="266" t="s">
        <v>329</v>
      </c>
      <c r="G143" s="266" t="s">
        <v>321</v>
      </c>
      <c r="H143" s="266"/>
      <c r="I143" s="266" t="s">
        <v>27</v>
      </c>
      <c r="J143" s="266"/>
      <c r="K143" s="266" t="s">
        <v>322</v>
      </c>
      <c r="L143" s="266" t="s">
        <v>670</v>
      </c>
      <c r="M143" s="272">
        <v>46185</v>
      </c>
      <c r="N143" s="272"/>
      <c r="O143" s="272">
        <v>46326</v>
      </c>
      <c r="P143" s="266"/>
      <c r="Q143" s="268">
        <v>0</v>
      </c>
      <c r="R143" s="270" t="s">
        <v>671</v>
      </c>
    </row>
    <row r="144" spans="1:27" s="29" customFormat="1" ht="27">
      <c r="A144" s="226"/>
      <c r="B144" s="270">
        <v>2026</v>
      </c>
      <c r="C144" s="270" t="s">
        <v>672</v>
      </c>
      <c r="D144" s="270" t="s">
        <v>673</v>
      </c>
      <c r="E144" s="266"/>
      <c r="F144" s="266" t="s">
        <v>329</v>
      </c>
      <c r="G144" s="266" t="s">
        <v>355</v>
      </c>
      <c r="H144" s="266"/>
      <c r="I144" s="266" t="s">
        <v>27</v>
      </c>
      <c r="J144" s="266"/>
      <c r="K144" s="266" t="s">
        <v>322</v>
      </c>
      <c r="L144" s="266" t="s">
        <v>665</v>
      </c>
      <c r="M144" s="272">
        <v>46163</v>
      </c>
      <c r="N144" s="272"/>
      <c r="O144" s="272">
        <v>46224</v>
      </c>
      <c r="P144" s="266"/>
      <c r="Q144" s="268">
        <v>0.98</v>
      </c>
      <c r="R144" s="270"/>
    </row>
    <row r="145" spans="1:18" s="29" customFormat="1" ht="27">
      <c r="A145" s="226"/>
      <c r="B145" s="270">
        <v>2026</v>
      </c>
      <c r="C145" s="270" t="s">
        <v>672</v>
      </c>
      <c r="D145" s="270" t="s">
        <v>674</v>
      </c>
      <c r="E145" s="266"/>
      <c r="F145" s="266" t="s">
        <v>320</v>
      </c>
      <c r="G145" s="266" t="s">
        <v>355</v>
      </c>
      <c r="H145" s="266"/>
      <c r="I145" s="266" t="s">
        <v>27</v>
      </c>
      <c r="J145" s="266"/>
      <c r="K145" s="266" t="s">
        <v>322</v>
      </c>
      <c r="L145" s="266" t="s">
        <v>665</v>
      </c>
      <c r="M145" s="272">
        <v>46163</v>
      </c>
      <c r="N145" s="272">
        <v>46196</v>
      </c>
      <c r="O145" s="272">
        <v>46196</v>
      </c>
      <c r="P145" s="266"/>
      <c r="Q145" s="268">
        <v>1</v>
      </c>
      <c r="R145" s="270" t="s">
        <v>675</v>
      </c>
    </row>
    <row r="146" spans="1:18" ht="94.5">
      <c r="B146" s="270">
        <v>2026</v>
      </c>
      <c r="C146" s="263" t="s">
        <v>676</v>
      </c>
      <c r="D146" s="270" t="s">
        <v>677</v>
      </c>
      <c r="E146" s="266"/>
      <c r="F146" s="266" t="s">
        <v>329</v>
      </c>
      <c r="G146" s="266" t="s">
        <v>363</v>
      </c>
      <c r="H146" s="266" t="s">
        <v>364</v>
      </c>
      <c r="I146" s="275">
        <v>46143</v>
      </c>
      <c r="J146" s="273"/>
      <c r="K146" s="273">
        <v>46387</v>
      </c>
      <c r="L146" s="266" t="s">
        <v>323</v>
      </c>
      <c r="M146" s="272">
        <v>46188</v>
      </c>
      <c r="N146" s="272"/>
      <c r="O146" s="272">
        <v>46295</v>
      </c>
      <c r="P146" s="276"/>
      <c r="Q146" s="268">
        <v>0.8</v>
      </c>
      <c r="R146" s="263" t="s">
        <v>678</v>
      </c>
    </row>
    <row r="147" spans="1:18" ht="108">
      <c r="B147" s="270">
        <v>2026</v>
      </c>
      <c r="C147" s="263" t="s">
        <v>679</v>
      </c>
      <c r="D147" s="270" t="s">
        <v>680</v>
      </c>
      <c r="E147" s="266"/>
      <c r="F147" s="266" t="s">
        <v>320</v>
      </c>
      <c r="G147" s="266" t="s">
        <v>363</v>
      </c>
      <c r="H147" s="266" t="s">
        <v>364</v>
      </c>
      <c r="I147" s="275">
        <v>46143</v>
      </c>
      <c r="J147" s="273"/>
      <c r="K147" s="273">
        <v>46387</v>
      </c>
      <c r="L147" s="266" t="s">
        <v>323</v>
      </c>
      <c r="M147" s="272">
        <v>46204</v>
      </c>
      <c r="N147" s="272">
        <v>46244</v>
      </c>
      <c r="O147" s="272">
        <v>46254</v>
      </c>
      <c r="P147" s="276"/>
      <c r="Q147" s="268">
        <v>1</v>
      </c>
      <c r="R147" s="263" t="s">
        <v>681</v>
      </c>
    </row>
    <row r="148" spans="1:18" ht="27">
      <c r="A148" s="223"/>
      <c r="B148" s="262">
        <v>2026</v>
      </c>
      <c r="C148" s="262" t="s">
        <v>682</v>
      </c>
      <c r="D148" s="262" t="s">
        <v>683</v>
      </c>
      <c r="E148" s="264" t="s">
        <v>383</v>
      </c>
      <c r="F148" s="264" t="s">
        <v>329</v>
      </c>
      <c r="G148" s="264" t="s">
        <v>269</v>
      </c>
      <c r="H148" s="264" t="s">
        <v>28</v>
      </c>
      <c r="I148" s="264" t="s">
        <v>27</v>
      </c>
      <c r="J148" s="264"/>
      <c r="K148" s="265" t="s">
        <v>322</v>
      </c>
      <c r="L148" s="264" t="s">
        <v>670</v>
      </c>
      <c r="M148" s="272"/>
      <c r="N148" s="272"/>
      <c r="O148" s="272"/>
      <c r="P148" s="264"/>
      <c r="Q148" s="268">
        <v>1</v>
      </c>
      <c r="R148" s="262" t="s">
        <v>684</v>
      </c>
    </row>
    <row r="149" spans="1:18" ht="27">
      <c r="A149" s="223"/>
      <c r="B149" s="262">
        <v>2026</v>
      </c>
      <c r="C149" s="262" t="s">
        <v>685</v>
      </c>
      <c r="D149" s="262" t="s">
        <v>686</v>
      </c>
      <c r="E149" s="264" t="s">
        <v>383</v>
      </c>
      <c r="F149" s="264" t="s">
        <v>329</v>
      </c>
      <c r="G149" s="264" t="s">
        <v>269</v>
      </c>
      <c r="H149" s="264" t="s">
        <v>28</v>
      </c>
      <c r="I149" s="264" t="s">
        <v>27</v>
      </c>
      <c r="J149" s="264"/>
      <c r="K149" s="265" t="s">
        <v>322</v>
      </c>
      <c r="L149" s="264" t="s">
        <v>670</v>
      </c>
      <c r="M149" s="272"/>
      <c r="N149" s="272"/>
      <c r="O149" s="272"/>
      <c r="P149" s="264"/>
      <c r="Q149" s="268">
        <v>1</v>
      </c>
      <c r="R149" s="262" t="s">
        <v>684</v>
      </c>
    </row>
    <row r="150" spans="1:18" ht="67.5">
      <c r="A150" s="223"/>
      <c r="B150" s="262">
        <v>2026</v>
      </c>
      <c r="C150" s="262" t="s">
        <v>687</v>
      </c>
      <c r="D150" s="262" t="s">
        <v>688</v>
      </c>
      <c r="E150" s="264" t="s">
        <v>639</v>
      </c>
      <c r="F150" s="264" t="s">
        <v>329</v>
      </c>
      <c r="G150" s="264" t="s">
        <v>269</v>
      </c>
      <c r="H150" s="264"/>
      <c r="I150" s="264" t="s">
        <v>27</v>
      </c>
      <c r="J150" s="264"/>
      <c r="K150" s="265" t="s">
        <v>322</v>
      </c>
      <c r="L150" s="264" t="s">
        <v>670</v>
      </c>
      <c r="M150" s="272">
        <v>46113</v>
      </c>
      <c r="N150" s="272"/>
      <c r="O150" s="272"/>
      <c r="P150" s="264"/>
      <c r="Q150" s="268">
        <v>1</v>
      </c>
      <c r="R150" s="262" t="s">
        <v>689</v>
      </c>
    </row>
    <row r="151" spans="1:18" ht="48" customHeight="1">
      <c r="A151" s="223"/>
      <c r="B151" s="262">
        <v>2026</v>
      </c>
      <c r="C151" s="262" t="s">
        <v>687</v>
      </c>
      <c r="D151" s="262" t="s">
        <v>690</v>
      </c>
      <c r="E151" s="264"/>
      <c r="F151" s="264" t="s">
        <v>329</v>
      </c>
      <c r="G151" s="264" t="s">
        <v>269</v>
      </c>
      <c r="H151" s="264"/>
      <c r="I151" s="264" t="s">
        <v>27</v>
      </c>
      <c r="J151" s="264"/>
      <c r="K151" s="265" t="s">
        <v>322</v>
      </c>
      <c r="L151" s="264" t="s">
        <v>670</v>
      </c>
      <c r="M151" s="272">
        <v>46178</v>
      </c>
      <c r="N151" s="272"/>
      <c r="O151" s="272">
        <v>46245</v>
      </c>
      <c r="P151" s="264"/>
      <c r="Q151" s="268">
        <v>0.25</v>
      </c>
      <c r="R151" s="262" t="s">
        <v>691</v>
      </c>
    </row>
    <row r="152" spans="1:18" ht="31.5" customHeight="1">
      <c r="A152" s="223"/>
      <c r="B152" s="262">
        <v>2026</v>
      </c>
      <c r="C152" s="262" t="s">
        <v>692</v>
      </c>
      <c r="D152" s="262" t="s">
        <v>693</v>
      </c>
      <c r="E152" s="264" t="s">
        <v>639</v>
      </c>
      <c r="F152" s="285" t="s">
        <v>329</v>
      </c>
      <c r="G152" s="264" t="s">
        <v>269</v>
      </c>
      <c r="H152" s="264"/>
      <c r="I152" s="264" t="s">
        <v>27</v>
      </c>
      <c r="J152" s="264"/>
      <c r="K152" s="265" t="s">
        <v>322</v>
      </c>
      <c r="L152" s="264" t="s">
        <v>670</v>
      </c>
      <c r="M152" s="272">
        <v>46023</v>
      </c>
      <c r="N152" s="272"/>
      <c r="O152" s="272"/>
      <c r="P152" s="264"/>
      <c r="Q152" s="268">
        <v>1</v>
      </c>
      <c r="R152" s="262" t="s">
        <v>694</v>
      </c>
    </row>
    <row r="153" spans="1:18" ht="54">
      <c r="A153" s="223"/>
      <c r="B153" s="262">
        <v>2026</v>
      </c>
      <c r="C153" s="262" t="s">
        <v>695</v>
      </c>
      <c r="D153" s="262" t="s">
        <v>696</v>
      </c>
      <c r="E153" s="264" t="s">
        <v>639</v>
      </c>
      <c r="F153" s="264" t="s">
        <v>329</v>
      </c>
      <c r="G153" s="264" t="s">
        <v>269</v>
      </c>
      <c r="H153" s="264"/>
      <c r="I153" s="264" t="s">
        <v>27</v>
      </c>
      <c r="J153" s="264"/>
      <c r="K153" s="265" t="s">
        <v>322</v>
      </c>
      <c r="L153" s="264" t="s">
        <v>670</v>
      </c>
      <c r="M153" s="272">
        <v>46023</v>
      </c>
      <c r="N153" s="272"/>
      <c r="O153" s="272"/>
      <c r="P153" s="264"/>
      <c r="Q153" s="268">
        <v>1</v>
      </c>
      <c r="R153" s="262" t="s">
        <v>697</v>
      </c>
    </row>
    <row r="154" spans="1:18" ht="27">
      <c r="A154" s="223"/>
      <c r="B154" s="262">
        <v>2026</v>
      </c>
      <c r="C154" s="262" t="s">
        <v>698</v>
      </c>
      <c r="D154" s="262" t="s">
        <v>699</v>
      </c>
      <c r="E154" s="264" t="s">
        <v>639</v>
      </c>
      <c r="F154" s="264" t="s">
        <v>329</v>
      </c>
      <c r="G154" s="264" t="s">
        <v>269</v>
      </c>
      <c r="H154" s="264"/>
      <c r="I154" s="264" t="s">
        <v>27</v>
      </c>
      <c r="J154" s="264"/>
      <c r="K154" s="265" t="s">
        <v>322</v>
      </c>
      <c r="L154" s="264" t="s">
        <v>670</v>
      </c>
      <c r="M154" s="272">
        <v>46023</v>
      </c>
      <c r="N154" s="272"/>
      <c r="O154" s="272"/>
      <c r="P154" s="264"/>
      <c r="Q154" s="268">
        <v>1</v>
      </c>
      <c r="R154" s="262" t="s">
        <v>700</v>
      </c>
    </row>
    <row r="155" spans="1:18" ht="40.5">
      <c r="A155" s="223"/>
      <c r="B155" s="262">
        <v>2026</v>
      </c>
      <c r="C155" s="262" t="s">
        <v>701</v>
      </c>
      <c r="D155" s="262" t="s">
        <v>702</v>
      </c>
      <c r="E155" s="264" t="s">
        <v>639</v>
      </c>
      <c r="F155" s="264" t="s">
        <v>329</v>
      </c>
      <c r="G155" s="264" t="s">
        <v>269</v>
      </c>
      <c r="H155" s="264"/>
      <c r="I155" s="264" t="s">
        <v>27</v>
      </c>
      <c r="J155" s="264"/>
      <c r="K155" s="265" t="s">
        <v>322</v>
      </c>
      <c r="L155" s="264" t="s">
        <v>670</v>
      </c>
      <c r="M155" s="272">
        <v>46023</v>
      </c>
      <c r="N155" s="272"/>
      <c r="O155" s="272"/>
      <c r="P155" s="264"/>
      <c r="Q155" s="268">
        <v>1</v>
      </c>
      <c r="R155" s="262" t="s">
        <v>703</v>
      </c>
    </row>
    <row r="156" spans="1:18" ht="27">
      <c r="A156" s="223"/>
      <c r="B156" s="277">
        <v>2026</v>
      </c>
      <c r="C156" s="277" t="s">
        <v>704</v>
      </c>
      <c r="D156" s="277" t="s">
        <v>705</v>
      </c>
      <c r="E156" s="278" t="s">
        <v>639</v>
      </c>
      <c r="F156" s="278" t="s">
        <v>329</v>
      </c>
      <c r="G156" s="264" t="s">
        <v>269</v>
      </c>
      <c r="H156" s="264"/>
      <c r="I156" s="278" t="s">
        <v>27</v>
      </c>
      <c r="J156" s="264"/>
      <c r="K156" s="265" t="s">
        <v>322</v>
      </c>
      <c r="L156" s="278" t="s">
        <v>670</v>
      </c>
      <c r="M156" s="272">
        <v>46023</v>
      </c>
      <c r="N156" s="272"/>
      <c r="O156" s="272"/>
      <c r="P156" s="264"/>
      <c r="Q156" s="268">
        <v>1</v>
      </c>
      <c r="R156" s="262" t="s">
        <v>706</v>
      </c>
    </row>
    <row r="157" spans="1:18" ht="28.5" customHeight="1">
      <c r="A157" s="223"/>
      <c r="B157" s="277">
        <v>2026</v>
      </c>
      <c r="C157" s="277" t="s">
        <v>707</v>
      </c>
      <c r="D157" s="277" t="s">
        <v>708</v>
      </c>
      <c r="E157" s="278" t="s">
        <v>639</v>
      </c>
      <c r="F157" s="278" t="s">
        <v>329</v>
      </c>
      <c r="G157" s="264" t="s">
        <v>269</v>
      </c>
      <c r="H157" s="264"/>
      <c r="I157" s="278" t="s">
        <v>27</v>
      </c>
      <c r="J157" s="264"/>
      <c r="K157" s="265" t="s">
        <v>322</v>
      </c>
      <c r="L157" s="278" t="s">
        <v>670</v>
      </c>
      <c r="M157" s="272">
        <v>46023</v>
      </c>
      <c r="N157" s="272"/>
      <c r="O157" s="272"/>
      <c r="P157" s="264"/>
      <c r="Q157" s="268">
        <v>1</v>
      </c>
      <c r="R157" s="262" t="s">
        <v>709</v>
      </c>
    </row>
    <row r="158" spans="1:18" ht="40.5">
      <c r="A158" s="223"/>
      <c r="B158" s="277">
        <v>2026</v>
      </c>
      <c r="C158" s="277" t="s">
        <v>710</v>
      </c>
      <c r="D158" s="277" t="s">
        <v>711</v>
      </c>
      <c r="E158" s="278" t="s">
        <v>639</v>
      </c>
      <c r="F158" s="278" t="s">
        <v>329</v>
      </c>
      <c r="G158" s="278" t="s">
        <v>269</v>
      </c>
      <c r="H158" s="278"/>
      <c r="I158" s="278" t="s">
        <v>27</v>
      </c>
      <c r="J158" s="278"/>
      <c r="K158" s="265" t="s">
        <v>322</v>
      </c>
      <c r="L158" s="278" t="s">
        <v>670</v>
      </c>
      <c r="M158" s="272">
        <v>46023</v>
      </c>
      <c r="N158" s="272"/>
      <c r="O158" s="272"/>
      <c r="P158" s="278"/>
      <c r="Q158" s="268">
        <v>1</v>
      </c>
      <c r="R158" s="262" t="s">
        <v>712</v>
      </c>
    </row>
    <row r="159" spans="1:18" ht="27">
      <c r="A159" s="223"/>
      <c r="B159" s="277">
        <v>2026</v>
      </c>
      <c r="C159" s="277" t="s">
        <v>713</v>
      </c>
      <c r="D159" s="286" t="s">
        <v>714</v>
      </c>
      <c r="E159" s="278"/>
      <c r="F159" s="278" t="s">
        <v>329</v>
      </c>
      <c r="G159" s="264" t="s">
        <v>579</v>
      </c>
      <c r="H159" s="264"/>
      <c r="I159" s="278" t="s">
        <v>27</v>
      </c>
      <c r="J159" s="264"/>
      <c r="K159" s="265" t="s">
        <v>322</v>
      </c>
      <c r="L159" s="278" t="s">
        <v>670</v>
      </c>
      <c r="M159" s="272">
        <v>46023</v>
      </c>
      <c r="N159" s="272"/>
      <c r="O159" s="272">
        <v>46295</v>
      </c>
      <c r="P159" s="264"/>
      <c r="Q159" s="268">
        <v>0.95</v>
      </c>
      <c r="R159" s="262" t="s">
        <v>715</v>
      </c>
    </row>
    <row r="160" spans="1:18" ht="27">
      <c r="A160" s="231"/>
      <c r="B160" s="262">
        <v>2026</v>
      </c>
      <c r="C160" s="277" t="s">
        <v>716</v>
      </c>
      <c r="D160" s="277" t="s">
        <v>717</v>
      </c>
      <c r="E160" s="278"/>
      <c r="F160" s="278" t="s">
        <v>329</v>
      </c>
      <c r="G160" s="278" t="s">
        <v>579</v>
      </c>
      <c r="H160" s="264"/>
      <c r="I160" s="264" t="s">
        <v>27</v>
      </c>
      <c r="J160" s="278"/>
      <c r="K160" s="264" t="s">
        <v>322</v>
      </c>
      <c r="L160" s="265" t="s">
        <v>670</v>
      </c>
      <c r="M160" s="272">
        <v>46023</v>
      </c>
      <c r="N160" s="272"/>
      <c r="O160" s="272">
        <v>46356</v>
      </c>
      <c r="P160" s="279"/>
      <c r="Q160" s="268">
        <v>0.5</v>
      </c>
      <c r="R160" s="287" t="s">
        <v>718</v>
      </c>
    </row>
    <row r="161" spans="1:27" ht="27">
      <c r="A161" s="231"/>
      <c r="B161" s="262">
        <v>2026</v>
      </c>
      <c r="C161" s="277" t="s">
        <v>719</v>
      </c>
      <c r="D161" s="277" t="s">
        <v>720</v>
      </c>
      <c r="E161" s="278"/>
      <c r="F161" s="278" t="s">
        <v>329</v>
      </c>
      <c r="G161" s="278" t="s">
        <v>355</v>
      </c>
      <c r="H161" s="264"/>
      <c r="I161" s="264" t="s">
        <v>27</v>
      </c>
      <c r="J161" s="278"/>
      <c r="K161" s="264" t="s">
        <v>322</v>
      </c>
      <c r="L161" s="265" t="s">
        <v>670</v>
      </c>
      <c r="M161" s="272">
        <v>46204</v>
      </c>
      <c r="N161" s="272"/>
      <c r="O161" s="272">
        <v>46387</v>
      </c>
      <c r="P161" s="279"/>
      <c r="Q161" s="268">
        <v>0.25</v>
      </c>
      <c r="R161" s="287" t="s">
        <v>721</v>
      </c>
    </row>
    <row r="162" spans="1:27">
      <c r="A162" s="232"/>
      <c r="B162" s="262">
        <v>2026</v>
      </c>
      <c r="C162" s="277" t="s">
        <v>722</v>
      </c>
      <c r="D162" s="277" t="s">
        <v>723</v>
      </c>
      <c r="E162" s="278"/>
      <c r="F162" s="278" t="s">
        <v>329</v>
      </c>
      <c r="G162" s="278" t="s">
        <v>321</v>
      </c>
      <c r="H162" s="264"/>
      <c r="I162" s="264" t="s">
        <v>89</v>
      </c>
      <c r="J162" s="278"/>
      <c r="K162" s="264" t="s">
        <v>322</v>
      </c>
      <c r="L162" s="265" t="s">
        <v>670</v>
      </c>
      <c r="M162" s="272">
        <v>46204</v>
      </c>
      <c r="N162" s="272"/>
      <c r="O162" s="272">
        <v>46247</v>
      </c>
      <c r="P162" s="279"/>
      <c r="Q162" s="268">
        <v>0.2</v>
      </c>
      <c r="R162" s="287"/>
      <c r="S162" s="236"/>
      <c r="T162" s="28"/>
      <c r="U162" s="28"/>
      <c r="V162" s="225"/>
      <c r="W162" s="225"/>
      <c r="X162" s="225"/>
      <c r="Y162" s="28"/>
      <c r="Z162" s="28"/>
      <c r="AA162" s="16"/>
    </row>
    <row r="163" spans="1:27" ht="27">
      <c r="A163" s="231"/>
      <c r="B163" s="277">
        <v>2026</v>
      </c>
      <c r="C163" s="277" t="s">
        <v>722</v>
      </c>
      <c r="D163" s="277" t="s">
        <v>724</v>
      </c>
      <c r="E163" s="278"/>
      <c r="F163" s="278" t="s">
        <v>320</v>
      </c>
      <c r="G163" s="278" t="s">
        <v>321</v>
      </c>
      <c r="H163" s="278"/>
      <c r="I163" s="278"/>
      <c r="J163" s="278"/>
      <c r="K163" s="278"/>
      <c r="L163" s="266" t="s">
        <v>665</v>
      </c>
      <c r="M163" s="272">
        <v>46157</v>
      </c>
      <c r="N163" s="272"/>
      <c r="O163" s="272">
        <v>46249</v>
      </c>
      <c r="P163" s="272"/>
      <c r="Q163" s="288">
        <v>1</v>
      </c>
      <c r="R163" s="287" t="s">
        <v>617</v>
      </c>
    </row>
    <row r="164" spans="1:27">
      <c r="A164" s="231"/>
      <c r="B164" s="277">
        <v>2026</v>
      </c>
      <c r="C164" s="277" t="s">
        <v>722</v>
      </c>
      <c r="D164" s="277" t="s">
        <v>725</v>
      </c>
      <c r="E164" s="278" t="s">
        <v>383</v>
      </c>
      <c r="F164" s="278" t="s">
        <v>329</v>
      </c>
      <c r="G164" s="278" t="s">
        <v>321</v>
      </c>
      <c r="H164" s="278"/>
      <c r="I164" s="278"/>
      <c r="J164" s="278"/>
      <c r="K164" s="278"/>
      <c r="L164" s="266" t="s">
        <v>67</v>
      </c>
      <c r="M164" s="272">
        <v>45901</v>
      </c>
      <c r="N164" s="272"/>
      <c r="O164" s="272"/>
      <c r="P164" s="272"/>
      <c r="Q164" s="268">
        <v>1</v>
      </c>
      <c r="R164" s="287" t="s">
        <v>617</v>
      </c>
    </row>
    <row r="165" spans="1:27" ht="27">
      <c r="A165" s="240"/>
      <c r="B165" s="277">
        <v>2026</v>
      </c>
      <c r="C165" s="277" t="s">
        <v>726</v>
      </c>
      <c r="D165" s="277" t="s">
        <v>727</v>
      </c>
      <c r="E165" s="278"/>
      <c r="F165" s="278" t="s">
        <v>329</v>
      </c>
      <c r="G165" s="278" t="s">
        <v>321</v>
      </c>
      <c r="H165" s="278"/>
      <c r="I165" s="278"/>
      <c r="J165" s="278"/>
      <c r="K165" s="278"/>
      <c r="L165" s="266" t="s">
        <v>628</v>
      </c>
      <c r="M165" s="272">
        <v>46171</v>
      </c>
      <c r="N165" s="272"/>
      <c r="O165" s="272">
        <v>46295</v>
      </c>
      <c r="P165" s="272"/>
      <c r="Q165" s="288">
        <v>0</v>
      </c>
      <c r="R165" s="287"/>
    </row>
    <row r="166" spans="1:27">
      <c r="B166" s="277">
        <v>2026</v>
      </c>
      <c r="C166" s="277" t="s">
        <v>728</v>
      </c>
      <c r="D166" s="277" t="s">
        <v>729</v>
      </c>
      <c r="E166" s="278" t="s">
        <v>383</v>
      </c>
      <c r="F166" s="278" t="s">
        <v>329</v>
      </c>
      <c r="G166" s="278" t="s">
        <v>269</v>
      </c>
      <c r="H166" s="278"/>
      <c r="I166" s="278"/>
      <c r="J166" s="278"/>
      <c r="K166" s="278"/>
      <c r="L166" s="266" t="s">
        <v>67</v>
      </c>
      <c r="M166" s="272">
        <v>45867</v>
      </c>
      <c r="N166" s="272"/>
      <c r="O166" s="272"/>
      <c r="P166" s="272"/>
      <c r="Q166" s="268">
        <v>1</v>
      </c>
      <c r="R166" s="287"/>
    </row>
    <row r="167" spans="1:27" ht="27">
      <c r="A167" s="258">
        <v>2026</v>
      </c>
      <c r="B167" s="270">
        <v>2026</v>
      </c>
      <c r="C167" s="270" t="s">
        <v>579</v>
      </c>
      <c r="D167" s="270" t="s">
        <v>730</v>
      </c>
      <c r="E167" s="270"/>
      <c r="F167" s="266" t="s">
        <v>329</v>
      </c>
      <c r="G167" s="266" t="s">
        <v>269</v>
      </c>
      <c r="H167" s="266" t="s">
        <v>67</v>
      </c>
      <c r="I167" s="272">
        <v>46188</v>
      </c>
      <c r="J167" s="272"/>
      <c r="K167" s="272">
        <v>46249</v>
      </c>
      <c r="L167" s="266" t="s">
        <v>67</v>
      </c>
      <c r="M167" s="267">
        <v>46204</v>
      </c>
      <c r="N167" s="266"/>
      <c r="O167" s="272">
        <v>46264</v>
      </c>
      <c r="P167" s="266"/>
      <c r="Q167" s="268">
        <v>0.5</v>
      </c>
      <c r="R167" s="273"/>
      <c r="S167" s="225"/>
      <c r="T167" s="28"/>
      <c r="U167" s="28"/>
      <c r="V167" s="16"/>
    </row>
    <row r="168" spans="1:27" ht="27">
      <c r="A168" s="258">
        <v>2026</v>
      </c>
      <c r="B168" s="270">
        <v>2026</v>
      </c>
      <c r="C168" s="270" t="s">
        <v>579</v>
      </c>
      <c r="D168" s="270" t="s">
        <v>731</v>
      </c>
      <c r="E168" s="266"/>
      <c r="F168" s="266" t="s">
        <v>329</v>
      </c>
      <c r="G168" s="266" t="s">
        <v>269</v>
      </c>
      <c r="H168" s="266" t="s">
        <v>67</v>
      </c>
      <c r="I168" s="272">
        <v>46188</v>
      </c>
      <c r="J168" s="272"/>
      <c r="K168" s="272">
        <v>46249</v>
      </c>
      <c r="L168" s="266" t="s">
        <v>67</v>
      </c>
      <c r="M168" s="267">
        <v>46204</v>
      </c>
      <c r="N168" s="266"/>
      <c r="O168" s="272">
        <v>46264</v>
      </c>
      <c r="P168" s="266"/>
      <c r="Q168" s="268">
        <v>0.5</v>
      </c>
      <c r="R168" s="273"/>
      <c r="S168" s="225"/>
      <c r="T168" s="28"/>
      <c r="U168" s="28"/>
      <c r="V168" s="16"/>
    </row>
    <row r="169" spans="1:27" ht="54">
      <c r="A169" s="259">
        <v>2026</v>
      </c>
      <c r="B169" s="262">
        <v>2026</v>
      </c>
      <c r="C169" s="263" t="s">
        <v>732</v>
      </c>
      <c r="D169" s="262" t="s">
        <v>733</v>
      </c>
      <c r="E169" s="278"/>
      <c r="F169" s="278" t="s">
        <v>329</v>
      </c>
      <c r="G169" s="278" t="s">
        <v>321</v>
      </c>
      <c r="H169" s="266" t="s">
        <v>734</v>
      </c>
      <c r="I169" s="272">
        <v>46157</v>
      </c>
      <c r="J169" s="272"/>
      <c r="K169" s="272">
        <v>46280</v>
      </c>
      <c r="L169" s="266" t="s">
        <v>67</v>
      </c>
      <c r="M169" s="267">
        <v>46204</v>
      </c>
      <c r="N169" s="264"/>
      <c r="O169" s="272">
        <v>46280</v>
      </c>
      <c r="P169" s="289"/>
      <c r="Q169" s="290">
        <v>0.15</v>
      </c>
      <c r="R169" s="291"/>
    </row>
    <row r="170" spans="1:27" ht="27">
      <c r="A170" s="16"/>
      <c r="B170" s="262">
        <v>2026</v>
      </c>
      <c r="C170" s="263" t="s">
        <v>735</v>
      </c>
      <c r="D170" s="262" t="s">
        <v>736</v>
      </c>
      <c r="E170" s="278" t="s">
        <v>383</v>
      </c>
      <c r="F170" s="278" t="s">
        <v>329</v>
      </c>
      <c r="G170" s="278" t="s">
        <v>321</v>
      </c>
      <c r="H170" s="266" t="s">
        <v>67</v>
      </c>
      <c r="I170" s="268">
        <v>0.15</v>
      </c>
      <c r="J170" s="264"/>
      <c r="K170" s="272">
        <v>46280</v>
      </c>
      <c r="L170" s="266" t="s">
        <v>67</v>
      </c>
      <c r="M170" s="292"/>
      <c r="N170" s="289"/>
      <c r="O170" s="272"/>
      <c r="P170" s="266"/>
      <c r="Q170" s="268">
        <v>1</v>
      </c>
      <c r="R170" s="273"/>
      <c r="S170" s="225"/>
      <c r="T170" s="28"/>
      <c r="U170" s="28"/>
      <c r="V170" s="16"/>
    </row>
    <row r="171" spans="1:27" ht="27">
      <c r="A171" s="16"/>
      <c r="B171" s="262">
        <v>2026</v>
      </c>
      <c r="C171" s="263" t="s">
        <v>737</v>
      </c>
      <c r="D171" s="262" t="s">
        <v>738</v>
      </c>
      <c r="E171" s="278" t="s">
        <v>383</v>
      </c>
      <c r="F171" s="278" t="s">
        <v>329</v>
      </c>
      <c r="G171" s="278" t="s">
        <v>321</v>
      </c>
      <c r="H171" s="266" t="s">
        <v>67</v>
      </c>
      <c r="I171" s="268">
        <v>0.15</v>
      </c>
      <c r="J171" s="264"/>
      <c r="K171" s="272">
        <v>46280</v>
      </c>
      <c r="L171" s="266" t="s">
        <v>67</v>
      </c>
      <c r="M171" s="292"/>
      <c r="N171" s="289"/>
      <c r="O171" s="272"/>
      <c r="P171" s="266"/>
      <c r="Q171" s="268">
        <v>1</v>
      </c>
      <c r="R171" s="273"/>
      <c r="S171" s="225"/>
      <c r="T171" s="28"/>
      <c r="U171" s="28"/>
      <c r="V171" s="16"/>
    </row>
    <row r="172" spans="1:27" ht="27">
      <c r="A172" s="16"/>
      <c r="B172" s="262">
        <v>2026</v>
      </c>
      <c r="C172" s="263" t="s">
        <v>739</v>
      </c>
      <c r="D172" s="262" t="s">
        <v>740</v>
      </c>
      <c r="E172" s="278"/>
      <c r="F172" s="278" t="s">
        <v>320</v>
      </c>
      <c r="G172" s="266" t="s">
        <v>269</v>
      </c>
      <c r="H172" s="266"/>
      <c r="I172" s="268"/>
      <c r="J172" s="264"/>
      <c r="K172" s="272"/>
      <c r="L172" s="266" t="s">
        <v>533</v>
      </c>
      <c r="M172" s="292">
        <v>46237</v>
      </c>
      <c r="N172" s="289"/>
      <c r="O172" s="292">
        <v>46237</v>
      </c>
      <c r="P172" s="266"/>
      <c r="Q172" s="268">
        <v>1</v>
      </c>
      <c r="R172" s="293" t="s">
        <v>741</v>
      </c>
      <c r="S172" s="225"/>
      <c r="T172" s="28"/>
      <c r="U172" s="28"/>
      <c r="V172" s="16"/>
    </row>
    <row r="173" spans="1:27" ht="81" customHeight="1">
      <c r="A173" s="16"/>
      <c r="B173" s="262">
        <v>2026</v>
      </c>
      <c r="C173" s="263" t="s">
        <v>742</v>
      </c>
      <c r="D173" s="262" t="s">
        <v>743</v>
      </c>
      <c r="E173" s="264" t="s">
        <v>639</v>
      </c>
      <c r="F173" s="264" t="s">
        <v>329</v>
      </c>
      <c r="G173" s="264" t="s">
        <v>269</v>
      </c>
      <c r="H173" s="264" t="s">
        <v>533</v>
      </c>
      <c r="I173" s="272">
        <v>46211</v>
      </c>
      <c r="J173" s="272"/>
      <c r="K173" s="272"/>
      <c r="L173" s="266" t="s">
        <v>533</v>
      </c>
      <c r="M173" s="272">
        <v>46240</v>
      </c>
      <c r="N173" s="262"/>
      <c r="O173" s="272"/>
      <c r="P173" s="266"/>
      <c r="Q173" s="268">
        <v>1</v>
      </c>
      <c r="R173" s="262" t="s">
        <v>744</v>
      </c>
      <c r="S173" s="225"/>
      <c r="T173" s="28"/>
      <c r="U173" s="28"/>
      <c r="V173" s="16"/>
    </row>
    <row r="174" spans="1:27" ht="54">
      <c r="A174" s="16"/>
      <c r="B174" s="262">
        <v>2026</v>
      </c>
      <c r="C174" s="263" t="s">
        <v>745</v>
      </c>
      <c r="D174" s="262" t="s">
        <v>746</v>
      </c>
      <c r="E174" s="264" t="s">
        <v>639</v>
      </c>
      <c r="F174" s="264" t="s">
        <v>329</v>
      </c>
      <c r="G174" s="264" t="s">
        <v>269</v>
      </c>
      <c r="H174" s="266" t="s">
        <v>533</v>
      </c>
      <c r="I174" s="272">
        <v>46240</v>
      </c>
      <c r="J174" s="262"/>
      <c r="K174" s="272">
        <v>46245</v>
      </c>
      <c r="L174" s="266" t="s">
        <v>533</v>
      </c>
      <c r="M174" s="272">
        <v>46244</v>
      </c>
      <c r="N174" s="262"/>
      <c r="O174" s="272"/>
      <c r="P174" s="266"/>
      <c r="Q174" s="268">
        <v>1</v>
      </c>
      <c r="R174" s="293" t="s">
        <v>747</v>
      </c>
      <c r="S174" s="225"/>
      <c r="T174" s="28"/>
      <c r="U174" s="28"/>
      <c r="V174" s="16"/>
    </row>
    <row r="175" spans="1:27" ht="40.5">
      <c r="A175" s="16"/>
      <c r="B175" s="270">
        <v>2026</v>
      </c>
      <c r="C175" s="263" t="s">
        <v>547</v>
      </c>
      <c r="D175" s="270" t="s">
        <v>748</v>
      </c>
      <c r="E175" s="266"/>
      <c r="F175" s="266" t="s">
        <v>329</v>
      </c>
      <c r="G175" s="266" t="s">
        <v>321</v>
      </c>
      <c r="H175" s="266" t="s">
        <v>488</v>
      </c>
      <c r="I175" s="272">
        <v>46023</v>
      </c>
      <c r="J175" s="272">
        <v>46326</v>
      </c>
      <c r="K175" s="272"/>
      <c r="L175" s="266" t="s">
        <v>327</v>
      </c>
      <c r="M175" s="272">
        <v>46235</v>
      </c>
      <c r="N175" s="270"/>
      <c r="O175" s="272"/>
      <c r="P175" s="266"/>
      <c r="Q175" s="268">
        <v>0.25</v>
      </c>
      <c r="R175" s="293" t="s">
        <v>749</v>
      </c>
      <c r="S175" s="225"/>
      <c r="T175" s="28"/>
      <c r="U175" s="28"/>
      <c r="V175" s="16"/>
    </row>
    <row r="176" spans="1:27" ht="40.5">
      <c r="A176" s="16"/>
      <c r="B176" s="270">
        <v>2026</v>
      </c>
      <c r="C176" s="263" t="s">
        <v>502</v>
      </c>
      <c r="D176" s="262" t="s">
        <v>750</v>
      </c>
      <c r="E176" s="278" t="s">
        <v>751</v>
      </c>
      <c r="F176" s="264" t="s">
        <v>329</v>
      </c>
      <c r="G176" s="264" t="s">
        <v>269</v>
      </c>
      <c r="H176" s="266"/>
      <c r="I176" s="268"/>
      <c r="J176" s="264"/>
      <c r="K176" s="272"/>
      <c r="L176" s="266" t="s">
        <v>752</v>
      </c>
      <c r="M176" s="292">
        <v>46204</v>
      </c>
      <c r="N176" s="289"/>
      <c r="O176" s="272"/>
      <c r="P176" s="266"/>
      <c r="Q176" s="273"/>
      <c r="R176" s="273"/>
      <c r="S176" s="225"/>
      <c r="T176" s="28"/>
      <c r="U176" s="28"/>
      <c r="V176" s="16"/>
    </row>
    <row r="177" spans="1:22">
      <c r="A177" s="16"/>
      <c r="B177" s="16"/>
      <c r="C177" s="57"/>
      <c r="D177" s="237"/>
      <c r="E177" s="233"/>
      <c r="F177" s="233"/>
      <c r="G177" s="233"/>
      <c r="H177" s="28"/>
      <c r="I177" s="235"/>
      <c r="J177" s="56"/>
      <c r="K177" s="234"/>
      <c r="L177" s="28"/>
      <c r="M177" s="118"/>
      <c r="N177" s="118"/>
      <c r="O177" s="234"/>
      <c r="P177" s="28"/>
      <c r="Q177" s="225"/>
      <c r="R177" s="225"/>
      <c r="S177" s="225"/>
      <c r="T177" s="28"/>
      <c r="U177" s="28"/>
      <c r="V177" s="16"/>
    </row>
    <row r="178" spans="1:22">
      <c r="A178" s="16"/>
      <c r="B178" s="16"/>
      <c r="C178" s="57"/>
      <c r="D178" s="237"/>
      <c r="E178" s="233"/>
      <c r="F178" s="233"/>
      <c r="G178" s="233"/>
      <c r="H178" s="28"/>
      <c r="I178" s="235"/>
      <c r="J178" s="56"/>
      <c r="K178" s="234"/>
      <c r="L178" s="28"/>
      <c r="M178" s="118"/>
      <c r="N178" s="118"/>
      <c r="O178" s="234"/>
      <c r="P178" s="28"/>
      <c r="Q178" s="225"/>
      <c r="R178" s="225"/>
      <c r="S178" s="225"/>
      <c r="T178" s="28"/>
      <c r="U178" s="28"/>
      <c r="V178" s="16"/>
    </row>
    <row r="179" spans="1:22">
      <c r="D179" s="214" t="s">
        <v>753</v>
      </c>
    </row>
    <row r="180" spans="1:22">
      <c r="B180" s="1">
        <v>2027</v>
      </c>
      <c r="D180" s="214" t="s">
        <v>754</v>
      </c>
    </row>
    <row r="181" spans="1:22" ht="27">
      <c r="B181" s="1">
        <v>2027</v>
      </c>
      <c r="D181" s="214" t="s">
        <v>755</v>
      </c>
    </row>
    <row r="182" spans="1:22">
      <c r="D182" s="238" t="s">
        <v>643</v>
      </c>
    </row>
    <row r="183" spans="1:22">
      <c r="D183" s="214"/>
    </row>
    <row r="184" spans="1:22">
      <c r="D184" s="214" t="s">
        <v>756</v>
      </c>
    </row>
    <row r="185" spans="1:22">
      <c r="D185" s="251" t="s">
        <v>757</v>
      </c>
    </row>
    <row r="186" spans="1:22">
      <c r="D186" s="214" t="s">
        <v>758</v>
      </c>
    </row>
    <row r="187" spans="1:22">
      <c r="D187" s="214" t="s">
        <v>759</v>
      </c>
    </row>
    <row r="188" spans="1:22">
      <c r="D188" s="214" t="s">
        <v>760</v>
      </c>
    </row>
    <row r="189" spans="1:22">
      <c r="D189" s="214" t="s">
        <v>761</v>
      </c>
    </row>
    <row r="190" spans="1:22">
      <c r="D190" s="214" t="s">
        <v>762</v>
      </c>
    </row>
    <row r="191" spans="1:22">
      <c r="D191" s="214"/>
    </row>
    <row r="192" spans="1:22">
      <c r="D192" s="214"/>
    </row>
    <row r="193" spans="4:4">
      <c r="D193" s="214"/>
    </row>
    <row r="194" spans="4:4">
      <c r="D194" s="214"/>
    </row>
  </sheetData>
  <autoFilter ref="A1:U175" xr:uid="{9CC3739B-32C0-4338-9257-6C8EB1340AED}"/>
  <phoneticPr fontId="5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E644-4116-4E51-AB0A-5B599BBAE87A}">
  <dimension ref="A1:AG8"/>
  <sheetViews>
    <sheetView zoomScale="80" zoomScaleNormal="80" workbookViewId="0">
      <pane ySplit="1" topLeftCell="A2" activePane="bottomLeft" state="frozen"/>
      <selection pane="bottomLeft" activeCell="C3" sqref="C3:Y3"/>
    </sheetView>
  </sheetViews>
  <sheetFormatPr defaultColWidth="35.85546875" defaultRowHeight="15"/>
  <cols>
    <col min="1" max="1" width="9.140625" style="98" customWidth="1"/>
    <col min="2" max="2" width="35.85546875" style="112" bestFit="1" customWidth="1"/>
    <col min="3" max="3" width="50.28515625" style="113" customWidth="1"/>
    <col min="4" max="4" width="51" style="113" customWidth="1"/>
    <col min="5" max="5" width="35.85546875" style="114" bestFit="1" customWidth="1"/>
    <col min="6" max="6" width="20.85546875" style="115" customWidth="1"/>
    <col min="7" max="7" width="22.140625" style="115" customWidth="1"/>
    <col min="8" max="8" width="35.85546875" style="115" bestFit="1" customWidth="1"/>
    <col min="9" max="9" width="35.85546875" style="116" bestFit="1" customWidth="1"/>
    <col min="10" max="10" width="35.85546875" style="98" customWidth="1"/>
    <col min="11" max="15" width="35.85546875" customWidth="1"/>
    <col min="16" max="16" width="23.28515625" style="117" customWidth="1"/>
    <col min="17" max="17" width="24.28515625" style="117" customWidth="1"/>
    <col min="18" max="18" width="22.7109375" style="117" customWidth="1"/>
    <col min="19" max="21" width="20.85546875" style="117" customWidth="1"/>
    <col min="22" max="22" width="35.85546875" style="117" bestFit="1" customWidth="1"/>
    <col min="23" max="25" width="35.85546875" style="115" bestFit="1" customWidth="1"/>
    <col min="26" max="28" width="35.85546875" style="117"/>
    <col min="29" max="29" width="35.85546875" style="115"/>
    <col min="31" max="31" width="35.85546875" style="1"/>
  </cols>
  <sheetData>
    <row r="1" spans="1:33" ht="36.6" customHeight="1">
      <c r="A1" s="64" t="s">
        <v>763</v>
      </c>
      <c r="B1" s="65" t="s">
        <v>764</v>
      </c>
      <c r="C1" s="66" t="s">
        <v>765</v>
      </c>
      <c r="D1" s="66" t="s">
        <v>766</v>
      </c>
      <c r="E1" s="67" t="s">
        <v>13</v>
      </c>
      <c r="F1" s="68" t="s">
        <v>311</v>
      </c>
      <c r="G1" s="68" t="s">
        <v>312</v>
      </c>
      <c r="H1" s="68" t="s">
        <v>307</v>
      </c>
      <c r="I1" s="69" t="s">
        <v>767</v>
      </c>
      <c r="J1" s="70" t="s">
        <v>768</v>
      </c>
      <c r="K1" s="65" t="s">
        <v>769</v>
      </c>
      <c r="L1" s="71" t="s">
        <v>770</v>
      </c>
      <c r="M1" s="71" t="s">
        <v>771</v>
      </c>
      <c r="N1" s="72" t="s">
        <v>772</v>
      </c>
      <c r="O1" s="68" t="s">
        <v>773</v>
      </c>
      <c r="P1" s="73" t="s">
        <v>774</v>
      </c>
      <c r="Q1" s="68" t="s">
        <v>775</v>
      </c>
      <c r="R1" s="68" t="s">
        <v>776</v>
      </c>
      <c r="S1" s="74" t="s">
        <v>777</v>
      </c>
      <c r="T1" s="74" t="s">
        <v>778</v>
      </c>
      <c r="U1" s="74" t="s">
        <v>779</v>
      </c>
      <c r="V1" s="74" t="s">
        <v>780</v>
      </c>
      <c r="W1" s="75" t="s">
        <v>781</v>
      </c>
      <c r="X1" s="76" t="s">
        <v>782</v>
      </c>
      <c r="Y1" s="76" t="s">
        <v>783</v>
      </c>
      <c r="Z1" s="73" t="s">
        <v>784</v>
      </c>
      <c r="AA1" s="73" t="s">
        <v>785</v>
      </c>
      <c r="AB1" s="73" t="s">
        <v>786</v>
      </c>
      <c r="AC1" s="77" t="s">
        <v>787</v>
      </c>
      <c r="AD1" s="68" t="s">
        <v>788</v>
      </c>
      <c r="AE1" s="72" t="s">
        <v>789</v>
      </c>
      <c r="AF1" s="78" t="s">
        <v>790</v>
      </c>
      <c r="AG1" s="78" t="s">
        <v>791</v>
      </c>
    </row>
    <row r="2" spans="1:33" ht="300">
      <c r="A2" s="79" t="s">
        <v>792</v>
      </c>
      <c r="B2" s="80" t="s">
        <v>793</v>
      </c>
      <c r="C2" s="81" t="s">
        <v>794</v>
      </c>
      <c r="D2" s="81" t="s">
        <v>795</v>
      </c>
      <c r="E2" s="81" t="s">
        <v>796</v>
      </c>
      <c r="F2" s="82">
        <v>46127</v>
      </c>
      <c r="G2" s="83">
        <v>46387</v>
      </c>
      <c r="H2" s="84" t="s">
        <v>797</v>
      </c>
      <c r="I2" s="85" t="s">
        <v>798</v>
      </c>
      <c r="J2" s="85" t="s">
        <v>799</v>
      </c>
      <c r="K2" s="86" t="s">
        <v>800</v>
      </c>
      <c r="L2" s="87" t="s">
        <v>801</v>
      </c>
      <c r="M2" s="84" t="s">
        <v>802</v>
      </c>
      <c r="N2" s="85" t="s">
        <v>803</v>
      </c>
      <c r="O2" s="88" t="s">
        <v>804</v>
      </c>
      <c r="P2" s="89" t="s">
        <v>805</v>
      </c>
      <c r="Q2" s="90" t="s">
        <v>28</v>
      </c>
      <c r="R2" s="91" t="s">
        <v>28</v>
      </c>
      <c r="S2" s="91" t="s">
        <v>28</v>
      </c>
      <c r="T2" s="92" t="s">
        <v>806</v>
      </c>
      <c r="U2" s="93"/>
      <c r="V2" s="92" t="s">
        <v>807</v>
      </c>
      <c r="W2" s="94" t="s">
        <v>363</v>
      </c>
      <c r="X2" s="95" t="s">
        <v>805</v>
      </c>
      <c r="Y2" s="91" t="s">
        <v>805</v>
      </c>
      <c r="Z2" s="96">
        <v>1171</v>
      </c>
      <c r="AA2" s="97"/>
      <c r="AB2" s="97"/>
      <c r="AC2" s="88" t="s">
        <v>808</v>
      </c>
      <c r="AD2" s="89" t="s">
        <v>28</v>
      </c>
      <c r="AE2" s="85" t="s">
        <v>809</v>
      </c>
      <c r="AF2" s="98"/>
      <c r="AG2" s="98"/>
    </row>
    <row r="3" spans="1:33" ht="360">
      <c r="A3" s="79" t="s">
        <v>810</v>
      </c>
      <c r="B3" s="81" t="s">
        <v>811</v>
      </c>
      <c r="C3" s="81" t="s">
        <v>812</v>
      </c>
      <c r="D3" s="81" t="s">
        <v>813</v>
      </c>
      <c r="E3" s="81" t="s">
        <v>633</v>
      </c>
      <c r="F3" s="99">
        <v>46023</v>
      </c>
      <c r="G3" s="83">
        <v>46387</v>
      </c>
      <c r="H3" s="84" t="s">
        <v>814</v>
      </c>
      <c r="I3" s="85" t="s">
        <v>798</v>
      </c>
      <c r="J3" s="85" t="s">
        <v>815</v>
      </c>
      <c r="K3" s="86" t="s">
        <v>800</v>
      </c>
      <c r="L3" s="84" t="s">
        <v>801</v>
      </c>
      <c r="M3" s="84" t="s">
        <v>802</v>
      </c>
      <c r="N3" s="85" t="s">
        <v>803</v>
      </c>
      <c r="O3" s="88" t="s">
        <v>804</v>
      </c>
      <c r="P3" s="89" t="s">
        <v>805</v>
      </c>
      <c r="Q3" s="90" t="s">
        <v>28</v>
      </c>
      <c r="R3" s="91" t="s">
        <v>28</v>
      </c>
      <c r="S3" s="91" t="s">
        <v>28</v>
      </c>
      <c r="T3" s="92" t="s">
        <v>816</v>
      </c>
      <c r="U3" s="100" t="s">
        <v>805</v>
      </c>
      <c r="V3" s="92"/>
      <c r="W3" s="94" t="s">
        <v>817</v>
      </c>
      <c r="X3" s="95" t="s">
        <v>28</v>
      </c>
      <c r="Y3" s="91" t="s">
        <v>28</v>
      </c>
      <c r="Z3" s="96">
        <v>1258</v>
      </c>
      <c r="AA3" s="101"/>
      <c r="AB3" s="101"/>
      <c r="AC3" s="88" t="s">
        <v>818</v>
      </c>
      <c r="AD3" s="89" t="s">
        <v>805</v>
      </c>
      <c r="AE3" s="85" t="s">
        <v>819</v>
      </c>
      <c r="AF3" s="98"/>
      <c r="AG3" s="98"/>
    </row>
    <row r="4" spans="1:33" ht="409.5" hidden="1">
      <c r="A4" s="79" t="s">
        <v>820</v>
      </c>
      <c r="B4" s="80" t="s">
        <v>821</v>
      </c>
      <c r="C4" s="81" t="s">
        <v>822</v>
      </c>
      <c r="D4" s="81" t="s">
        <v>823</v>
      </c>
      <c r="E4" s="102" t="s">
        <v>533</v>
      </c>
      <c r="F4" s="103">
        <v>46023</v>
      </c>
      <c r="G4" s="83">
        <v>46387</v>
      </c>
      <c r="H4" s="84" t="s">
        <v>814</v>
      </c>
      <c r="I4" s="85" t="s">
        <v>798</v>
      </c>
      <c r="J4" s="85" t="s">
        <v>824</v>
      </c>
      <c r="K4" s="86" t="s">
        <v>800</v>
      </c>
      <c r="L4" s="84" t="s">
        <v>801</v>
      </c>
      <c r="M4" s="84" t="s">
        <v>802</v>
      </c>
      <c r="N4" s="85" t="s">
        <v>803</v>
      </c>
      <c r="O4" s="88" t="s">
        <v>804</v>
      </c>
      <c r="P4" s="89" t="s">
        <v>28</v>
      </c>
      <c r="Q4" s="90" t="s">
        <v>28</v>
      </c>
      <c r="R4" s="91" t="s">
        <v>28</v>
      </c>
      <c r="S4" s="91" t="s">
        <v>805</v>
      </c>
      <c r="T4" s="92"/>
      <c r="U4" s="93" t="s">
        <v>28</v>
      </c>
      <c r="V4" s="93" t="s">
        <v>825</v>
      </c>
      <c r="W4" s="94" t="s">
        <v>817</v>
      </c>
      <c r="X4" s="95" t="s">
        <v>28</v>
      </c>
      <c r="Y4" s="91" t="s">
        <v>28</v>
      </c>
      <c r="Z4" s="96">
        <v>1171</v>
      </c>
      <c r="AA4" s="97"/>
      <c r="AB4" s="97"/>
      <c r="AC4" s="88" t="s">
        <v>826</v>
      </c>
      <c r="AD4" s="89" t="s">
        <v>805</v>
      </c>
      <c r="AE4" s="85" t="s">
        <v>827</v>
      </c>
      <c r="AF4" s="98"/>
      <c r="AG4" s="98"/>
    </row>
    <row r="5" spans="1:33" ht="150" hidden="1">
      <c r="A5" s="79" t="s">
        <v>828</v>
      </c>
      <c r="B5" s="80" t="s">
        <v>432</v>
      </c>
      <c r="C5" s="81" t="s">
        <v>829</v>
      </c>
      <c r="D5" s="81" t="s">
        <v>830</v>
      </c>
      <c r="E5" s="104" t="s">
        <v>831</v>
      </c>
      <c r="F5" s="103">
        <v>46023</v>
      </c>
      <c r="G5" s="83">
        <v>46387</v>
      </c>
      <c r="H5" s="84" t="s">
        <v>814</v>
      </c>
      <c r="I5" s="85" t="s">
        <v>798</v>
      </c>
      <c r="J5" s="85" t="s">
        <v>799</v>
      </c>
      <c r="K5" s="86" t="s">
        <v>800</v>
      </c>
      <c r="L5" s="84" t="s">
        <v>801</v>
      </c>
      <c r="M5" s="84" t="s">
        <v>802</v>
      </c>
      <c r="N5" s="85" t="s">
        <v>803</v>
      </c>
      <c r="O5" s="88" t="s">
        <v>804</v>
      </c>
      <c r="P5" s="89" t="s">
        <v>805</v>
      </c>
      <c r="Q5" s="90" t="s">
        <v>28</v>
      </c>
      <c r="R5" s="91" t="s">
        <v>805</v>
      </c>
      <c r="S5" s="91" t="s">
        <v>28</v>
      </c>
      <c r="T5" s="93" t="s">
        <v>832</v>
      </c>
      <c r="U5" s="93" t="s">
        <v>28</v>
      </c>
      <c r="V5" s="93" t="s">
        <v>825</v>
      </c>
      <c r="W5" s="94" t="s">
        <v>817</v>
      </c>
      <c r="X5" s="95" t="s">
        <v>28</v>
      </c>
      <c r="Y5" s="91" t="s">
        <v>805</v>
      </c>
      <c r="Z5" s="96" t="s">
        <v>808</v>
      </c>
      <c r="AA5" s="97"/>
      <c r="AB5" s="97"/>
      <c r="AC5" s="88" t="s">
        <v>808</v>
      </c>
      <c r="AD5" s="89" t="s">
        <v>805</v>
      </c>
      <c r="AE5" s="85" t="s">
        <v>833</v>
      </c>
      <c r="AF5" s="98"/>
      <c r="AG5" s="98"/>
    </row>
    <row r="6" spans="1:33" ht="165">
      <c r="A6" s="79" t="s">
        <v>834</v>
      </c>
      <c r="B6" s="80" t="s">
        <v>835</v>
      </c>
      <c r="C6" s="80" t="s">
        <v>836</v>
      </c>
      <c r="D6" s="81" t="s">
        <v>837</v>
      </c>
      <c r="E6" s="81" t="s">
        <v>838</v>
      </c>
      <c r="F6" s="105">
        <v>46023</v>
      </c>
      <c r="G6" s="83">
        <v>46387</v>
      </c>
      <c r="H6" s="84" t="s">
        <v>814</v>
      </c>
      <c r="I6" s="85" t="s">
        <v>798</v>
      </c>
      <c r="J6" s="85" t="s">
        <v>799</v>
      </c>
      <c r="K6" s="86" t="s">
        <v>800</v>
      </c>
      <c r="L6" s="84" t="s">
        <v>801</v>
      </c>
      <c r="M6" s="84" t="s">
        <v>802</v>
      </c>
      <c r="N6" s="85" t="s">
        <v>803</v>
      </c>
      <c r="O6" s="88" t="s">
        <v>804</v>
      </c>
      <c r="P6" s="89" t="s">
        <v>805</v>
      </c>
      <c r="Q6" s="90" t="s">
        <v>28</v>
      </c>
      <c r="R6" s="91" t="s">
        <v>28</v>
      </c>
      <c r="S6" s="91" t="s">
        <v>28</v>
      </c>
      <c r="T6" s="93" t="s">
        <v>839</v>
      </c>
      <c r="U6" s="93" t="s">
        <v>28</v>
      </c>
      <c r="V6" s="93" t="s">
        <v>825</v>
      </c>
      <c r="W6" s="94" t="s">
        <v>363</v>
      </c>
      <c r="X6" s="95" t="s">
        <v>28</v>
      </c>
      <c r="Y6" s="91" t="s">
        <v>805</v>
      </c>
      <c r="Z6" s="96" t="s">
        <v>808</v>
      </c>
      <c r="AA6" s="97"/>
      <c r="AB6" s="97"/>
      <c r="AC6" s="88" t="s">
        <v>808</v>
      </c>
      <c r="AD6" s="89" t="s">
        <v>805</v>
      </c>
      <c r="AE6" s="85" t="s">
        <v>840</v>
      </c>
      <c r="AF6" s="98"/>
      <c r="AG6" s="98"/>
    </row>
    <row r="7" spans="1:33" ht="150" hidden="1">
      <c r="A7" s="79" t="s">
        <v>841</v>
      </c>
      <c r="B7" s="81" t="s">
        <v>842</v>
      </c>
      <c r="C7" s="81" t="s">
        <v>843</v>
      </c>
      <c r="D7" s="81" t="s">
        <v>844</v>
      </c>
      <c r="E7" s="104" t="s">
        <v>845</v>
      </c>
      <c r="F7" s="106">
        <v>46113</v>
      </c>
      <c r="G7" s="107">
        <v>46387</v>
      </c>
      <c r="H7" s="84" t="s">
        <v>797</v>
      </c>
      <c r="I7" s="85" t="s">
        <v>798</v>
      </c>
      <c r="J7" s="85" t="s">
        <v>846</v>
      </c>
      <c r="K7" s="86" t="s">
        <v>800</v>
      </c>
      <c r="L7" s="84" t="s">
        <v>801</v>
      </c>
      <c r="M7" s="84" t="s">
        <v>802</v>
      </c>
      <c r="N7" s="85" t="s">
        <v>803</v>
      </c>
      <c r="O7" s="88" t="s">
        <v>847</v>
      </c>
      <c r="P7" s="86" t="s">
        <v>28</v>
      </c>
      <c r="Q7" s="90" t="s">
        <v>28</v>
      </c>
      <c r="R7" s="84" t="s">
        <v>805</v>
      </c>
      <c r="S7" s="84" t="s">
        <v>28</v>
      </c>
      <c r="T7" s="93" t="s">
        <v>805</v>
      </c>
      <c r="U7" s="93" t="s">
        <v>28</v>
      </c>
      <c r="V7" s="93" t="s">
        <v>848</v>
      </c>
      <c r="W7" s="108" t="s">
        <v>817</v>
      </c>
      <c r="X7" s="109" t="s">
        <v>28</v>
      </c>
      <c r="Y7" s="84" t="s">
        <v>805</v>
      </c>
      <c r="Z7" s="96" t="s">
        <v>808</v>
      </c>
      <c r="AA7" s="97"/>
      <c r="AB7" s="97"/>
      <c r="AC7" s="88" t="s">
        <v>808</v>
      </c>
      <c r="AD7" s="86" t="s">
        <v>805</v>
      </c>
      <c r="AE7" s="85" t="s">
        <v>849</v>
      </c>
      <c r="AF7" s="98"/>
      <c r="AG7" s="98"/>
    </row>
    <row r="8" spans="1:33" ht="195" hidden="1">
      <c r="A8" s="79" t="s">
        <v>850</v>
      </c>
      <c r="B8" s="110" t="s">
        <v>851</v>
      </c>
      <c r="C8" s="80" t="s">
        <v>852</v>
      </c>
      <c r="D8" s="81" t="s">
        <v>853</v>
      </c>
      <c r="E8" s="104" t="s">
        <v>65</v>
      </c>
      <c r="F8" s="105">
        <v>46023</v>
      </c>
      <c r="G8" s="83">
        <v>46387</v>
      </c>
      <c r="H8" s="84" t="s">
        <v>814</v>
      </c>
      <c r="I8" s="85" t="s">
        <v>798</v>
      </c>
      <c r="J8" s="85" t="s">
        <v>846</v>
      </c>
      <c r="K8" s="86" t="s">
        <v>800</v>
      </c>
      <c r="L8" s="84" t="s">
        <v>801</v>
      </c>
      <c r="M8" s="84" t="s">
        <v>802</v>
      </c>
      <c r="N8" s="85" t="s">
        <v>803</v>
      </c>
      <c r="O8" s="88" t="s">
        <v>847</v>
      </c>
      <c r="P8" s="89" t="s">
        <v>805</v>
      </c>
      <c r="Q8" s="90" t="s">
        <v>28</v>
      </c>
      <c r="R8" s="91" t="s">
        <v>28</v>
      </c>
      <c r="S8" s="91" t="s">
        <v>805</v>
      </c>
      <c r="T8" s="100"/>
      <c r="U8" s="100" t="s">
        <v>28</v>
      </c>
      <c r="V8" s="100" t="s">
        <v>825</v>
      </c>
      <c r="W8" s="94" t="s">
        <v>817</v>
      </c>
      <c r="X8" s="111" t="s">
        <v>28</v>
      </c>
      <c r="Y8" s="91" t="s">
        <v>28</v>
      </c>
      <c r="Z8" s="100" t="s">
        <v>854</v>
      </c>
      <c r="AA8" s="101"/>
      <c r="AB8" s="101"/>
      <c r="AC8" s="88" t="s">
        <v>855</v>
      </c>
      <c r="AD8" s="89" t="s">
        <v>805</v>
      </c>
      <c r="AE8" s="85" t="s">
        <v>856</v>
      </c>
      <c r="AF8" s="98"/>
      <c r="AG8" s="98"/>
    </row>
  </sheetData>
  <dataValidations count="1">
    <dataValidation type="list" allowBlank="1" showInputMessage="1" showErrorMessage="1" sqref="U2:U3" xr:uid="{C393679E-3382-4471-B69B-71E59C15A433}">
      <formula1>#REF!</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DAC6E-FB6B-4C5A-9177-DBFCD0AF86B3}">
  <dimension ref="A1:AG7"/>
  <sheetViews>
    <sheetView workbookViewId="0">
      <selection activeCell="C7" sqref="C7"/>
    </sheetView>
  </sheetViews>
  <sheetFormatPr defaultColWidth="10.85546875" defaultRowHeight="15"/>
  <cols>
    <col min="2" max="2" width="49.28515625" customWidth="1"/>
    <col min="3" max="3" width="63.140625" customWidth="1"/>
    <col min="4" max="4" width="45.42578125" customWidth="1"/>
    <col min="5" max="5" width="43.42578125" bestFit="1" customWidth="1"/>
    <col min="10" max="10" width="22.42578125" customWidth="1"/>
  </cols>
  <sheetData>
    <row r="1" spans="1:33">
      <c r="A1" s="183" t="s">
        <v>763</v>
      </c>
      <c r="B1" s="119" t="s">
        <v>764</v>
      </c>
      <c r="C1" s="120" t="s">
        <v>765</v>
      </c>
      <c r="D1" s="120" t="s">
        <v>766</v>
      </c>
      <c r="E1" s="121" t="s">
        <v>13</v>
      </c>
      <c r="F1" s="119" t="s">
        <v>311</v>
      </c>
      <c r="G1" s="119" t="s">
        <v>312</v>
      </c>
      <c r="H1" s="119" t="s">
        <v>307</v>
      </c>
      <c r="I1" s="184" t="s">
        <v>767</v>
      </c>
      <c r="J1" s="185" t="s">
        <v>768</v>
      </c>
      <c r="K1" s="119" t="s">
        <v>769</v>
      </c>
      <c r="L1" s="122" t="s">
        <v>770</v>
      </c>
      <c r="M1" s="122" t="s">
        <v>771</v>
      </c>
      <c r="N1" s="119" t="s">
        <v>772</v>
      </c>
      <c r="O1" s="119" t="s">
        <v>773</v>
      </c>
      <c r="P1" s="185" t="s">
        <v>774</v>
      </c>
      <c r="Q1" s="119" t="s">
        <v>775</v>
      </c>
      <c r="R1" s="119" t="s">
        <v>776</v>
      </c>
      <c r="S1" s="119" t="s">
        <v>777</v>
      </c>
      <c r="T1" s="119" t="s">
        <v>778</v>
      </c>
      <c r="U1" s="119" t="s">
        <v>779</v>
      </c>
      <c r="V1" s="119" t="s">
        <v>780</v>
      </c>
      <c r="W1" s="186" t="s">
        <v>781</v>
      </c>
      <c r="X1" s="186" t="s">
        <v>782</v>
      </c>
      <c r="Y1" s="186" t="s">
        <v>783</v>
      </c>
      <c r="Z1" s="185" t="s">
        <v>784</v>
      </c>
      <c r="AA1" s="185" t="s">
        <v>785</v>
      </c>
      <c r="AB1" s="185" t="s">
        <v>786</v>
      </c>
      <c r="AC1" s="185" t="s">
        <v>787</v>
      </c>
      <c r="AD1" s="119" t="s">
        <v>788</v>
      </c>
      <c r="AE1" s="119" t="s">
        <v>789</v>
      </c>
      <c r="AF1" s="185" t="s">
        <v>790</v>
      </c>
      <c r="AG1" s="185" t="s">
        <v>791</v>
      </c>
    </row>
    <row r="2" spans="1:33">
      <c r="A2" s="187" t="s">
        <v>857</v>
      </c>
      <c r="B2" s="188" t="s">
        <v>858</v>
      </c>
      <c r="C2" s="189" t="s">
        <v>859</v>
      </c>
      <c r="D2" s="189" t="s">
        <v>860</v>
      </c>
      <c r="E2" s="189" t="s">
        <v>861</v>
      </c>
      <c r="F2" s="190">
        <v>46174</v>
      </c>
      <c r="G2" s="191">
        <v>46387</v>
      </c>
      <c r="H2" s="189" t="s">
        <v>814</v>
      </c>
      <c r="I2" s="189" t="s">
        <v>862</v>
      </c>
      <c r="J2" s="189" t="s">
        <v>863</v>
      </c>
      <c r="K2" s="189" t="s">
        <v>800</v>
      </c>
      <c r="L2" s="189" t="s">
        <v>801</v>
      </c>
      <c r="M2" s="189" t="s">
        <v>802</v>
      </c>
      <c r="N2" s="189" t="s">
        <v>803</v>
      </c>
      <c r="O2" s="189" t="s">
        <v>804</v>
      </c>
      <c r="P2" s="188" t="s">
        <v>805</v>
      </c>
      <c r="Q2" s="189" t="s">
        <v>28</v>
      </c>
      <c r="R2" s="188" t="s">
        <v>28</v>
      </c>
      <c r="S2" s="188" t="s">
        <v>28</v>
      </c>
      <c r="T2" s="188" t="s">
        <v>808</v>
      </c>
      <c r="U2" s="123" t="s">
        <v>808</v>
      </c>
      <c r="V2" s="188" t="s">
        <v>807</v>
      </c>
      <c r="W2" s="192" t="s">
        <v>817</v>
      </c>
      <c r="X2" s="193" t="s">
        <v>28</v>
      </c>
      <c r="Y2" s="188" t="s">
        <v>805</v>
      </c>
      <c r="Z2" s="189" t="s">
        <v>808</v>
      </c>
      <c r="AA2" s="123" t="s">
        <v>808</v>
      </c>
      <c r="AB2" s="123" t="s">
        <v>808</v>
      </c>
      <c r="AC2" s="189" t="s">
        <v>808</v>
      </c>
      <c r="AD2" s="188" t="s">
        <v>805</v>
      </c>
      <c r="AE2" s="189" t="s">
        <v>864</v>
      </c>
      <c r="AF2" s="126"/>
      <c r="AG2" s="126"/>
    </row>
    <row r="3" spans="1:33">
      <c r="A3" s="187" t="s">
        <v>865</v>
      </c>
      <c r="B3" s="188" t="s">
        <v>866</v>
      </c>
      <c r="C3" s="189" t="s">
        <v>867</v>
      </c>
      <c r="D3" s="189" t="s">
        <v>868</v>
      </c>
      <c r="E3" s="189" t="s">
        <v>670</v>
      </c>
      <c r="F3" s="194">
        <v>46023</v>
      </c>
      <c r="G3" s="191">
        <v>46387</v>
      </c>
      <c r="H3" s="189" t="s">
        <v>797</v>
      </c>
      <c r="I3" s="189" t="s">
        <v>862</v>
      </c>
      <c r="J3" s="189" t="s">
        <v>799</v>
      </c>
      <c r="K3" s="189" t="s">
        <v>800</v>
      </c>
      <c r="L3" s="189" t="s">
        <v>801</v>
      </c>
      <c r="M3" s="189" t="s">
        <v>802</v>
      </c>
      <c r="N3" s="189" t="s">
        <v>803</v>
      </c>
      <c r="O3" s="189" t="s">
        <v>804</v>
      </c>
      <c r="P3" s="188" t="s">
        <v>805</v>
      </c>
      <c r="Q3" s="189" t="s">
        <v>28</v>
      </c>
      <c r="R3" s="188" t="s">
        <v>805</v>
      </c>
      <c r="S3" s="188" t="s">
        <v>28</v>
      </c>
      <c r="T3" s="123" t="s">
        <v>808</v>
      </c>
      <c r="U3" s="123" t="s">
        <v>808</v>
      </c>
      <c r="V3" s="123" t="s">
        <v>808</v>
      </c>
      <c r="W3" s="192" t="s">
        <v>817</v>
      </c>
      <c r="X3" s="193" t="s">
        <v>28</v>
      </c>
      <c r="Y3" s="188" t="s">
        <v>805</v>
      </c>
      <c r="Z3" s="189" t="s">
        <v>808</v>
      </c>
      <c r="AA3" s="123" t="s">
        <v>808</v>
      </c>
      <c r="AB3" s="123" t="s">
        <v>808</v>
      </c>
      <c r="AC3" s="189" t="s">
        <v>808</v>
      </c>
      <c r="AD3" s="188" t="s">
        <v>805</v>
      </c>
      <c r="AE3" s="189" t="s">
        <v>869</v>
      </c>
      <c r="AF3" s="126"/>
      <c r="AG3" s="126"/>
    </row>
    <row r="4" spans="1:33">
      <c r="A4" s="187" t="s">
        <v>870</v>
      </c>
      <c r="B4" s="188" t="s">
        <v>871</v>
      </c>
      <c r="C4" s="189" t="s">
        <v>872</v>
      </c>
      <c r="D4" s="189" t="s">
        <v>873</v>
      </c>
      <c r="E4" s="195" t="s">
        <v>533</v>
      </c>
      <c r="F4" s="196">
        <v>46101</v>
      </c>
      <c r="G4" s="191">
        <v>46387</v>
      </c>
      <c r="H4" s="189" t="s">
        <v>814</v>
      </c>
      <c r="I4" s="189" t="s">
        <v>798</v>
      </c>
      <c r="J4" s="189" t="s">
        <v>815</v>
      </c>
      <c r="K4" s="189" t="s">
        <v>800</v>
      </c>
      <c r="L4" s="189" t="s">
        <v>801</v>
      </c>
      <c r="M4" s="189" t="s">
        <v>802</v>
      </c>
      <c r="N4" s="189" t="s">
        <v>803</v>
      </c>
      <c r="O4" s="189" t="s">
        <v>804</v>
      </c>
      <c r="P4" s="188" t="s">
        <v>805</v>
      </c>
      <c r="Q4" s="189" t="s">
        <v>28</v>
      </c>
      <c r="R4" s="188" t="s">
        <v>28</v>
      </c>
      <c r="S4" s="188" t="s">
        <v>28</v>
      </c>
      <c r="T4" s="123" t="s">
        <v>808</v>
      </c>
      <c r="U4" s="123" t="s">
        <v>808</v>
      </c>
      <c r="V4" s="123" t="s">
        <v>808</v>
      </c>
      <c r="W4" s="192" t="s">
        <v>817</v>
      </c>
      <c r="X4" s="193" t="s">
        <v>28</v>
      </c>
      <c r="Y4" s="188" t="s">
        <v>805</v>
      </c>
      <c r="Z4" s="189">
        <v>1171</v>
      </c>
      <c r="AA4" s="123" t="s">
        <v>808</v>
      </c>
      <c r="AB4" s="123" t="s">
        <v>808</v>
      </c>
      <c r="AC4" s="189" t="s">
        <v>874</v>
      </c>
      <c r="AD4" s="188" t="s">
        <v>805</v>
      </c>
      <c r="AE4" s="189" t="s">
        <v>875</v>
      </c>
      <c r="AF4" s="126"/>
      <c r="AG4" s="126"/>
    </row>
    <row r="5" spans="1:33">
      <c r="A5" s="187" t="s">
        <v>876</v>
      </c>
      <c r="B5" s="188" t="s">
        <v>877</v>
      </c>
      <c r="C5" s="188" t="s">
        <v>878</v>
      </c>
      <c r="D5" s="189" t="s">
        <v>879</v>
      </c>
      <c r="E5" s="189" t="s">
        <v>880</v>
      </c>
      <c r="F5" s="197">
        <v>46023</v>
      </c>
      <c r="G5" s="191">
        <v>46387</v>
      </c>
      <c r="H5" s="189" t="s">
        <v>814</v>
      </c>
      <c r="I5" s="189" t="s">
        <v>798</v>
      </c>
      <c r="J5" s="189" t="s">
        <v>799</v>
      </c>
      <c r="K5" s="189" t="s">
        <v>800</v>
      </c>
      <c r="L5" s="189" t="s">
        <v>801</v>
      </c>
      <c r="M5" s="189" t="s">
        <v>802</v>
      </c>
      <c r="N5" s="189" t="s">
        <v>803</v>
      </c>
      <c r="O5" s="189" t="s">
        <v>804</v>
      </c>
      <c r="P5" s="188" t="s">
        <v>805</v>
      </c>
      <c r="Q5" s="189" t="s">
        <v>28</v>
      </c>
      <c r="R5" s="188" t="s">
        <v>805</v>
      </c>
      <c r="S5" s="188" t="s">
        <v>28</v>
      </c>
      <c r="T5" s="123" t="s">
        <v>808</v>
      </c>
      <c r="U5" s="123" t="s">
        <v>808</v>
      </c>
      <c r="V5" s="123" t="s">
        <v>808</v>
      </c>
      <c r="W5" s="192" t="s">
        <v>817</v>
      </c>
      <c r="X5" s="193" t="s">
        <v>28</v>
      </c>
      <c r="Y5" s="188" t="s">
        <v>805</v>
      </c>
      <c r="Z5" s="189" t="s">
        <v>808</v>
      </c>
      <c r="AA5" s="123" t="s">
        <v>808</v>
      </c>
      <c r="AB5" s="123" t="s">
        <v>808</v>
      </c>
      <c r="AC5" s="189" t="s">
        <v>808</v>
      </c>
      <c r="AD5" s="188" t="s">
        <v>805</v>
      </c>
      <c r="AE5" s="189" t="s">
        <v>881</v>
      </c>
      <c r="AF5" s="126"/>
      <c r="AG5" s="126"/>
    </row>
    <row r="6" spans="1:33">
      <c r="A6" s="187" t="s">
        <v>882</v>
      </c>
      <c r="B6" s="189" t="s">
        <v>608</v>
      </c>
      <c r="C6" s="189" t="s">
        <v>883</v>
      </c>
      <c r="D6" s="189" t="s">
        <v>884</v>
      </c>
      <c r="E6" s="189" t="s">
        <v>70</v>
      </c>
      <c r="F6" s="198">
        <v>46023</v>
      </c>
      <c r="G6" s="199">
        <v>46387</v>
      </c>
      <c r="H6" s="189" t="s">
        <v>814</v>
      </c>
      <c r="I6" s="189" t="s">
        <v>798</v>
      </c>
      <c r="J6" s="189" t="s">
        <v>885</v>
      </c>
      <c r="K6" s="189" t="s">
        <v>800</v>
      </c>
      <c r="L6" s="189" t="s">
        <v>801</v>
      </c>
      <c r="M6" s="189" t="s">
        <v>802</v>
      </c>
      <c r="N6" s="189" t="s">
        <v>803</v>
      </c>
      <c r="O6" s="189" t="s">
        <v>847</v>
      </c>
      <c r="P6" s="189" t="s">
        <v>28</v>
      </c>
      <c r="Q6" s="189" t="s">
        <v>28</v>
      </c>
      <c r="R6" s="189" t="s">
        <v>805</v>
      </c>
      <c r="S6" s="189" t="s">
        <v>28</v>
      </c>
      <c r="T6" s="123" t="s">
        <v>808</v>
      </c>
      <c r="U6" s="123" t="s">
        <v>808</v>
      </c>
      <c r="V6" s="123" t="s">
        <v>808</v>
      </c>
      <c r="W6" s="200" t="s">
        <v>817</v>
      </c>
      <c r="X6" s="201" t="s">
        <v>28</v>
      </c>
      <c r="Y6" s="189" t="s">
        <v>805</v>
      </c>
      <c r="Z6" s="189" t="s">
        <v>808</v>
      </c>
      <c r="AA6" s="123" t="s">
        <v>808</v>
      </c>
      <c r="AB6" s="123" t="s">
        <v>808</v>
      </c>
      <c r="AC6" s="189" t="s">
        <v>808</v>
      </c>
      <c r="AD6" s="189" t="s">
        <v>805</v>
      </c>
      <c r="AE6" s="189" t="s">
        <v>886</v>
      </c>
      <c r="AF6" s="126"/>
      <c r="AG6" s="126"/>
    </row>
    <row r="7" spans="1:33">
      <c r="A7" s="202" t="s">
        <v>887</v>
      </c>
      <c r="B7" s="203" t="s">
        <v>888</v>
      </c>
      <c r="C7" s="203" t="s">
        <v>889</v>
      </c>
      <c r="D7" s="204" t="s">
        <v>890</v>
      </c>
      <c r="E7" s="204" t="s">
        <v>845</v>
      </c>
      <c r="F7" s="197">
        <v>46096</v>
      </c>
      <c r="G7" s="205">
        <v>46387</v>
      </c>
      <c r="H7" s="204" t="s">
        <v>814</v>
      </c>
      <c r="I7" s="206" t="s">
        <v>891</v>
      </c>
      <c r="J7" s="206" t="s">
        <v>885</v>
      </c>
      <c r="K7" s="206" t="s">
        <v>800</v>
      </c>
      <c r="L7" s="204" t="s">
        <v>801</v>
      </c>
      <c r="M7" s="204" t="s">
        <v>802</v>
      </c>
      <c r="N7" s="206" t="s">
        <v>803</v>
      </c>
      <c r="O7" s="206" t="s">
        <v>847</v>
      </c>
      <c r="P7" s="207" t="s">
        <v>805</v>
      </c>
      <c r="Q7" s="204" t="s">
        <v>28</v>
      </c>
      <c r="R7" s="203" t="s">
        <v>28</v>
      </c>
      <c r="S7" s="203" t="s">
        <v>28</v>
      </c>
      <c r="T7" s="124" t="s">
        <v>808</v>
      </c>
      <c r="U7" s="124" t="s">
        <v>808</v>
      </c>
      <c r="V7" s="124" t="s">
        <v>808</v>
      </c>
      <c r="W7" s="208" t="s">
        <v>817</v>
      </c>
      <c r="X7" s="193" t="s">
        <v>805</v>
      </c>
      <c r="Y7" s="203" t="s">
        <v>805</v>
      </c>
      <c r="Z7" s="206" t="s">
        <v>808</v>
      </c>
      <c r="AA7" s="124" t="s">
        <v>808</v>
      </c>
      <c r="AB7" s="124" t="s">
        <v>808</v>
      </c>
      <c r="AC7" s="206" t="s">
        <v>808</v>
      </c>
      <c r="AD7" s="207" t="s">
        <v>28</v>
      </c>
      <c r="AE7" s="206" t="s">
        <v>892</v>
      </c>
      <c r="AF7" s="209"/>
      <c r="AG7" s="209"/>
    </row>
  </sheetData>
  <autoFilter ref="A1:AG7" xr:uid="{ABEDAC6E-FB6B-4C5A-9177-DBFCD0AF86B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CE455-EE5E-4186-A518-965B0931B7E8}">
  <dimension ref="A1:N122"/>
  <sheetViews>
    <sheetView tabSelected="1" workbookViewId="0">
      <selection activeCell="B120" sqref="B120"/>
    </sheetView>
  </sheetViews>
  <sheetFormatPr defaultColWidth="11.42578125" defaultRowHeight="15"/>
  <cols>
    <col min="1" max="1" width="43.140625" style="139" customWidth="1"/>
    <col min="2" max="2" width="11.42578125" style="135" bestFit="1" customWidth="1"/>
    <col min="3" max="7" width="11.42578125" style="139" bestFit="1" customWidth="1"/>
    <col min="8" max="9" width="22.140625" style="139" customWidth="1"/>
    <col min="10" max="10" width="19.7109375" style="139" customWidth="1"/>
    <col min="11" max="11" width="16.7109375" style="139" customWidth="1"/>
    <col min="12" max="12" width="26.140625" style="139" bestFit="1" customWidth="1"/>
    <col min="13" max="13" width="13.42578125" style="139" customWidth="1"/>
    <col min="14" max="14" width="93" style="139" bestFit="1" customWidth="1"/>
    <col min="15" max="16384" width="11.42578125" style="139"/>
  </cols>
  <sheetData>
    <row r="1" spans="1:14" s="257" customFormat="1" ht="22.5">
      <c r="A1" s="256" t="s">
        <v>893</v>
      </c>
      <c r="B1" s="256" t="s">
        <v>252</v>
      </c>
      <c r="C1" s="256" t="s">
        <v>894</v>
      </c>
      <c r="D1" s="256" t="s">
        <v>895</v>
      </c>
      <c r="E1" s="256" t="s">
        <v>896</v>
      </c>
      <c r="F1" s="256" t="s">
        <v>897</v>
      </c>
      <c r="G1" s="256" t="s">
        <v>898</v>
      </c>
      <c r="H1" s="256" t="s">
        <v>899</v>
      </c>
      <c r="I1" s="256" t="s">
        <v>900</v>
      </c>
      <c r="J1" s="256" t="s">
        <v>901</v>
      </c>
      <c r="K1" s="256" t="s">
        <v>902</v>
      </c>
      <c r="L1" s="256" t="s">
        <v>903</v>
      </c>
      <c r="M1" s="256" t="s">
        <v>904</v>
      </c>
      <c r="N1" s="256" t="s">
        <v>905</v>
      </c>
    </row>
    <row r="2" spans="1:14" ht="33.75">
      <c r="A2" s="136" t="s">
        <v>906</v>
      </c>
      <c r="B2" s="134">
        <v>494</v>
      </c>
      <c r="C2" s="136" t="s">
        <v>27</v>
      </c>
      <c r="D2" s="137">
        <v>46157</v>
      </c>
      <c r="E2" s="137">
        <v>46249</v>
      </c>
      <c r="F2" s="137"/>
      <c r="G2" s="136" t="s">
        <v>907</v>
      </c>
      <c r="H2" s="138" t="s">
        <v>908</v>
      </c>
      <c r="I2" s="241"/>
      <c r="J2" s="138" t="s">
        <v>909</v>
      </c>
      <c r="K2" s="136"/>
      <c r="L2" s="136"/>
      <c r="M2" s="136"/>
      <c r="N2" s="136"/>
    </row>
    <row r="3" spans="1:14" ht="33.75">
      <c r="A3" s="136" t="s">
        <v>910</v>
      </c>
      <c r="B3" s="134">
        <v>356</v>
      </c>
      <c r="C3" s="136" t="s">
        <v>27</v>
      </c>
      <c r="D3" s="137">
        <v>46157</v>
      </c>
      <c r="E3" s="137">
        <v>46249</v>
      </c>
      <c r="F3" s="137"/>
      <c r="G3" s="136" t="s">
        <v>907</v>
      </c>
      <c r="H3" s="138" t="s">
        <v>908</v>
      </c>
      <c r="I3" s="241">
        <v>356</v>
      </c>
      <c r="J3" s="138" t="s">
        <v>911</v>
      </c>
      <c r="K3" s="136" t="s">
        <v>909</v>
      </c>
      <c r="L3" s="136"/>
      <c r="M3" s="136"/>
      <c r="N3" s="136"/>
    </row>
    <row r="4" spans="1:14" ht="33.75">
      <c r="A4" s="136" t="s">
        <v>912</v>
      </c>
      <c r="B4" s="134">
        <v>325</v>
      </c>
      <c r="C4" s="136" t="s">
        <v>27</v>
      </c>
      <c r="D4" s="137">
        <v>46157</v>
      </c>
      <c r="E4" s="137">
        <v>46249</v>
      </c>
      <c r="F4" s="137"/>
      <c r="G4" s="136" t="s">
        <v>907</v>
      </c>
      <c r="H4" s="138" t="s">
        <v>908</v>
      </c>
      <c r="I4" s="241">
        <v>32</v>
      </c>
      <c r="J4" s="242" t="s">
        <v>909</v>
      </c>
      <c r="K4" s="136" t="s">
        <v>909</v>
      </c>
      <c r="L4" s="136">
        <v>32</v>
      </c>
      <c r="M4" s="136">
        <v>10</v>
      </c>
      <c r="N4" s="136"/>
    </row>
    <row r="5" spans="1:14">
      <c r="A5" s="136" t="s">
        <v>913</v>
      </c>
      <c r="B5" s="134">
        <v>199</v>
      </c>
      <c r="C5" s="136" t="s">
        <v>27</v>
      </c>
      <c r="D5" s="137">
        <v>46157</v>
      </c>
      <c r="E5" s="137">
        <v>46249</v>
      </c>
      <c r="F5" s="137"/>
      <c r="G5" s="136" t="s">
        <v>907</v>
      </c>
      <c r="H5" s="136" t="s">
        <v>914</v>
      </c>
      <c r="I5" s="241">
        <v>199</v>
      </c>
      <c r="J5" s="136" t="s">
        <v>911</v>
      </c>
      <c r="K5" s="136" t="s">
        <v>909</v>
      </c>
      <c r="L5" s="136">
        <v>13</v>
      </c>
      <c r="M5" s="136">
        <v>7</v>
      </c>
      <c r="N5" s="136"/>
    </row>
    <row r="6" spans="1:14">
      <c r="A6" s="136" t="s">
        <v>915</v>
      </c>
      <c r="B6" s="134">
        <v>199</v>
      </c>
      <c r="C6" s="136" t="s">
        <v>27</v>
      </c>
      <c r="D6" s="137">
        <v>46188</v>
      </c>
      <c r="E6" s="137">
        <v>46218</v>
      </c>
      <c r="F6" s="137"/>
      <c r="G6" s="136" t="s">
        <v>916</v>
      </c>
      <c r="H6" s="136" t="s">
        <v>917</v>
      </c>
      <c r="I6" s="241">
        <v>199</v>
      </c>
      <c r="J6" s="136" t="s">
        <v>911</v>
      </c>
      <c r="K6" s="136" t="s">
        <v>909</v>
      </c>
      <c r="L6" s="136"/>
      <c r="M6" s="136"/>
      <c r="N6" s="136"/>
    </row>
    <row r="7" spans="1:14" ht="22.5">
      <c r="A7" s="136" t="s">
        <v>918</v>
      </c>
      <c r="B7" s="134">
        <v>195</v>
      </c>
      <c r="C7" s="136" t="s">
        <v>27</v>
      </c>
      <c r="D7" s="137">
        <v>46188</v>
      </c>
      <c r="E7" s="137">
        <v>46218</v>
      </c>
      <c r="F7" s="137"/>
      <c r="G7" s="136" t="s">
        <v>916</v>
      </c>
      <c r="H7" s="138" t="s">
        <v>919</v>
      </c>
      <c r="I7" s="241"/>
      <c r="J7" s="136" t="s">
        <v>909</v>
      </c>
      <c r="K7" s="136" t="s">
        <v>909</v>
      </c>
      <c r="L7" s="136"/>
      <c r="M7" s="136"/>
      <c r="N7" s="136"/>
    </row>
    <row r="8" spans="1:14">
      <c r="A8" s="136" t="s">
        <v>920</v>
      </c>
      <c r="B8" s="134">
        <v>126</v>
      </c>
      <c r="C8" s="136" t="s">
        <v>27</v>
      </c>
      <c r="D8" s="137">
        <v>46188</v>
      </c>
      <c r="E8" s="137">
        <v>46218</v>
      </c>
      <c r="F8" s="137"/>
      <c r="G8" s="136" t="s">
        <v>916</v>
      </c>
      <c r="H8" s="136" t="s">
        <v>921</v>
      </c>
      <c r="I8" s="241">
        <v>126</v>
      </c>
      <c r="J8" s="136" t="s">
        <v>911</v>
      </c>
      <c r="K8" s="136" t="s">
        <v>909</v>
      </c>
      <c r="L8" s="136"/>
      <c r="M8" s="136"/>
      <c r="N8" s="136"/>
    </row>
    <row r="9" spans="1:14">
      <c r="A9" s="136" t="s">
        <v>922</v>
      </c>
      <c r="B9" s="134">
        <v>113</v>
      </c>
      <c r="C9" s="136" t="s">
        <v>27</v>
      </c>
      <c r="D9" s="137">
        <v>46188</v>
      </c>
      <c r="E9" s="137">
        <v>46218</v>
      </c>
      <c r="F9" s="137"/>
      <c r="G9" s="136" t="s">
        <v>916</v>
      </c>
      <c r="H9" s="136" t="s">
        <v>917</v>
      </c>
      <c r="I9" s="241"/>
      <c r="J9" s="136" t="s">
        <v>909</v>
      </c>
      <c r="K9" s="136" t="s">
        <v>909</v>
      </c>
      <c r="L9" s="136"/>
      <c r="M9" s="136"/>
      <c r="N9" s="136"/>
    </row>
    <row r="10" spans="1:14">
      <c r="A10" s="136" t="s">
        <v>923</v>
      </c>
      <c r="B10" s="134">
        <v>89</v>
      </c>
      <c r="C10" s="136" t="s">
        <v>27</v>
      </c>
      <c r="D10" s="137">
        <v>46188</v>
      </c>
      <c r="E10" s="137">
        <v>46218</v>
      </c>
      <c r="F10" s="137"/>
      <c r="G10" s="136" t="s">
        <v>916</v>
      </c>
      <c r="H10" s="136" t="s">
        <v>914</v>
      </c>
      <c r="I10" s="241"/>
      <c r="J10" s="136"/>
      <c r="K10" s="136"/>
      <c r="L10" s="136"/>
      <c r="M10" s="136"/>
      <c r="N10" s="136"/>
    </row>
    <row r="11" spans="1:14">
      <c r="A11" s="136" t="s">
        <v>924</v>
      </c>
      <c r="B11" s="134">
        <v>37</v>
      </c>
      <c r="C11" s="136" t="s">
        <v>925</v>
      </c>
      <c r="D11" s="137">
        <v>46218</v>
      </c>
      <c r="E11" s="137">
        <v>46249</v>
      </c>
      <c r="F11" s="137"/>
      <c r="G11" s="136" t="s">
        <v>926</v>
      </c>
      <c r="H11" s="138" t="s">
        <v>914</v>
      </c>
      <c r="I11" s="241">
        <v>4</v>
      </c>
      <c r="J11" s="136" t="s">
        <v>909</v>
      </c>
      <c r="K11" s="136" t="s">
        <v>909</v>
      </c>
      <c r="L11" s="136">
        <v>4</v>
      </c>
      <c r="M11" s="136">
        <v>4</v>
      </c>
      <c r="N11" s="136"/>
    </row>
    <row r="12" spans="1:14">
      <c r="A12" s="136" t="s">
        <v>924</v>
      </c>
      <c r="B12" s="134">
        <v>38</v>
      </c>
      <c r="C12" s="136" t="s">
        <v>925</v>
      </c>
      <c r="D12" s="137">
        <v>46218</v>
      </c>
      <c r="E12" s="137">
        <v>46249</v>
      </c>
      <c r="F12" s="244"/>
      <c r="G12" s="136" t="s">
        <v>926</v>
      </c>
      <c r="H12" s="245" t="s">
        <v>917</v>
      </c>
      <c r="I12" s="134"/>
      <c r="J12" s="138"/>
      <c r="K12" s="136"/>
      <c r="L12" s="136"/>
      <c r="M12" s="136"/>
      <c r="N12" s="136"/>
    </row>
    <row r="13" spans="1:14">
      <c r="A13" s="136" t="s">
        <v>927</v>
      </c>
      <c r="B13" s="134">
        <v>65</v>
      </c>
      <c r="C13" s="136" t="s">
        <v>925</v>
      </c>
      <c r="D13" s="137">
        <v>46218</v>
      </c>
      <c r="E13" s="137">
        <v>46249</v>
      </c>
      <c r="F13" s="137"/>
      <c r="G13" s="136" t="s">
        <v>926</v>
      </c>
      <c r="H13" s="136" t="s">
        <v>914</v>
      </c>
      <c r="I13" s="241"/>
      <c r="J13" s="136"/>
      <c r="K13" s="136"/>
      <c r="L13" s="136"/>
      <c r="M13" s="136"/>
      <c r="N13" s="136"/>
    </row>
    <row r="14" spans="1:14">
      <c r="A14" s="136" t="s">
        <v>928</v>
      </c>
      <c r="B14" s="134">
        <v>36</v>
      </c>
      <c r="C14" s="136" t="s">
        <v>925</v>
      </c>
      <c r="D14" s="137">
        <v>46218</v>
      </c>
      <c r="E14" s="137">
        <v>46249</v>
      </c>
      <c r="F14" s="137"/>
      <c r="G14" s="136" t="s">
        <v>926</v>
      </c>
      <c r="H14" s="136" t="s">
        <v>921</v>
      </c>
      <c r="I14" s="241"/>
      <c r="J14" s="136"/>
      <c r="K14" s="136"/>
      <c r="L14" s="136"/>
      <c r="M14" s="136"/>
      <c r="N14" s="136"/>
    </row>
    <row r="15" spans="1:14">
      <c r="A15" s="136" t="s">
        <v>929</v>
      </c>
      <c r="B15" s="134">
        <v>35</v>
      </c>
      <c r="C15" s="136" t="s">
        <v>925</v>
      </c>
      <c r="D15" s="137">
        <v>46218</v>
      </c>
      <c r="E15" s="137">
        <v>46249</v>
      </c>
      <c r="F15" s="137">
        <v>46235</v>
      </c>
      <c r="G15" s="136" t="s">
        <v>926</v>
      </c>
      <c r="H15" s="136" t="s">
        <v>914</v>
      </c>
      <c r="I15" s="241">
        <v>35</v>
      </c>
      <c r="J15" s="136" t="s">
        <v>911</v>
      </c>
      <c r="K15" s="136" t="s">
        <v>911</v>
      </c>
      <c r="L15" s="136">
        <v>35</v>
      </c>
      <c r="M15" s="136">
        <v>1</v>
      </c>
      <c r="N15" s="136"/>
    </row>
    <row r="16" spans="1:14">
      <c r="A16" s="136" t="s">
        <v>930</v>
      </c>
      <c r="B16" s="134">
        <v>33</v>
      </c>
      <c r="C16" s="136" t="s">
        <v>925</v>
      </c>
      <c r="D16" s="137">
        <v>46218</v>
      </c>
      <c r="E16" s="137">
        <v>46249</v>
      </c>
      <c r="F16" s="137"/>
      <c r="G16" s="136" t="s">
        <v>926</v>
      </c>
      <c r="H16" s="136" t="s">
        <v>917</v>
      </c>
      <c r="I16" s="241"/>
      <c r="J16" s="136"/>
      <c r="K16" s="136"/>
      <c r="L16" s="136"/>
      <c r="M16" s="136"/>
      <c r="N16" s="136"/>
    </row>
    <row r="17" spans="1:14">
      <c r="A17" s="136" t="s">
        <v>931</v>
      </c>
      <c r="B17" s="134">
        <v>31</v>
      </c>
      <c r="C17" s="136" t="s">
        <v>925</v>
      </c>
      <c r="D17" s="137">
        <v>46218</v>
      </c>
      <c r="E17" s="137">
        <v>46249</v>
      </c>
      <c r="F17" s="137"/>
      <c r="G17" s="136" t="s">
        <v>926</v>
      </c>
      <c r="H17" s="136" t="s">
        <v>914</v>
      </c>
      <c r="I17" s="241"/>
      <c r="J17" s="136"/>
      <c r="K17" s="136"/>
      <c r="L17" s="136"/>
      <c r="M17" s="136"/>
      <c r="N17" s="136"/>
    </row>
    <row r="18" spans="1:14">
      <c r="A18" s="136" t="s">
        <v>932</v>
      </c>
      <c r="B18" s="134">
        <v>29</v>
      </c>
      <c r="C18" s="136" t="s">
        <v>925</v>
      </c>
      <c r="D18" s="137">
        <v>46218</v>
      </c>
      <c r="E18" s="137">
        <v>46249</v>
      </c>
      <c r="F18" s="137"/>
      <c r="G18" s="136" t="s">
        <v>926</v>
      </c>
      <c r="H18" s="136" t="s">
        <v>933</v>
      </c>
      <c r="I18" s="241"/>
      <c r="J18" s="136"/>
      <c r="K18" s="136"/>
      <c r="L18" s="136"/>
      <c r="M18" s="136"/>
      <c r="N18" s="136"/>
    </row>
    <row r="19" spans="1:14">
      <c r="A19" s="136" t="s">
        <v>934</v>
      </c>
      <c r="B19" s="134">
        <v>28</v>
      </c>
      <c r="C19" s="136" t="s">
        <v>925</v>
      </c>
      <c r="D19" s="137">
        <v>46218</v>
      </c>
      <c r="E19" s="137">
        <v>46249</v>
      </c>
      <c r="F19" s="137"/>
      <c r="G19" s="136" t="s">
        <v>926</v>
      </c>
      <c r="H19" s="136" t="s">
        <v>917</v>
      </c>
      <c r="I19" s="241"/>
      <c r="J19" s="136" t="s">
        <v>909</v>
      </c>
      <c r="K19" s="136" t="s">
        <v>909</v>
      </c>
      <c r="L19" s="136"/>
      <c r="M19" s="136"/>
      <c r="N19" s="136"/>
    </row>
    <row r="20" spans="1:14">
      <c r="A20" s="136" t="s">
        <v>935</v>
      </c>
      <c r="B20" s="134">
        <v>26</v>
      </c>
      <c r="C20" s="136" t="s">
        <v>925</v>
      </c>
      <c r="D20" s="137">
        <v>46218</v>
      </c>
      <c r="E20" s="137">
        <v>46249</v>
      </c>
      <c r="F20" s="137"/>
      <c r="G20" s="136" t="s">
        <v>926</v>
      </c>
      <c r="H20" s="136" t="s">
        <v>914</v>
      </c>
      <c r="I20" s="241"/>
      <c r="J20" s="136"/>
      <c r="K20" s="136"/>
      <c r="L20" s="136"/>
      <c r="M20" s="136"/>
      <c r="N20" s="136"/>
    </row>
    <row r="21" spans="1:14">
      <c r="A21" s="136" t="s">
        <v>936</v>
      </c>
      <c r="B21" s="134">
        <v>25</v>
      </c>
      <c r="C21" s="136" t="s">
        <v>925</v>
      </c>
      <c r="D21" s="137">
        <v>46218</v>
      </c>
      <c r="E21" s="137">
        <v>46249</v>
      </c>
      <c r="F21" s="137"/>
      <c r="G21" s="136" t="s">
        <v>926</v>
      </c>
      <c r="H21" s="136" t="s">
        <v>921</v>
      </c>
      <c r="I21" s="241"/>
      <c r="J21" s="136"/>
      <c r="K21" s="136"/>
      <c r="L21" s="136"/>
      <c r="M21" s="136"/>
      <c r="N21" s="136"/>
    </row>
    <row r="22" spans="1:14">
      <c r="A22" s="136" t="s">
        <v>937</v>
      </c>
      <c r="B22" s="134">
        <v>25</v>
      </c>
      <c r="C22" s="136" t="s">
        <v>925</v>
      </c>
      <c r="D22" s="137">
        <v>46218</v>
      </c>
      <c r="E22" s="137">
        <v>46249</v>
      </c>
      <c r="F22" s="137"/>
      <c r="G22" s="136" t="s">
        <v>926</v>
      </c>
      <c r="H22" s="136" t="s">
        <v>917</v>
      </c>
      <c r="I22" s="241"/>
      <c r="J22" s="136"/>
      <c r="K22" s="136"/>
      <c r="L22" s="136"/>
      <c r="M22" s="136"/>
      <c r="N22" s="136"/>
    </row>
    <row r="23" spans="1:14">
      <c r="A23" s="136" t="s">
        <v>938</v>
      </c>
      <c r="B23" s="134">
        <v>24</v>
      </c>
      <c r="C23" s="136" t="s">
        <v>925</v>
      </c>
      <c r="D23" s="137">
        <v>46218</v>
      </c>
      <c r="E23" s="137">
        <v>46249</v>
      </c>
      <c r="F23" s="137"/>
      <c r="G23" s="136" t="s">
        <v>926</v>
      </c>
      <c r="H23" s="136" t="s">
        <v>914</v>
      </c>
      <c r="I23" s="241"/>
      <c r="J23" s="136"/>
      <c r="K23" s="136"/>
      <c r="L23" s="136"/>
      <c r="M23" s="136"/>
      <c r="N23" s="136"/>
    </row>
    <row r="24" spans="1:14">
      <c r="A24" s="136" t="s">
        <v>939</v>
      </c>
      <c r="B24" s="134">
        <v>22</v>
      </c>
      <c r="C24" s="136" t="s">
        <v>925</v>
      </c>
      <c r="D24" s="137">
        <v>46218</v>
      </c>
      <c r="E24" s="137">
        <v>46249</v>
      </c>
      <c r="F24" s="137"/>
      <c r="G24" s="136" t="s">
        <v>926</v>
      </c>
      <c r="H24" s="136" t="s">
        <v>921</v>
      </c>
      <c r="I24" s="241"/>
      <c r="J24" s="136"/>
      <c r="K24" s="136"/>
      <c r="L24" s="136"/>
      <c r="M24" s="136"/>
      <c r="N24" s="136"/>
    </row>
    <row r="25" spans="1:14">
      <c r="A25" s="136" t="s">
        <v>940</v>
      </c>
      <c r="B25" s="134">
        <v>20</v>
      </c>
      <c r="C25" s="136" t="s">
        <v>925</v>
      </c>
      <c r="D25" s="137">
        <v>46218</v>
      </c>
      <c r="E25" s="137">
        <v>46249</v>
      </c>
      <c r="F25" s="137"/>
      <c r="G25" s="136" t="s">
        <v>926</v>
      </c>
      <c r="H25" s="136" t="s">
        <v>917</v>
      </c>
      <c r="I25" s="241"/>
      <c r="J25" s="136"/>
      <c r="K25" s="136"/>
      <c r="L25" s="136"/>
      <c r="M25" s="136"/>
      <c r="N25" s="136"/>
    </row>
    <row r="26" spans="1:14">
      <c r="A26" s="136" t="s">
        <v>941</v>
      </c>
      <c r="B26" s="134">
        <v>20</v>
      </c>
      <c r="C26" s="136" t="s">
        <v>925</v>
      </c>
      <c r="D26" s="137">
        <v>46218</v>
      </c>
      <c r="E26" s="137">
        <v>46249</v>
      </c>
      <c r="F26" s="137"/>
      <c r="G26" s="136" t="s">
        <v>926</v>
      </c>
      <c r="H26" s="136" t="s">
        <v>914</v>
      </c>
      <c r="I26" s="241">
        <v>1</v>
      </c>
      <c r="J26" s="136" t="s">
        <v>909</v>
      </c>
      <c r="K26" s="136" t="s">
        <v>909</v>
      </c>
      <c r="L26" s="136">
        <v>1</v>
      </c>
      <c r="M26" s="136"/>
      <c r="N26" s="136"/>
    </row>
    <row r="27" spans="1:14">
      <c r="A27" s="136" t="s">
        <v>942</v>
      </c>
      <c r="B27" s="134">
        <v>19</v>
      </c>
      <c r="C27" s="136" t="s">
        <v>925</v>
      </c>
      <c r="D27" s="137">
        <v>46218</v>
      </c>
      <c r="E27" s="137">
        <v>46249</v>
      </c>
      <c r="F27" s="137"/>
      <c r="G27" s="136" t="s">
        <v>926</v>
      </c>
      <c r="H27" s="136" t="s">
        <v>921</v>
      </c>
      <c r="I27" s="241"/>
      <c r="J27" s="136"/>
      <c r="K27" s="136"/>
      <c r="L27" s="136"/>
      <c r="M27" s="136"/>
      <c r="N27" s="136"/>
    </row>
    <row r="28" spans="1:14">
      <c r="A28" s="136" t="s">
        <v>943</v>
      </c>
      <c r="B28" s="134">
        <v>17</v>
      </c>
      <c r="C28" s="136" t="s">
        <v>925</v>
      </c>
      <c r="D28" s="137">
        <v>46218</v>
      </c>
      <c r="E28" s="137">
        <v>46249</v>
      </c>
      <c r="F28" s="137"/>
      <c r="G28" s="136" t="s">
        <v>926</v>
      </c>
      <c r="H28" s="136" t="s">
        <v>917</v>
      </c>
      <c r="I28" s="241"/>
      <c r="J28" s="136"/>
      <c r="K28" s="136"/>
      <c r="L28" s="136"/>
      <c r="M28" s="136"/>
      <c r="N28" s="136"/>
    </row>
    <row r="29" spans="1:14">
      <c r="A29" s="136" t="s">
        <v>944</v>
      </c>
      <c r="B29" s="134">
        <v>17</v>
      </c>
      <c r="C29" s="136" t="s">
        <v>925</v>
      </c>
      <c r="D29" s="137">
        <v>46218</v>
      </c>
      <c r="E29" s="137">
        <v>46249</v>
      </c>
      <c r="F29" s="137"/>
      <c r="G29" s="136" t="s">
        <v>926</v>
      </c>
      <c r="H29" s="136" t="s">
        <v>914</v>
      </c>
      <c r="I29" s="241"/>
      <c r="J29" s="136"/>
      <c r="K29" s="136"/>
      <c r="L29" s="136"/>
      <c r="M29" s="136"/>
      <c r="N29" s="136"/>
    </row>
    <row r="30" spans="1:14">
      <c r="A30" s="136" t="s">
        <v>945</v>
      </c>
      <c r="B30" s="134">
        <v>17</v>
      </c>
      <c r="C30" s="136" t="s">
        <v>925</v>
      </c>
      <c r="D30" s="137">
        <v>46218</v>
      </c>
      <c r="E30" s="137">
        <v>46249</v>
      </c>
      <c r="F30" s="137"/>
      <c r="G30" s="136" t="s">
        <v>926</v>
      </c>
      <c r="H30" s="136" t="s">
        <v>921</v>
      </c>
      <c r="I30" s="241"/>
      <c r="J30" s="136"/>
      <c r="K30" s="136"/>
      <c r="L30" s="136"/>
      <c r="M30" s="136"/>
      <c r="N30" s="136"/>
    </row>
    <row r="31" spans="1:14">
      <c r="A31" s="136" t="s">
        <v>946</v>
      </c>
      <c r="B31" s="134">
        <v>15</v>
      </c>
      <c r="C31" s="136" t="s">
        <v>925</v>
      </c>
      <c r="D31" s="137">
        <v>46218</v>
      </c>
      <c r="E31" s="137">
        <v>46249</v>
      </c>
      <c r="F31" s="137">
        <v>46235</v>
      </c>
      <c r="G31" s="136" t="s">
        <v>926</v>
      </c>
      <c r="H31" s="136" t="s">
        <v>914</v>
      </c>
      <c r="I31" s="241">
        <v>15</v>
      </c>
      <c r="J31" s="138" t="s">
        <v>911</v>
      </c>
      <c r="K31" s="136" t="s">
        <v>911</v>
      </c>
      <c r="L31" s="136">
        <v>15</v>
      </c>
      <c r="M31" s="136">
        <v>5</v>
      </c>
      <c r="N31" s="136"/>
    </row>
    <row r="32" spans="1:14">
      <c r="A32" s="136" t="s">
        <v>947</v>
      </c>
      <c r="B32" s="134">
        <v>14</v>
      </c>
      <c r="C32" s="136" t="s">
        <v>925</v>
      </c>
      <c r="D32" s="137">
        <v>46218</v>
      </c>
      <c r="E32" s="137">
        <v>46249</v>
      </c>
      <c r="F32" s="137"/>
      <c r="G32" s="136" t="s">
        <v>926</v>
      </c>
      <c r="H32" s="136" t="s">
        <v>914</v>
      </c>
      <c r="I32" s="241"/>
      <c r="J32" s="136"/>
      <c r="K32" s="136"/>
      <c r="L32" s="136"/>
      <c r="M32" s="136"/>
      <c r="N32" s="136"/>
    </row>
    <row r="33" spans="1:14">
      <c r="A33" s="136" t="s">
        <v>948</v>
      </c>
      <c r="B33" s="134">
        <v>20</v>
      </c>
      <c r="C33" s="136" t="s">
        <v>925</v>
      </c>
      <c r="D33" s="137">
        <v>46218</v>
      </c>
      <c r="E33" s="137">
        <v>46249</v>
      </c>
      <c r="F33" s="137"/>
      <c r="G33" s="136" t="s">
        <v>926</v>
      </c>
      <c r="H33" s="136" t="s">
        <v>921</v>
      </c>
      <c r="I33" s="241"/>
      <c r="J33" s="136"/>
      <c r="K33" s="136"/>
      <c r="L33" s="136"/>
      <c r="M33" s="136"/>
      <c r="N33" s="136"/>
    </row>
    <row r="34" spans="1:14">
      <c r="A34" s="136" t="s">
        <v>949</v>
      </c>
      <c r="B34" s="134">
        <v>13</v>
      </c>
      <c r="C34" s="136" t="s">
        <v>925</v>
      </c>
      <c r="D34" s="137">
        <v>46218</v>
      </c>
      <c r="E34" s="137">
        <v>46249</v>
      </c>
      <c r="F34" s="137"/>
      <c r="G34" s="136" t="s">
        <v>926</v>
      </c>
      <c r="H34" s="136" t="s">
        <v>917</v>
      </c>
      <c r="I34" s="241"/>
      <c r="J34" s="136"/>
      <c r="K34" s="136"/>
      <c r="L34" s="136"/>
      <c r="M34" s="136"/>
      <c r="N34" s="136"/>
    </row>
    <row r="35" spans="1:14">
      <c r="A35" s="136" t="s">
        <v>950</v>
      </c>
      <c r="B35" s="134">
        <v>11</v>
      </c>
      <c r="C35" s="136" t="s">
        <v>925</v>
      </c>
      <c r="D35" s="137">
        <v>46218</v>
      </c>
      <c r="E35" s="137">
        <v>46249</v>
      </c>
      <c r="F35" s="137"/>
      <c r="G35" s="136" t="s">
        <v>951</v>
      </c>
      <c r="H35" s="136" t="s">
        <v>914</v>
      </c>
      <c r="I35" s="241"/>
      <c r="J35" s="136"/>
      <c r="K35" s="136"/>
      <c r="L35" s="136"/>
      <c r="M35" s="136"/>
      <c r="N35" s="136"/>
    </row>
    <row r="36" spans="1:14">
      <c r="A36" s="136" t="s">
        <v>952</v>
      </c>
      <c r="B36" s="134">
        <v>9</v>
      </c>
      <c r="C36" s="136" t="s">
        <v>925</v>
      </c>
      <c r="D36" s="137">
        <v>46218</v>
      </c>
      <c r="E36" s="137">
        <v>46249</v>
      </c>
      <c r="F36" s="137"/>
      <c r="G36" s="136" t="s">
        <v>951</v>
      </c>
      <c r="H36" s="136" t="s">
        <v>921</v>
      </c>
      <c r="I36" s="241"/>
      <c r="J36" s="136"/>
      <c r="K36" s="136"/>
      <c r="L36" s="136"/>
      <c r="M36" s="136"/>
      <c r="N36" s="136"/>
    </row>
    <row r="37" spans="1:14">
      <c r="A37" s="136" t="s">
        <v>953</v>
      </c>
      <c r="B37" s="134">
        <v>8</v>
      </c>
      <c r="C37" s="136" t="s">
        <v>925</v>
      </c>
      <c r="D37" s="137">
        <v>46218</v>
      </c>
      <c r="E37" s="137">
        <v>46249</v>
      </c>
      <c r="F37" s="137"/>
      <c r="G37" s="136" t="s">
        <v>951</v>
      </c>
      <c r="H37" s="136" t="s">
        <v>917</v>
      </c>
      <c r="I37" s="241"/>
      <c r="J37" s="136"/>
      <c r="K37" s="136"/>
      <c r="L37" s="136"/>
      <c r="M37" s="136"/>
      <c r="N37" s="136"/>
    </row>
    <row r="38" spans="1:14">
      <c r="A38" s="136" t="s">
        <v>954</v>
      </c>
      <c r="B38" s="134">
        <v>8</v>
      </c>
      <c r="C38" s="136" t="s">
        <v>925</v>
      </c>
      <c r="D38" s="137">
        <v>46218</v>
      </c>
      <c r="E38" s="137">
        <v>46249</v>
      </c>
      <c r="F38" s="137"/>
      <c r="G38" s="136" t="s">
        <v>951</v>
      </c>
      <c r="H38" s="136" t="s">
        <v>914</v>
      </c>
      <c r="I38" s="241"/>
      <c r="J38" s="136"/>
      <c r="K38" s="136"/>
      <c r="L38" s="136"/>
      <c r="M38" s="136"/>
      <c r="N38" s="136"/>
    </row>
    <row r="39" spans="1:14">
      <c r="A39" s="136" t="s">
        <v>955</v>
      </c>
      <c r="B39" s="134">
        <v>8</v>
      </c>
      <c r="C39" s="136" t="s">
        <v>925</v>
      </c>
      <c r="D39" s="137">
        <v>46218</v>
      </c>
      <c r="E39" s="137">
        <v>46249</v>
      </c>
      <c r="F39" s="137"/>
      <c r="G39" s="136" t="s">
        <v>951</v>
      </c>
      <c r="H39" s="136" t="s">
        <v>921</v>
      </c>
      <c r="I39" s="241"/>
      <c r="J39" s="136"/>
      <c r="K39" s="136"/>
      <c r="L39" s="136"/>
      <c r="M39" s="136"/>
      <c r="N39" s="136"/>
    </row>
    <row r="40" spans="1:14">
      <c r="A40" s="136" t="s">
        <v>956</v>
      </c>
      <c r="B40" s="134">
        <v>7</v>
      </c>
      <c r="C40" s="136" t="s">
        <v>925</v>
      </c>
      <c r="D40" s="137">
        <v>46218</v>
      </c>
      <c r="E40" s="137">
        <v>46249</v>
      </c>
      <c r="F40" s="137"/>
      <c r="G40" s="136" t="s">
        <v>951</v>
      </c>
      <c r="H40" s="136" t="s">
        <v>917</v>
      </c>
      <c r="I40" s="241"/>
      <c r="J40" s="136"/>
      <c r="K40" s="136"/>
      <c r="L40" s="136"/>
      <c r="M40" s="136"/>
      <c r="N40" s="136"/>
    </row>
    <row r="41" spans="1:14">
      <c r="A41" s="136" t="s">
        <v>957</v>
      </c>
      <c r="B41" s="134">
        <v>7</v>
      </c>
      <c r="C41" s="136" t="s">
        <v>925</v>
      </c>
      <c r="D41" s="137">
        <v>46218</v>
      </c>
      <c r="E41" s="137">
        <v>46249</v>
      </c>
      <c r="F41" s="137"/>
      <c r="G41" s="136" t="s">
        <v>951</v>
      </c>
      <c r="H41" s="136" t="s">
        <v>914</v>
      </c>
      <c r="I41" s="241"/>
      <c r="J41" s="136"/>
      <c r="K41" s="136"/>
      <c r="L41" s="136"/>
      <c r="M41" s="136"/>
      <c r="N41" s="136"/>
    </row>
    <row r="42" spans="1:14">
      <c r="A42" s="136" t="s">
        <v>958</v>
      </c>
      <c r="B42" s="134">
        <v>6</v>
      </c>
      <c r="C42" s="136" t="s">
        <v>925</v>
      </c>
      <c r="D42" s="137">
        <v>46218</v>
      </c>
      <c r="E42" s="137">
        <v>46249</v>
      </c>
      <c r="F42" s="137"/>
      <c r="G42" s="136" t="s">
        <v>951</v>
      </c>
      <c r="H42" s="136" t="s">
        <v>921</v>
      </c>
      <c r="I42" s="241"/>
      <c r="J42" s="136"/>
      <c r="K42" s="136"/>
      <c r="L42" s="136"/>
      <c r="M42" s="136"/>
      <c r="N42" s="136"/>
    </row>
    <row r="43" spans="1:14">
      <c r="A43" s="136" t="s">
        <v>959</v>
      </c>
      <c r="B43" s="134">
        <v>6</v>
      </c>
      <c r="C43" s="136" t="s">
        <v>925</v>
      </c>
      <c r="D43" s="137">
        <v>46218</v>
      </c>
      <c r="E43" s="137">
        <v>46249</v>
      </c>
      <c r="F43" s="137"/>
      <c r="G43" s="136" t="s">
        <v>951</v>
      </c>
      <c r="H43" s="136" t="s">
        <v>917</v>
      </c>
      <c r="I43" s="241"/>
      <c r="J43" s="136"/>
      <c r="K43" s="136"/>
      <c r="L43" s="136"/>
      <c r="M43" s="136"/>
      <c r="N43" s="136"/>
    </row>
    <row r="44" spans="1:14">
      <c r="A44" s="136" t="s">
        <v>960</v>
      </c>
      <c r="B44" s="134">
        <v>6</v>
      </c>
      <c r="C44" s="136" t="s">
        <v>925</v>
      </c>
      <c r="D44" s="137">
        <v>46218</v>
      </c>
      <c r="E44" s="137">
        <v>46249</v>
      </c>
      <c r="F44" s="137"/>
      <c r="G44" s="136" t="s">
        <v>951</v>
      </c>
      <c r="H44" s="136" t="s">
        <v>914</v>
      </c>
      <c r="I44" s="241"/>
      <c r="J44" s="136"/>
      <c r="K44" s="136"/>
      <c r="L44" s="136"/>
      <c r="M44" s="136"/>
      <c r="N44" s="136"/>
    </row>
    <row r="45" spans="1:14">
      <c r="A45" s="136" t="s">
        <v>961</v>
      </c>
      <c r="B45" s="134">
        <v>5</v>
      </c>
      <c r="C45" s="136" t="s">
        <v>925</v>
      </c>
      <c r="D45" s="137">
        <v>46218</v>
      </c>
      <c r="E45" s="137">
        <v>46249</v>
      </c>
      <c r="F45" s="137"/>
      <c r="G45" s="136" t="s">
        <v>951</v>
      </c>
      <c r="H45" s="136" t="s">
        <v>921</v>
      </c>
      <c r="I45" s="241">
        <v>5</v>
      </c>
      <c r="J45" s="136" t="s">
        <v>909</v>
      </c>
      <c r="K45" s="136" t="s">
        <v>909</v>
      </c>
      <c r="L45" s="136">
        <v>5</v>
      </c>
      <c r="M45" s="136"/>
      <c r="N45" s="136"/>
    </row>
    <row r="46" spans="1:14">
      <c r="A46" s="136" t="s">
        <v>962</v>
      </c>
      <c r="B46" s="134">
        <v>5</v>
      </c>
      <c r="C46" s="136" t="s">
        <v>925</v>
      </c>
      <c r="D46" s="137">
        <v>46218</v>
      </c>
      <c r="E46" s="137">
        <v>46249</v>
      </c>
      <c r="F46" s="137"/>
      <c r="G46" s="136" t="s">
        <v>951</v>
      </c>
      <c r="H46" s="136" t="s">
        <v>917</v>
      </c>
      <c r="I46" s="241"/>
      <c r="J46" s="136"/>
      <c r="K46" s="136"/>
      <c r="L46" s="136"/>
      <c r="M46" s="136"/>
      <c r="N46" s="136"/>
    </row>
    <row r="47" spans="1:14">
      <c r="A47" s="136" t="s">
        <v>963</v>
      </c>
      <c r="B47" s="134">
        <v>5</v>
      </c>
      <c r="C47" s="136" t="s">
        <v>925</v>
      </c>
      <c r="D47" s="137">
        <v>46218</v>
      </c>
      <c r="E47" s="137">
        <v>46249</v>
      </c>
      <c r="F47" s="137"/>
      <c r="G47" s="136" t="s">
        <v>951</v>
      </c>
      <c r="H47" s="136" t="s">
        <v>914</v>
      </c>
      <c r="I47" s="241"/>
      <c r="J47" s="136"/>
      <c r="K47" s="136"/>
      <c r="L47" s="136"/>
      <c r="M47" s="136"/>
      <c r="N47" s="136"/>
    </row>
    <row r="48" spans="1:14">
      <c r="A48" s="136" t="s">
        <v>964</v>
      </c>
      <c r="B48" s="134">
        <v>4</v>
      </c>
      <c r="C48" s="136" t="s">
        <v>925</v>
      </c>
      <c r="D48" s="137">
        <v>46218</v>
      </c>
      <c r="E48" s="137">
        <v>46249</v>
      </c>
      <c r="F48" s="137"/>
      <c r="G48" s="136" t="s">
        <v>951</v>
      </c>
      <c r="H48" s="136" t="s">
        <v>921</v>
      </c>
      <c r="I48" s="241"/>
      <c r="J48" s="136"/>
      <c r="K48" s="136"/>
      <c r="L48" s="136"/>
      <c r="M48" s="136"/>
      <c r="N48" s="136"/>
    </row>
    <row r="49" spans="1:14">
      <c r="A49" s="136" t="s">
        <v>965</v>
      </c>
      <c r="B49" s="134">
        <v>4</v>
      </c>
      <c r="C49" s="136" t="s">
        <v>925</v>
      </c>
      <c r="D49" s="137">
        <v>46218</v>
      </c>
      <c r="E49" s="137">
        <v>46249</v>
      </c>
      <c r="F49" s="137"/>
      <c r="G49" s="136" t="s">
        <v>951</v>
      </c>
      <c r="H49" s="136" t="s">
        <v>917</v>
      </c>
      <c r="I49" s="241"/>
      <c r="J49" s="136"/>
      <c r="K49" s="136"/>
      <c r="L49" s="136"/>
      <c r="M49" s="136"/>
      <c r="N49" s="136"/>
    </row>
    <row r="50" spans="1:14">
      <c r="A50" s="136" t="s">
        <v>966</v>
      </c>
      <c r="B50" s="134">
        <v>4</v>
      </c>
      <c r="C50" s="136" t="s">
        <v>925</v>
      </c>
      <c r="D50" s="137">
        <v>46218</v>
      </c>
      <c r="E50" s="137">
        <v>46249</v>
      </c>
      <c r="F50" s="137"/>
      <c r="G50" s="136" t="s">
        <v>951</v>
      </c>
      <c r="H50" s="136" t="s">
        <v>914</v>
      </c>
      <c r="I50" s="241"/>
      <c r="J50" s="136"/>
      <c r="K50" s="136"/>
      <c r="L50" s="136"/>
      <c r="M50" s="136"/>
      <c r="N50" s="136"/>
    </row>
    <row r="51" spans="1:14">
      <c r="A51" s="136" t="s">
        <v>967</v>
      </c>
      <c r="B51" s="134">
        <v>4</v>
      </c>
      <c r="C51" s="136" t="s">
        <v>925</v>
      </c>
      <c r="D51" s="137">
        <v>46218</v>
      </c>
      <c r="E51" s="137">
        <v>46249</v>
      </c>
      <c r="F51" s="137"/>
      <c r="G51" s="136" t="s">
        <v>951</v>
      </c>
      <c r="H51" s="136" t="s">
        <v>921</v>
      </c>
      <c r="I51" s="241"/>
      <c r="J51" s="136"/>
      <c r="K51" s="136"/>
      <c r="L51" s="136"/>
      <c r="M51" s="136"/>
      <c r="N51" s="136"/>
    </row>
    <row r="52" spans="1:14">
      <c r="A52" s="136" t="s">
        <v>968</v>
      </c>
      <c r="B52" s="134">
        <v>4</v>
      </c>
      <c r="C52" s="136" t="s">
        <v>925</v>
      </c>
      <c r="D52" s="137">
        <v>46218</v>
      </c>
      <c r="E52" s="137">
        <v>46249</v>
      </c>
      <c r="F52" s="137"/>
      <c r="G52" s="136" t="s">
        <v>951</v>
      </c>
      <c r="H52" s="136" t="s">
        <v>921</v>
      </c>
      <c r="I52" s="241">
        <v>2</v>
      </c>
      <c r="J52" s="136" t="s">
        <v>909</v>
      </c>
      <c r="K52" s="136"/>
      <c r="L52" s="136"/>
      <c r="M52" s="136"/>
      <c r="N52" s="136"/>
    </row>
    <row r="53" spans="1:14">
      <c r="A53" s="136" t="s">
        <v>969</v>
      </c>
      <c r="B53" s="134">
        <v>4</v>
      </c>
      <c r="C53" s="136" t="s">
        <v>925</v>
      </c>
      <c r="D53" s="137">
        <v>46218</v>
      </c>
      <c r="E53" s="137">
        <v>46249</v>
      </c>
      <c r="F53" s="137"/>
      <c r="G53" s="136" t="s">
        <v>951</v>
      </c>
      <c r="H53" s="136" t="s">
        <v>914</v>
      </c>
      <c r="I53" s="241"/>
      <c r="J53" s="136"/>
      <c r="K53" s="136"/>
      <c r="L53" s="136"/>
      <c r="M53" s="136"/>
      <c r="N53" s="136"/>
    </row>
    <row r="54" spans="1:14">
      <c r="A54" s="136" t="s">
        <v>970</v>
      </c>
      <c r="B54" s="134">
        <v>4</v>
      </c>
      <c r="C54" s="136" t="s">
        <v>925</v>
      </c>
      <c r="D54" s="137">
        <v>46218</v>
      </c>
      <c r="E54" s="137">
        <v>46249</v>
      </c>
      <c r="F54" s="137"/>
      <c r="G54" s="136" t="s">
        <v>951</v>
      </c>
      <c r="H54" s="136" t="s">
        <v>921</v>
      </c>
      <c r="I54" s="241"/>
      <c r="J54" s="136"/>
      <c r="K54" s="136"/>
      <c r="L54" s="136"/>
      <c r="M54" s="136"/>
      <c r="N54" s="136"/>
    </row>
    <row r="55" spans="1:14">
      <c r="A55" s="136" t="s">
        <v>971</v>
      </c>
      <c r="B55" s="134">
        <v>4</v>
      </c>
      <c r="C55" s="136" t="s">
        <v>925</v>
      </c>
      <c r="D55" s="137">
        <v>46218</v>
      </c>
      <c r="E55" s="137">
        <v>46249</v>
      </c>
      <c r="F55" s="137"/>
      <c r="G55" s="136" t="s">
        <v>951</v>
      </c>
      <c r="H55" s="136" t="s">
        <v>917</v>
      </c>
      <c r="I55" s="241"/>
      <c r="J55" s="136"/>
      <c r="K55" s="136"/>
      <c r="L55" s="136"/>
      <c r="M55" s="136"/>
      <c r="N55" s="136"/>
    </row>
    <row r="56" spans="1:14">
      <c r="A56" s="136" t="s">
        <v>972</v>
      </c>
      <c r="B56" s="134">
        <v>3</v>
      </c>
      <c r="C56" s="136" t="s">
        <v>925</v>
      </c>
      <c r="D56" s="137">
        <v>46218</v>
      </c>
      <c r="E56" s="137">
        <v>46249</v>
      </c>
      <c r="F56" s="137"/>
      <c r="G56" s="136" t="s">
        <v>951</v>
      </c>
      <c r="H56" s="138" t="s">
        <v>917</v>
      </c>
      <c r="I56" s="241"/>
      <c r="J56" s="138"/>
      <c r="K56" s="136"/>
      <c r="L56" s="136"/>
      <c r="M56" s="136"/>
      <c r="N56" s="136"/>
    </row>
    <row r="57" spans="1:14">
      <c r="A57" s="136" t="s">
        <v>973</v>
      </c>
      <c r="B57" s="134">
        <v>3</v>
      </c>
      <c r="C57" s="136" t="s">
        <v>925</v>
      </c>
      <c r="D57" s="137">
        <v>46218</v>
      </c>
      <c r="E57" s="137">
        <v>46249</v>
      </c>
      <c r="F57" s="137"/>
      <c r="G57" s="136" t="s">
        <v>951</v>
      </c>
      <c r="H57" s="138" t="s">
        <v>914</v>
      </c>
      <c r="I57" s="241"/>
      <c r="J57" s="138"/>
      <c r="K57" s="136"/>
      <c r="L57" s="136"/>
      <c r="M57" s="136"/>
      <c r="N57" s="136"/>
    </row>
    <row r="58" spans="1:14">
      <c r="A58" s="136" t="s">
        <v>974</v>
      </c>
      <c r="B58" s="134">
        <v>3</v>
      </c>
      <c r="C58" s="136" t="s">
        <v>925</v>
      </c>
      <c r="D58" s="137">
        <v>46218</v>
      </c>
      <c r="E58" s="137">
        <v>46249</v>
      </c>
      <c r="F58" s="137"/>
      <c r="G58" s="136" t="s">
        <v>951</v>
      </c>
      <c r="H58" s="138" t="s">
        <v>921</v>
      </c>
      <c r="I58" s="241"/>
      <c r="J58" s="138"/>
      <c r="K58" s="136"/>
      <c r="L58" s="136"/>
      <c r="M58" s="136"/>
      <c r="N58" s="136"/>
    </row>
    <row r="59" spans="1:14">
      <c r="A59" s="136" t="s">
        <v>975</v>
      </c>
      <c r="B59" s="134">
        <v>3</v>
      </c>
      <c r="C59" s="136" t="s">
        <v>925</v>
      </c>
      <c r="D59" s="137">
        <v>46218</v>
      </c>
      <c r="E59" s="137">
        <v>46249</v>
      </c>
      <c r="F59" s="137"/>
      <c r="G59" s="136" t="s">
        <v>951</v>
      </c>
      <c r="H59" s="138" t="s">
        <v>917</v>
      </c>
      <c r="I59" s="241"/>
      <c r="J59" s="138"/>
      <c r="K59" s="136"/>
      <c r="L59" s="136"/>
      <c r="M59" s="136"/>
      <c r="N59" s="136"/>
    </row>
    <row r="60" spans="1:14">
      <c r="A60" s="136" t="s">
        <v>976</v>
      </c>
      <c r="B60" s="134">
        <v>3</v>
      </c>
      <c r="C60" s="136" t="s">
        <v>925</v>
      </c>
      <c r="D60" s="137">
        <v>46218</v>
      </c>
      <c r="E60" s="137">
        <v>46249</v>
      </c>
      <c r="F60" s="137"/>
      <c r="G60" s="136" t="s">
        <v>951</v>
      </c>
      <c r="H60" s="138" t="s">
        <v>914</v>
      </c>
      <c r="I60" s="241"/>
      <c r="J60" s="138"/>
      <c r="K60" s="136"/>
      <c r="L60" s="136"/>
      <c r="M60" s="136"/>
      <c r="N60" s="136"/>
    </row>
    <row r="61" spans="1:14">
      <c r="A61" s="136" t="s">
        <v>977</v>
      </c>
      <c r="B61" s="134">
        <v>3</v>
      </c>
      <c r="C61" s="136" t="s">
        <v>925</v>
      </c>
      <c r="D61" s="137">
        <v>46218</v>
      </c>
      <c r="E61" s="137">
        <v>46249</v>
      </c>
      <c r="F61" s="137"/>
      <c r="G61" s="136" t="s">
        <v>951</v>
      </c>
      <c r="H61" s="138" t="s">
        <v>921</v>
      </c>
      <c r="I61" s="241"/>
      <c r="J61" s="138"/>
      <c r="K61" s="136"/>
      <c r="L61" s="136"/>
      <c r="M61" s="136"/>
      <c r="N61" s="136"/>
    </row>
    <row r="62" spans="1:14">
      <c r="A62" s="136" t="s">
        <v>978</v>
      </c>
      <c r="B62" s="134">
        <v>3</v>
      </c>
      <c r="C62" s="136" t="s">
        <v>925</v>
      </c>
      <c r="D62" s="137">
        <v>46218</v>
      </c>
      <c r="E62" s="137">
        <v>46249</v>
      </c>
      <c r="F62" s="137"/>
      <c r="G62" s="136" t="s">
        <v>951</v>
      </c>
      <c r="H62" s="138" t="s">
        <v>917</v>
      </c>
      <c r="I62" s="241"/>
      <c r="J62" s="138"/>
      <c r="K62" s="136"/>
      <c r="L62" s="136"/>
      <c r="M62" s="136"/>
      <c r="N62" s="136"/>
    </row>
    <row r="63" spans="1:14">
      <c r="A63" s="136" t="s">
        <v>979</v>
      </c>
      <c r="B63" s="134">
        <v>2</v>
      </c>
      <c r="C63" s="136" t="s">
        <v>925</v>
      </c>
      <c r="D63" s="137">
        <v>46218</v>
      </c>
      <c r="E63" s="137">
        <v>46249</v>
      </c>
      <c r="F63" s="137"/>
      <c r="G63" s="136" t="s">
        <v>951</v>
      </c>
      <c r="H63" s="138" t="s">
        <v>914</v>
      </c>
      <c r="I63" s="241"/>
      <c r="J63" s="138"/>
      <c r="K63" s="136"/>
      <c r="L63" s="136"/>
      <c r="M63" s="136"/>
      <c r="N63" s="136"/>
    </row>
    <row r="64" spans="1:14">
      <c r="A64" s="136" t="s">
        <v>980</v>
      </c>
      <c r="B64" s="134">
        <v>2</v>
      </c>
      <c r="C64" s="136" t="s">
        <v>925</v>
      </c>
      <c r="D64" s="137">
        <v>46218</v>
      </c>
      <c r="E64" s="137">
        <v>46249</v>
      </c>
      <c r="F64" s="137"/>
      <c r="G64" s="136" t="s">
        <v>951</v>
      </c>
      <c r="H64" s="138" t="s">
        <v>921</v>
      </c>
      <c r="I64" s="241"/>
      <c r="J64" s="138"/>
      <c r="K64" s="136"/>
      <c r="L64" s="136"/>
      <c r="M64" s="136"/>
      <c r="N64" s="136"/>
    </row>
    <row r="65" spans="1:14">
      <c r="A65" s="136" t="s">
        <v>981</v>
      </c>
      <c r="B65" s="134">
        <v>2</v>
      </c>
      <c r="C65" s="136" t="s">
        <v>925</v>
      </c>
      <c r="D65" s="137">
        <v>46218</v>
      </c>
      <c r="E65" s="137">
        <v>46249</v>
      </c>
      <c r="F65" s="137"/>
      <c r="G65" s="136" t="s">
        <v>951</v>
      </c>
      <c r="H65" s="138" t="s">
        <v>917</v>
      </c>
      <c r="I65" s="241"/>
      <c r="J65" s="138"/>
      <c r="K65" s="136"/>
      <c r="L65" s="136"/>
      <c r="M65" s="136"/>
      <c r="N65" s="136"/>
    </row>
    <row r="66" spans="1:14">
      <c r="A66" s="136" t="s">
        <v>982</v>
      </c>
      <c r="B66" s="134">
        <v>2</v>
      </c>
      <c r="C66" s="136" t="s">
        <v>925</v>
      </c>
      <c r="D66" s="137">
        <v>46218</v>
      </c>
      <c r="E66" s="137">
        <v>46249</v>
      </c>
      <c r="F66" s="137">
        <v>46254</v>
      </c>
      <c r="G66" s="136" t="s">
        <v>951</v>
      </c>
      <c r="H66" s="138" t="s">
        <v>921</v>
      </c>
      <c r="I66" s="241">
        <v>2</v>
      </c>
      <c r="J66" s="138"/>
      <c r="K66" s="136">
        <v>0</v>
      </c>
      <c r="L66" s="136"/>
      <c r="M66" s="136">
        <v>0</v>
      </c>
      <c r="N66" s="136"/>
    </row>
    <row r="67" spans="1:14">
      <c r="A67" s="136" t="s">
        <v>983</v>
      </c>
      <c r="B67" s="134">
        <v>2</v>
      </c>
      <c r="C67" s="136" t="s">
        <v>925</v>
      </c>
      <c r="D67" s="137">
        <v>46218</v>
      </c>
      <c r="E67" s="137">
        <v>46249</v>
      </c>
      <c r="F67" s="137"/>
      <c r="G67" s="136" t="s">
        <v>951</v>
      </c>
      <c r="H67" s="138" t="s">
        <v>921</v>
      </c>
      <c r="I67" s="241"/>
      <c r="J67" s="138"/>
      <c r="K67" s="136"/>
      <c r="L67" s="136"/>
      <c r="M67" s="136"/>
      <c r="N67" s="136"/>
    </row>
    <row r="68" spans="1:14">
      <c r="A68" s="136" t="s">
        <v>984</v>
      </c>
      <c r="B68" s="134">
        <v>2</v>
      </c>
      <c r="C68" s="136" t="s">
        <v>925</v>
      </c>
      <c r="D68" s="137">
        <v>46218</v>
      </c>
      <c r="E68" s="137">
        <v>46249</v>
      </c>
      <c r="F68" s="137"/>
      <c r="G68" s="136" t="s">
        <v>951</v>
      </c>
      <c r="H68" s="138" t="s">
        <v>917</v>
      </c>
      <c r="I68" s="241"/>
      <c r="J68" s="138"/>
      <c r="K68" s="136"/>
      <c r="L68" s="136"/>
      <c r="M68" s="136"/>
      <c r="N68" s="136"/>
    </row>
    <row r="69" spans="1:14">
      <c r="A69" s="136" t="s">
        <v>985</v>
      </c>
      <c r="B69" s="134">
        <v>2</v>
      </c>
      <c r="C69" s="136" t="s">
        <v>925</v>
      </c>
      <c r="D69" s="137">
        <v>46218</v>
      </c>
      <c r="E69" s="137">
        <v>46249</v>
      </c>
      <c r="F69" s="137"/>
      <c r="G69" s="136" t="s">
        <v>951</v>
      </c>
      <c r="H69" s="138" t="s">
        <v>914</v>
      </c>
      <c r="I69" s="241"/>
      <c r="J69" s="138"/>
      <c r="K69" s="136"/>
      <c r="L69" s="136"/>
      <c r="M69" s="136"/>
      <c r="N69" s="136"/>
    </row>
    <row r="70" spans="1:14">
      <c r="A70" s="136" t="s">
        <v>986</v>
      </c>
      <c r="B70" s="134">
        <v>2</v>
      </c>
      <c r="C70" s="136" t="s">
        <v>925</v>
      </c>
      <c r="D70" s="137">
        <v>46218</v>
      </c>
      <c r="E70" s="137">
        <v>46249</v>
      </c>
      <c r="F70" s="137"/>
      <c r="G70" s="136" t="s">
        <v>951</v>
      </c>
      <c r="H70" s="138" t="s">
        <v>921</v>
      </c>
      <c r="I70" s="241"/>
      <c r="J70" s="138"/>
      <c r="K70" s="136"/>
      <c r="L70" s="136"/>
      <c r="M70" s="136"/>
      <c r="N70" s="136"/>
    </row>
    <row r="71" spans="1:14">
      <c r="A71" s="136" t="s">
        <v>987</v>
      </c>
      <c r="B71" s="134">
        <v>2</v>
      </c>
      <c r="C71" s="136" t="s">
        <v>925</v>
      </c>
      <c r="D71" s="137">
        <v>46218</v>
      </c>
      <c r="E71" s="137">
        <v>46249</v>
      </c>
      <c r="F71" s="137"/>
      <c r="G71" s="136" t="s">
        <v>951</v>
      </c>
      <c r="H71" s="138" t="s">
        <v>917</v>
      </c>
      <c r="I71" s="241"/>
      <c r="J71" s="138"/>
      <c r="K71" s="136"/>
      <c r="L71" s="136"/>
      <c r="M71" s="136"/>
      <c r="N71" s="136"/>
    </row>
    <row r="72" spans="1:14">
      <c r="A72" s="136" t="s">
        <v>988</v>
      </c>
      <c r="B72" s="134">
        <v>2</v>
      </c>
      <c r="C72" s="136" t="s">
        <v>925</v>
      </c>
      <c r="D72" s="137">
        <v>46218</v>
      </c>
      <c r="E72" s="137">
        <v>46249</v>
      </c>
      <c r="F72" s="137"/>
      <c r="G72" s="136" t="s">
        <v>951</v>
      </c>
      <c r="H72" s="138" t="s">
        <v>914</v>
      </c>
      <c r="I72" s="241"/>
      <c r="J72" s="138"/>
      <c r="K72" s="136"/>
      <c r="L72" s="136"/>
      <c r="M72" s="136"/>
      <c r="N72" s="136"/>
    </row>
    <row r="73" spans="1:14">
      <c r="A73" s="136" t="s">
        <v>989</v>
      </c>
      <c r="B73" s="134">
        <v>2</v>
      </c>
      <c r="C73" s="136" t="s">
        <v>925</v>
      </c>
      <c r="D73" s="137">
        <v>46218</v>
      </c>
      <c r="E73" s="137">
        <v>46249</v>
      </c>
      <c r="F73" s="137"/>
      <c r="G73" s="136" t="s">
        <v>951</v>
      </c>
      <c r="H73" s="138" t="s">
        <v>921</v>
      </c>
      <c r="I73" s="241"/>
      <c r="J73" s="138"/>
      <c r="K73" s="136"/>
      <c r="L73" s="136"/>
      <c r="M73" s="136"/>
      <c r="N73" s="136"/>
    </row>
    <row r="74" spans="1:14">
      <c r="A74" s="136" t="s">
        <v>990</v>
      </c>
      <c r="B74" s="134">
        <v>2</v>
      </c>
      <c r="C74" s="136" t="s">
        <v>925</v>
      </c>
      <c r="D74" s="137">
        <v>46218</v>
      </c>
      <c r="E74" s="137">
        <v>46249</v>
      </c>
      <c r="F74" s="137"/>
      <c r="G74" s="136" t="s">
        <v>951</v>
      </c>
      <c r="H74" s="138" t="s">
        <v>917</v>
      </c>
      <c r="I74" s="241"/>
      <c r="J74" s="138"/>
      <c r="K74" s="136"/>
      <c r="L74" s="136"/>
      <c r="M74" s="136"/>
      <c r="N74" s="136"/>
    </row>
    <row r="75" spans="1:14">
      <c r="A75" s="136" t="s">
        <v>991</v>
      </c>
      <c r="B75" s="134">
        <v>2</v>
      </c>
      <c r="C75" s="136" t="s">
        <v>925</v>
      </c>
      <c r="D75" s="137">
        <v>46218</v>
      </c>
      <c r="E75" s="137">
        <v>46249</v>
      </c>
      <c r="F75" s="137"/>
      <c r="G75" s="136" t="s">
        <v>951</v>
      </c>
      <c r="H75" s="138" t="s">
        <v>914</v>
      </c>
      <c r="I75" s="241"/>
      <c r="J75" s="138"/>
      <c r="K75" s="136"/>
      <c r="L75" s="136"/>
      <c r="M75" s="136"/>
      <c r="N75" s="136"/>
    </row>
    <row r="76" spans="1:14">
      <c r="A76" s="136" t="s">
        <v>992</v>
      </c>
      <c r="B76" s="134">
        <v>2</v>
      </c>
      <c r="C76" s="136" t="s">
        <v>925</v>
      </c>
      <c r="D76" s="137">
        <v>46218</v>
      </c>
      <c r="E76" s="137">
        <v>46249</v>
      </c>
      <c r="F76" s="137"/>
      <c r="G76" s="136" t="s">
        <v>951</v>
      </c>
      <c r="H76" s="138" t="s">
        <v>921</v>
      </c>
      <c r="I76" s="241"/>
      <c r="J76" s="138"/>
      <c r="K76" s="136"/>
      <c r="L76" s="136"/>
      <c r="M76" s="136"/>
      <c r="N76" s="136"/>
    </row>
    <row r="77" spans="1:14">
      <c r="A77" s="136" t="s">
        <v>993</v>
      </c>
      <c r="B77" s="134">
        <v>2</v>
      </c>
      <c r="C77" s="136" t="s">
        <v>925</v>
      </c>
      <c r="D77" s="137">
        <v>46218</v>
      </c>
      <c r="E77" s="137">
        <v>46249</v>
      </c>
      <c r="F77" s="137"/>
      <c r="G77" s="136" t="s">
        <v>951</v>
      </c>
      <c r="H77" s="138" t="s">
        <v>917</v>
      </c>
      <c r="I77" s="241"/>
      <c r="J77" s="138"/>
      <c r="K77" s="136"/>
      <c r="L77" s="136"/>
      <c r="M77" s="136"/>
      <c r="N77" s="136"/>
    </row>
    <row r="78" spans="1:14">
      <c r="A78" s="136" t="s">
        <v>994</v>
      </c>
      <c r="B78" s="134">
        <v>2</v>
      </c>
      <c r="C78" s="136" t="s">
        <v>925</v>
      </c>
      <c r="D78" s="137">
        <v>46218</v>
      </c>
      <c r="E78" s="137">
        <v>46249</v>
      </c>
      <c r="F78" s="137"/>
      <c r="G78" s="136" t="s">
        <v>951</v>
      </c>
      <c r="H78" s="138" t="s">
        <v>914</v>
      </c>
      <c r="I78" s="241"/>
      <c r="J78" s="138"/>
      <c r="K78" s="136"/>
      <c r="L78" s="136"/>
      <c r="M78" s="136"/>
      <c r="N78" s="136"/>
    </row>
    <row r="79" spans="1:14">
      <c r="A79" s="136" t="s">
        <v>995</v>
      </c>
      <c r="B79" s="134">
        <v>2</v>
      </c>
      <c r="C79" s="136" t="s">
        <v>925</v>
      </c>
      <c r="D79" s="137">
        <v>46218</v>
      </c>
      <c r="E79" s="137">
        <v>46249</v>
      </c>
      <c r="F79" s="137"/>
      <c r="G79" s="136" t="s">
        <v>951</v>
      </c>
      <c r="H79" s="138" t="s">
        <v>921</v>
      </c>
      <c r="I79" s="241"/>
      <c r="J79" s="138"/>
      <c r="K79" s="136"/>
      <c r="L79" s="136"/>
      <c r="M79" s="136"/>
      <c r="N79" s="136"/>
    </row>
    <row r="80" spans="1:14">
      <c r="A80" s="136" t="s">
        <v>996</v>
      </c>
      <c r="B80" s="134">
        <v>2</v>
      </c>
      <c r="C80" s="136" t="s">
        <v>925</v>
      </c>
      <c r="D80" s="137">
        <v>46218</v>
      </c>
      <c r="E80" s="137">
        <v>46249</v>
      </c>
      <c r="F80" s="137"/>
      <c r="G80" s="136" t="s">
        <v>951</v>
      </c>
      <c r="H80" s="138" t="s">
        <v>917</v>
      </c>
      <c r="I80" s="241"/>
      <c r="J80" s="138"/>
      <c r="K80" s="136"/>
      <c r="L80" s="136"/>
      <c r="M80" s="136"/>
      <c r="N80" s="136"/>
    </row>
    <row r="81" spans="1:14">
      <c r="A81" s="136" t="s">
        <v>997</v>
      </c>
      <c r="B81" s="134">
        <v>2</v>
      </c>
      <c r="C81" s="136" t="s">
        <v>925</v>
      </c>
      <c r="D81" s="137">
        <v>46218</v>
      </c>
      <c r="E81" s="137">
        <v>46249</v>
      </c>
      <c r="F81" s="137"/>
      <c r="G81" s="136" t="s">
        <v>951</v>
      </c>
      <c r="H81" s="138" t="s">
        <v>914</v>
      </c>
      <c r="I81" s="241"/>
      <c r="J81" s="138"/>
      <c r="K81" s="136"/>
      <c r="L81" s="136"/>
      <c r="M81" s="136"/>
      <c r="N81" s="136"/>
    </row>
    <row r="82" spans="1:14">
      <c r="A82" s="136" t="s">
        <v>998</v>
      </c>
      <c r="B82" s="134">
        <v>2</v>
      </c>
      <c r="C82" s="136" t="s">
        <v>925</v>
      </c>
      <c r="D82" s="137">
        <v>46218</v>
      </c>
      <c r="E82" s="137">
        <v>46249</v>
      </c>
      <c r="F82" s="137"/>
      <c r="G82" s="136" t="s">
        <v>951</v>
      </c>
      <c r="H82" s="138" t="s">
        <v>921</v>
      </c>
      <c r="I82" s="241"/>
      <c r="J82" s="138"/>
      <c r="K82" s="136"/>
      <c r="L82" s="136"/>
      <c r="M82" s="136"/>
      <c r="N82" s="136"/>
    </row>
    <row r="83" spans="1:14">
      <c r="A83" s="136" t="s">
        <v>999</v>
      </c>
      <c r="B83" s="134">
        <v>2</v>
      </c>
      <c r="C83" s="136" t="s">
        <v>925</v>
      </c>
      <c r="D83" s="137">
        <v>46218</v>
      </c>
      <c r="E83" s="137">
        <v>46249</v>
      </c>
      <c r="F83" s="137"/>
      <c r="G83" s="136" t="s">
        <v>951</v>
      </c>
      <c r="H83" s="138" t="s">
        <v>917</v>
      </c>
      <c r="I83" s="241"/>
      <c r="J83" s="138"/>
      <c r="K83" s="136"/>
      <c r="L83" s="136"/>
      <c r="M83" s="136"/>
      <c r="N83" s="136"/>
    </row>
    <row r="84" spans="1:14">
      <c r="A84" s="136" t="s">
        <v>1000</v>
      </c>
      <c r="B84" s="134">
        <v>2</v>
      </c>
      <c r="C84" s="136" t="s">
        <v>925</v>
      </c>
      <c r="D84" s="137">
        <v>46218</v>
      </c>
      <c r="E84" s="137">
        <v>46249</v>
      </c>
      <c r="F84" s="137"/>
      <c r="G84" s="136" t="s">
        <v>951</v>
      </c>
      <c r="H84" s="138" t="s">
        <v>914</v>
      </c>
      <c r="I84" s="241"/>
      <c r="J84" s="138"/>
      <c r="K84" s="136"/>
      <c r="L84" s="136"/>
      <c r="M84" s="136"/>
      <c r="N84" s="136"/>
    </row>
    <row r="85" spans="1:14">
      <c r="A85" s="136" t="s">
        <v>1001</v>
      </c>
      <c r="B85" s="134">
        <v>1</v>
      </c>
      <c r="C85" s="136" t="s">
        <v>925</v>
      </c>
      <c r="D85" s="137">
        <v>46218</v>
      </c>
      <c r="E85" s="137">
        <v>46249</v>
      </c>
      <c r="F85" s="137"/>
      <c r="G85" s="136" t="s">
        <v>951</v>
      </c>
      <c r="H85" s="138" t="s">
        <v>921</v>
      </c>
      <c r="I85" s="241"/>
      <c r="J85" s="138"/>
      <c r="K85" s="136"/>
      <c r="L85" s="136"/>
      <c r="M85" s="136"/>
      <c r="N85" s="136"/>
    </row>
    <row r="86" spans="1:14">
      <c r="A86" s="136" t="s">
        <v>1002</v>
      </c>
      <c r="B86" s="134">
        <v>1</v>
      </c>
      <c r="C86" s="136" t="s">
        <v>925</v>
      </c>
      <c r="D86" s="137">
        <v>46218</v>
      </c>
      <c r="E86" s="137">
        <v>46249</v>
      </c>
      <c r="F86" s="137"/>
      <c r="G86" s="136" t="s">
        <v>951</v>
      </c>
      <c r="H86" s="138" t="s">
        <v>917</v>
      </c>
      <c r="I86" s="241"/>
      <c r="J86" s="138"/>
      <c r="K86" s="136"/>
      <c r="L86" s="136"/>
      <c r="M86" s="136"/>
      <c r="N86" s="136"/>
    </row>
    <row r="87" spans="1:14">
      <c r="A87" s="136" t="s">
        <v>1003</v>
      </c>
      <c r="B87" s="134">
        <v>1</v>
      </c>
      <c r="C87" s="136" t="s">
        <v>925</v>
      </c>
      <c r="D87" s="137">
        <v>46218</v>
      </c>
      <c r="E87" s="137">
        <v>46249</v>
      </c>
      <c r="F87" s="137"/>
      <c r="G87" s="136" t="s">
        <v>951</v>
      </c>
      <c r="H87" s="138" t="s">
        <v>914</v>
      </c>
      <c r="I87" s="241"/>
      <c r="J87" s="138"/>
      <c r="K87" s="136"/>
      <c r="L87" s="136"/>
      <c r="M87" s="136"/>
      <c r="N87" s="136"/>
    </row>
    <row r="88" spans="1:14">
      <c r="A88" s="136" t="s">
        <v>1004</v>
      </c>
      <c r="B88" s="134">
        <v>1</v>
      </c>
      <c r="C88" s="136" t="s">
        <v>925</v>
      </c>
      <c r="D88" s="137">
        <v>46218</v>
      </c>
      <c r="E88" s="137">
        <v>46249</v>
      </c>
      <c r="F88" s="137"/>
      <c r="G88" s="136" t="s">
        <v>951</v>
      </c>
      <c r="H88" s="138" t="s">
        <v>921</v>
      </c>
      <c r="I88" s="241"/>
      <c r="J88" s="138"/>
      <c r="K88" s="136"/>
      <c r="L88" s="136"/>
      <c r="M88" s="136"/>
      <c r="N88" s="136"/>
    </row>
    <row r="89" spans="1:14">
      <c r="A89" s="136" t="s">
        <v>1005</v>
      </c>
      <c r="B89" s="134">
        <v>1</v>
      </c>
      <c r="C89" s="136" t="s">
        <v>925</v>
      </c>
      <c r="D89" s="137">
        <v>46218</v>
      </c>
      <c r="E89" s="137">
        <v>46249</v>
      </c>
      <c r="F89" s="137"/>
      <c r="G89" s="136" t="s">
        <v>951</v>
      </c>
      <c r="H89" s="138" t="s">
        <v>917</v>
      </c>
      <c r="I89" s="241"/>
      <c r="J89" s="138"/>
      <c r="K89" s="136"/>
      <c r="L89" s="136"/>
      <c r="M89" s="136"/>
      <c r="N89" s="136"/>
    </row>
    <row r="90" spans="1:14">
      <c r="A90" s="136" t="s">
        <v>1006</v>
      </c>
      <c r="B90" s="134">
        <v>1</v>
      </c>
      <c r="C90" s="136" t="s">
        <v>925</v>
      </c>
      <c r="D90" s="137">
        <v>46218</v>
      </c>
      <c r="E90" s="137">
        <v>46249</v>
      </c>
      <c r="F90" s="137"/>
      <c r="G90" s="136" t="s">
        <v>951</v>
      </c>
      <c r="H90" s="138" t="s">
        <v>914</v>
      </c>
      <c r="I90" s="241"/>
      <c r="J90" s="138"/>
      <c r="K90" s="136"/>
      <c r="L90" s="136"/>
      <c r="M90" s="136"/>
      <c r="N90" s="136"/>
    </row>
    <row r="91" spans="1:14">
      <c r="A91" s="136" t="s">
        <v>1007</v>
      </c>
      <c r="B91" s="134">
        <v>1</v>
      </c>
      <c r="C91" s="136" t="s">
        <v>925</v>
      </c>
      <c r="D91" s="137">
        <v>46218</v>
      </c>
      <c r="E91" s="137">
        <v>46249</v>
      </c>
      <c r="F91" s="137">
        <v>46235</v>
      </c>
      <c r="G91" s="136" t="s">
        <v>951</v>
      </c>
      <c r="H91" s="138" t="s">
        <v>914</v>
      </c>
      <c r="I91" s="241">
        <v>1</v>
      </c>
      <c r="J91" s="138" t="s">
        <v>911</v>
      </c>
      <c r="K91" s="136" t="s">
        <v>911</v>
      </c>
      <c r="L91" s="136">
        <v>1</v>
      </c>
      <c r="M91" s="136">
        <v>1</v>
      </c>
      <c r="N91" s="136"/>
    </row>
    <row r="92" spans="1:14">
      <c r="A92" s="136" t="s">
        <v>1008</v>
      </c>
      <c r="B92" s="134">
        <v>1</v>
      </c>
      <c r="C92" s="136" t="s">
        <v>925</v>
      </c>
      <c r="D92" s="137">
        <v>46218</v>
      </c>
      <c r="E92" s="137">
        <v>46249</v>
      </c>
      <c r="F92" s="137"/>
      <c r="G92" s="136" t="s">
        <v>951</v>
      </c>
      <c r="H92" s="138" t="s">
        <v>921</v>
      </c>
      <c r="I92" s="241"/>
      <c r="J92" s="138"/>
      <c r="K92" s="136"/>
      <c r="L92" s="136"/>
      <c r="M92" s="136"/>
      <c r="N92" s="136"/>
    </row>
    <row r="93" spans="1:14">
      <c r="A93" s="136" t="s">
        <v>1009</v>
      </c>
      <c r="B93" s="134">
        <v>1</v>
      </c>
      <c r="C93" s="136" t="s">
        <v>925</v>
      </c>
      <c r="D93" s="137">
        <v>46218</v>
      </c>
      <c r="E93" s="137">
        <v>46249</v>
      </c>
      <c r="F93" s="137"/>
      <c r="G93" s="136" t="s">
        <v>951</v>
      </c>
      <c r="H93" s="138" t="s">
        <v>917</v>
      </c>
      <c r="I93" s="241"/>
      <c r="J93" s="138"/>
      <c r="K93" s="136"/>
      <c r="L93" s="136"/>
      <c r="M93" s="136"/>
      <c r="N93" s="136"/>
    </row>
    <row r="94" spans="1:14">
      <c r="A94" s="136" t="s">
        <v>1010</v>
      </c>
      <c r="B94" s="134">
        <v>1</v>
      </c>
      <c r="C94" s="136" t="s">
        <v>925</v>
      </c>
      <c r="D94" s="137">
        <v>46218</v>
      </c>
      <c r="E94" s="137">
        <v>46249</v>
      </c>
      <c r="F94" s="137"/>
      <c r="G94" s="136" t="s">
        <v>951</v>
      </c>
      <c r="H94" s="138" t="s">
        <v>914</v>
      </c>
      <c r="I94" s="241"/>
      <c r="J94" s="138"/>
      <c r="K94" s="136"/>
      <c r="L94" s="136"/>
      <c r="M94" s="136"/>
      <c r="N94" s="136"/>
    </row>
    <row r="95" spans="1:14">
      <c r="A95" s="136" t="s">
        <v>1011</v>
      </c>
      <c r="B95" s="134">
        <v>1</v>
      </c>
      <c r="C95" s="136" t="s">
        <v>925</v>
      </c>
      <c r="D95" s="137">
        <v>46218</v>
      </c>
      <c r="E95" s="137">
        <v>46249</v>
      </c>
      <c r="F95" s="137"/>
      <c r="G95" s="136" t="s">
        <v>951</v>
      </c>
      <c r="H95" s="138" t="s">
        <v>921</v>
      </c>
      <c r="I95" s="241"/>
      <c r="J95" s="138"/>
      <c r="K95" s="136"/>
      <c r="L95" s="136"/>
      <c r="M95" s="136"/>
      <c r="N95" s="136"/>
    </row>
    <row r="96" spans="1:14">
      <c r="A96" s="136" t="s">
        <v>1012</v>
      </c>
      <c r="B96" s="134">
        <v>1</v>
      </c>
      <c r="C96" s="136" t="s">
        <v>925</v>
      </c>
      <c r="D96" s="137">
        <v>46218</v>
      </c>
      <c r="E96" s="137">
        <v>46249</v>
      </c>
      <c r="F96" s="137"/>
      <c r="G96" s="136" t="s">
        <v>951</v>
      </c>
      <c r="H96" s="138" t="s">
        <v>917</v>
      </c>
      <c r="I96" s="241"/>
      <c r="J96" s="138"/>
      <c r="K96" s="136"/>
      <c r="L96" s="136"/>
      <c r="M96" s="136"/>
      <c r="N96" s="136"/>
    </row>
    <row r="97" spans="1:14">
      <c r="A97" s="136" t="s">
        <v>1013</v>
      </c>
      <c r="B97" s="134">
        <v>1</v>
      </c>
      <c r="C97" s="136" t="s">
        <v>925</v>
      </c>
      <c r="D97" s="137">
        <v>46218</v>
      </c>
      <c r="E97" s="137">
        <v>46249</v>
      </c>
      <c r="F97" s="137"/>
      <c r="G97" s="136" t="s">
        <v>951</v>
      </c>
      <c r="H97" s="138" t="s">
        <v>914</v>
      </c>
      <c r="I97" s="241"/>
      <c r="J97" s="138"/>
      <c r="K97" s="136"/>
      <c r="L97" s="136"/>
      <c r="M97" s="136"/>
      <c r="N97" s="136"/>
    </row>
    <row r="98" spans="1:14">
      <c r="A98" s="136" t="s">
        <v>1014</v>
      </c>
      <c r="B98" s="134">
        <v>1</v>
      </c>
      <c r="C98" s="136" t="s">
        <v>925</v>
      </c>
      <c r="D98" s="137">
        <v>46218</v>
      </c>
      <c r="E98" s="137">
        <v>46249</v>
      </c>
      <c r="F98" s="137"/>
      <c r="G98" s="136" t="s">
        <v>951</v>
      </c>
      <c r="H98" s="138" t="s">
        <v>921</v>
      </c>
      <c r="I98" s="241"/>
      <c r="J98" s="138"/>
      <c r="K98" s="136"/>
      <c r="L98" s="136"/>
      <c r="M98" s="136"/>
      <c r="N98" s="136"/>
    </row>
    <row r="99" spans="1:14">
      <c r="A99" s="136" t="s">
        <v>1015</v>
      </c>
      <c r="B99" s="134">
        <v>1</v>
      </c>
      <c r="C99" s="136" t="s">
        <v>925</v>
      </c>
      <c r="D99" s="137">
        <v>46218</v>
      </c>
      <c r="E99" s="137">
        <v>46249</v>
      </c>
      <c r="F99" s="137"/>
      <c r="G99" s="136" t="s">
        <v>951</v>
      </c>
      <c r="H99" s="138" t="s">
        <v>917</v>
      </c>
      <c r="I99" s="241"/>
      <c r="J99" s="138"/>
      <c r="K99" s="136"/>
      <c r="L99" s="136"/>
      <c r="M99" s="136"/>
      <c r="N99" s="136"/>
    </row>
    <row r="100" spans="1:14">
      <c r="A100" s="136" t="s">
        <v>1016</v>
      </c>
      <c r="B100" s="134">
        <v>1</v>
      </c>
      <c r="C100" s="136" t="s">
        <v>925</v>
      </c>
      <c r="D100" s="137">
        <v>46218</v>
      </c>
      <c r="E100" s="137">
        <v>46249</v>
      </c>
      <c r="F100" s="137"/>
      <c r="G100" s="136" t="s">
        <v>951</v>
      </c>
      <c r="H100" s="138" t="s">
        <v>914</v>
      </c>
      <c r="I100" s="241"/>
      <c r="J100" s="138"/>
      <c r="K100" s="136"/>
      <c r="L100" s="136"/>
      <c r="M100" s="136"/>
      <c r="N100" s="136"/>
    </row>
    <row r="101" spans="1:14">
      <c r="A101" s="136" t="s">
        <v>1017</v>
      </c>
      <c r="B101" s="134">
        <v>1</v>
      </c>
      <c r="C101" s="136" t="s">
        <v>925</v>
      </c>
      <c r="D101" s="137">
        <v>46218</v>
      </c>
      <c r="E101" s="137">
        <v>46249</v>
      </c>
      <c r="F101" s="137"/>
      <c r="G101" s="136" t="s">
        <v>951</v>
      </c>
      <c r="H101" s="138" t="s">
        <v>921</v>
      </c>
      <c r="I101" s="241"/>
      <c r="J101" s="138"/>
      <c r="K101" s="136"/>
      <c r="L101" s="136"/>
      <c r="M101" s="136"/>
      <c r="N101" s="136"/>
    </row>
    <row r="102" spans="1:14">
      <c r="A102" s="136" t="s">
        <v>1018</v>
      </c>
      <c r="B102" s="134">
        <v>1</v>
      </c>
      <c r="C102" s="136" t="s">
        <v>925</v>
      </c>
      <c r="D102" s="137">
        <v>46218</v>
      </c>
      <c r="E102" s="137">
        <v>46249</v>
      </c>
      <c r="F102" s="137"/>
      <c r="G102" s="136" t="s">
        <v>951</v>
      </c>
      <c r="H102" s="138" t="s">
        <v>917</v>
      </c>
      <c r="I102" s="241"/>
      <c r="J102" s="138"/>
      <c r="K102" s="136"/>
      <c r="L102" s="136"/>
      <c r="M102" s="136"/>
      <c r="N102" s="136"/>
    </row>
    <row r="103" spans="1:14">
      <c r="A103" s="136" t="s">
        <v>1019</v>
      </c>
      <c r="B103" s="134">
        <v>1</v>
      </c>
      <c r="C103" s="136" t="s">
        <v>925</v>
      </c>
      <c r="D103" s="137">
        <v>46218</v>
      </c>
      <c r="E103" s="137">
        <v>46249</v>
      </c>
      <c r="F103" s="137"/>
      <c r="G103" s="136" t="s">
        <v>951</v>
      </c>
      <c r="H103" s="138" t="s">
        <v>914</v>
      </c>
      <c r="I103" s="241"/>
      <c r="J103" s="138"/>
      <c r="K103" s="136"/>
      <c r="L103" s="136"/>
      <c r="M103" s="136"/>
      <c r="N103" s="136"/>
    </row>
    <row r="104" spans="1:14">
      <c r="A104" s="136" t="s">
        <v>1020</v>
      </c>
      <c r="B104" s="134">
        <v>1</v>
      </c>
      <c r="C104" s="136" t="s">
        <v>925</v>
      </c>
      <c r="D104" s="137">
        <v>46218</v>
      </c>
      <c r="E104" s="137">
        <v>46249</v>
      </c>
      <c r="F104" s="137"/>
      <c r="G104" s="136" t="s">
        <v>951</v>
      </c>
      <c r="H104" s="138" t="s">
        <v>921</v>
      </c>
      <c r="I104" s="241">
        <v>1</v>
      </c>
      <c r="J104" s="138" t="s">
        <v>911</v>
      </c>
      <c r="K104" s="136"/>
      <c r="L104" s="136"/>
      <c r="M104" s="136"/>
      <c r="N104" s="136" t="s">
        <v>1021</v>
      </c>
    </row>
    <row r="105" spans="1:14">
      <c r="A105" s="136" t="s">
        <v>1022</v>
      </c>
      <c r="B105" s="134">
        <v>1</v>
      </c>
      <c r="C105" s="136" t="s">
        <v>925</v>
      </c>
      <c r="D105" s="137">
        <v>46218</v>
      </c>
      <c r="E105" s="137">
        <v>46249</v>
      </c>
      <c r="F105" s="137"/>
      <c r="G105" s="136" t="s">
        <v>951</v>
      </c>
      <c r="H105" s="138" t="s">
        <v>917</v>
      </c>
      <c r="I105" s="241"/>
      <c r="J105" s="138"/>
      <c r="K105" s="136"/>
      <c r="L105" s="136"/>
      <c r="M105" s="136"/>
      <c r="N105" s="136"/>
    </row>
    <row r="106" spans="1:14">
      <c r="A106" s="136" t="s">
        <v>1023</v>
      </c>
      <c r="B106" s="134">
        <v>1</v>
      </c>
      <c r="C106" s="136" t="s">
        <v>925</v>
      </c>
      <c r="D106" s="137">
        <v>46218</v>
      </c>
      <c r="E106" s="137">
        <v>46249</v>
      </c>
      <c r="F106" s="137"/>
      <c r="G106" s="136" t="s">
        <v>951</v>
      </c>
      <c r="H106" s="138" t="s">
        <v>914</v>
      </c>
      <c r="I106" s="241"/>
      <c r="J106" s="138"/>
      <c r="K106" s="136"/>
      <c r="L106" s="136"/>
      <c r="M106" s="136"/>
      <c r="N106" s="136"/>
    </row>
    <row r="107" spans="1:14">
      <c r="A107" s="136" t="s">
        <v>1024</v>
      </c>
      <c r="B107" s="134">
        <v>1</v>
      </c>
      <c r="C107" s="136" t="s">
        <v>925</v>
      </c>
      <c r="D107" s="137">
        <v>46218</v>
      </c>
      <c r="E107" s="137">
        <v>46249</v>
      </c>
      <c r="F107" s="137"/>
      <c r="G107" s="136" t="s">
        <v>951</v>
      </c>
      <c r="H107" s="138" t="s">
        <v>921</v>
      </c>
      <c r="I107" s="241"/>
      <c r="J107" s="138"/>
      <c r="K107" s="136"/>
      <c r="L107" s="136"/>
      <c r="M107" s="136"/>
      <c r="N107" s="136"/>
    </row>
    <row r="108" spans="1:14">
      <c r="A108" s="136" t="s">
        <v>1025</v>
      </c>
      <c r="B108" s="134">
        <v>1</v>
      </c>
      <c r="C108" s="136" t="s">
        <v>925</v>
      </c>
      <c r="D108" s="137">
        <v>46218</v>
      </c>
      <c r="E108" s="137">
        <v>46249</v>
      </c>
      <c r="F108" s="137"/>
      <c r="G108" s="136" t="s">
        <v>951</v>
      </c>
      <c r="H108" s="138" t="s">
        <v>917</v>
      </c>
      <c r="I108" s="241"/>
      <c r="J108" s="138"/>
      <c r="K108" s="136"/>
      <c r="L108" s="136"/>
      <c r="M108" s="136"/>
      <c r="N108" s="136"/>
    </row>
    <row r="109" spans="1:14">
      <c r="A109" s="136" t="s">
        <v>1026</v>
      </c>
      <c r="B109" s="134">
        <v>1</v>
      </c>
      <c r="C109" s="136" t="s">
        <v>925</v>
      </c>
      <c r="D109" s="137">
        <v>46218</v>
      </c>
      <c r="E109" s="137">
        <v>46249</v>
      </c>
      <c r="F109" s="137"/>
      <c r="G109" s="136" t="s">
        <v>951</v>
      </c>
      <c r="H109" s="138" t="s">
        <v>914</v>
      </c>
      <c r="I109" s="241"/>
      <c r="J109" s="138"/>
      <c r="K109" s="136"/>
      <c r="L109" s="136"/>
      <c r="M109" s="136"/>
      <c r="N109" s="136"/>
    </row>
    <row r="110" spans="1:14">
      <c r="A110" s="136" t="s">
        <v>1027</v>
      </c>
      <c r="B110" s="134">
        <v>1</v>
      </c>
      <c r="C110" s="136" t="s">
        <v>925</v>
      </c>
      <c r="D110" s="137">
        <v>46218</v>
      </c>
      <c r="E110" s="137">
        <v>46249</v>
      </c>
      <c r="F110" s="137"/>
      <c r="G110" s="136" t="s">
        <v>951</v>
      </c>
      <c r="H110" s="138" t="s">
        <v>921</v>
      </c>
      <c r="I110" s="241"/>
      <c r="J110" s="138"/>
      <c r="K110" s="136"/>
      <c r="L110" s="136"/>
      <c r="M110" s="136"/>
      <c r="N110" s="136"/>
    </row>
    <row r="111" spans="1:14">
      <c r="A111" s="136" t="s">
        <v>1028</v>
      </c>
      <c r="B111" s="134">
        <v>1</v>
      </c>
      <c r="C111" s="136" t="s">
        <v>925</v>
      </c>
      <c r="D111" s="137">
        <v>46218</v>
      </c>
      <c r="E111" s="137">
        <v>46249</v>
      </c>
      <c r="F111" s="137"/>
      <c r="G111" s="136" t="s">
        <v>951</v>
      </c>
      <c r="H111" s="138" t="s">
        <v>917</v>
      </c>
      <c r="I111" s="241"/>
      <c r="J111" s="138"/>
      <c r="K111" s="136"/>
      <c r="L111" s="136"/>
      <c r="M111" s="136"/>
      <c r="N111" s="136"/>
    </row>
    <row r="112" spans="1:14">
      <c r="A112" s="136" t="s">
        <v>1029</v>
      </c>
      <c r="B112" s="134">
        <v>1</v>
      </c>
      <c r="C112" s="136" t="s">
        <v>925</v>
      </c>
      <c r="D112" s="137">
        <v>46218</v>
      </c>
      <c r="E112" s="137">
        <v>46249</v>
      </c>
      <c r="F112" s="137"/>
      <c r="G112" s="136" t="s">
        <v>951</v>
      </c>
      <c r="H112" s="138" t="s">
        <v>914</v>
      </c>
      <c r="I112" s="241"/>
      <c r="J112" s="138"/>
      <c r="K112" s="136"/>
      <c r="L112" s="136"/>
      <c r="M112" s="136"/>
      <c r="N112" s="136"/>
    </row>
    <row r="113" spans="1:14">
      <c r="A113" s="136" t="s">
        <v>1030</v>
      </c>
      <c r="B113" s="134">
        <v>1</v>
      </c>
      <c r="C113" s="136" t="s">
        <v>925</v>
      </c>
      <c r="D113" s="137">
        <v>46218</v>
      </c>
      <c r="E113" s="137">
        <v>46249</v>
      </c>
      <c r="F113" s="137"/>
      <c r="G113" s="136" t="s">
        <v>951</v>
      </c>
      <c r="H113" s="138" t="s">
        <v>921</v>
      </c>
      <c r="I113" s="241"/>
      <c r="J113" s="138"/>
      <c r="K113" s="136"/>
      <c r="L113" s="136"/>
      <c r="M113" s="136"/>
      <c r="N113" s="136"/>
    </row>
    <row r="114" spans="1:14">
      <c r="A114" s="136" t="s">
        <v>1031</v>
      </c>
      <c r="B114" s="134">
        <v>1</v>
      </c>
      <c r="C114" s="136" t="s">
        <v>925</v>
      </c>
      <c r="D114" s="137">
        <v>46218</v>
      </c>
      <c r="E114" s="137">
        <v>46249</v>
      </c>
      <c r="F114" s="137"/>
      <c r="G114" s="136" t="s">
        <v>951</v>
      </c>
      <c r="H114" s="138" t="s">
        <v>917</v>
      </c>
      <c r="I114" s="241"/>
      <c r="J114" s="138"/>
      <c r="K114" s="136"/>
      <c r="L114" s="136"/>
      <c r="M114" s="136"/>
      <c r="N114" s="136"/>
    </row>
    <row r="115" spans="1:14">
      <c r="A115" s="136" t="s">
        <v>1032</v>
      </c>
      <c r="B115" s="134">
        <v>1</v>
      </c>
      <c r="C115" s="136" t="s">
        <v>925</v>
      </c>
      <c r="D115" s="137">
        <v>46218</v>
      </c>
      <c r="E115" s="137">
        <v>46249</v>
      </c>
      <c r="F115" s="137"/>
      <c r="G115" s="136" t="s">
        <v>951</v>
      </c>
      <c r="H115" s="138" t="s">
        <v>914</v>
      </c>
      <c r="I115" s="241"/>
      <c r="J115" s="138"/>
      <c r="K115" s="136"/>
      <c r="L115" s="136"/>
      <c r="M115" s="136"/>
      <c r="N115" s="136"/>
    </row>
    <row r="116" spans="1:14" ht="33.75" customHeight="1">
      <c r="A116" s="136" t="s">
        <v>1033</v>
      </c>
      <c r="B116" s="134">
        <v>2</v>
      </c>
      <c r="C116" s="136" t="s">
        <v>925</v>
      </c>
      <c r="D116" s="137">
        <v>46218</v>
      </c>
      <c r="E116" s="137">
        <v>46249</v>
      </c>
      <c r="F116" s="137">
        <v>46235</v>
      </c>
      <c r="G116" s="136" t="s">
        <v>916</v>
      </c>
      <c r="H116" s="136" t="s">
        <v>914</v>
      </c>
      <c r="I116" s="241">
        <v>2</v>
      </c>
      <c r="J116" s="138" t="s">
        <v>911</v>
      </c>
      <c r="K116" s="136" t="s">
        <v>911</v>
      </c>
      <c r="L116" s="136">
        <v>2</v>
      </c>
      <c r="M116" s="136">
        <v>1</v>
      </c>
      <c r="N116" s="136"/>
    </row>
    <row r="117" spans="1:14">
      <c r="A117" s="136" t="s">
        <v>1034</v>
      </c>
      <c r="B117" s="134">
        <v>2</v>
      </c>
      <c r="C117" s="136" t="s">
        <v>925</v>
      </c>
      <c r="D117" s="137">
        <v>46218</v>
      </c>
      <c r="E117" s="137">
        <v>46249</v>
      </c>
      <c r="F117" s="137">
        <v>46235</v>
      </c>
      <c r="G117" s="136" t="s">
        <v>916</v>
      </c>
      <c r="H117" s="136" t="s">
        <v>914</v>
      </c>
      <c r="I117" s="241">
        <v>2</v>
      </c>
      <c r="J117" s="138" t="s">
        <v>911</v>
      </c>
      <c r="K117" s="136" t="s">
        <v>911</v>
      </c>
      <c r="L117" s="136">
        <v>2</v>
      </c>
      <c r="M117" s="136">
        <v>1</v>
      </c>
      <c r="N117" s="136"/>
    </row>
    <row r="118" spans="1:14">
      <c r="A118" s="136" t="s">
        <v>1035</v>
      </c>
      <c r="B118" s="134">
        <v>1</v>
      </c>
      <c r="C118" s="136" t="s">
        <v>925</v>
      </c>
      <c r="D118" s="137">
        <v>46218</v>
      </c>
      <c r="E118" s="137">
        <v>46249</v>
      </c>
      <c r="F118" s="137">
        <v>46235</v>
      </c>
      <c r="G118" s="136" t="s">
        <v>916</v>
      </c>
      <c r="H118" s="136" t="s">
        <v>914</v>
      </c>
      <c r="I118" s="241">
        <v>1</v>
      </c>
      <c r="J118" s="138" t="s">
        <v>911</v>
      </c>
      <c r="K118" s="136" t="s">
        <v>911</v>
      </c>
      <c r="L118" s="136">
        <v>1</v>
      </c>
      <c r="M118" s="136">
        <v>1</v>
      </c>
      <c r="N118" s="136"/>
    </row>
    <row r="119" spans="1:14">
      <c r="A119" s="136" t="s">
        <v>1036</v>
      </c>
      <c r="B119" s="134">
        <v>1</v>
      </c>
      <c r="C119" s="136" t="s">
        <v>925</v>
      </c>
      <c r="D119" s="137">
        <v>46218</v>
      </c>
      <c r="E119" s="137">
        <v>46249</v>
      </c>
      <c r="F119" s="137">
        <v>46235</v>
      </c>
      <c r="G119" s="136" t="s">
        <v>916</v>
      </c>
      <c r="H119" s="136" t="s">
        <v>914</v>
      </c>
      <c r="I119" s="241">
        <v>1</v>
      </c>
      <c r="J119" s="138" t="s">
        <v>911</v>
      </c>
      <c r="K119" s="136" t="s">
        <v>911</v>
      </c>
      <c r="L119" s="136">
        <v>1</v>
      </c>
      <c r="M119" s="136">
        <v>1</v>
      </c>
      <c r="N119" s="136"/>
    </row>
    <row r="120" spans="1:14">
      <c r="A120" s="252"/>
      <c r="B120" s="253">
        <f>SUM(Tabla2[Usuarios])</f>
        <v>2947</v>
      </c>
      <c r="C120" s="252"/>
      <c r="D120" s="252"/>
      <c r="E120" s="252"/>
      <c r="F120" s="254"/>
      <c r="G120" s="252"/>
      <c r="H120" s="252"/>
      <c r="I120" s="253">
        <f>SUM(Tabla2[Usuarios Certificados (Estructuras)])</f>
        <v>984</v>
      </c>
      <c r="J120" s="255"/>
      <c r="K120" s="252"/>
      <c r="L120" s="252">
        <f>SUM(Tabla2[Usuarios Asociados al Rol])</f>
        <v>112</v>
      </c>
      <c r="M120" s="252"/>
      <c r="N120" s="252"/>
    </row>
    <row r="122" spans="1:14">
      <c r="I122" s="243">
        <f>Tabla2[[#Totals],[Usuarios Certificados (Estructuras)]]/Tabla2[[#Totals],[Usuarios]]</f>
        <v>0.33389888021717001</v>
      </c>
      <c r="L122" s="243">
        <f>Tabla2[[#Totals],[Usuarios Asociados al Rol]]/Tabla2[[#Totals],[Usuarios]]</f>
        <v>3.800475059382423E-2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FAB4-CEB4-422D-911F-7C5C64D170D1}">
  <dimension ref="A1:B29"/>
  <sheetViews>
    <sheetView workbookViewId="0">
      <selection activeCell="A13" sqref="A13"/>
    </sheetView>
  </sheetViews>
  <sheetFormatPr defaultColWidth="9.140625" defaultRowHeight="15"/>
  <cols>
    <col min="1" max="1" width="27.42578125" customWidth="1"/>
    <col min="2" max="2" width="41.5703125" customWidth="1"/>
  </cols>
  <sheetData>
    <row r="1" spans="1:2">
      <c r="A1" s="125" t="s">
        <v>1037</v>
      </c>
      <c r="B1" s="125"/>
    </row>
    <row r="2" spans="1:2">
      <c r="A2" s="126"/>
      <c r="B2" s="126"/>
    </row>
    <row r="3" spans="1:2">
      <c r="A3" s="127" t="s">
        <v>1038</v>
      </c>
      <c r="B3" s="127"/>
    </row>
    <row r="4" spans="1:2">
      <c r="A4" s="126"/>
      <c r="B4" s="126"/>
    </row>
    <row r="5" spans="1:2">
      <c r="A5" s="128" t="s">
        <v>1039</v>
      </c>
      <c r="B5" s="125"/>
    </row>
    <row r="6" spans="1:2">
      <c r="A6" s="129" t="s">
        <v>914</v>
      </c>
      <c r="B6" s="126"/>
    </row>
    <row r="7" spans="1:2">
      <c r="A7" s="130" t="s">
        <v>917</v>
      </c>
      <c r="B7" s="126"/>
    </row>
    <row r="8" spans="1:2">
      <c r="A8" s="129" t="s">
        <v>921</v>
      </c>
      <c r="B8" s="126"/>
    </row>
    <row r="9" spans="1:2">
      <c r="A9" s="126"/>
      <c r="B9" s="126"/>
    </row>
    <row r="10" spans="1:2">
      <c r="A10" s="128" t="s">
        <v>1040</v>
      </c>
      <c r="B10" s="128" t="s">
        <v>1041</v>
      </c>
    </row>
    <row r="11" spans="1:2" ht="34.5">
      <c r="A11" s="129" t="s">
        <v>1042</v>
      </c>
      <c r="B11" s="131" t="s">
        <v>1043</v>
      </c>
    </row>
    <row r="12" spans="1:2" ht="57">
      <c r="A12" s="132" t="s">
        <v>1044</v>
      </c>
      <c r="B12" s="132" t="s">
        <v>1045</v>
      </c>
    </row>
    <row r="13" spans="1:2" ht="34.5">
      <c r="A13" s="129" t="s">
        <v>1046</v>
      </c>
      <c r="B13" s="131" t="s">
        <v>1047</v>
      </c>
    </row>
    <row r="14" spans="1:2">
      <c r="A14" s="126"/>
      <c r="B14" s="126"/>
    </row>
    <row r="15" spans="1:2">
      <c r="A15" s="126"/>
      <c r="B15" s="126"/>
    </row>
    <row r="16" spans="1:2">
      <c r="A16" s="127" t="s">
        <v>1048</v>
      </c>
      <c r="B16" s="127"/>
    </row>
    <row r="17" spans="1:2">
      <c r="A17" s="126"/>
      <c r="B17" s="126"/>
    </row>
    <row r="18" spans="1:2">
      <c r="A18" s="128" t="s">
        <v>1039</v>
      </c>
      <c r="B18" s="126"/>
    </row>
    <row r="19" spans="1:2">
      <c r="A19" s="129" t="s">
        <v>1049</v>
      </c>
      <c r="B19" s="126"/>
    </row>
    <row r="20" spans="1:2">
      <c r="A20" s="130" t="s">
        <v>1050</v>
      </c>
      <c r="B20" s="126"/>
    </row>
    <row r="21" spans="1:2">
      <c r="A21" s="129" t="s">
        <v>1051</v>
      </c>
      <c r="B21" s="126"/>
    </row>
    <row r="22" spans="1:2">
      <c r="A22" s="130" t="s">
        <v>1052</v>
      </c>
      <c r="B22" s="126"/>
    </row>
    <row r="23" spans="1:2">
      <c r="A23" s="126"/>
      <c r="B23" s="126"/>
    </row>
    <row r="24" spans="1:2">
      <c r="A24" s="126"/>
      <c r="B24" s="126"/>
    </row>
    <row r="25" spans="1:2">
      <c r="A25" s="128" t="s">
        <v>1040</v>
      </c>
      <c r="B25" s="128" t="s">
        <v>1041</v>
      </c>
    </row>
    <row r="26" spans="1:2" ht="90.75">
      <c r="A26" s="131" t="s">
        <v>1053</v>
      </c>
      <c r="B26" s="133" t="s">
        <v>1054</v>
      </c>
    </row>
    <row r="27" spans="1:2" ht="90.75">
      <c r="A27" s="132" t="s">
        <v>1055</v>
      </c>
      <c r="B27" s="132" t="s">
        <v>1056</v>
      </c>
    </row>
    <row r="28" spans="1:2" ht="147">
      <c r="A28" s="131" t="s">
        <v>1057</v>
      </c>
      <c r="B28" s="131" t="s">
        <v>1058</v>
      </c>
    </row>
    <row r="29" spans="1:2" ht="68.25">
      <c r="A29" s="132" t="s">
        <v>1059</v>
      </c>
      <c r="B29" s="132" t="s">
        <v>1060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FB353-BF08-448B-A652-D947CCC90987}">
  <dimension ref="A1:T376"/>
  <sheetViews>
    <sheetView topLeftCell="L1" workbookViewId="0">
      <selection activeCell="T9" sqref="T9"/>
    </sheetView>
  </sheetViews>
  <sheetFormatPr defaultColWidth="11.42578125" defaultRowHeight="15"/>
  <cols>
    <col min="1" max="1" width="53.85546875" bestFit="1" customWidth="1"/>
    <col min="2" max="2" width="48" bestFit="1" customWidth="1"/>
    <col min="3" max="3" width="90.7109375" bestFit="1" customWidth="1"/>
    <col min="4" max="4" width="64.85546875" bestFit="1" customWidth="1"/>
    <col min="5" max="5" width="9.42578125" bestFit="1" customWidth="1"/>
    <col min="6" max="6" width="32.85546875" bestFit="1" customWidth="1"/>
    <col min="7" max="7" width="11.140625" bestFit="1" customWidth="1"/>
    <col min="8" max="8" width="46.28515625" bestFit="1" customWidth="1"/>
    <col min="9" max="9" width="37.7109375" bestFit="1" customWidth="1"/>
    <col min="10" max="10" width="40.5703125" bestFit="1" customWidth="1"/>
    <col min="11" max="11" width="40.140625" bestFit="1" customWidth="1"/>
    <col min="12" max="12" width="21" bestFit="1" customWidth="1"/>
    <col min="13" max="13" width="15.7109375" bestFit="1" customWidth="1"/>
    <col min="14" max="14" width="23.85546875" bestFit="1" customWidth="1"/>
    <col min="16" max="16" width="53.85546875" bestFit="1" customWidth="1"/>
    <col min="17" max="17" width="18.140625" bestFit="1" customWidth="1"/>
    <col min="19" max="19" width="23.85546875" bestFit="1" customWidth="1"/>
    <col min="20" max="20" width="20.28515625" bestFit="1" customWidth="1"/>
  </cols>
  <sheetData>
    <row r="1" spans="1:20">
      <c r="A1" s="148" t="s">
        <v>1061</v>
      </c>
      <c r="B1" s="149" t="s">
        <v>1062</v>
      </c>
      <c r="C1" s="150" t="s">
        <v>1063</v>
      </c>
      <c r="D1" s="150" t="s">
        <v>1064</v>
      </c>
      <c r="E1" s="149" t="s">
        <v>1065</v>
      </c>
      <c r="F1" s="149" t="s">
        <v>894</v>
      </c>
      <c r="G1" s="149" t="s">
        <v>1066</v>
      </c>
      <c r="H1" s="149" t="s">
        <v>1067</v>
      </c>
      <c r="I1" s="149" t="s">
        <v>1068</v>
      </c>
      <c r="J1" s="149" t="s">
        <v>1069</v>
      </c>
      <c r="K1" s="149" t="s">
        <v>1070</v>
      </c>
      <c r="L1" s="149" t="s">
        <v>1071</v>
      </c>
      <c r="M1" s="149" t="s">
        <v>1072</v>
      </c>
      <c r="N1" s="149" t="s">
        <v>1073</v>
      </c>
      <c r="P1" s="313" t="s">
        <v>1074</v>
      </c>
      <c r="Q1" s="314"/>
    </row>
    <row r="2" spans="1:20">
      <c r="A2" s="144" t="s">
        <v>1075</v>
      </c>
      <c r="B2" s="144" t="s">
        <v>1076</v>
      </c>
      <c r="C2" s="144" t="s">
        <v>1077</v>
      </c>
      <c r="D2" s="144" t="s">
        <v>1078</v>
      </c>
      <c r="E2" s="144" t="s">
        <v>1079</v>
      </c>
      <c r="F2" s="144"/>
      <c r="G2" s="144" t="s">
        <v>1080</v>
      </c>
      <c r="H2" s="144" t="s">
        <v>1081</v>
      </c>
      <c r="I2" s="144" t="s">
        <v>1082</v>
      </c>
      <c r="J2" s="144" t="s">
        <v>1083</v>
      </c>
      <c r="K2" s="144" t="s">
        <v>1084</v>
      </c>
      <c r="L2" s="144" t="s">
        <v>28</v>
      </c>
      <c r="M2" s="145">
        <v>45199</v>
      </c>
      <c r="N2" s="144" t="s">
        <v>1085</v>
      </c>
      <c r="P2" s="315"/>
      <c r="Q2" s="316"/>
      <c r="S2" s="151" t="s">
        <v>1086</v>
      </c>
      <c r="T2" s="151" t="s">
        <v>1087</v>
      </c>
    </row>
    <row r="3" spans="1:20">
      <c r="A3" s="146" t="s">
        <v>1075</v>
      </c>
      <c r="B3" s="146" t="s">
        <v>1088</v>
      </c>
      <c r="C3" s="146" t="s">
        <v>1077</v>
      </c>
      <c r="D3" s="146" t="s">
        <v>1088</v>
      </c>
      <c r="E3" s="146" t="s">
        <v>1089</v>
      </c>
      <c r="F3" s="146" t="s">
        <v>1090</v>
      </c>
      <c r="G3" s="146" t="s">
        <v>1080</v>
      </c>
      <c r="H3" s="146" t="s">
        <v>1091</v>
      </c>
      <c r="I3" s="146" t="s">
        <v>1092</v>
      </c>
      <c r="J3" s="146" t="s">
        <v>1093</v>
      </c>
      <c r="K3" s="146" t="s">
        <v>1093</v>
      </c>
      <c r="L3" s="146" t="s">
        <v>28</v>
      </c>
      <c r="M3" s="147">
        <v>45200</v>
      </c>
      <c r="N3" s="146" t="s">
        <v>1085</v>
      </c>
      <c r="P3" s="151" t="s">
        <v>1086</v>
      </c>
      <c r="Q3" s="151" t="s">
        <v>1094</v>
      </c>
      <c r="S3" s="146" t="s">
        <v>1085</v>
      </c>
      <c r="T3" s="152">
        <v>165</v>
      </c>
    </row>
    <row r="4" spans="1:20">
      <c r="A4" s="144" t="s">
        <v>1075</v>
      </c>
      <c r="B4" s="144" t="s">
        <v>1095</v>
      </c>
      <c r="C4" s="144" t="s">
        <v>1077</v>
      </c>
      <c r="D4" s="144" t="s">
        <v>1096</v>
      </c>
      <c r="E4" s="144" t="s">
        <v>1097</v>
      </c>
      <c r="F4" s="144"/>
      <c r="G4" s="144" t="s">
        <v>1080</v>
      </c>
      <c r="H4" s="144" t="s">
        <v>1081</v>
      </c>
      <c r="I4" s="144" t="s">
        <v>1082</v>
      </c>
      <c r="J4" s="144" t="s">
        <v>1083</v>
      </c>
      <c r="K4" s="144" t="s">
        <v>1084</v>
      </c>
      <c r="L4" s="144" t="s">
        <v>28</v>
      </c>
      <c r="M4" s="145">
        <v>45199</v>
      </c>
      <c r="N4" s="144" t="s">
        <v>1085</v>
      </c>
      <c r="P4" s="152" t="s">
        <v>805</v>
      </c>
      <c r="Q4" s="152">
        <v>211</v>
      </c>
      <c r="S4" s="146" t="s">
        <v>1098</v>
      </c>
      <c r="T4" s="152">
        <v>51</v>
      </c>
    </row>
    <row r="5" spans="1:20">
      <c r="A5" s="146" t="s">
        <v>1075</v>
      </c>
      <c r="B5" s="146" t="s">
        <v>1099</v>
      </c>
      <c r="C5" s="146" t="s">
        <v>1100</v>
      </c>
      <c r="D5" s="146" t="s">
        <v>1100</v>
      </c>
      <c r="E5" s="146" t="s">
        <v>1101</v>
      </c>
      <c r="F5" s="146"/>
      <c r="G5" s="146" t="s">
        <v>1080</v>
      </c>
      <c r="H5" s="146" t="s">
        <v>1081</v>
      </c>
      <c r="I5" s="146" t="s">
        <v>1082</v>
      </c>
      <c r="J5" s="146" t="s">
        <v>1083</v>
      </c>
      <c r="K5" s="146" t="s">
        <v>1084</v>
      </c>
      <c r="L5" s="146" t="s">
        <v>28</v>
      </c>
      <c r="M5" s="147">
        <v>45199</v>
      </c>
      <c r="N5" s="146" t="s">
        <v>1085</v>
      </c>
      <c r="P5" s="152" t="s">
        <v>28</v>
      </c>
      <c r="Q5" s="152">
        <v>165</v>
      </c>
      <c r="S5" s="146" t="s">
        <v>1102</v>
      </c>
      <c r="T5" s="152">
        <v>75</v>
      </c>
    </row>
    <row r="6" spans="1:20">
      <c r="A6" s="144" t="s">
        <v>1075</v>
      </c>
      <c r="B6" s="144" t="s">
        <v>1103</v>
      </c>
      <c r="C6" s="144" t="s">
        <v>1077</v>
      </c>
      <c r="D6" s="144" t="s">
        <v>1103</v>
      </c>
      <c r="E6" s="144" t="s">
        <v>1104</v>
      </c>
      <c r="F6" s="144" t="s">
        <v>1105</v>
      </c>
      <c r="G6" s="144" t="s">
        <v>1080</v>
      </c>
      <c r="H6" s="144" t="s">
        <v>1106</v>
      </c>
      <c r="I6" s="144" t="s">
        <v>1107</v>
      </c>
      <c r="J6" s="144" t="s">
        <v>1108</v>
      </c>
      <c r="K6" s="144" t="s">
        <v>1109</v>
      </c>
      <c r="L6" s="144" t="s">
        <v>28</v>
      </c>
      <c r="M6" s="145">
        <v>45200</v>
      </c>
      <c r="N6" s="144" t="s">
        <v>1085</v>
      </c>
      <c r="P6" s="151" t="s">
        <v>1110</v>
      </c>
      <c r="Q6" s="151">
        <v>376</v>
      </c>
      <c r="S6" s="146" t="s">
        <v>1111</v>
      </c>
      <c r="T6" s="152">
        <v>29</v>
      </c>
    </row>
    <row r="7" spans="1:20">
      <c r="A7" s="146" t="s">
        <v>1075</v>
      </c>
      <c r="B7" s="146" t="s">
        <v>1112</v>
      </c>
      <c r="C7" s="146" t="s">
        <v>1077</v>
      </c>
      <c r="D7" s="146" t="s">
        <v>1112</v>
      </c>
      <c r="E7" s="146" t="s">
        <v>1113</v>
      </c>
      <c r="F7" s="146" t="s">
        <v>1105</v>
      </c>
      <c r="G7" s="146" t="s">
        <v>1080</v>
      </c>
      <c r="H7" s="146" t="s">
        <v>1106</v>
      </c>
      <c r="I7" s="146" t="s">
        <v>1107</v>
      </c>
      <c r="J7" s="146" t="s">
        <v>1108</v>
      </c>
      <c r="K7" s="146" t="s">
        <v>1109</v>
      </c>
      <c r="L7" s="146" t="s">
        <v>28</v>
      </c>
      <c r="M7" s="147">
        <v>45199</v>
      </c>
      <c r="N7" s="146" t="s">
        <v>1085</v>
      </c>
      <c r="S7" s="146" t="s">
        <v>1114</v>
      </c>
      <c r="T7" s="152">
        <v>38</v>
      </c>
    </row>
    <row r="8" spans="1:20">
      <c r="A8" s="144" t="s">
        <v>1075</v>
      </c>
      <c r="B8" s="144" t="s">
        <v>1115</v>
      </c>
      <c r="C8" s="144" t="s">
        <v>1115</v>
      </c>
      <c r="D8" s="144" t="s">
        <v>1115</v>
      </c>
      <c r="E8" s="144" t="s">
        <v>1116</v>
      </c>
      <c r="F8" s="144" t="s">
        <v>1117</v>
      </c>
      <c r="G8" s="144" t="s">
        <v>1080</v>
      </c>
      <c r="H8" s="144" t="s">
        <v>1118</v>
      </c>
      <c r="I8" s="144" t="s">
        <v>1119</v>
      </c>
      <c r="J8" s="144" t="s">
        <v>1120</v>
      </c>
      <c r="K8" s="144" t="s">
        <v>1121</v>
      </c>
      <c r="L8" s="144" t="s">
        <v>28</v>
      </c>
      <c r="M8" s="145">
        <v>45200</v>
      </c>
      <c r="N8" s="144" t="s">
        <v>1085</v>
      </c>
      <c r="P8" s="317" t="s">
        <v>1122</v>
      </c>
      <c r="Q8" s="318"/>
      <c r="S8" s="146" t="s">
        <v>1123</v>
      </c>
      <c r="T8" s="152">
        <v>17</v>
      </c>
    </row>
    <row r="9" spans="1:20">
      <c r="A9" s="146" t="s">
        <v>1075</v>
      </c>
      <c r="B9" s="146" t="s">
        <v>1124</v>
      </c>
      <c r="C9" s="146" t="s">
        <v>1077</v>
      </c>
      <c r="D9" s="146" t="s">
        <v>1125</v>
      </c>
      <c r="E9" s="146" t="s">
        <v>1126</v>
      </c>
      <c r="F9" s="146" t="s">
        <v>1105</v>
      </c>
      <c r="G9" s="146" t="s">
        <v>1080</v>
      </c>
      <c r="H9" s="146" t="s">
        <v>1127</v>
      </c>
      <c r="I9" s="146" t="s">
        <v>1128</v>
      </c>
      <c r="J9" s="146" t="s">
        <v>1129</v>
      </c>
      <c r="K9" s="146" t="s">
        <v>1130</v>
      </c>
      <c r="L9" s="146" t="s">
        <v>28</v>
      </c>
      <c r="M9" s="147">
        <v>45199</v>
      </c>
      <c r="N9" s="146" t="s">
        <v>1085</v>
      </c>
      <c r="P9" s="319"/>
      <c r="Q9" s="320"/>
      <c r="S9" s="151" t="s">
        <v>1110</v>
      </c>
      <c r="T9" s="151">
        <v>375</v>
      </c>
    </row>
    <row r="10" spans="1:20" ht="45">
      <c r="A10" s="144" t="s">
        <v>1075</v>
      </c>
      <c r="B10" s="144" t="s">
        <v>1131</v>
      </c>
      <c r="C10" s="144" t="s">
        <v>1077</v>
      </c>
      <c r="D10" s="144" t="s">
        <v>1131</v>
      </c>
      <c r="E10" s="144" t="s">
        <v>1132</v>
      </c>
      <c r="F10" s="144" t="s">
        <v>1090</v>
      </c>
      <c r="G10" s="144" t="s">
        <v>1133</v>
      </c>
      <c r="H10" s="144" t="s">
        <v>1134</v>
      </c>
      <c r="I10" s="144" t="s">
        <v>1135</v>
      </c>
      <c r="J10" s="144" t="s">
        <v>1136</v>
      </c>
      <c r="K10" s="144" t="s">
        <v>1137</v>
      </c>
      <c r="L10" s="144" t="s">
        <v>28</v>
      </c>
      <c r="M10" s="145">
        <v>45730</v>
      </c>
      <c r="N10" s="144" t="s">
        <v>1085</v>
      </c>
      <c r="P10" s="151" t="s">
        <v>1086</v>
      </c>
      <c r="Q10" s="151" t="s">
        <v>1094</v>
      </c>
      <c r="S10" s="157" t="s">
        <v>1138</v>
      </c>
      <c r="T10" s="158">
        <v>249</v>
      </c>
    </row>
    <row r="11" spans="1:20" ht="15" customHeight="1">
      <c r="A11" s="146" t="s">
        <v>1075</v>
      </c>
      <c r="B11" s="146" t="s">
        <v>1139</v>
      </c>
      <c r="C11" s="146" t="s">
        <v>1077</v>
      </c>
      <c r="D11" s="146" t="s">
        <v>1140</v>
      </c>
      <c r="E11" s="146" t="s">
        <v>1141</v>
      </c>
      <c r="F11" s="146"/>
      <c r="G11" s="146" t="s">
        <v>1080</v>
      </c>
      <c r="H11" s="146" t="s">
        <v>1081</v>
      </c>
      <c r="I11" s="146" t="s">
        <v>1082</v>
      </c>
      <c r="J11" s="146" t="s">
        <v>1083</v>
      </c>
      <c r="K11" s="146" t="s">
        <v>1084</v>
      </c>
      <c r="L11" s="146" t="s">
        <v>28</v>
      </c>
      <c r="M11" s="147">
        <v>45199</v>
      </c>
      <c r="N11" s="146" t="s">
        <v>1085</v>
      </c>
      <c r="P11" s="153" t="s">
        <v>1075</v>
      </c>
      <c r="Q11" s="154">
        <v>165</v>
      </c>
      <c r="S11" s="325" t="s">
        <v>1142</v>
      </c>
      <c r="T11" s="326"/>
    </row>
    <row r="12" spans="1:20">
      <c r="A12" s="144" t="s">
        <v>1075</v>
      </c>
      <c r="B12" s="144" t="s">
        <v>1143</v>
      </c>
      <c r="C12" s="144" t="s">
        <v>1077</v>
      </c>
      <c r="D12" s="144" t="s">
        <v>1143</v>
      </c>
      <c r="E12" s="144" t="s">
        <v>1144</v>
      </c>
      <c r="F12" s="144" t="s">
        <v>1090</v>
      </c>
      <c r="G12" s="144" t="s">
        <v>1133</v>
      </c>
      <c r="H12" s="144" t="s">
        <v>1134</v>
      </c>
      <c r="I12" s="144" t="s">
        <v>1135</v>
      </c>
      <c r="J12" s="144" t="s">
        <v>1136</v>
      </c>
      <c r="K12" s="144" t="s">
        <v>1145</v>
      </c>
      <c r="L12" s="144" t="s">
        <v>28</v>
      </c>
      <c r="M12" s="145">
        <v>46140</v>
      </c>
      <c r="N12" s="144" t="s">
        <v>1085</v>
      </c>
      <c r="P12" s="153" t="s">
        <v>1146</v>
      </c>
      <c r="Q12" s="154">
        <v>112</v>
      </c>
      <c r="S12" s="159" t="s">
        <v>1147</v>
      </c>
      <c r="T12" s="154">
        <v>300</v>
      </c>
    </row>
    <row r="13" spans="1:20">
      <c r="A13" s="146" t="s">
        <v>1075</v>
      </c>
      <c r="B13" s="146" t="s">
        <v>1148</v>
      </c>
      <c r="C13" s="146" t="s">
        <v>1077</v>
      </c>
      <c r="D13" s="146" t="s">
        <v>1148</v>
      </c>
      <c r="E13" s="146" t="s">
        <v>1149</v>
      </c>
      <c r="F13" s="146" t="s">
        <v>1090</v>
      </c>
      <c r="G13" s="146" t="s">
        <v>1133</v>
      </c>
      <c r="H13" s="146" t="s">
        <v>1150</v>
      </c>
      <c r="I13" s="146" t="s">
        <v>1151</v>
      </c>
      <c r="J13" s="146" t="s">
        <v>1152</v>
      </c>
      <c r="K13" s="146" t="s">
        <v>1152</v>
      </c>
      <c r="L13" s="146" t="s">
        <v>28</v>
      </c>
      <c r="M13" s="147">
        <v>46007</v>
      </c>
      <c r="N13" s="146" t="s">
        <v>1085</v>
      </c>
      <c r="P13" s="153" t="s">
        <v>1153</v>
      </c>
      <c r="Q13" s="154">
        <v>99</v>
      </c>
      <c r="S13" s="159" t="s">
        <v>1154</v>
      </c>
      <c r="T13" s="154">
        <v>249</v>
      </c>
    </row>
    <row r="14" spans="1:20">
      <c r="A14" s="144" t="s">
        <v>1075</v>
      </c>
      <c r="B14" s="144" t="s">
        <v>1155</v>
      </c>
      <c r="C14" s="144" t="s">
        <v>1155</v>
      </c>
      <c r="D14" s="144" t="s">
        <v>1155</v>
      </c>
      <c r="E14" s="144" t="s">
        <v>1156</v>
      </c>
      <c r="F14" s="144" t="s">
        <v>1090</v>
      </c>
      <c r="G14" s="144" t="s">
        <v>1133</v>
      </c>
      <c r="H14" s="144" t="s">
        <v>1150</v>
      </c>
      <c r="I14" s="144" t="s">
        <v>1082</v>
      </c>
      <c r="J14" s="144" t="s">
        <v>1151</v>
      </c>
      <c r="K14" s="144" t="s">
        <v>1157</v>
      </c>
      <c r="L14" s="144" t="s">
        <v>28</v>
      </c>
      <c r="M14" s="145">
        <v>46028</v>
      </c>
      <c r="N14" s="144" t="s">
        <v>1085</v>
      </c>
      <c r="P14" s="151" t="s">
        <v>1110</v>
      </c>
      <c r="Q14" s="151">
        <v>376</v>
      </c>
      <c r="S14" s="159" t="s">
        <v>1158</v>
      </c>
      <c r="T14" s="154">
        <v>232</v>
      </c>
    </row>
    <row r="15" spans="1:20">
      <c r="A15" s="146" t="s">
        <v>1075</v>
      </c>
      <c r="B15" s="146" t="s">
        <v>1159</v>
      </c>
      <c r="C15" s="146" t="s">
        <v>1077</v>
      </c>
      <c r="D15" s="146" t="s">
        <v>1160</v>
      </c>
      <c r="E15" s="146" t="s">
        <v>1161</v>
      </c>
      <c r="F15" s="146"/>
      <c r="G15" s="146" t="s">
        <v>1080</v>
      </c>
      <c r="H15" s="146" t="s">
        <v>1081</v>
      </c>
      <c r="I15" s="146" t="s">
        <v>1082</v>
      </c>
      <c r="J15" s="146" t="s">
        <v>1083</v>
      </c>
      <c r="K15" s="146" t="s">
        <v>1084</v>
      </c>
      <c r="L15" s="146" t="s">
        <v>28</v>
      </c>
      <c r="M15" s="147">
        <v>45199</v>
      </c>
      <c r="N15" s="146" t="s">
        <v>1085</v>
      </c>
    </row>
    <row r="16" spans="1:20" ht="15" customHeight="1">
      <c r="A16" s="144" t="s">
        <v>1075</v>
      </c>
      <c r="B16" s="144" t="s">
        <v>1162</v>
      </c>
      <c r="C16" s="144" t="s">
        <v>1077</v>
      </c>
      <c r="D16" s="144" t="s">
        <v>1163</v>
      </c>
      <c r="E16" s="144" t="s">
        <v>1164</v>
      </c>
      <c r="F16" s="144"/>
      <c r="G16" s="144" t="s">
        <v>1080</v>
      </c>
      <c r="H16" s="144" t="s">
        <v>1081</v>
      </c>
      <c r="I16" s="144" t="s">
        <v>1082</v>
      </c>
      <c r="J16" s="144" t="s">
        <v>1083</v>
      </c>
      <c r="K16" s="144" t="s">
        <v>1084</v>
      </c>
      <c r="L16" s="144" t="s">
        <v>28</v>
      </c>
      <c r="M16" s="145">
        <v>45199</v>
      </c>
      <c r="N16" s="144" t="s">
        <v>1085</v>
      </c>
      <c r="P16" s="321" t="s">
        <v>1165</v>
      </c>
      <c r="Q16" s="322"/>
    </row>
    <row r="17" spans="1:19">
      <c r="A17" s="146" t="s">
        <v>1075</v>
      </c>
      <c r="B17" s="146" t="s">
        <v>1166</v>
      </c>
      <c r="C17" s="146" t="s">
        <v>1166</v>
      </c>
      <c r="D17" s="146" t="s">
        <v>1166</v>
      </c>
      <c r="E17" s="146" t="s">
        <v>1167</v>
      </c>
      <c r="F17" s="146" t="s">
        <v>1105</v>
      </c>
      <c r="G17" s="146" t="s">
        <v>1168</v>
      </c>
      <c r="H17" s="146" t="s">
        <v>1169</v>
      </c>
      <c r="I17" s="146" t="s">
        <v>1170</v>
      </c>
      <c r="J17" s="146" t="s">
        <v>1171</v>
      </c>
      <c r="K17" s="146" t="s">
        <v>1172</v>
      </c>
      <c r="L17" s="146" t="s">
        <v>28</v>
      </c>
      <c r="M17" s="147">
        <v>46107</v>
      </c>
      <c r="N17" s="146" t="s">
        <v>1085</v>
      </c>
      <c r="P17" s="323"/>
      <c r="Q17" s="324"/>
    </row>
    <row r="18" spans="1:19">
      <c r="A18" s="144" t="s">
        <v>1075</v>
      </c>
      <c r="B18" s="144" t="s">
        <v>1173</v>
      </c>
      <c r="C18" s="144" t="s">
        <v>1077</v>
      </c>
      <c r="D18" s="144" t="s">
        <v>1174</v>
      </c>
      <c r="E18" s="144" t="s">
        <v>1175</v>
      </c>
      <c r="F18" s="144"/>
      <c r="G18" s="144" t="s">
        <v>1080</v>
      </c>
      <c r="H18" s="144" t="s">
        <v>1081</v>
      </c>
      <c r="I18" s="144" t="s">
        <v>1082</v>
      </c>
      <c r="J18" s="144" t="s">
        <v>1083</v>
      </c>
      <c r="K18" s="144" t="s">
        <v>1084</v>
      </c>
      <c r="L18" s="144" t="s">
        <v>28</v>
      </c>
      <c r="M18" s="145">
        <v>45199</v>
      </c>
      <c r="N18" s="144" t="s">
        <v>1085</v>
      </c>
      <c r="P18" s="151" t="s">
        <v>1071</v>
      </c>
      <c r="Q18" s="151" t="s">
        <v>805</v>
      </c>
    </row>
    <row r="19" spans="1:19">
      <c r="A19" s="146" t="s">
        <v>1075</v>
      </c>
      <c r="B19" s="146" t="s">
        <v>1176</v>
      </c>
      <c r="C19" s="146" t="s">
        <v>1077</v>
      </c>
      <c r="D19" s="146" t="s">
        <v>1176</v>
      </c>
      <c r="E19" s="146" t="s">
        <v>1177</v>
      </c>
      <c r="F19" s="146" t="s">
        <v>1117</v>
      </c>
      <c r="G19" s="146" t="s">
        <v>1080</v>
      </c>
      <c r="H19" s="146" t="s">
        <v>1081</v>
      </c>
      <c r="I19" s="146" t="s">
        <v>1082</v>
      </c>
      <c r="J19" s="146" t="s">
        <v>1178</v>
      </c>
      <c r="K19" s="146" t="s">
        <v>1084</v>
      </c>
      <c r="L19" s="146" t="s">
        <v>28</v>
      </c>
      <c r="M19" s="147">
        <v>45200</v>
      </c>
      <c r="N19" s="146" t="s">
        <v>1085</v>
      </c>
      <c r="P19" s="155"/>
      <c r="Q19" s="155"/>
    </row>
    <row r="20" spans="1:19">
      <c r="A20" s="144" t="s">
        <v>1075</v>
      </c>
      <c r="B20" s="144" t="s">
        <v>1179</v>
      </c>
      <c r="C20" s="144" t="s">
        <v>1077</v>
      </c>
      <c r="D20" s="144" t="s">
        <v>1179</v>
      </c>
      <c r="E20" s="144" t="s">
        <v>1180</v>
      </c>
      <c r="F20" s="144" t="s">
        <v>1090</v>
      </c>
      <c r="G20" s="144" t="s">
        <v>1080</v>
      </c>
      <c r="H20" s="144" t="s">
        <v>1081</v>
      </c>
      <c r="I20" s="144" t="s">
        <v>1082</v>
      </c>
      <c r="J20" s="144" t="s">
        <v>1181</v>
      </c>
      <c r="K20" s="144" t="s">
        <v>1084</v>
      </c>
      <c r="L20" s="144" t="s">
        <v>28</v>
      </c>
      <c r="M20" s="145">
        <v>45200</v>
      </c>
      <c r="N20" s="144" t="s">
        <v>1085</v>
      </c>
      <c r="P20" s="156" t="s">
        <v>1086</v>
      </c>
      <c r="Q20" s="155"/>
    </row>
    <row r="21" spans="1:19">
      <c r="A21" s="146" t="s">
        <v>1075</v>
      </c>
      <c r="B21" s="146" t="s">
        <v>1182</v>
      </c>
      <c r="C21" s="146" t="s">
        <v>1077</v>
      </c>
      <c r="D21" s="146" t="s">
        <v>1182</v>
      </c>
      <c r="E21" s="146" t="s">
        <v>1183</v>
      </c>
      <c r="F21" s="146" t="s">
        <v>1117</v>
      </c>
      <c r="G21" s="146" t="s">
        <v>1133</v>
      </c>
      <c r="H21" s="146" t="s">
        <v>1134</v>
      </c>
      <c r="I21" s="146" t="s">
        <v>1135</v>
      </c>
      <c r="J21" s="146" t="s">
        <v>1136</v>
      </c>
      <c r="K21" s="146" t="s">
        <v>1184</v>
      </c>
      <c r="L21" s="146" t="s">
        <v>28</v>
      </c>
      <c r="M21" s="147">
        <v>45448</v>
      </c>
      <c r="N21" s="146" t="s">
        <v>1085</v>
      </c>
      <c r="P21" s="146" t="s">
        <v>1185</v>
      </c>
      <c r="Q21" s="155"/>
    </row>
    <row r="22" spans="1:19">
      <c r="A22" s="144" t="s">
        <v>1075</v>
      </c>
      <c r="B22" s="144" t="s">
        <v>1186</v>
      </c>
      <c r="C22" s="144" t="s">
        <v>1077</v>
      </c>
      <c r="D22" s="144" t="s">
        <v>1187</v>
      </c>
      <c r="E22" s="144" t="s">
        <v>1188</v>
      </c>
      <c r="F22" s="144" t="s">
        <v>1189</v>
      </c>
      <c r="G22" s="144" t="s">
        <v>1133</v>
      </c>
      <c r="H22" s="144" t="s">
        <v>1169</v>
      </c>
      <c r="I22" s="144" t="s">
        <v>1170</v>
      </c>
      <c r="J22" s="144" t="s">
        <v>1190</v>
      </c>
      <c r="K22" s="144" t="s">
        <v>1172</v>
      </c>
      <c r="L22" s="144" t="s">
        <v>28</v>
      </c>
      <c r="M22" s="145">
        <v>45382</v>
      </c>
      <c r="N22" s="144" t="s">
        <v>1085</v>
      </c>
      <c r="P22" s="146" t="s">
        <v>1191</v>
      </c>
      <c r="Q22" s="155"/>
    </row>
    <row r="23" spans="1:19">
      <c r="A23" s="146" t="s">
        <v>1075</v>
      </c>
      <c r="B23" s="146" t="s">
        <v>1192</v>
      </c>
      <c r="C23" s="146" t="s">
        <v>1077</v>
      </c>
      <c r="D23" s="146" t="s">
        <v>1192</v>
      </c>
      <c r="E23" s="146" t="s">
        <v>1193</v>
      </c>
      <c r="F23" s="146" t="s">
        <v>1090</v>
      </c>
      <c r="G23" s="146" t="s">
        <v>1133</v>
      </c>
      <c r="H23" s="146" t="s">
        <v>1194</v>
      </c>
      <c r="I23" s="146" t="s">
        <v>1195</v>
      </c>
      <c r="J23" s="146" t="s">
        <v>1196</v>
      </c>
      <c r="K23" s="146" t="s">
        <v>1197</v>
      </c>
      <c r="L23" s="146" t="s">
        <v>28</v>
      </c>
      <c r="M23" s="147">
        <v>45834</v>
      </c>
      <c r="N23" s="146" t="s">
        <v>1085</v>
      </c>
      <c r="P23" s="146" t="s">
        <v>1198</v>
      </c>
      <c r="Q23" s="155"/>
      <c r="S23">
        <f>(165*80)/100</f>
        <v>132</v>
      </c>
    </row>
    <row r="24" spans="1:19">
      <c r="A24" s="144" t="s">
        <v>1075</v>
      </c>
      <c r="B24" s="144" t="s">
        <v>1199</v>
      </c>
      <c r="C24" s="144" t="s">
        <v>1077</v>
      </c>
      <c r="D24" s="144" t="s">
        <v>1200</v>
      </c>
      <c r="E24" s="144" t="s">
        <v>1201</v>
      </c>
      <c r="F24" s="144"/>
      <c r="G24" s="144" t="s">
        <v>1080</v>
      </c>
      <c r="H24" s="144" t="s">
        <v>1081</v>
      </c>
      <c r="I24" s="144" t="s">
        <v>1082</v>
      </c>
      <c r="J24" s="144" t="s">
        <v>1083</v>
      </c>
      <c r="K24" s="144" t="s">
        <v>1084</v>
      </c>
      <c r="L24" s="144" t="s">
        <v>28</v>
      </c>
      <c r="M24" s="145">
        <v>45199</v>
      </c>
      <c r="N24" s="144" t="s">
        <v>1085</v>
      </c>
      <c r="P24" s="146" t="s">
        <v>1202</v>
      </c>
      <c r="Q24" s="155"/>
      <c r="S24">
        <f>+S23+165</f>
        <v>297</v>
      </c>
    </row>
    <row r="25" spans="1:19">
      <c r="A25" s="146" t="s">
        <v>1075</v>
      </c>
      <c r="B25" s="146" t="s">
        <v>1203</v>
      </c>
      <c r="C25" s="146" t="s">
        <v>1077</v>
      </c>
      <c r="D25" s="146" t="s">
        <v>1203</v>
      </c>
      <c r="E25" s="146" t="s">
        <v>1204</v>
      </c>
      <c r="F25" s="146" t="s">
        <v>1117</v>
      </c>
      <c r="G25" s="146" t="s">
        <v>1080</v>
      </c>
      <c r="H25" s="146" t="s">
        <v>1205</v>
      </c>
      <c r="I25" s="146" t="s">
        <v>1206</v>
      </c>
      <c r="J25" s="146" t="s">
        <v>1207</v>
      </c>
      <c r="K25" s="146" t="s">
        <v>1208</v>
      </c>
      <c r="L25" s="146" t="s">
        <v>28</v>
      </c>
      <c r="M25" s="147">
        <v>45199</v>
      </c>
      <c r="N25" s="146" t="s">
        <v>1085</v>
      </c>
      <c r="P25" s="146" t="s">
        <v>1209</v>
      </c>
      <c r="Q25" s="155"/>
    </row>
    <row r="26" spans="1:19">
      <c r="A26" s="144" t="s">
        <v>1075</v>
      </c>
      <c r="B26" s="144" t="s">
        <v>1210</v>
      </c>
      <c r="C26" s="144" t="s">
        <v>1210</v>
      </c>
      <c r="D26" s="144" t="s">
        <v>1210</v>
      </c>
      <c r="E26" s="144" t="s">
        <v>1211</v>
      </c>
      <c r="F26" s="144" t="s">
        <v>1189</v>
      </c>
      <c r="G26" s="144" t="s">
        <v>1080</v>
      </c>
      <c r="H26" s="144" t="s">
        <v>1212</v>
      </c>
      <c r="I26" s="144" t="s">
        <v>1213</v>
      </c>
      <c r="J26" s="144" t="s">
        <v>1214</v>
      </c>
      <c r="K26" s="144" t="s">
        <v>1213</v>
      </c>
      <c r="L26" s="144" t="s">
        <v>28</v>
      </c>
      <c r="M26" s="145">
        <v>45200</v>
      </c>
      <c r="N26" s="144" t="s">
        <v>1085</v>
      </c>
      <c r="P26" s="146" t="s">
        <v>1215</v>
      </c>
      <c r="Q26" s="155"/>
    </row>
    <row r="27" spans="1:19">
      <c r="A27" s="146" t="s">
        <v>1075</v>
      </c>
      <c r="B27" s="146" t="s">
        <v>1216</v>
      </c>
      <c r="C27" s="146" t="s">
        <v>1077</v>
      </c>
      <c r="D27" s="146" t="s">
        <v>1216</v>
      </c>
      <c r="E27" s="146" t="s">
        <v>1217</v>
      </c>
      <c r="F27" s="146" t="s">
        <v>1090</v>
      </c>
      <c r="G27" s="146" t="s">
        <v>1080</v>
      </c>
      <c r="H27" s="146" t="s">
        <v>1218</v>
      </c>
      <c r="I27" s="146" t="s">
        <v>1219</v>
      </c>
      <c r="J27" s="146" t="s">
        <v>1220</v>
      </c>
      <c r="K27" s="146" t="s">
        <v>1221</v>
      </c>
      <c r="L27" s="146" t="s">
        <v>28</v>
      </c>
      <c r="M27" s="147">
        <v>45199</v>
      </c>
      <c r="N27" s="146" t="s">
        <v>1085</v>
      </c>
      <c r="P27" s="146" t="s">
        <v>1222</v>
      </c>
      <c r="Q27" s="155"/>
    </row>
    <row r="28" spans="1:19">
      <c r="A28" s="144" t="s">
        <v>1075</v>
      </c>
      <c r="B28" s="144" t="s">
        <v>1223</v>
      </c>
      <c r="C28" s="144" t="s">
        <v>1077</v>
      </c>
      <c r="D28" s="144" t="s">
        <v>1224</v>
      </c>
      <c r="E28" s="144" t="s">
        <v>1225</v>
      </c>
      <c r="F28" s="144"/>
      <c r="G28" s="144" t="s">
        <v>1080</v>
      </c>
      <c r="H28" s="144" t="s">
        <v>1081</v>
      </c>
      <c r="I28" s="144" t="s">
        <v>1082</v>
      </c>
      <c r="J28" s="144" t="s">
        <v>1083</v>
      </c>
      <c r="K28" s="144" t="s">
        <v>1084</v>
      </c>
      <c r="L28" s="144" t="s">
        <v>28</v>
      </c>
      <c r="M28" s="145">
        <v>45199</v>
      </c>
      <c r="N28" s="144" t="s">
        <v>1085</v>
      </c>
      <c r="P28" s="146" t="s">
        <v>1226</v>
      </c>
      <c r="Q28" s="155"/>
    </row>
    <row r="29" spans="1:19">
      <c r="A29" s="146" t="s">
        <v>1075</v>
      </c>
      <c r="B29" s="146" t="s">
        <v>1227</v>
      </c>
      <c r="C29" s="146" t="s">
        <v>1077</v>
      </c>
      <c r="D29" s="146" t="s">
        <v>1227</v>
      </c>
      <c r="E29" s="146" t="s">
        <v>1228</v>
      </c>
      <c r="F29" s="146" t="s">
        <v>1105</v>
      </c>
      <c r="G29" s="146" t="s">
        <v>1133</v>
      </c>
      <c r="H29" s="146" t="s">
        <v>1134</v>
      </c>
      <c r="I29" s="146" t="s">
        <v>1135</v>
      </c>
      <c r="J29" s="146" t="s">
        <v>1136</v>
      </c>
      <c r="K29" s="146" t="s">
        <v>1137</v>
      </c>
      <c r="L29" s="146" t="s">
        <v>28</v>
      </c>
      <c r="M29" s="147">
        <v>45715</v>
      </c>
      <c r="N29" s="146" t="s">
        <v>1085</v>
      </c>
      <c r="P29" s="146" t="s">
        <v>1229</v>
      </c>
      <c r="Q29" s="155"/>
    </row>
    <row r="30" spans="1:19">
      <c r="A30" s="144" t="s">
        <v>1075</v>
      </c>
      <c r="B30" s="144" t="s">
        <v>1230</v>
      </c>
      <c r="C30" s="144" t="s">
        <v>1077</v>
      </c>
      <c r="D30" s="144" t="s">
        <v>1230</v>
      </c>
      <c r="E30" s="144" t="s">
        <v>1231</v>
      </c>
      <c r="F30" s="144" t="s">
        <v>1117</v>
      </c>
      <c r="G30" s="144" t="s">
        <v>1080</v>
      </c>
      <c r="H30" s="144" t="s">
        <v>1232</v>
      </c>
      <c r="I30" s="144" t="s">
        <v>1233</v>
      </c>
      <c r="J30" s="144" t="s">
        <v>1234</v>
      </c>
      <c r="K30" s="144" t="s">
        <v>1235</v>
      </c>
      <c r="L30" s="144" t="s">
        <v>28</v>
      </c>
      <c r="M30" s="145">
        <v>45200</v>
      </c>
      <c r="N30" s="144" t="s">
        <v>1085</v>
      </c>
      <c r="P30" s="146" t="s">
        <v>1236</v>
      </c>
      <c r="Q30" s="155"/>
    </row>
    <row r="31" spans="1:19">
      <c r="A31" s="146" t="s">
        <v>1075</v>
      </c>
      <c r="B31" s="146" t="s">
        <v>1237</v>
      </c>
      <c r="C31" s="146" t="s">
        <v>1237</v>
      </c>
      <c r="D31" s="146" t="s">
        <v>1237</v>
      </c>
      <c r="E31" s="146" t="s">
        <v>1238</v>
      </c>
      <c r="F31" s="146" t="s">
        <v>1105</v>
      </c>
      <c r="G31" s="146" t="s">
        <v>1080</v>
      </c>
      <c r="H31" s="146" t="s">
        <v>1134</v>
      </c>
      <c r="I31" s="146" t="s">
        <v>1135</v>
      </c>
      <c r="J31" s="146" t="s">
        <v>1136</v>
      </c>
      <c r="K31" s="146" t="s">
        <v>1239</v>
      </c>
      <c r="L31" s="146" t="s">
        <v>28</v>
      </c>
      <c r="M31" s="147">
        <v>45630</v>
      </c>
      <c r="N31" s="146" t="s">
        <v>1085</v>
      </c>
      <c r="P31" s="146" t="s">
        <v>1240</v>
      </c>
      <c r="Q31" s="155"/>
    </row>
    <row r="32" spans="1:19">
      <c r="A32" s="144" t="s">
        <v>1075</v>
      </c>
      <c r="B32" s="144" t="s">
        <v>1241</v>
      </c>
      <c r="C32" s="144" t="s">
        <v>1077</v>
      </c>
      <c r="D32" s="144" t="s">
        <v>1241</v>
      </c>
      <c r="E32" s="144" t="s">
        <v>1242</v>
      </c>
      <c r="F32" s="144" t="s">
        <v>1117</v>
      </c>
      <c r="G32" s="144" t="s">
        <v>1080</v>
      </c>
      <c r="H32" s="144" t="s">
        <v>1134</v>
      </c>
      <c r="I32" s="144" t="s">
        <v>1243</v>
      </c>
      <c r="J32" s="144" t="s">
        <v>1244</v>
      </c>
      <c r="K32" s="144" t="s">
        <v>1245</v>
      </c>
      <c r="L32" s="144" t="s">
        <v>28</v>
      </c>
      <c r="M32" s="145">
        <v>46104</v>
      </c>
      <c r="N32" s="144" t="s">
        <v>1085</v>
      </c>
      <c r="P32" s="146" t="s">
        <v>1246</v>
      </c>
      <c r="Q32" s="155"/>
    </row>
    <row r="33" spans="1:17">
      <c r="A33" s="146" t="s">
        <v>1075</v>
      </c>
      <c r="B33" s="146" t="s">
        <v>1247</v>
      </c>
      <c r="C33" s="146" t="s">
        <v>1077</v>
      </c>
      <c r="D33" s="146" t="s">
        <v>1248</v>
      </c>
      <c r="E33" s="146" t="s">
        <v>1249</v>
      </c>
      <c r="F33" s="146" t="s">
        <v>1250</v>
      </c>
      <c r="G33" s="146" t="s">
        <v>1080</v>
      </c>
      <c r="H33" s="146" t="s">
        <v>1127</v>
      </c>
      <c r="I33" s="146" t="s">
        <v>1128</v>
      </c>
      <c r="J33" s="146" t="s">
        <v>1251</v>
      </c>
      <c r="K33" s="146" t="s">
        <v>1252</v>
      </c>
      <c r="L33" s="146" t="s">
        <v>28</v>
      </c>
      <c r="M33" s="147">
        <v>45199</v>
      </c>
      <c r="N33" s="146" t="s">
        <v>1085</v>
      </c>
      <c r="P33" s="146" t="s">
        <v>1253</v>
      </c>
      <c r="Q33" s="155"/>
    </row>
    <row r="34" spans="1:17">
      <c r="A34" s="144" t="s">
        <v>1075</v>
      </c>
      <c r="B34" s="144" t="s">
        <v>1254</v>
      </c>
      <c r="C34" s="144" t="s">
        <v>1254</v>
      </c>
      <c r="D34" s="144" t="s">
        <v>1254</v>
      </c>
      <c r="E34" s="144" t="s">
        <v>1255</v>
      </c>
      <c r="F34" s="144" t="s">
        <v>1090</v>
      </c>
      <c r="G34" s="144" t="s">
        <v>1080</v>
      </c>
      <c r="H34" s="144" t="s">
        <v>1134</v>
      </c>
      <c r="I34" s="144" t="s">
        <v>1256</v>
      </c>
      <c r="J34" s="144" t="s">
        <v>1257</v>
      </c>
      <c r="K34" s="144" t="s">
        <v>1258</v>
      </c>
      <c r="L34" s="144" t="s">
        <v>28</v>
      </c>
      <c r="M34" s="145">
        <v>45200</v>
      </c>
      <c r="N34" s="144" t="s">
        <v>1085</v>
      </c>
      <c r="P34" s="146" t="s">
        <v>1259</v>
      </c>
      <c r="Q34" s="155"/>
    </row>
    <row r="35" spans="1:17">
      <c r="A35" s="146" t="s">
        <v>1075</v>
      </c>
      <c r="B35" s="146" t="s">
        <v>1260</v>
      </c>
      <c r="C35" s="146" t="s">
        <v>1077</v>
      </c>
      <c r="D35" s="146" t="s">
        <v>1261</v>
      </c>
      <c r="E35" s="146" t="s">
        <v>1262</v>
      </c>
      <c r="F35" s="146"/>
      <c r="G35" s="146" t="s">
        <v>1080</v>
      </c>
      <c r="H35" s="146" t="s">
        <v>1081</v>
      </c>
      <c r="I35" s="146" t="s">
        <v>1082</v>
      </c>
      <c r="J35" s="146" t="s">
        <v>1083</v>
      </c>
      <c r="K35" s="146" t="s">
        <v>1084</v>
      </c>
      <c r="L35" s="146" t="s">
        <v>28</v>
      </c>
      <c r="M35" s="147">
        <v>45199</v>
      </c>
      <c r="N35" s="146" t="s">
        <v>1085</v>
      </c>
      <c r="P35" s="146" t="s">
        <v>1263</v>
      </c>
      <c r="Q35" s="155"/>
    </row>
    <row r="36" spans="1:17">
      <c r="A36" s="144" t="s">
        <v>1075</v>
      </c>
      <c r="B36" s="144" t="s">
        <v>1264</v>
      </c>
      <c r="C36" s="144" t="s">
        <v>1077</v>
      </c>
      <c r="D36" s="144" t="s">
        <v>1264</v>
      </c>
      <c r="E36" s="144" t="s">
        <v>1265</v>
      </c>
      <c r="F36" s="144" t="s">
        <v>1117</v>
      </c>
      <c r="G36" s="144" t="s">
        <v>1080</v>
      </c>
      <c r="H36" s="144" t="s">
        <v>1134</v>
      </c>
      <c r="I36" s="144" t="s">
        <v>1243</v>
      </c>
      <c r="J36" s="144" t="s">
        <v>1244</v>
      </c>
      <c r="K36" s="144" t="s">
        <v>1245</v>
      </c>
      <c r="L36" s="144" t="s">
        <v>28</v>
      </c>
      <c r="M36" s="145">
        <v>45911</v>
      </c>
      <c r="N36" s="144" t="s">
        <v>1085</v>
      </c>
      <c r="P36" s="146" t="s">
        <v>1266</v>
      </c>
      <c r="Q36" s="155"/>
    </row>
    <row r="37" spans="1:17">
      <c r="A37" s="146" t="s">
        <v>1075</v>
      </c>
      <c r="B37" s="146" t="s">
        <v>1267</v>
      </c>
      <c r="C37" s="146" t="s">
        <v>1077</v>
      </c>
      <c r="D37" s="146" t="s">
        <v>1267</v>
      </c>
      <c r="E37" s="146" t="s">
        <v>1268</v>
      </c>
      <c r="F37" s="146" t="s">
        <v>1117</v>
      </c>
      <c r="G37" s="146" t="s">
        <v>1133</v>
      </c>
      <c r="H37" s="146" t="s">
        <v>1134</v>
      </c>
      <c r="I37" s="146" t="s">
        <v>1135</v>
      </c>
      <c r="J37" s="146" t="s">
        <v>1136</v>
      </c>
      <c r="K37" s="146" t="s">
        <v>1239</v>
      </c>
      <c r="L37" s="146" t="s">
        <v>28</v>
      </c>
      <c r="M37" s="147">
        <v>45713</v>
      </c>
      <c r="N37" s="146" t="s">
        <v>1085</v>
      </c>
      <c r="P37" s="146" t="s">
        <v>1269</v>
      </c>
      <c r="Q37" s="155"/>
    </row>
    <row r="38" spans="1:17">
      <c r="A38" s="144" t="s">
        <v>1075</v>
      </c>
      <c r="B38" s="144" t="s">
        <v>1270</v>
      </c>
      <c r="C38" s="144" t="s">
        <v>1077</v>
      </c>
      <c r="D38" s="144" t="s">
        <v>1270</v>
      </c>
      <c r="E38" s="144" t="s">
        <v>1271</v>
      </c>
      <c r="F38" s="144" t="s">
        <v>1105</v>
      </c>
      <c r="G38" s="144" t="s">
        <v>1133</v>
      </c>
      <c r="H38" s="144" t="s">
        <v>1106</v>
      </c>
      <c r="I38" s="144" t="s">
        <v>1107</v>
      </c>
      <c r="J38" s="144" t="s">
        <v>1272</v>
      </c>
      <c r="K38" s="144" t="s">
        <v>1273</v>
      </c>
      <c r="L38" s="144" t="s">
        <v>28</v>
      </c>
      <c r="M38" s="145">
        <v>45200</v>
      </c>
      <c r="N38" s="144" t="s">
        <v>1085</v>
      </c>
      <c r="P38" s="146" t="s">
        <v>1274</v>
      </c>
      <c r="Q38" s="155"/>
    </row>
    <row r="39" spans="1:17">
      <c r="A39" s="146" t="s">
        <v>1075</v>
      </c>
      <c r="B39" s="146" t="s">
        <v>1275</v>
      </c>
      <c r="C39" s="146" t="s">
        <v>1077</v>
      </c>
      <c r="D39" s="146" t="s">
        <v>1275</v>
      </c>
      <c r="E39" s="146" t="s">
        <v>1276</v>
      </c>
      <c r="F39" s="146" t="s">
        <v>1250</v>
      </c>
      <c r="G39" s="146" t="s">
        <v>1080</v>
      </c>
      <c r="H39" s="146" t="s">
        <v>1277</v>
      </c>
      <c r="I39" s="146" t="s">
        <v>1213</v>
      </c>
      <c r="J39" s="146" t="s">
        <v>1129</v>
      </c>
      <c r="K39" s="146" t="s">
        <v>1278</v>
      </c>
      <c r="L39" s="146" t="s">
        <v>28</v>
      </c>
      <c r="M39" s="147">
        <v>45199</v>
      </c>
      <c r="N39" s="146" t="s">
        <v>1085</v>
      </c>
      <c r="P39" s="146" t="s">
        <v>1279</v>
      </c>
      <c r="Q39" s="155"/>
    </row>
    <row r="40" spans="1:17">
      <c r="A40" s="144" t="s">
        <v>1075</v>
      </c>
      <c r="B40" s="144" t="s">
        <v>1280</v>
      </c>
      <c r="C40" s="144" t="s">
        <v>1077</v>
      </c>
      <c r="D40" s="144" t="s">
        <v>1280</v>
      </c>
      <c r="E40" s="144" t="s">
        <v>1281</v>
      </c>
      <c r="F40" s="144" t="s">
        <v>1250</v>
      </c>
      <c r="G40" s="144" t="s">
        <v>1080</v>
      </c>
      <c r="H40" s="144" t="s">
        <v>1282</v>
      </c>
      <c r="I40" s="144" t="s">
        <v>1219</v>
      </c>
      <c r="J40" s="144" t="s">
        <v>1283</v>
      </c>
      <c r="K40" s="144" t="s">
        <v>1284</v>
      </c>
      <c r="L40" s="144" t="s">
        <v>28</v>
      </c>
      <c r="M40" s="145">
        <v>45199</v>
      </c>
      <c r="N40" s="144" t="s">
        <v>1085</v>
      </c>
      <c r="P40" s="146" t="s">
        <v>1285</v>
      </c>
      <c r="Q40" s="155"/>
    </row>
    <row r="41" spans="1:17">
      <c r="A41" s="146" t="s">
        <v>1075</v>
      </c>
      <c r="B41" s="146" t="s">
        <v>1286</v>
      </c>
      <c r="C41" s="146" t="s">
        <v>1286</v>
      </c>
      <c r="D41" s="146" t="s">
        <v>1286</v>
      </c>
      <c r="E41" s="146" t="s">
        <v>1287</v>
      </c>
      <c r="F41" s="146" t="s">
        <v>1117</v>
      </c>
      <c r="G41" s="146" t="s">
        <v>1133</v>
      </c>
      <c r="H41" s="146" t="s">
        <v>1288</v>
      </c>
      <c r="I41" s="146" t="s">
        <v>1289</v>
      </c>
      <c r="J41" s="146" t="s">
        <v>1290</v>
      </c>
      <c r="K41" s="146" t="s">
        <v>1291</v>
      </c>
      <c r="L41" s="146" t="s">
        <v>28</v>
      </c>
      <c r="M41" s="147">
        <v>45200</v>
      </c>
      <c r="N41" s="146" t="s">
        <v>1085</v>
      </c>
      <c r="P41" s="146" t="s">
        <v>1292</v>
      </c>
      <c r="Q41" s="155"/>
    </row>
    <row r="42" spans="1:17">
      <c r="A42" s="144" t="s">
        <v>1075</v>
      </c>
      <c r="B42" s="144" t="s">
        <v>1293</v>
      </c>
      <c r="C42" s="144" t="s">
        <v>1293</v>
      </c>
      <c r="D42" s="144" t="s">
        <v>1293</v>
      </c>
      <c r="E42" s="144" t="s">
        <v>1294</v>
      </c>
      <c r="F42" s="144" t="s">
        <v>1105</v>
      </c>
      <c r="G42" s="144" t="s">
        <v>1133</v>
      </c>
      <c r="H42" s="144" t="s">
        <v>1288</v>
      </c>
      <c r="I42" s="144" t="s">
        <v>1289</v>
      </c>
      <c r="J42" s="144" t="s">
        <v>1295</v>
      </c>
      <c r="K42" s="144" t="s">
        <v>1291</v>
      </c>
      <c r="L42" s="144" t="s">
        <v>28</v>
      </c>
      <c r="M42" s="145">
        <v>46052</v>
      </c>
      <c r="N42" s="144" t="s">
        <v>1085</v>
      </c>
      <c r="P42" s="146" t="s">
        <v>1296</v>
      </c>
      <c r="Q42" s="155"/>
    </row>
    <row r="43" spans="1:17">
      <c r="A43" s="146" t="s">
        <v>1075</v>
      </c>
      <c r="B43" s="146" t="s">
        <v>1297</v>
      </c>
      <c r="C43" s="146" t="s">
        <v>1297</v>
      </c>
      <c r="D43" s="146" t="s">
        <v>1297</v>
      </c>
      <c r="E43" s="146" t="s">
        <v>1298</v>
      </c>
      <c r="F43" s="146" t="s">
        <v>1105</v>
      </c>
      <c r="G43" s="146" t="s">
        <v>1133</v>
      </c>
      <c r="H43" s="146" t="s">
        <v>1134</v>
      </c>
      <c r="I43" s="146" t="s">
        <v>1135</v>
      </c>
      <c r="J43" s="146" t="s">
        <v>1136</v>
      </c>
      <c r="K43" s="146" t="s">
        <v>1239</v>
      </c>
      <c r="L43" s="146" t="s">
        <v>28</v>
      </c>
      <c r="M43" s="147">
        <v>45715</v>
      </c>
      <c r="N43" s="146" t="s">
        <v>1085</v>
      </c>
      <c r="P43" s="146" t="s">
        <v>1299</v>
      </c>
      <c r="Q43" s="155"/>
    </row>
    <row r="44" spans="1:17">
      <c r="A44" s="144" t="s">
        <v>1075</v>
      </c>
      <c r="B44" s="144" t="s">
        <v>1300</v>
      </c>
      <c r="C44" s="144" t="s">
        <v>1077</v>
      </c>
      <c r="D44" s="144" t="s">
        <v>1300</v>
      </c>
      <c r="E44" s="144" t="s">
        <v>1301</v>
      </c>
      <c r="F44" s="144" t="s">
        <v>1117</v>
      </c>
      <c r="G44" s="144" t="s">
        <v>1080</v>
      </c>
      <c r="H44" s="144" t="s">
        <v>1118</v>
      </c>
      <c r="I44" s="144" t="s">
        <v>1119</v>
      </c>
      <c r="J44" s="144" t="s">
        <v>1302</v>
      </c>
      <c r="K44" s="144" t="s">
        <v>1303</v>
      </c>
      <c r="L44" s="144" t="s">
        <v>28</v>
      </c>
      <c r="M44" s="145">
        <v>45199</v>
      </c>
      <c r="N44" s="144" t="s">
        <v>1085</v>
      </c>
      <c r="P44" s="146" t="s">
        <v>1304</v>
      </c>
      <c r="Q44" s="155"/>
    </row>
    <row r="45" spans="1:17">
      <c r="A45" s="146" t="s">
        <v>1075</v>
      </c>
      <c r="B45" s="146" t="s">
        <v>1305</v>
      </c>
      <c r="C45" s="146" t="s">
        <v>1305</v>
      </c>
      <c r="D45" s="146" t="s">
        <v>1305</v>
      </c>
      <c r="E45" s="146" t="s">
        <v>1306</v>
      </c>
      <c r="F45" s="146" t="s">
        <v>1105</v>
      </c>
      <c r="G45" s="146" t="s">
        <v>1133</v>
      </c>
      <c r="H45" s="146" t="s">
        <v>1134</v>
      </c>
      <c r="I45" s="146" t="s">
        <v>1307</v>
      </c>
      <c r="J45" s="146" t="s">
        <v>1244</v>
      </c>
      <c r="K45" s="146" t="s">
        <v>1307</v>
      </c>
      <c r="L45" s="146" t="s">
        <v>28</v>
      </c>
      <c r="M45" s="147">
        <v>46035</v>
      </c>
      <c r="N45" s="146" t="s">
        <v>1085</v>
      </c>
      <c r="P45" s="146" t="s">
        <v>1308</v>
      </c>
      <c r="Q45" s="155"/>
    </row>
    <row r="46" spans="1:17">
      <c r="A46" s="144" t="s">
        <v>1075</v>
      </c>
      <c r="B46" s="144" t="s">
        <v>1309</v>
      </c>
      <c r="C46" s="144" t="s">
        <v>1309</v>
      </c>
      <c r="D46" s="144" t="s">
        <v>1309</v>
      </c>
      <c r="E46" s="144" t="s">
        <v>1310</v>
      </c>
      <c r="F46" s="144" t="s">
        <v>1105</v>
      </c>
      <c r="G46" s="144" t="s">
        <v>1080</v>
      </c>
      <c r="H46" s="144" t="s">
        <v>1134</v>
      </c>
      <c r="I46" s="144" t="s">
        <v>1135</v>
      </c>
      <c r="J46" s="144" t="s">
        <v>1136</v>
      </c>
      <c r="K46" s="144" t="s">
        <v>1239</v>
      </c>
      <c r="L46" s="144" t="s">
        <v>28</v>
      </c>
      <c r="M46" s="145">
        <v>45736</v>
      </c>
      <c r="N46" s="144" t="s">
        <v>1085</v>
      </c>
      <c r="P46" s="146" t="s">
        <v>1311</v>
      </c>
      <c r="Q46" s="155"/>
    </row>
    <row r="47" spans="1:17">
      <c r="A47" s="146" t="s">
        <v>1075</v>
      </c>
      <c r="B47" s="146" t="s">
        <v>1312</v>
      </c>
      <c r="C47" s="146" t="s">
        <v>1077</v>
      </c>
      <c r="D47" s="146" t="s">
        <v>1313</v>
      </c>
      <c r="E47" s="146" t="s">
        <v>1314</v>
      </c>
      <c r="F47" s="146"/>
      <c r="G47" s="146" t="s">
        <v>1080</v>
      </c>
      <c r="H47" s="146" t="s">
        <v>1081</v>
      </c>
      <c r="I47" s="146" t="s">
        <v>1082</v>
      </c>
      <c r="J47" s="146" t="s">
        <v>1083</v>
      </c>
      <c r="K47" s="146" t="s">
        <v>1084</v>
      </c>
      <c r="L47" s="146" t="s">
        <v>28</v>
      </c>
      <c r="M47" s="147">
        <v>45199</v>
      </c>
      <c r="N47" s="146" t="s">
        <v>1085</v>
      </c>
      <c r="P47" s="146" t="s">
        <v>1315</v>
      </c>
      <c r="Q47" s="155"/>
    </row>
    <row r="48" spans="1:17">
      <c r="A48" s="144" t="s">
        <v>1075</v>
      </c>
      <c r="B48" s="144" t="s">
        <v>1316</v>
      </c>
      <c r="C48" s="144" t="s">
        <v>1077</v>
      </c>
      <c r="D48" s="144" t="s">
        <v>1316</v>
      </c>
      <c r="E48" s="144" t="s">
        <v>1317</v>
      </c>
      <c r="F48" s="144" t="s">
        <v>1090</v>
      </c>
      <c r="G48" s="144" t="s">
        <v>1080</v>
      </c>
      <c r="H48" s="144" t="s">
        <v>1134</v>
      </c>
      <c r="I48" s="144" t="s">
        <v>1135</v>
      </c>
      <c r="J48" s="144" t="s">
        <v>1136</v>
      </c>
      <c r="K48" s="144" t="s">
        <v>1318</v>
      </c>
      <c r="L48" s="144" t="s">
        <v>28</v>
      </c>
      <c r="M48" s="145">
        <v>45200</v>
      </c>
      <c r="N48" s="144" t="s">
        <v>1085</v>
      </c>
      <c r="P48" s="146" t="s">
        <v>1319</v>
      </c>
      <c r="Q48" s="155"/>
    </row>
    <row r="49" spans="1:17">
      <c r="A49" s="146" t="s">
        <v>1075</v>
      </c>
      <c r="B49" s="146" t="s">
        <v>1320</v>
      </c>
      <c r="C49" s="146" t="s">
        <v>1077</v>
      </c>
      <c r="D49" s="146" t="s">
        <v>1320</v>
      </c>
      <c r="E49" s="146" t="s">
        <v>1321</v>
      </c>
      <c r="F49" s="146" t="s">
        <v>1117</v>
      </c>
      <c r="G49" s="146" t="s">
        <v>1080</v>
      </c>
      <c r="H49" s="146" t="s">
        <v>1134</v>
      </c>
      <c r="I49" s="146" t="s">
        <v>1243</v>
      </c>
      <c r="J49" s="146" t="s">
        <v>1244</v>
      </c>
      <c r="K49" s="146" t="s">
        <v>1245</v>
      </c>
      <c r="L49" s="146" t="s">
        <v>28</v>
      </c>
      <c r="M49" s="147">
        <v>46051</v>
      </c>
      <c r="N49" s="146" t="s">
        <v>1085</v>
      </c>
      <c r="P49" s="146" t="s">
        <v>1322</v>
      </c>
      <c r="Q49" s="155"/>
    </row>
    <row r="50" spans="1:17">
      <c r="A50" s="144" t="s">
        <v>1075</v>
      </c>
      <c r="B50" s="144" t="s">
        <v>1323</v>
      </c>
      <c r="C50" s="144" t="s">
        <v>1077</v>
      </c>
      <c r="D50" s="144" t="s">
        <v>1323</v>
      </c>
      <c r="E50" s="144" t="s">
        <v>1324</v>
      </c>
      <c r="F50" s="144"/>
      <c r="G50" s="144" t="s">
        <v>1080</v>
      </c>
      <c r="H50" s="144" t="s">
        <v>1081</v>
      </c>
      <c r="I50" s="144" t="s">
        <v>1082</v>
      </c>
      <c r="J50" s="144" t="s">
        <v>1083</v>
      </c>
      <c r="K50" s="144" t="s">
        <v>1084</v>
      </c>
      <c r="L50" s="144" t="s">
        <v>28</v>
      </c>
      <c r="M50" s="145">
        <v>45199</v>
      </c>
      <c r="N50" s="144" t="s">
        <v>1085</v>
      </c>
      <c r="P50" s="151" t="s">
        <v>1110</v>
      </c>
      <c r="Q50" s="155"/>
    </row>
    <row r="51" spans="1:17">
      <c r="A51" s="146" t="s">
        <v>1075</v>
      </c>
      <c r="B51" s="146" t="s">
        <v>1325</v>
      </c>
      <c r="C51" s="146" t="s">
        <v>1325</v>
      </c>
      <c r="D51" s="146" t="s">
        <v>1325</v>
      </c>
      <c r="E51" s="146" t="s">
        <v>1326</v>
      </c>
      <c r="F51" s="146" t="s">
        <v>1117</v>
      </c>
      <c r="G51" s="146" t="s">
        <v>1133</v>
      </c>
      <c r="H51" s="146" t="s">
        <v>1277</v>
      </c>
      <c r="I51" s="146" t="s">
        <v>1213</v>
      </c>
      <c r="J51" s="146" t="s">
        <v>1327</v>
      </c>
      <c r="K51" s="146" t="s">
        <v>1278</v>
      </c>
      <c r="L51" s="146" t="s">
        <v>28</v>
      </c>
      <c r="M51" s="147">
        <v>45622</v>
      </c>
      <c r="N51" s="146" t="s">
        <v>1085</v>
      </c>
    </row>
    <row r="52" spans="1:17">
      <c r="A52" s="144" t="s">
        <v>1075</v>
      </c>
      <c r="B52" s="144" t="s">
        <v>1328</v>
      </c>
      <c r="C52" s="144" t="s">
        <v>1077</v>
      </c>
      <c r="D52" s="144" t="s">
        <v>1328</v>
      </c>
      <c r="E52" s="144" t="s">
        <v>1329</v>
      </c>
      <c r="F52" s="144" t="s">
        <v>1117</v>
      </c>
      <c r="G52" s="144" t="s">
        <v>1080</v>
      </c>
      <c r="H52" s="144" t="s">
        <v>1134</v>
      </c>
      <c r="I52" s="144" t="s">
        <v>1243</v>
      </c>
      <c r="J52" s="144" t="s">
        <v>1244</v>
      </c>
      <c r="K52" s="144" t="s">
        <v>1245</v>
      </c>
      <c r="L52" s="144" t="s">
        <v>28</v>
      </c>
      <c r="M52" s="145">
        <v>45519</v>
      </c>
      <c r="N52" s="144" t="s">
        <v>1085</v>
      </c>
    </row>
    <row r="53" spans="1:17">
      <c r="A53" s="146" t="s">
        <v>1075</v>
      </c>
      <c r="B53" s="146" t="s">
        <v>1330</v>
      </c>
      <c r="C53" s="146" t="s">
        <v>1330</v>
      </c>
      <c r="D53" s="146" t="s">
        <v>1330</v>
      </c>
      <c r="E53" s="146" t="s">
        <v>1331</v>
      </c>
      <c r="F53" s="146" t="s">
        <v>1117</v>
      </c>
      <c r="G53" s="146" t="s">
        <v>1133</v>
      </c>
      <c r="H53" s="146" t="s">
        <v>1332</v>
      </c>
      <c r="I53" s="146" t="s">
        <v>1333</v>
      </c>
      <c r="J53" s="146" t="s">
        <v>1334</v>
      </c>
      <c r="K53" s="146" t="s">
        <v>1333</v>
      </c>
      <c r="L53" s="146" t="s">
        <v>28</v>
      </c>
      <c r="M53" s="147">
        <v>45864</v>
      </c>
      <c r="N53" s="146" t="s">
        <v>1085</v>
      </c>
    </row>
    <row r="54" spans="1:17">
      <c r="A54" s="144" t="s">
        <v>1075</v>
      </c>
      <c r="B54" s="144" t="s">
        <v>1335</v>
      </c>
      <c r="C54" s="144" t="s">
        <v>1077</v>
      </c>
      <c r="D54" s="144" t="s">
        <v>1335</v>
      </c>
      <c r="E54" s="144" t="s">
        <v>1336</v>
      </c>
      <c r="F54" s="144" t="s">
        <v>1117</v>
      </c>
      <c r="G54" s="144" t="s">
        <v>1080</v>
      </c>
      <c r="H54" s="144" t="s">
        <v>1194</v>
      </c>
      <c r="I54" s="144" t="s">
        <v>1195</v>
      </c>
      <c r="J54" s="144" t="s">
        <v>1337</v>
      </c>
      <c r="K54" s="144" t="s">
        <v>1338</v>
      </c>
      <c r="L54" s="144" t="s">
        <v>28</v>
      </c>
      <c r="M54" s="145">
        <v>45200</v>
      </c>
      <c r="N54" s="144" t="s">
        <v>1085</v>
      </c>
    </row>
    <row r="55" spans="1:17">
      <c r="A55" s="146" t="s">
        <v>1075</v>
      </c>
      <c r="B55" s="146" t="s">
        <v>1339</v>
      </c>
      <c r="C55" s="146" t="s">
        <v>1077</v>
      </c>
      <c r="D55" s="146" t="s">
        <v>1339</v>
      </c>
      <c r="E55" s="146" t="s">
        <v>1340</v>
      </c>
      <c r="F55" s="146" t="s">
        <v>1117</v>
      </c>
      <c r="G55" s="146" t="s">
        <v>1080</v>
      </c>
      <c r="H55" s="146" t="s">
        <v>1341</v>
      </c>
      <c r="I55" s="146" t="s">
        <v>1342</v>
      </c>
      <c r="J55" s="146" t="s">
        <v>1343</v>
      </c>
      <c r="K55" s="146" t="s">
        <v>1343</v>
      </c>
      <c r="L55" s="146" t="s">
        <v>28</v>
      </c>
      <c r="M55" s="147">
        <v>45200</v>
      </c>
      <c r="N55" s="146" t="s">
        <v>1085</v>
      </c>
    </row>
    <row r="56" spans="1:17">
      <c r="A56" s="144" t="s">
        <v>1075</v>
      </c>
      <c r="B56" s="144" t="s">
        <v>1344</v>
      </c>
      <c r="C56" s="144" t="s">
        <v>1077</v>
      </c>
      <c r="D56" s="144" t="s">
        <v>1345</v>
      </c>
      <c r="E56" s="144" t="s">
        <v>1346</v>
      </c>
      <c r="F56" s="144" t="s">
        <v>1105</v>
      </c>
      <c r="G56" s="144" t="s">
        <v>1080</v>
      </c>
      <c r="H56" s="144" t="s">
        <v>1106</v>
      </c>
      <c r="I56" s="144" t="s">
        <v>1107</v>
      </c>
      <c r="J56" s="144" t="s">
        <v>1108</v>
      </c>
      <c r="K56" s="144" t="s">
        <v>1109</v>
      </c>
      <c r="L56" s="144" t="s">
        <v>28</v>
      </c>
      <c r="M56" s="145">
        <v>45199</v>
      </c>
      <c r="N56" s="144" t="s">
        <v>1085</v>
      </c>
    </row>
    <row r="57" spans="1:17">
      <c r="A57" s="146" t="s">
        <v>1075</v>
      </c>
      <c r="B57" s="146" t="s">
        <v>1347</v>
      </c>
      <c r="C57" s="146" t="s">
        <v>1347</v>
      </c>
      <c r="D57" s="146" t="s">
        <v>1347</v>
      </c>
      <c r="E57" s="146" t="s">
        <v>1348</v>
      </c>
      <c r="F57" s="146" t="s">
        <v>1090</v>
      </c>
      <c r="G57" s="146" t="s">
        <v>1080</v>
      </c>
      <c r="H57" s="146" t="s">
        <v>1091</v>
      </c>
      <c r="I57" s="146" t="s">
        <v>1092</v>
      </c>
      <c r="J57" s="146" t="s">
        <v>1349</v>
      </c>
      <c r="K57" s="146" t="s">
        <v>1349</v>
      </c>
      <c r="L57" s="146" t="s">
        <v>28</v>
      </c>
      <c r="M57" s="147">
        <v>45200</v>
      </c>
      <c r="N57" s="146" t="s">
        <v>1085</v>
      </c>
    </row>
    <row r="58" spans="1:17">
      <c r="A58" s="144" t="s">
        <v>1075</v>
      </c>
      <c r="B58" s="144" t="s">
        <v>1350</v>
      </c>
      <c r="C58" s="144" t="s">
        <v>1077</v>
      </c>
      <c r="D58" s="144" t="s">
        <v>1350</v>
      </c>
      <c r="E58" s="144" t="s">
        <v>1351</v>
      </c>
      <c r="F58" s="144" t="s">
        <v>1105</v>
      </c>
      <c r="G58" s="144" t="s">
        <v>1133</v>
      </c>
      <c r="H58" s="144" t="s">
        <v>1194</v>
      </c>
      <c r="I58" s="144" t="s">
        <v>1195</v>
      </c>
      <c r="J58" s="144" t="s">
        <v>1352</v>
      </c>
      <c r="K58" s="144" t="s">
        <v>1338</v>
      </c>
      <c r="L58" s="144" t="s">
        <v>28</v>
      </c>
      <c r="M58" s="145">
        <v>45200</v>
      </c>
      <c r="N58" s="144" t="s">
        <v>1085</v>
      </c>
    </row>
    <row r="59" spans="1:17">
      <c r="A59" s="146" t="s">
        <v>1075</v>
      </c>
      <c r="B59" s="146" t="s">
        <v>1353</v>
      </c>
      <c r="C59" s="146" t="s">
        <v>1353</v>
      </c>
      <c r="D59" s="146" t="s">
        <v>1353</v>
      </c>
      <c r="E59" s="146" t="s">
        <v>1354</v>
      </c>
      <c r="F59" s="146" t="s">
        <v>1105</v>
      </c>
      <c r="G59" s="146" t="s">
        <v>1080</v>
      </c>
      <c r="H59" s="146" t="s">
        <v>1134</v>
      </c>
      <c r="I59" s="146" t="s">
        <v>1135</v>
      </c>
      <c r="J59" s="146" t="s">
        <v>1136</v>
      </c>
      <c r="K59" s="146" t="s">
        <v>1355</v>
      </c>
      <c r="L59" s="146" t="s">
        <v>28</v>
      </c>
      <c r="M59" s="147">
        <v>45665</v>
      </c>
      <c r="N59" s="146" t="s">
        <v>1085</v>
      </c>
    </row>
    <row r="60" spans="1:17">
      <c r="A60" s="144" t="s">
        <v>1075</v>
      </c>
      <c r="B60" s="144" t="s">
        <v>1356</v>
      </c>
      <c r="C60" s="144" t="s">
        <v>1356</v>
      </c>
      <c r="D60" s="144" t="s">
        <v>1356</v>
      </c>
      <c r="E60" s="144" t="s">
        <v>1357</v>
      </c>
      <c r="F60" s="144" t="s">
        <v>1105</v>
      </c>
      <c r="G60" s="144" t="s">
        <v>1080</v>
      </c>
      <c r="H60" s="144" t="s">
        <v>1134</v>
      </c>
      <c r="I60" s="144" t="s">
        <v>1135</v>
      </c>
      <c r="J60" s="144" t="s">
        <v>1136</v>
      </c>
      <c r="K60" s="144" t="s">
        <v>1135</v>
      </c>
      <c r="L60" s="144" t="s">
        <v>28</v>
      </c>
      <c r="M60" s="145">
        <v>45657</v>
      </c>
      <c r="N60" s="144" t="s">
        <v>1085</v>
      </c>
    </row>
    <row r="61" spans="1:17">
      <c r="A61" s="146" t="s">
        <v>1075</v>
      </c>
      <c r="B61" s="146" t="s">
        <v>1358</v>
      </c>
      <c r="C61" s="146" t="s">
        <v>1077</v>
      </c>
      <c r="D61" s="146" t="s">
        <v>1358</v>
      </c>
      <c r="E61" s="146" t="s">
        <v>1359</v>
      </c>
      <c r="F61" s="146" t="s">
        <v>1117</v>
      </c>
      <c r="G61" s="146" t="s">
        <v>1080</v>
      </c>
      <c r="H61" s="146" t="s">
        <v>1081</v>
      </c>
      <c r="I61" s="146" t="s">
        <v>1082</v>
      </c>
      <c r="J61" s="146" t="s">
        <v>1360</v>
      </c>
      <c r="K61" s="146" t="s">
        <v>1084</v>
      </c>
      <c r="L61" s="146" t="s">
        <v>28</v>
      </c>
      <c r="M61" s="147">
        <v>45200</v>
      </c>
      <c r="N61" s="146" t="s">
        <v>1085</v>
      </c>
    </row>
    <row r="62" spans="1:17">
      <c r="A62" s="144" t="s">
        <v>1075</v>
      </c>
      <c r="B62" s="144" t="s">
        <v>1361</v>
      </c>
      <c r="C62" s="144" t="s">
        <v>1077</v>
      </c>
      <c r="D62" s="144" t="s">
        <v>1362</v>
      </c>
      <c r="E62" s="144" t="s">
        <v>1363</v>
      </c>
      <c r="F62" s="144"/>
      <c r="G62" s="144" t="s">
        <v>1080</v>
      </c>
      <c r="H62" s="144" t="s">
        <v>1081</v>
      </c>
      <c r="I62" s="144" t="s">
        <v>1082</v>
      </c>
      <c r="J62" s="144" t="s">
        <v>1083</v>
      </c>
      <c r="K62" s="144" t="s">
        <v>1084</v>
      </c>
      <c r="L62" s="144" t="s">
        <v>28</v>
      </c>
      <c r="M62" s="145">
        <v>45199</v>
      </c>
      <c r="N62" s="144" t="s">
        <v>1085</v>
      </c>
    </row>
    <row r="63" spans="1:17">
      <c r="A63" s="146" t="s">
        <v>1075</v>
      </c>
      <c r="B63" s="146" t="s">
        <v>1364</v>
      </c>
      <c r="C63" s="146" t="s">
        <v>1364</v>
      </c>
      <c r="D63" s="146" t="s">
        <v>1364</v>
      </c>
      <c r="E63" s="146" t="s">
        <v>1365</v>
      </c>
      <c r="F63" s="146" t="s">
        <v>1250</v>
      </c>
      <c r="G63" s="146" t="s">
        <v>1133</v>
      </c>
      <c r="H63" s="146" t="s">
        <v>1194</v>
      </c>
      <c r="I63" s="146" t="s">
        <v>1195</v>
      </c>
      <c r="J63" s="146" t="s">
        <v>1366</v>
      </c>
      <c r="K63" s="146" t="s">
        <v>1367</v>
      </c>
      <c r="L63" s="146" t="s">
        <v>28</v>
      </c>
      <c r="M63" s="147">
        <v>45200</v>
      </c>
      <c r="N63" s="146" t="s">
        <v>1085</v>
      </c>
    </row>
    <row r="64" spans="1:17">
      <c r="A64" s="144" t="s">
        <v>1075</v>
      </c>
      <c r="B64" s="144" t="s">
        <v>1368</v>
      </c>
      <c r="C64" s="144" t="s">
        <v>1077</v>
      </c>
      <c r="D64" s="144" t="s">
        <v>1368</v>
      </c>
      <c r="E64" s="144" t="s">
        <v>1369</v>
      </c>
      <c r="F64" s="144" t="s">
        <v>1189</v>
      </c>
      <c r="G64" s="144" t="s">
        <v>1133</v>
      </c>
      <c r="H64" s="144" t="s">
        <v>1118</v>
      </c>
      <c r="I64" s="144" t="s">
        <v>1119</v>
      </c>
      <c r="J64" s="144" t="s">
        <v>1370</v>
      </c>
      <c r="K64" s="144" t="s">
        <v>1371</v>
      </c>
      <c r="L64" s="144" t="s">
        <v>28</v>
      </c>
      <c r="M64" s="145">
        <v>45200</v>
      </c>
      <c r="N64" s="144" t="s">
        <v>1085</v>
      </c>
    </row>
    <row r="65" spans="1:14">
      <c r="A65" s="146" t="s">
        <v>1075</v>
      </c>
      <c r="B65" s="146" t="s">
        <v>1372</v>
      </c>
      <c r="C65" s="146" t="s">
        <v>1077</v>
      </c>
      <c r="D65" s="146" t="s">
        <v>1373</v>
      </c>
      <c r="E65" s="146" t="s">
        <v>1374</v>
      </c>
      <c r="F65" s="146" t="s">
        <v>1105</v>
      </c>
      <c r="G65" s="146" t="s">
        <v>1080</v>
      </c>
      <c r="H65" s="146" t="s">
        <v>1194</v>
      </c>
      <c r="I65" s="146" t="s">
        <v>1195</v>
      </c>
      <c r="J65" s="146"/>
      <c r="K65" s="146" t="s">
        <v>1197</v>
      </c>
      <c r="L65" s="146" t="s">
        <v>28</v>
      </c>
      <c r="M65" s="147">
        <v>45199</v>
      </c>
      <c r="N65" s="146" t="s">
        <v>1085</v>
      </c>
    </row>
    <row r="66" spans="1:14">
      <c r="A66" s="144" t="s">
        <v>1075</v>
      </c>
      <c r="B66" s="144" t="s">
        <v>1373</v>
      </c>
      <c r="C66" s="144" t="s">
        <v>1077</v>
      </c>
      <c r="D66" s="144" t="s">
        <v>1373</v>
      </c>
      <c r="E66" s="144" t="s">
        <v>1375</v>
      </c>
      <c r="F66" s="144" t="s">
        <v>1250</v>
      </c>
      <c r="G66" s="144" t="s">
        <v>1133</v>
      </c>
      <c r="H66" s="144" t="s">
        <v>1194</v>
      </c>
      <c r="I66" s="144" t="s">
        <v>1195</v>
      </c>
      <c r="J66" s="144" t="s">
        <v>1376</v>
      </c>
      <c r="K66" s="144" t="s">
        <v>1197</v>
      </c>
      <c r="L66" s="144" t="s">
        <v>28</v>
      </c>
      <c r="M66" s="145">
        <v>46067</v>
      </c>
      <c r="N66" s="144" t="s">
        <v>1085</v>
      </c>
    </row>
    <row r="67" spans="1:14">
      <c r="A67" s="146" t="s">
        <v>1075</v>
      </c>
      <c r="B67" s="146" t="s">
        <v>1377</v>
      </c>
      <c r="C67" s="146" t="s">
        <v>1377</v>
      </c>
      <c r="D67" s="146" t="s">
        <v>1377</v>
      </c>
      <c r="E67" s="146" t="s">
        <v>1378</v>
      </c>
      <c r="F67" s="146" t="s">
        <v>1105</v>
      </c>
      <c r="G67" s="146" t="s">
        <v>1133</v>
      </c>
      <c r="H67" s="146" t="s">
        <v>1194</v>
      </c>
      <c r="I67" s="146" t="s">
        <v>1195</v>
      </c>
      <c r="J67" s="146" t="s">
        <v>1352</v>
      </c>
      <c r="K67" s="146" t="s">
        <v>1379</v>
      </c>
      <c r="L67" s="146" t="s">
        <v>28</v>
      </c>
      <c r="M67" s="147">
        <v>46028</v>
      </c>
      <c r="N67" s="146" t="s">
        <v>1085</v>
      </c>
    </row>
    <row r="68" spans="1:14">
      <c r="A68" s="144" t="s">
        <v>1075</v>
      </c>
      <c r="B68" s="144" t="s">
        <v>1380</v>
      </c>
      <c r="C68" s="144" t="s">
        <v>1077</v>
      </c>
      <c r="D68" s="144" t="s">
        <v>1381</v>
      </c>
      <c r="E68" s="144" t="s">
        <v>1382</v>
      </c>
      <c r="F68" s="144"/>
      <c r="G68" s="144" t="s">
        <v>1080</v>
      </c>
      <c r="H68" s="144" t="s">
        <v>1081</v>
      </c>
      <c r="I68" s="144" t="s">
        <v>1082</v>
      </c>
      <c r="J68" s="144" t="s">
        <v>1083</v>
      </c>
      <c r="K68" s="144" t="s">
        <v>1084</v>
      </c>
      <c r="L68" s="144" t="s">
        <v>28</v>
      </c>
      <c r="M68" s="145">
        <v>45199</v>
      </c>
      <c r="N68" s="144" t="s">
        <v>1085</v>
      </c>
    </row>
    <row r="69" spans="1:14">
      <c r="A69" s="146" t="s">
        <v>1075</v>
      </c>
      <c r="B69" s="146" t="s">
        <v>1383</v>
      </c>
      <c r="C69" s="146" t="s">
        <v>1383</v>
      </c>
      <c r="D69" s="146" t="s">
        <v>1383</v>
      </c>
      <c r="E69" s="146" t="s">
        <v>1384</v>
      </c>
      <c r="F69" s="146" t="s">
        <v>1105</v>
      </c>
      <c r="G69" s="146" t="s">
        <v>1080</v>
      </c>
      <c r="H69" s="146" t="s">
        <v>1341</v>
      </c>
      <c r="I69" s="146" t="s">
        <v>1342</v>
      </c>
      <c r="J69" s="146" t="s">
        <v>1343</v>
      </c>
      <c r="K69" s="146" t="s">
        <v>1343</v>
      </c>
      <c r="L69" s="146" t="s">
        <v>28</v>
      </c>
      <c r="M69" s="147">
        <v>45200</v>
      </c>
      <c r="N69" s="146" t="s">
        <v>1085</v>
      </c>
    </row>
    <row r="70" spans="1:14">
      <c r="A70" s="144" t="s">
        <v>1075</v>
      </c>
      <c r="B70" s="144" t="s">
        <v>1385</v>
      </c>
      <c r="C70" s="144" t="s">
        <v>1077</v>
      </c>
      <c r="D70" s="144" t="s">
        <v>1385</v>
      </c>
      <c r="E70" s="144" t="s">
        <v>1386</v>
      </c>
      <c r="F70" s="144" t="s">
        <v>1105</v>
      </c>
      <c r="G70" s="144" t="s">
        <v>1133</v>
      </c>
      <c r="H70" s="144" t="s">
        <v>1134</v>
      </c>
      <c r="I70" s="144" t="s">
        <v>1135</v>
      </c>
      <c r="J70" s="144" t="s">
        <v>1136</v>
      </c>
      <c r="K70" s="144" t="s">
        <v>1137</v>
      </c>
      <c r="L70" s="144" t="s">
        <v>28</v>
      </c>
      <c r="M70" s="145">
        <v>45747</v>
      </c>
      <c r="N70" s="144" t="s">
        <v>1085</v>
      </c>
    </row>
    <row r="71" spans="1:14">
      <c r="A71" s="146" t="s">
        <v>1075</v>
      </c>
      <c r="B71" s="146" t="s">
        <v>1387</v>
      </c>
      <c r="C71" s="146" t="s">
        <v>1387</v>
      </c>
      <c r="D71" s="146" t="s">
        <v>1387</v>
      </c>
      <c r="E71" s="146" t="s">
        <v>1388</v>
      </c>
      <c r="F71" s="146" t="s">
        <v>1105</v>
      </c>
      <c r="G71" s="146" t="s">
        <v>1133</v>
      </c>
      <c r="H71" s="146" t="s">
        <v>1134</v>
      </c>
      <c r="I71" s="146" t="s">
        <v>1258</v>
      </c>
      <c r="J71" s="146" t="s">
        <v>1136</v>
      </c>
      <c r="K71" s="146" t="s">
        <v>1389</v>
      </c>
      <c r="L71" s="146" t="s">
        <v>28</v>
      </c>
      <c r="M71" s="147">
        <v>46077</v>
      </c>
      <c r="N71" s="146" t="s">
        <v>1085</v>
      </c>
    </row>
    <row r="72" spans="1:14">
      <c r="A72" s="144" t="s">
        <v>1075</v>
      </c>
      <c r="B72" s="144" t="s">
        <v>1390</v>
      </c>
      <c r="C72" s="144" t="s">
        <v>1077</v>
      </c>
      <c r="D72" s="144" t="s">
        <v>1390</v>
      </c>
      <c r="E72" s="144" t="s">
        <v>1391</v>
      </c>
      <c r="F72" s="144" t="s">
        <v>1090</v>
      </c>
      <c r="G72" s="144" t="s">
        <v>1080</v>
      </c>
      <c r="H72" s="144" t="s">
        <v>1169</v>
      </c>
      <c r="I72" s="144" t="s">
        <v>1170</v>
      </c>
      <c r="J72" s="144" t="s">
        <v>1171</v>
      </c>
      <c r="K72" s="144" t="s">
        <v>1172</v>
      </c>
      <c r="L72" s="144" t="s">
        <v>28</v>
      </c>
      <c r="M72" s="145">
        <v>45200</v>
      </c>
      <c r="N72" s="144" t="s">
        <v>1085</v>
      </c>
    </row>
    <row r="73" spans="1:14">
      <c r="A73" s="146" t="s">
        <v>1075</v>
      </c>
      <c r="B73" s="146" t="s">
        <v>1392</v>
      </c>
      <c r="C73" s="146" t="s">
        <v>1077</v>
      </c>
      <c r="D73" s="146" t="s">
        <v>1392</v>
      </c>
      <c r="E73" s="146" t="s">
        <v>1393</v>
      </c>
      <c r="F73" s="146" t="s">
        <v>1105</v>
      </c>
      <c r="G73" s="146" t="s">
        <v>1080</v>
      </c>
      <c r="H73" s="146" t="s">
        <v>1282</v>
      </c>
      <c r="I73" s="146" t="s">
        <v>1219</v>
      </c>
      <c r="J73" s="146" t="s">
        <v>1283</v>
      </c>
      <c r="K73" s="146" t="s">
        <v>1284</v>
      </c>
      <c r="L73" s="146" t="s">
        <v>28</v>
      </c>
      <c r="M73" s="147">
        <v>45199</v>
      </c>
      <c r="N73" s="146" t="s">
        <v>1085</v>
      </c>
    </row>
    <row r="74" spans="1:14">
      <c r="A74" s="144" t="s">
        <v>1075</v>
      </c>
      <c r="B74" s="144" t="s">
        <v>1394</v>
      </c>
      <c r="C74" s="144" t="s">
        <v>1077</v>
      </c>
      <c r="D74" s="144" t="s">
        <v>1394</v>
      </c>
      <c r="E74" s="144" t="s">
        <v>1395</v>
      </c>
      <c r="F74" s="144" t="s">
        <v>1105</v>
      </c>
      <c r="G74" s="144" t="s">
        <v>1133</v>
      </c>
      <c r="H74" s="144" t="s">
        <v>1277</v>
      </c>
      <c r="I74" s="144" t="s">
        <v>1213</v>
      </c>
      <c r="J74" s="144" t="s">
        <v>1129</v>
      </c>
      <c r="K74" s="144" t="s">
        <v>1278</v>
      </c>
      <c r="L74" s="144" t="s">
        <v>28</v>
      </c>
      <c r="M74" s="145">
        <v>45199</v>
      </c>
      <c r="N74" s="144" t="s">
        <v>1085</v>
      </c>
    </row>
    <row r="75" spans="1:14">
      <c r="A75" s="146" t="s">
        <v>1075</v>
      </c>
      <c r="B75" s="146" t="s">
        <v>1396</v>
      </c>
      <c r="C75" s="146" t="s">
        <v>1077</v>
      </c>
      <c r="D75" s="146" t="s">
        <v>1396</v>
      </c>
      <c r="E75" s="146" t="s">
        <v>1397</v>
      </c>
      <c r="F75" s="146" t="s">
        <v>1117</v>
      </c>
      <c r="G75" s="146" t="s">
        <v>1168</v>
      </c>
      <c r="H75" s="146" t="s">
        <v>1205</v>
      </c>
      <c r="I75" s="146" t="s">
        <v>1206</v>
      </c>
      <c r="J75" s="146" t="s">
        <v>1398</v>
      </c>
      <c r="K75" s="146" t="s">
        <v>1399</v>
      </c>
      <c r="L75" s="146" t="s">
        <v>28</v>
      </c>
      <c r="M75" s="147">
        <v>45199</v>
      </c>
      <c r="N75" s="146" t="s">
        <v>1085</v>
      </c>
    </row>
    <row r="76" spans="1:14">
      <c r="A76" s="144" t="s">
        <v>1075</v>
      </c>
      <c r="B76" s="144" t="s">
        <v>1400</v>
      </c>
      <c r="C76" s="144" t="s">
        <v>1400</v>
      </c>
      <c r="D76" s="144" t="s">
        <v>1400</v>
      </c>
      <c r="E76" s="144" t="s">
        <v>1401</v>
      </c>
      <c r="F76" s="144"/>
      <c r="G76" s="144"/>
      <c r="H76" s="144"/>
      <c r="I76" s="144"/>
      <c r="J76" s="144"/>
      <c r="K76" s="144" t="s">
        <v>1402</v>
      </c>
      <c r="L76" s="144" t="s">
        <v>28</v>
      </c>
      <c r="M76" s="145">
        <v>46052</v>
      </c>
      <c r="N76" s="144" t="s">
        <v>1085</v>
      </c>
    </row>
    <row r="77" spans="1:14">
      <c r="A77" s="146" t="s">
        <v>1075</v>
      </c>
      <c r="B77" s="146" t="s">
        <v>1403</v>
      </c>
      <c r="C77" s="146" t="s">
        <v>1403</v>
      </c>
      <c r="D77" s="146" t="s">
        <v>1403</v>
      </c>
      <c r="E77" s="146" t="s">
        <v>1404</v>
      </c>
      <c r="F77" s="146" t="s">
        <v>1117</v>
      </c>
      <c r="G77" s="146" t="s">
        <v>1080</v>
      </c>
      <c r="H77" s="146" t="s">
        <v>1134</v>
      </c>
      <c r="I77" s="146" t="s">
        <v>1135</v>
      </c>
      <c r="J77" s="146" t="s">
        <v>1136</v>
      </c>
      <c r="K77" s="146" t="s">
        <v>1239</v>
      </c>
      <c r="L77" s="146" t="s">
        <v>28</v>
      </c>
      <c r="M77" s="147">
        <v>45929</v>
      </c>
      <c r="N77" s="146" t="s">
        <v>1085</v>
      </c>
    </row>
    <row r="78" spans="1:14">
      <c r="A78" s="144" t="s">
        <v>1075</v>
      </c>
      <c r="B78" s="144" t="s">
        <v>1405</v>
      </c>
      <c r="C78" s="144" t="s">
        <v>1077</v>
      </c>
      <c r="D78" s="144" t="s">
        <v>1406</v>
      </c>
      <c r="E78" s="144" t="s">
        <v>1407</v>
      </c>
      <c r="F78" s="144" t="s">
        <v>1117</v>
      </c>
      <c r="G78" s="144" t="s">
        <v>1080</v>
      </c>
      <c r="H78" s="144" t="s">
        <v>1134</v>
      </c>
      <c r="I78" s="144" t="s">
        <v>1135</v>
      </c>
      <c r="J78" s="144" t="s">
        <v>1136</v>
      </c>
      <c r="K78" s="144" t="s">
        <v>1355</v>
      </c>
      <c r="L78" s="144" t="s">
        <v>28</v>
      </c>
      <c r="M78" s="145">
        <v>45772</v>
      </c>
      <c r="N78" s="144" t="s">
        <v>1085</v>
      </c>
    </row>
    <row r="79" spans="1:14">
      <c r="A79" s="146" t="s">
        <v>1075</v>
      </c>
      <c r="B79" s="146" t="s">
        <v>1408</v>
      </c>
      <c r="C79" s="146" t="s">
        <v>1077</v>
      </c>
      <c r="D79" s="146" t="s">
        <v>1408</v>
      </c>
      <c r="E79" s="146" t="s">
        <v>1409</v>
      </c>
      <c r="F79" s="146"/>
      <c r="G79" s="146"/>
      <c r="H79" s="146"/>
      <c r="I79" s="146"/>
      <c r="J79" s="146"/>
      <c r="K79" s="146" t="s">
        <v>1410</v>
      </c>
      <c r="L79" s="146" t="s">
        <v>28</v>
      </c>
      <c r="M79" s="147">
        <v>45817</v>
      </c>
      <c r="N79" s="146" t="s">
        <v>1085</v>
      </c>
    </row>
    <row r="80" spans="1:14">
      <c r="A80" s="144" t="s">
        <v>1075</v>
      </c>
      <c r="B80" s="144" t="s">
        <v>1411</v>
      </c>
      <c r="C80" s="144" t="s">
        <v>1077</v>
      </c>
      <c r="D80" s="144" t="s">
        <v>1412</v>
      </c>
      <c r="E80" s="144" t="s">
        <v>1413</v>
      </c>
      <c r="F80" s="144"/>
      <c r="G80" s="144" t="s">
        <v>1080</v>
      </c>
      <c r="H80" s="144" t="s">
        <v>1081</v>
      </c>
      <c r="I80" s="144" t="s">
        <v>1082</v>
      </c>
      <c r="J80" s="144" t="s">
        <v>1083</v>
      </c>
      <c r="K80" s="144" t="s">
        <v>1084</v>
      </c>
      <c r="L80" s="144" t="s">
        <v>28</v>
      </c>
      <c r="M80" s="145">
        <v>45199</v>
      </c>
      <c r="N80" s="144" t="s">
        <v>1085</v>
      </c>
    </row>
    <row r="81" spans="1:14">
      <c r="A81" s="146" t="s">
        <v>1075</v>
      </c>
      <c r="B81" s="146" t="s">
        <v>1414</v>
      </c>
      <c r="C81" s="146" t="s">
        <v>1077</v>
      </c>
      <c r="D81" s="146" t="s">
        <v>1414</v>
      </c>
      <c r="E81" s="146" t="s">
        <v>1415</v>
      </c>
      <c r="F81" s="146" t="s">
        <v>1117</v>
      </c>
      <c r="G81" s="146" t="s">
        <v>1080</v>
      </c>
      <c r="H81" s="146" t="s">
        <v>1282</v>
      </c>
      <c r="I81" s="146" t="s">
        <v>1219</v>
      </c>
      <c r="J81" s="146" t="s">
        <v>1283</v>
      </c>
      <c r="K81" s="146" t="s">
        <v>1284</v>
      </c>
      <c r="L81" s="146" t="s">
        <v>28</v>
      </c>
      <c r="M81" s="147">
        <v>45200</v>
      </c>
      <c r="N81" s="146" t="s">
        <v>1085</v>
      </c>
    </row>
    <row r="82" spans="1:14">
      <c r="A82" s="144" t="s">
        <v>1075</v>
      </c>
      <c r="B82" s="144" t="s">
        <v>1416</v>
      </c>
      <c r="C82" s="144" t="s">
        <v>1077</v>
      </c>
      <c r="D82" s="144" t="s">
        <v>1416</v>
      </c>
      <c r="E82" s="144" t="s">
        <v>1417</v>
      </c>
      <c r="F82" s="144" t="s">
        <v>1090</v>
      </c>
      <c r="G82" s="144" t="s">
        <v>1080</v>
      </c>
      <c r="H82" s="144" t="s">
        <v>1134</v>
      </c>
      <c r="I82" s="144" t="s">
        <v>1418</v>
      </c>
      <c r="J82" s="144" t="s">
        <v>1257</v>
      </c>
      <c r="K82" s="144" t="s">
        <v>1418</v>
      </c>
      <c r="L82" s="144" t="s">
        <v>28</v>
      </c>
      <c r="M82" s="145">
        <v>45200</v>
      </c>
      <c r="N82" s="144" t="s">
        <v>1085</v>
      </c>
    </row>
    <row r="83" spans="1:14">
      <c r="A83" s="146" t="s">
        <v>1075</v>
      </c>
      <c r="B83" s="146" t="s">
        <v>1419</v>
      </c>
      <c r="C83" s="146" t="s">
        <v>1077</v>
      </c>
      <c r="D83" s="146" t="s">
        <v>1419</v>
      </c>
      <c r="E83" s="146" t="s">
        <v>1420</v>
      </c>
      <c r="F83" s="146"/>
      <c r="G83" s="146"/>
      <c r="H83" s="146"/>
      <c r="I83" s="146"/>
      <c r="J83" s="146"/>
      <c r="K83" s="146" t="s">
        <v>1421</v>
      </c>
      <c r="L83" s="146" t="s">
        <v>28</v>
      </c>
      <c r="M83" s="147">
        <v>45200</v>
      </c>
      <c r="N83" s="146" t="s">
        <v>1085</v>
      </c>
    </row>
    <row r="84" spans="1:14">
      <c r="A84" s="144" t="s">
        <v>1075</v>
      </c>
      <c r="B84" s="144" t="s">
        <v>1422</v>
      </c>
      <c r="C84" s="144" t="s">
        <v>1077</v>
      </c>
      <c r="D84" s="144" t="s">
        <v>1422</v>
      </c>
      <c r="E84" s="144" t="s">
        <v>1423</v>
      </c>
      <c r="F84" s="144" t="s">
        <v>1117</v>
      </c>
      <c r="G84" s="144" t="s">
        <v>1080</v>
      </c>
      <c r="H84" s="144" t="s">
        <v>1194</v>
      </c>
      <c r="I84" s="144" t="s">
        <v>1195</v>
      </c>
      <c r="J84" s="144" t="s">
        <v>1352</v>
      </c>
      <c r="K84" s="144" t="s">
        <v>1379</v>
      </c>
      <c r="L84" s="144" t="s">
        <v>28</v>
      </c>
      <c r="M84" s="145">
        <v>45199</v>
      </c>
      <c r="N84" s="144" t="s">
        <v>1085</v>
      </c>
    </row>
    <row r="85" spans="1:14">
      <c r="A85" s="146" t="s">
        <v>1075</v>
      </c>
      <c r="B85" s="146" t="s">
        <v>1424</v>
      </c>
      <c r="C85" s="146" t="s">
        <v>1077</v>
      </c>
      <c r="D85" s="146" t="s">
        <v>1425</v>
      </c>
      <c r="E85" s="146" t="s">
        <v>1426</v>
      </c>
      <c r="F85" s="146" t="s">
        <v>1105</v>
      </c>
      <c r="G85" s="146" t="s">
        <v>1080</v>
      </c>
      <c r="H85" s="146" t="s">
        <v>1081</v>
      </c>
      <c r="I85" s="146" t="s">
        <v>1082</v>
      </c>
      <c r="J85" s="146" t="s">
        <v>1360</v>
      </c>
      <c r="K85" s="146" t="s">
        <v>1084</v>
      </c>
      <c r="L85" s="146" t="s">
        <v>28</v>
      </c>
      <c r="M85" s="147">
        <v>45200</v>
      </c>
      <c r="N85" s="146" t="s">
        <v>1085</v>
      </c>
    </row>
    <row r="86" spans="1:14">
      <c r="A86" s="144" t="s">
        <v>1075</v>
      </c>
      <c r="B86" s="144" t="s">
        <v>1427</v>
      </c>
      <c r="C86" s="144" t="s">
        <v>1077</v>
      </c>
      <c r="D86" s="144" t="s">
        <v>1427</v>
      </c>
      <c r="E86" s="144" t="s">
        <v>1428</v>
      </c>
      <c r="F86" s="144"/>
      <c r="G86" s="144" t="s">
        <v>1080</v>
      </c>
      <c r="H86" s="144" t="s">
        <v>1081</v>
      </c>
      <c r="I86" s="144" t="s">
        <v>1082</v>
      </c>
      <c r="J86" s="144" t="s">
        <v>1083</v>
      </c>
      <c r="K86" s="144" t="s">
        <v>1084</v>
      </c>
      <c r="L86" s="144" t="s">
        <v>28</v>
      </c>
      <c r="M86" s="145">
        <v>45199</v>
      </c>
      <c r="N86" s="144" t="s">
        <v>1085</v>
      </c>
    </row>
    <row r="87" spans="1:14">
      <c r="A87" s="146" t="s">
        <v>1075</v>
      </c>
      <c r="B87" s="146" t="s">
        <v>1429</v>
      </c>
      <c r="C87" s="146" t="s">
        <v>1077</v>
      </c>
      <c r="D87" s="146" t="s">
        <v>1430</v>
      </c>
      <c r="E87" s="146" t="s">
        <v>1431</v>
      </c>
      <c r="F87" s="146"/>
      <c r="G87" s="146" t="s">
        <v>1080</v>
      </c>
      <c r="H87" s="146" t="s">
        <v>1081</v>
      </c>
      <c r="I87" s="146" t="s">
        <v>1082</v>
      </c>
      <c r="J87" s="146" t="s">
        <v>1083</v>
      </c>
      <c r="K87" s="146" t="s">
        <v>1084</v>
      </c>
      <c r="L87" s="146" t="s">
        <v>28</v>
      </c>
      <c r="M87" s="147">
        <v>45199</v>
      </c>
      <c r="N87" s="146" t="s">
        <v>1085</v>
      </c>
    </row>
    <row r="88" spans="1:14">
      <c r="A88" s="144" t="s">
        <v>1075</v>
      </c>
      <c r="B88" s="144" t="s">
        <v>1432</v>
      </c>
      <c r="C88" s="144" t="s">
        <v>1432</v>
      </c>
      <c r="D88" s="144" t="s">
        <v>1432</v>
      </c>
      <c r="E88" s="144" t="s">
        <v>1433</v>
      </c>
      <c r="F88" s="144" t="s">
        <v>1105</v>
      </c>
      <c r="G88" s="144" t="s">
        <v>1133</v>
      </c>
      <c r="H88" s="144" t="s">
        <v>1277</v>
      </c>
      <c r="I88" s="144" t="s">
        <v>1219</v>
      </c>
      <c r="J88" s="144" t="s">
        <v>1434</v>
      </c>
      <c r="K88" s="144" t="s">
        <v>1284</v>
      </c>
      <c r="L88" s="144" t="s">
        <v>28</v>
      </c>
      <c r="M88" s="145">
        <v>46044</v>
      </c>
      <c r="N88" s="144" t="s">
        <v>1085</v>
      </c>
    </row>
    <row r="89" spans="1:14">
      <c r="A89" s="146" t="s">
        <v>1075</v>
      </c>
      <c r="B89" s="146" t="s">
        <v>1435</v>
      </c>
      <c r="C89" s="146" t="s">
        <v>1435</v>
      </c>
      <c r="D89" s="146" t="s">
        <v>1435</v>
      </c>
      <c r="E89" s="146" t="s">
        <v>1436</v>
      </c>
      <c r="F89" s="146"/>
      <c r="G89" s="146"/>
      <c r="H89" s="146"/>
      <c r="I89" s="146"/>
      <c r="J89" s="146"/>
      <c r="K89" s="146" t="s">
        <v>1402</v>
      </c>
      <c r="L89" s="146" t="s">
        <v>28</v>
      </c>
      <c r="M89" s="147">
        <v>46052</v>
      </c>
      <c r="N89" s="146" t="s">
        <v>1085</v>
      </c>
    </row>
    <row r="90" spans="1:14">
      <c r="A90" s="144" t="s">
        <v>1075</v>
      </c>
      <c r="B90" s="144" t="s">
        <v>1437</v>
      </c>
      <c r="C90" s="144" t="s">
        <v>1437</v>
      </c>
      <c r="D90" s="144" t="s">
        <v>1437</v>
      </c>
      <c r="E90" s="144" t="s">
        <v>1438</v>
      </c>
      <c r="F90" s="144"/>
      <c r="G90" s="144"/>
      <c r="H90" s="144"/>
      <c r="I90" s="144"/>
      <c r="J90" s="144"/>
      <c r="K90" s="144" t="s">
        <v>1402</v>
      </c>
      <c r="L90" s="144" t="s">
        <v>28</v>
      </c>
      <c r="M90" s="145">
        <v>46052</v>
      </c>
      <c r="N90" s="144" t="s">
        <v>1085</v>
      </c>
    </row>
    <row r="91" spans="1:14">
      <c r="A91" s="146" t="s">
        <v>1075</v>
      </c>
      <c r="B91" s="146" t="s">
        <v>1439</v>
      </c>
      <c r="C91" s="146" t="s">
        <v>1439</v>
      </c>
      <c r="D91" s="146" t="s">
        <v>1439</v>
      </c>
      <c r="E91" s="146" t="s">
        <v>1440</v>
      </c>
      <c r="F91" s="146"/>
      <c r="G91" s="146"/>
      <c r="H91" s="146"/>
      <c r="I91" s="146"/>
      <c r="J91" s="146"/>
      <c r="K91" s="146" t="s">
        <v>1441</v>
      </c>
      <c r="L91" s="146" t="s">
        <v>28</v>
      </c>
      <c r="M91" s="147">
        <v>46066</v>
      </c>
      <c r="N91" s="146" t="s">
        <v>1085</v>
      </c>
    </row>
    <row r="92" spans="1:14">
      <c r="A92" s="144" t="s">
        <v>1075</v>
      </c>
      <c r="B92" s="144" t="s">
        <v>1442</v>
      </c>
      <c r="C92" s="144" t="s">
        <v>1443</v>
      </c>
      <c r="D92" s="144" t="s">
        <v>1443</v>
      </c>
      <c r="E92" s="144" t="s">
        <v>1444</v>
      </c>
      <c r="F92" s="144"/>
      <c r="G92" s="144" t="s">
        <v>1080</v>
      </c>
      <c r="H92" s="144" t="s">
        <v>1081</v>
      </c>
      <c r="I92" s="144" t="s">
        <v>1082</v>
      </c>
      <c r="J92" s="144" t="s">
        <v>1083</v>
      </c>
      <c r="K92" s="144" t="s">
        <v>1084</v>
      </c>
      <c r="L92" s="144" t="s">
        <v>28</v>
      </c>
      <c r="M92" s="145">
        <v>45199</v>
      </c>
      <c r="N92" s="144" t="s">
        <v>1085</v>
      </c>
    </row>
    <row r="93" spans="1:14">
      <c r="A93" s="146" t="s">
        <v>1075</v>
      </c>
      <c r="B93" s="146" t="s">
        <v>1445</v>
      </c>
      <c r="C93" s="146" t="s">
        <v>1077</v>
      </c>
      <c r="D93" s="146" t="s">
        <v>1445</v>
      </c>
      <c r="E93" s="146" t="s">
        <v>1446</v>
      </c>
      <c r="F93" s="146" t="s">
        <v>1105</v>
      </c>
      <c r="G93" s="146" t="s">
        <v>1080</v>
      </c>
      <c r="H93" s="146" t="s">
        <v>1118</v>
      </c>
      <c r="I93" s="146" t="s">
        <v>1119</v>
      </c>
      <c r="J93" s="146" t="s">
        <v>1447</v>
      </c>
      <c r="K93" s="146" t="s">
        <v>1448</v>
      </c>
      <c r="L93" s="146" t="s">
        <v>28</v>
      </c>
      <c r="M93" s="147">
        <v>45199</v>
      </c>
      <c r="N93" s="146" t="s">
        <v>1085</v>
      </c>
    </row>
    <row r="94" spans="1:14">
      <c r="A94" s="144" t="s">
        <v>1075</v>
      </c>
      <c r="B94" s="144" t="s">
        <v>1449</v>
      </c>
      <c r="C94" s="144" t="s">
        <v>1077</v>
      </c>
      <c r="D94" s="144" t="s">
        <v>1449</v>
      </c>
      <c r="E94" s="144" t="s">
        <v>1450</v>
      </c>
      <c r="F94" s="144" t="s">
        <v>1117</v>
      </c>
      <c r="G94" s="144" t="s">
        <v>1080</v>
      </c>
      <c r="H94" s="144" t="s">
        <v>1194</v>
      </c>
      <c r="I94" s="144" t="s">
        <v>1195</v>
      </c>
      <c r="J94" s="144" t="s">
        <v>1352</v>
      </c>
      <c r="K94" s="144" t="s">
        <v>1379</v>
      </c>
      <c r="L94" s="144" t="s">
        <v>28</v>
      </c>
      <c r="M94" s="145">
        <v>45199</v>
      </c>
      <c r="N94" s="144" t="s">
        <v>1085</v>
      </c>
    </row>
    <row r="95" spans="1:14">
      <c r="A95" s="146" t="s">
        <v>1075</v>
      </c>
      <c r="B95" s="146" t="s">
        <v>1451</v>
      </c>
      <c r="C95" s="146" t="s">
        <v>1077</v>
      </c>
      <c r="D95" s="146" t="s">
        <v>1451</v>
      </c>
      <c r="E95" s="146" t="s">
        <v>1452</v>
      </c>
      <c r="F95" s="146" t="s">
        <v>1090</v>
      </c>
      <c r="G95" s="146" t="s">
        <v>1080</v>
      </c>
      <c r="H95" s="146" t="s">
        <v>1081</v>
      </c>
      <c r="I95" s="146" t="s">
        <v>1082</v>
      </c>
      <c r="J95" s="146" t="s">
        <v>1453</v>
      </c>
      <c r="K95" s="146" t="s">
        <v>1454</v>
      </c>
      <c r="L95" s="146" t="s">
        <v>28</v>
      </c>
      <c r="M95" s="147">
        <v>45200</v>
      </c>
      <c r="N95" s="146" t="s">
        <v>1085</v>
      </c>
    </row>
    <row r="96" spans="1:14">
      <c r="A96" s="144" t="s">
        <v>1075</v>
      </c>
      <c r="B96" s="144" t="s">
        <v>1455</v>
      </c>
      <c r="C96" s="144" t="s">
        <v>1077</v>
      </c>
      <c r="D96" s="144" t="s">
        <v>1455</v>
      </c>
      <c r="E96" s="144" t="s">
        <v>1456</v>
      </c>
      <c r="F96" s="144"/>
      <c r="G96" s="144" t="s">
        <v>1080</v>
      </c>
      <c r="H96" s="144" t="s">
        <v>1081</v>
      </c>
      <c r="I96" s="144" t="s">
        <v>1082</v>
      </c>
      <c r="J96" s="144" t="s">
        <v>1083</v>
      </c>
      <c r="K96" s="144" t="s">
        <v>1084</v>
      </c>
      <c r="L96" s="144" t="s">
        <v>28</v>
      </c>
      <c r="M96" s="145">
        <v>45199</v>
      </c>
      <c r="N96" s="144" t="s">
        <v>1085</v>
      </c>
    </row>
    <row r="97" spans="1:14">
      <c r="A97" s="146" t="s">
        <v>1075</v>
      </c>
      <c r="B97" s="146" t="s">
        <v>1457</v>
      </c>
      <c r="C97" s="146" t="s">
        <v>1077</v>
      </c>
      <c r="D97" s="146" t="s">
        <v>1457</v>
      </c>
      <c r="E97" s="146" t="s">
        <v>1458</v>
      </c>
      <c r="F97" s="146" t="s">
        <v>1117</v>
      </c>
      <c r="G97" s="146" t="s">
        <v>1080</v>
      </c>
      <c r="H97" s="146" t="s">
        <v>1194</v>
      </c>
      <c r="I97" s="146" t="s">
        <v>1195</v>
      </c>
      <c r="J97" s="146" t="s">
        <v>1376</v>
      </c>
      <c r="K97" s="146" t="s">
        <v>1197</v>
      </c>
      <c r="L97" s="146" t="s">
        <v>28</v>
      </c>
      <c r="M97" s="147">
        <v>45200</v>
      </c>
      <c r="N97" s="146" t="s">
        <v>1085</v>
      </c>
    </row>
    <row r="98" spans="1:14">
      <c r="A98" s="144" t="s">
        <v>1075</v>
      </c>
      <c r="B98" s="144" t="s">
        <v>1459</v>
      </c>
      <c r="C98" s="144" t="s">
        <v>1459</v>
      </c>
      <c r="D98" s="144" t="s">
        <v>1459</v>
      </c>
      <c r="E98" s="144" t="s">
        <v>1460</v>
      </c>
      <c r="F98" s="144" t="s">
        <v>1105</v>
      </c>
      <c r="G98" s="144" t="s">
        <v>1133</v>
      </c>
      <c r="H98" s="144" t="s">
        <v>1134</v>
      </c>
      <c r="I98" s="144" t="s">
        <v>1135</v>
      </c>
      <c r="J98" s="144" t="s">
        <v>1136</v>
      </c>
      <c r="K98" s="144" t="s">
        <v>1135</v>
      </c>
      <c r="L98" s="144" t="s">
        <v>28</v>
      </c>
      <c r="M98" s="145">
        <v>45714</v>
      </c>
      <c r="N98" s="144" t="s">
        <v>1085</v>
      </c>
    </row>
    <row r="99" spans="1:14">
      <c r="A99" s="146" t="s">
        <v>1075</v>
      </c>
      <c r="B99" s="146" t="s">
        <v>1461</v>
      </c>
      <c r="C99" s="146" t="s">
        <v>1077</v>
      </c>
      <c r="D99" s="146" t="s">
        <v>1462</v>
      </c>
      <c r="E99" s="146" t="s">
        <v>1463</v>
      </c>
      <c r="F99" s="146"/>
      <c r="G99" s="146" t="s">
        <v>1080</v>
      </c>
      <c r="H99" s="146" t="s">
        <v>1081</v>
      </c>
      <c r="I99" s="146" t="s">
        <v>1082</v>
      </c>
      <c r="J99" s="146" t="s">
        <v>1083</v>
      </c>
      <c r="K99" s="146" t="s">
        <v>1084</v>
      </c>
      <c r="L99" s="146" t="s">
        <v>28</v>
      </c>
      <c r="M99" s="147">
        <v>45199</v>
      </c>
      <c r="N99" s="146" t="s">
        <v>1085</v>
      </c>
    </row>
    <row r="100" spans="1:14">
      <c r="A100" s="144" t="s">
        <v>1075</v>
      </c>
      <c r="B100" s="144" t="s">
        <v>1464</v>
      </c>
      <c r="C100" s="144" t="s">
        <v>1077</v>
      </c>
      <c r="D100" s="144" t="s">
        <v>1464</v>
      </c>
      <c r="E100" s="144" t="s">
        <v>1465</v>
      </c>
      <c r="F100" s="144" t="s">
        <v>1105</v>
      </c>
      <c r="G100" s="144" t="s">
        <v>1168</v>
      </c>
      <c r="H100" s="144" t="s">
        <v>1150</v>
      </c>
      <c r="I100" s="144" t="s">
        <v>1082</v>
      </c>
      <c r="J100" s="144" t="s">
        <v>1466</v>
      </c>
      <c r="K100" s="144" t="s">
        <v>1466</v>
      </c>
      <c r="L100" s="144" t="s">
        <v>28</v>
      </c>
      <c r="M100" s="145">
        <v>45200</v>
      </c>
      <c r="N100" s="144" t="s">
        <v>1085</v>
      </c>
    </row>
    <row r="101" spans="1:14">
      <c r="A101" s="146" t="s">
        <v>1075</v>
      </c>
      <c r="B101" s="146" t="s">
        <v>1467</v>
      </c>
      <c r="C101" s="146" t="s">
        <v>1077</v>
      </c>
      <c r="D101" s="146" t="s">
        <v>1467</v>
      </c>
      <c r="E101" s="146" t="s">
        <v>1468</v>
      </c>
      <c r="F101" s="146"/>
      <c r="G101" s="146" t="s">
        <v>1080</v>
      </c>
      <c r="H101" s="146" t="s">
        <v>1081</v>
      </c>
      <c r="I101" s="146" t="s">
        <v>1082</v>
      </c>
      <c r="J101" s="146" t="s">
        <v>1083</v>
      </c>
      <c r="K101" s="146" t="s">
        <v>1084</v>
      </c>
      <c r="L101" s="146" t="s">
        <v>28</v>
      </c>
      <c r="M101" s="147">
        <v>45199</v>
      </c>
      <c r="N101" s="146" t="s">
        <v>1085</v>
      </c>
    </row>
    <row r="102" spans="1:14">
      <c r="A102" s="144" t="s">
        <v>1075</v>
      </c>
      <c r="B102" s="144" t="s">
        <v>1469</v>
      </c>
      <c r="C102" s="144" t="s">
        <v>1469</v>
      </c>
      <c r="D102" s="144" t="s">
        <v>1469</v>
      </c>
      <c r="E102" s="144" t="s">
        <v>1470</v>
      </c>
      <c r="F102" s="144" t="s">
        <v>1105</v>
      </c>
      <c r="G102" s="144" t="s">
        <v>1133</v>
      </c>
      <c r="H102" s="144" t="s">
        <v>1194</v>
      </c>
      <c r="I102" s="144" t="s">
        <v>1195</v>
      </c>
      <c r="J102" s="144" t="s">
        <v>1471</v>
      </c>
      <c r="K102" s="144" t="s">
        <v>1197</v>
      </c>
      <c r="L102" s="144" t="s">
        <v>28</v>
      </c>
      <c r="M102" s="144"/>
      <c r="N102" s="144" t="s">
        <v>1085</v>
      </c>
    </row>
    <row r="103" spans="1:14">
      <c r="A103" s="146" t="s">
        <v>1075</v>
      </c>
      <c r="B103" s="146" t="s">
        <v>1472</v>
      </c>
      <c r="C103" s="146" t="s">
        <v>1077</v>
      </c>
      <c r="D103" s="146" t="s">
        <v>1473</v>
      </c>
      <c r="E103" s="146" t="s">
        <v>1474</v>
      </c>
      <c r="F103" s="146"/>
      <c r="G103" s="146" t="s">
        <v>1080</v>
      </c>
      <c r="H103" s="146" t="s">
        <v>1081</v>
      </c>
      <c r="I103" s="146" t="s">
        <v>1082</v>
      </c>
      <c r="J103" s="146" t="s">
        <v>1083</v>
      </c>
      <c r="K103" s="146" t="s">
        <v>1084</v>
      </c>
      <c r="L103" s="146" t="s">
        <v>28</v>
      </c>
      <c r="M103" s="147">
        <v>45199</v>
      </c>
      <c r="N103" s="146" t="s">
        <v>1085</v>
      </c>
    </row>
    <row r="104" spans="1:14">
      <c r="A104" s="144" t="s">
        <v>1075</v>
      </c>
      <c r="B104" s="144" t="s">
        <v>1475</v>
      </c>
      <c r="C104" s="144" t="s">
        <v>1077</v>
      </c>
      <c r="D104" s="144" t="s">
        <v>1476</v>
      </c>
      <c r="E104" s="144" t="s">
        <v>1477</v>
      </c>
      <c r="F104" s="144"/>
      <c r="G104" s="144" t="s">
        <v>1080</v>
      </c>
      <c r="H104" s="144" t="s">
        <v>1081</v>
      </c>
      <c r="I104" s="144" t="s">
        <v>1082</v>
      </c>
      <c r="J104" s="144" t="s">
        <v>1083</v>
      </c>
      <c r="K104" s="144" t="s">
        <v>1084</v>
      </c>
      <c r="L104" s="144" t="s">
        <v>28</v>
      </c>
      <c r="M104" s="145">
        <v>45199</v>
      </c>
      <c r="N104" s="144" t="s">
        <v>1085</v>
      </c>
    </row>
    <row r="105" spans="1:14">
      <c r="A105" s="146" t="s">
        <v>1075</v>
      </c>
      <c r="B105" s="146" t="s">
        <v>1478</v>
      </c>
      <c r="C105" s="146" t="s">
        <v>1077</v>
      </c>
      <c r="D105" s="146" t="s">
        <v>1479</v>
      </c>
      <c r="E105" s="146" t="s">
        <v>1480</v>
      </c>
      <c r="F105" s="146" t="s">
        <v>1189</v>
      </c>
      <c r="G105" s="146" t="s">
        <v>1133</v>
      </c>
      <c r="H105" s="146" t="s">
        <v>1481</v>
      </c>
      <c r="I105" s="146" t="s">
        <v>1082</v>
      </c>
      <c r="J105" s="146" t="s">
        <v>1482</v>
      </c>
      <c r="K105" s="146" t="s">
        <v>1454</v>
      </c>
      <c r="L105" s="146" t="s">
        <v>28</v>
      </c>
      <c r="M105" s="147">
        <v>45200</v>
      </c>
      <c r="N105" s="146" t="s">
        <v>1085</v>
      </c>
    </row>
    <row r="106" spans="1:14">
      <c r="A106" s="144" t="s">
        <v>1075</v>
      </c>
      <c r="B106" s="144" t="s">
        <v>1483</v>
      </c>
      <c r="C106" s="144" t="s">
        <v>1077</v>
      </c>
      <c r="D106" s="144" t="s">
        <v>1483</v>
      </c>
      <c r="E106" s="144" t="s">
        <v>1484</v>
      </c>
      <c r="F106" s="144" t="s">
        <v>1105</v>
      </c>
      <c r="G106" s="144" t="s">
        <v>1133</v>
      </c>
      <c r="H106" s="144" t="s">
        <v>1485</v>
      </c>
      <c r="I106" s="144" t="s">
        <v>1486</v>
      </c>
      <c r="J106" s="144" t="s">
        <v>1486</v>
      </c>
      <c r="K106" s="144" t="s">
        <v>1487</v>
      </c>
      <c r="L106" s="144" t="s">
        <v>28</v>
      </c>
      <c r="M106" s="145">
        <v>45624</v>
      </c>
      <c r="N106" s="144" t="s">
        <v>1085</v>
      </c>
    </row>
    <row r="107" spans="1:14">
      <c r="A107" s="146" t="s">
        <v>1075</v>
      </c>
      <c r="B107" s="146" t="s">
        <v>1488</v>
      </c>
      <c r="C107" s="146" t="s">
        <v>1077</v>
      </c>
      <c r="D107" s="146" t="s">
        <v>1488</v>
      </c>
      <c r="E107" s="146" t="s">
        <v>1489</v>
      </c>
      <c r="F107" s="146" t="s">
        <v>1105</v>
      </c>
      <c r="G107" s="146" t="s">
        <v>1080</v>
      </c>
      <c r="H107" s="146" t="s">
        <v>1118</v>
      </c>
      <c r="I107" s="146" t="s">
        <v>1119</v>
      </c>
      <c r="J107" s="146" t="s">
        <v>1447</v>
      </c>
      <c r="K107" s="146" t="s">
        <v>1448</v>
      </c>
      <c r="L107" s="146" t="s">
        <v>28</v>
      </c>
      <c r="M107" s="147">
        <v>45199</v>
      </c>
      <c r="N107" s="146" t="s">
        <v>1085</v>
      </c>
    </row>
    <row r="108" spans="1:14">
      <c r="A108" s="144" t="s">
        <v>1075</v>
      </c>
      <c r="B108" s="144" t="s">
        <v>1490</v>
      </c>
      <c r="C108" s="144" t="s">
        <v>1077</v>
      </c>
      <c r="D108" s="144" t="s">
        <v>1491</v>
      </c>
      <c r="E108" s="144" t="s">
        <v>1492</v>
      </c>
      <c r="F108" s="144" t="s">
        <v>1105</v>
      </c>
      <c r="G108" s="144" t="s">
        <v>1168</v>
      </c>
      <c r="H108" s="144" t="s">
        <v>1118</v>
      </c>
      <c r="I108" s="144" t="s">
        <v>1119</v>
      </c>
      <c r="J108" s="144" t="s">
        <v>1493</v>
      </c>
      <c r="K108" s="144" t="s">
        <v>1494</v>
      </c>
      <c r="L108" s="144" t="s">
        <v>28</v>
      </c>
      <c r="M108" s="145">
        <v>45199</v>
      </c>
      <c r="N108" s="144" t="s">
        <v>1085</v>
      </c>
    </row>
    <row r="109" spans="1:14">
      <c r="A109" s="146" t="s">
        <v>1075</v>
      </c>
      <c r="B109" s="146" t="s">
        <v>1495</v>
      </c>
      <c r="C109" s="146" t="s">
        <v>1077</v>
      </c>
      <c r="D109" s="146" t="s">
        <v>1496</v>
      </c>
      <c r="E109" s="146" t="s">
        <v>1497</v>
      </c>
      <c r="F109" s="146" t="s">
        <v>1105</v>
      </c>
      <c r="G109" s="146" t="s">
        <v>1080</v>
      </c>
      <c r="H109" s="146" t="s">
        <v>1106</v>
      </c>
      <c r="I109" s="146" t="s">
        <v>1107</v>
      </c>
      <c r="J109" s="146"/>
      <c r="K109" s="146" t="s">
        <v>1498</v>
      </c>
      <c r="L109" s="146" t="s">
        <v>28</v>
      </c>
      <c r="M109" s="147">
        <v>45199</v>
      </c>
      <c r="N109" s="146" t="s">
        <v>1085</v>
      </c>
    </row>
    <row r="110" spans="1:14">
      <c r="A110" s="144" t="s">
        <v>1075</v>
      </c>
      <c r="B110" s="144" t="s">
        <v>1499</v>
      </c>
      <c r="C110" s="144" t="s">
        <v>1499</v>
      </c>
      <c r="D110" s="144" t="s">
        <v>1499</v>
      </c>
      <c r="E110" s="144" t="s">
        <v>1500</v>
      </c>
      <c r="F110" s="144" t="s">
        <v>1105</v>
      </c>
      <c r="G110" s="144" t="s">
        <v>1133</v>
      </c>
      <c r="H110" s="144" t="s">
        <v>1134</v>
      </c>
      <c r="I110" s="144" t="s">
        <v>1135</v>
      </c>
      <c r="J110" s="144" t="s">
        <v>1136</v>
      </c>
      <c r="K110" s="144" t="s">
        <v>1318</v>
      </c>
      <c r="L110" s="144" t="s">
        <v>28</v>
      </c>
      <c r="M110" s="145">
        <v>45657</v>
      </c>
      <c r="N110" s="144" t="s">
        <v>1085</v>
      </c>
    </row>
    <row r="111" spans="1:14">
      <c r="A111" s="146" t="s">
        <v>1075</v>
      </c>
      <c r="B111" s="146" t="s">
        <v>1501</v>
      </c>
      <c r="C111" s="146" t="s">
        <v>1501</v>
      </c>
      <c r="D111" s="146" t="s">
        <v>1501</v>
      </c>
      <c r="E111" s="146" t="s">
        <v>1502</v>
      </c>
      <c r="F111" s="146" t="s">
        <v>1117</v>
      </c>
      <c r="G111" s="146" t="s">
        <v>1133</v>
      </c>
      <c r="H111" s="146" t="s">
        <v>1134</v>
      </c>
      <c r="I111" s="146" t="s">
        <v>1135</v>
      </c>
      <c r="J111" s="146" t="s">
        <v>1136</v>
      </c>
      <c r="K111" s="146" t="s">
        <v>1135</v>
      </c>
      <c r="L111" s="146" t="s">
        <v>28</v>
      </c>
      <c r="M111" s="147">
        <v>45716</v>
      </c>
      <c r="N111" s="146" t="s">
        <v>1085</v>
      </c>
    </row>
    <row r="112" spans="1:14">
      <c r="A112" s="144" t="s">
        <v>1075</v>
      </c>
      <c r="B112" s="144" t="s">
        <v>1503</v>
      </c>
      <c r="C112" s="144" t="s">
        <v>1077</v>
      </c>
      <c r="D112" s="144" t="s">
        <v>1503</v>
      </c>
      <c r="E112" s="144" t="s">
        <v>1504</v>
      </c>
      <c r="F112" s="144" t="s">
        <v>1105</v>
      </c>
      <c r="G112" s="144" t="s">
        <v>1133</v>
      </c>
      <c r="H112" s="144" t="s">
        <v>1505</v>
      </c>
      <c r="I112" s="144" t="s">
        <v>1506</v>
      </c>
      <c r="J112" s="144" t="s">
        <v>1507</v>
      </c>
      <c r="K112" s="144" t="s">
        <v>1508</v>
      </c>
      <c r="L112" s="144" t="s">
        <v>28</v>
      </c>
      <c r="M112" s="145">
        <v>45814</v>
      </c>
      <c r="N112" s="144" t="s">
        <v>1085</v>
      </c>
    </row>
    <row r="113" spans="1:14">
      <c r="A113" s="146" t="s">
        <v>1075</v>
      </c>
      <c r="B113" s="146" t="s">
        <v>1509</v>
      </c>
      <c r="C113" s="146" t="s">
        <v>1077</v>
      </c>
      <c r="D113" s="146" t="s">
        <v>1509</v>
      </c>
      <c r="E113" s="146" t="s">
        <v>1510</v>
      </c>
      <c r="F113" s="146" t="s">
        <v>1117</v>
      </c>
      <c r="G113" s="146" t="s">
        <v>1080</v>
      </c>
      <c r="H113" s="146" t="s">
        <v>1134</v>
      </c>
      <c r="I113" s="146" t="s">
        <v>1243</v>
      </c>
      <c r="J113" s="146" t="s">
        <v>1244</v>
      </c>
      <c r="K113" s="146" t="s">
        <v>1245</v>
      </c>
      <c r="L113" s="146" t="s">
        <v>28</v>
      </c>
      <c r="M113" s="147">
        <v>45930</v>
      </c>
      <c r="N113" s="146" t="s">
        <v>1085</v>
      </c>
    </row>
    <row r="114" spans="1:14">
      <c r="A114" s="144" t="s">
        <v>1075</v>
      </c>
      <c r="B114" s="144" t="s">
        <v>1511</v>
      </c>
      <c r="C114" s="144" t="s">
        <v>1077</v>
      </c>
      <c r="D114" s="144" t="s">
        <v>1511</v>
      </c>
      <c r="E114" s="144" t="s">
        <v>1512</v>
      </c>
      <c r="F114" s="144" t="s">
        <v>1105</v>
      </c>
      <c r="G114" s="144" t="s">
        <v>1133</v>
      </c>
      <c r="H114" s="144" t="s">
        <v>1277</v>
      </c>
      <c r="I114" s="144" t="s">
        <v>1219</v>
      </c>
      <c r="J114" s="144" t="s">
        <v>1513</v>
      </c>
      <c r="K114" s="144" t="s">
        <v>1514</v>
      </c>
      <c r="L114" s="144" t="s">
        <v>28</v>
      </c>
      <c r="M114" s="145">
        <v>45854</v>
      </c>
      <c r="N114" s="144" t="s">
        <v>1085</v>
      </c>
    </row>
    <row r="115" spans="1:14">
      <c r="A115" s="146" t="s">
        <v>1075</v>
      </c>
      <c r="B115" s="146" t="s">
        <v>1515</v>
      </c>
      <c r="C115" s="146" t="s">
        <v>1077</v>
      </c>
      <c r="D115" s="146" t="s">
        <v>1515</v>
      </c>
      <c r="E115" s="146" t="s">
        <v>1516</v>
      </c>
      <c r="F115" s="146" t="s">
        <v>1105</v>
      </c>
      <c r="G115" s="146" t="s">
        <v>1080</v>
      </c>
      <c r="H115" s="146" t="s">
        <v>1091</v>
      </c>
      <c r="I115" s="146" t="s">
        <v>1092</v>
      </c>
      <c r="J115" s="146" t="s">
        <v>1349</v>
      </c>
      <c r="K115" s="146" t="s">
        <v>1517</v>
      </c>
      <c r="L115" s="146" t="s">
        <v>28</v>
      </c>
      <c r="M115" s="147">
        <v>45199</v>
      </c>
      <c r="N115" s="146" t="s">
        <v>1085</v>
      </c>
    </row>
    <row r="116" spans="1:14">
      <c r="A116" s="144" t="s">
        <v>1075</v>
      </c>
      <c r="B116" s="144" t="s">
        <v>1518</v>
      </c>
      <c r="C116" s="144" t="s">
        <v>1077</v>
      </c>
      <c r="D116" s="144" t="s">
        <v>1518</v>
      </c>
      <c r="E116" s="144" t="s">
        <v>1519</v>
      </c>
      <c r="F116" s="144" t="s">
        <v>1090</v>
      </c>
      <c r="G116" s="144" t="s">
        <v>1080</v>
      </c>
      <c r="H116" s="144" t="s">
        <v>1332</v>
      </c>
      <c r="I116" s="144" t="s">
        <v>1342</v>
      </c>
      <c r="J116" s="144" t="s">
        <v>1342</v>
      </c>
      <c r="K116" s="144" t="s">
        <v>1342</v>
      </c>
      <c r="L116" s="144" t="s">
        <v>28</v>
      </c>
      <c r="M116" s="145">
        <v>45567</v>
      </c>
      <c r="N116" s="144" t="s">
        <v>1085</v>
      </c>
    </row>
    <row r="117" spans="1:14">
      <c r="A117" s="146" t="s">
        <v>1075</v>
      </c>
      <c r="B117" s="146" t="s">
        <v>1520</v>
      </c>
      <c r="C117" s="146" t="s">
        <v>1520</v>
      </c>
      <c r="D117" s="146" t="s">
        <v>1520</v>
      </c>
      <c r="E117" s="146" t="s">
        <v>1521</v>
      </c>
      <c r="F117" s="146" t="s">
        <v>1105</v>
      </c>
      <c r="G117" s="146" t="s">
        <v>1168</v>
      </c>
      <c r="H117" s="146" t="s">
        <v>1205</v>
      </c>
      <c r="I117" s="146" t="s">
        <v>1206</v>
      </c>
      <c r="J117" s="146" t="s">
        <v>1207</v>
      </c>
      <c r="K117" s="146" t="s">
        <v>1522</v>
      </c>
      <c r="L117" s="146" t="s">
        <v>28</v>
      </c>
      <c r="M117" s="147">
        <v>45807</v>
      </c>
      <c r="N117" s="146" t="s">
        <v>1085</v>
      </c>
    </row>
    <row r="118" spans="1:14">
      <c r="A118" s="144" t="s">
        <v>1075</v>
      </c>
      <c r="B118" s="144" t="s">
        <v>1523</v>
      </c>
      <c r="C118" s="144" t="s">
        <v>1077</v>
      </c>
      <c r="D118" s="144" t="s">
        <v>1523</v>
      </c>
      <c r="E118" s="144" t="s">
        <v>1524</v>
      </c>
      <c r="F118" s="144" t="s">
        <v>1105</v>
      </c>
      <c r="G118" s="144" t="s">
        <v>1133</v>
      </c>
      <c r="H118" s="144"/>
      <c r="I118" s="144"/>
      <c r="J118" s="144"/>
      <c r="K118" s="144" t="s">
        <v>1525</v>
      </c>
      <c r="L118" s="144" t="s">
        <v>28</v>
      </c>
      <c r="M118" s="145">
        <v>45854</v>
      </c>
      <c r="N118" s="144" t="s">
        <v>1085</v>
      </c>
    </row>
    <row r="119" spans="1:14">
      <c r="A119" s="146" t="s">
        <v>1075</v>
      </c>
      <c r="B119" s="146" t="s">
        <v>1526</v>
      </c>
      <c r="C119" s="146" t="s">
        <v>1077</v>
      </c>
      <c r="D119" s="146" t="s">
        <v>1526</v>
      </c>
      <c r="E119" s="146" t="s">
        <v>1527</v>
      </c>
      <c r="F119" s="146" t="s">
        <v>1117</v>
      </c>
      <c r="G119" s="146" t="s">
        <v>1080</v>
      </c>
      <c r="H119" s="146" t="s">
        <v>1106</v>
      </c>
      <c r="I119" s="146" t="s">
        <v>1107</v>
      </c>
      <c r="J119" s="146" t="s">
        <v>1108</v>
      </c>
      <c r="K119" s="146" t="s">
        <v>1109</v>
      </c>
      <c r="L119" s="146" t="s">
        <v>28</v>
      </c>
      <c r="M119" s="147">
        <v>45199</v>
      </c>
      <c r="N119" s="146" t="s">
        <v>1085</v>
      </c>
    </row>
    <row r="120" spans="1:14">
      <c r="A120" s="144" t="s">
        <v>1075</v>
      </c>
      <c r="B120" s="144" t="s">
        <v>1528</v>
      </c>
      <c r="C120" s="144" t="s">
        <v>1528</v>
      </c>
      <c r="D120" s="144" t="s">
        <v>1528</v>
      </c>
      <c r="E120" s="144" t="s">
        <v>1529</v>
      </c>
      <c r="F120" s="144" t="s">
        <v>1105</v>
      </c>
      <c r="G120" s="144" t="s">
        <v>1168</v>
      </c>
      <c r="H120" s="144" t="s">
        <v>1194</v>
      </c>
      <c r="I120" s="144" t="s">
        <v>1195</v>
      </c>
      <c r="J120" s="144" t="s">
        <v>1530</v>
      </c>
      <c r="K120" s="144" t="s">
        <v>1531</v>
      </c>
      <c r="L120" s="144" t="s">
        <v>28</v>
      </c>
      <c r="M120" s="145">
        <v>45898</v>
      </c>
      <c r="N120" s="144" t="s">
        <v>1085</v>
      </c>
    </row>
    <row r="121" spans="1:14">
      <c r="A121" s="146" t="s">
        <v>1075</v>
      </c>
      <c r="B121" s="146" t="s">
        <v>1532</v>
      </c>
      <c r="C121" s="146" t="s">
        <v>1532</v>
      </c>
      <c r="D121" s="146" t="s">
        <v>1532</v>
      </c>
      <c r="E121" s="146" t="s">
        <v>1533</v>
      </c>
      <c r="F121" s="146" t="s">
        <v>1105</v>
      </c>
      <c r="G121" s="146" t="s">
        <v>1133</v>
      </c>
      <c r="H121" s="146" t="s">
        <v>1134</v>
      </c>
      <c r="I121" s="146" t="s">
        <v>1135</v>
      </c>
      <c r="J121" s="146" t="s">
        <v>1136</v>
      </c>
      <c r="K121" s="146" t="s">
        <v>1534</v>
      </c>
      <c r="L121" s="146" t="s">
        <v>28</v>
      </c>
      <c r="M121" s="147">
        <v>45715</v>
      </c>
      <c r="N121" s="146" t="s">
        <v>1085</v>
      </c>
    </row>
    <row r="122" spans="1:14">
      <c r="A122" s="144" t="s">
        <v>1075</v>
      </c>
      <c r="B122" s="144" t="s">
        <v>1535</v>
      </c>
      <c r="C122" s="144" t="s">
        <v>1077</v>
      </c>
      <c r="D122" s="144" t="s">
        <v>1535</v>
      </c>
      <c r="E122" s="144" t="s">
        <v>1536</v>
      </c>
      <c r="F122" s="144" t="s">
        <v>1105</v>
      </c>
      <c r="G122" s="144" t="s">
        <v>1133</v>
      </c>
      <c r="H122" s="144" t="s">
        <v>1134</v>
      </c>
      <c r="I122" s="144" t="s">
        <v>1135</v>
      </c>
      <c r="J122" s="144" t="s">
        <v>1136</v>
      </c>
      <c r="K122" s="144" t="s">
        <v>1355</v>
      </c>
      <c r="L122" s="144" t="s">
        <v>28</v>
      </c>
      <c r="M122" s="145">
        <v>45554</v>
      </c>
      <c r="N122" s="144" t="s">
        <v>1085</v>
      </c>
    </row>
    <row r="123" spans="1:14">
      <c r="A123" s="146" t="s">
        <v>1075</v>
      </c>
      <c r="B123" s="146" t="s">
        <v>1537</v>
      </c>
      <c r="C123" s="146" t="s">
        <v>1537</v>
      </c>
      <c r="D123" s="146" t="s">
        <v>1537</v>
      </c>
      <c r="E123" s="146" t="s">
        <v>1538</v>
      </c>
      <c r="F123" s="146" t="s">
        <v>1090</v>
      </c>
      <c r="G123" s="146" t="s">
        <v>1080</v>
      </c>
      <c r="H123" s="146" t="s">
        <v>1134</v>
      </c>
      <c r="I123" s="146" t="s">
        <v>1135</v>
      </c>
      <c r="J123" s="146" t="s">
        <v>1136</v>
      </c>
      <c r="K123" s="146" t="s">
        <v>1137</v>
      </c>
      <c r="L123" s="146" t="s">
        <v>28</v>
      </c>
      <c r="M123" s="147">
        <v>45786</v>
      </c>
      <c r="N123" s="146" t="s">
        <v>1085</v>
      </c>
    </row>
    <row r="124" spans="1:14">
      <c r="A124" s="144" t="s">
        <v>1075</v>
      </c>
      <c r="B124" s="144" t="s">
        <v>1539</v>
      </c>
      <c r="C124" s="144" t="s">
        <v>1077</v>
      </c>
      <c r="D124" s="144" t="s">
        <v>1539</v>
      </c>
      <c r="E124" s="144" t="s">
        <v>1540</v>
      </c>
      <c r="F124" s="144"/>
      <c r="G124" s="144" t="s">
        <v>1080</v>
      </c>
      <c r="H124" s="144"/>
      <c r="I124" s="144"/>
      <c r="J124" s="144"/>
      <c r="K124" s="144" t="s">
        <v>1525</v>
      </c>
      <c r="L124" s="144" t="s">
        <v>28</v>
      </c>
      <c r="M124" s="145">
        <v>45937</v>
      </c>
      <c r="N124" s="144" t="s">
        <v>1085</v>
      </c>
    </row>
    <row r="125" spans="1:14">
      <c r="A125" s="146" t="s">
        <v>1075</v>
      </c>
      <c r="B125" s="146" t="s">
        <v>1541</v>
      </c>
      <c r="C125" s="146" t="s">
        <v>1541</v>
      </c>
      <c r="D125" s="146" t="s">
        <v>1541</v>
      </c>
      <c r="E125" s="146" t="s">
        <v>1542</v>
      </c>
      <c r="F125" s="146" t="s">
        <v>1090</v>
      </c>
      <c r="G125" s="146" t="s">
        <v>1080</v>
      </c>
      <c r="H125" s="146" t="s">
        <v>1194</v>
      </c>
      <c r="I125" s="146" t="s">
        <v>1195</v>
      </c>
      <c r="J125" s="146" t="s">
        <v>1196</v>
      </c>
      <c r="K125" s="146" t="s">
        <v>1197</v>
      </c>
      <c r="L125" s="146" t="s">
        <v>28</v>
      </c>
      <c r="M125" s="147">
        <v>45917</v>
      </c>
      <c r="N125" s="146" t="s">
        <v>1085</v>
      </c>
    </row>
    <row r="126" spans="1:14">
      <c r="A126" s="144" t="s">
        <v>1075</v>
      </c>
      <c r="B126" s="144" t="s">
        <v>1543</v>
      </c>
      <c r="C126" s="144" t="s">
        <v>1543</v>
      </c>
      <c r="D126" s="144" t="s">
        <v>1543</v>
      </c>
      <c r="E126" s="144" t="s">
        <v>1544</v>
      </c>
      <c r="F126" s="144" t="s">
        <v>1090</v>
      </c>
      <c r="G126" s="144" t="s">
        <v>1080</v>
      </c>
      <c r="H126" s="144" t="s">
        <v>1134</v>
      </c>
      <c r="I126" s="144" t="s">
        <v>1135</v>
      </c>
      <c r="J126" s="144" t="s">
        <v>1136</v>
      </c>
      <c r="K126" s="144" t="s">
        <v>1318</v>
      </c>
      <c r="L126" s="144" t="s">
        <v>28</v>
      </c>
      <c r="M126" s="145">
        <v>45534</v>
      </c>
      <c r="N126" s="144" t="s">
        <v>1085</v>
      </c>
    </row>
    <row r="127" spans="1:14">
      <c r="A127" s="146" t="s">
        <v>1075</v>
      </c>
      <c r="B127" s="146" t="s">
        <v>1545</v>
      </c>
      <c r="C127" s="146" t="s">
        <v>1546</v>
      </c>
      <c r="D127" s="146" t="s">
        <v>1546</v>
      </c>
      <c r="E127" s="146" t="s">
        <v>1547</v>
      </c>
      <c r="F127" s="146" t="s">
        <v>1090</v>
      </c>
      <c r="G127" s="146" t="s">
        <v>1080</v>
      </c>
      <c r="H127" s="146" t="s">
        <v>1118</v>
      </c>
      <c r="I127" s="146" t="s">
        <v>1119</v>
      </c>
      <c r="J127" s="146" t="s">
        <v>1302</v>
      </c>
      <c r="K127" s="146" t="s">
        <v>1303</v>
      </c>
      <c r="L127" s="146" t="s">
        <v>28</v>
      </c>
      <c r="M127" s="147">
        <v>45199</v>
      </c>
      <c r="N127" s="146" t="s">
        <v>1085</v>
      </c>
    </row>
    <row r="128" spans="1:14">
      <c r="A128" s="144" t="s">
        <v>1075</v>
      </c>
      <c r="B128" s="144" t="s">
        <v>1548</v>
      </c>
      <c r="C128" s="144" t="s">
        <v>1077</v>
      </c>
      <c r="D128" s="144" t="s">
        <v>1548</v>
      </c>
      <c r="E128" s="144" t="s">
        <v>1549</v>
      </c>
      <c r="F128" s="144" t="s">
        <v>1105</v>
      </c>
      <c r="G128" s="144" t="s">
        <v>1133</v>
      </c>
      <c r="H128" s="144" t="s">
        <v>1232</v>
      </c>
      <c r="I128" s="144" t="s">
        <v>1233</v>
      </c>
      <c r="J128" s="144" t="s">
        <v>1550</v>
      </c>
      <c r="K128" s="144" t="s">
        <v>1235</v>
      </c>
      <c r="L128" s="144" t="s">
        <v>28</v>
      </c>
      <c r="M128" s="145">
        <v>45200</v>
      </c>
      <c r="N128" s="144" t="s">
        <v>1085</v>
      </c>
    </row>
    <row r="129" spans="1:14">
      <c r="A129" s="146" t="s">
        <v>1075</v>
      </c>
      <c r="B129" s="146" t="s">
        <v>1551</v>
      </c>
      <c r="C129" s="146" t="s">
        <v>1551</v>
      </c>
      <c r="D129" s="146" t="s">
        <v>1551</v>
      </c>
      <c r="E129" s="146" t="s">
        <v>1552</v>
      </c>
      <c r="F129" s="146" t="s">
        <v>1105</v>
      </c>
      <c r="G129" s="146" t="s">
        <v>1133</v>
      </c>
      <c r="H129" s="146" t="s">
        <v>1277</v>
      </c>
      <c r="I129" s="146" t="s">
        <v>1219</v>
      </c>
      <c r="J129" s="146" t="s">
        <v>1513</v>
      </c>
      <c r="K129" s="146" t="s">
        <v>1553</v>
      </c>
      <c r="L129" s="146" t="s">
        <v>28</v>
      </c>
      <c r="M129" s="147">
        <v>45812</v>
      </c>
      <c r="N129" s="146" t="s">
        <v>1085</v>
      </c>
    </row>
    <row r="130" spans="1:14">
      <c r="A130" s="144" t="s">
        <v>1075</v>
      </c>
      <c r="B130" s="144" t="s">
        <v>1554</v>
      </c>
      <c r="C130" s="144" t="s">
        <v>1077</v>
      </c>
      <c r="D130" s="144" t="s">
        <v>1554</v>
      </c>
      <c r="E130" s="144" t="s">
        <v>1555</v>
      </c>
      <c r="F130" s="144" t="s">
        <v>1105</v>
      </c>
      <c r="G130" s="144" t="s">
        <v>1133</v>
      </c>
      <c r="H130" s="144" t="s">
        <v>1106</v>
      </c>
      <c r="I130" s="144" t="s">
        <v>1107</v>
      </c>
      <c r="J130" s="144" t="s">
        <v>1108</v>
      </c>
      <c r="K130" s="144" t="s">
        <v>1109</v>
      </c>
      <c r="L130" s="144" t="s">
        <v>28</v>
      </c>
      <c r="M130" s="145">
        <v>45951</v>
      </c>
      <c r="N130" s="144" t="s">
        <v>1085</v>
      </c>
    </row>
    <row r="131" spans="1:14">
      <c r="A131" s="146" t="s">
        <v>1075</v>
      </c>
      <c r="B131" s="146" t="s">
        <v>1556</v>
      </c>
      <c r="C131" s="146" t="s">
        <v>1077</v>
      </c>
      <c r="D131" s="146" t="s">
        <v>1557</v>
      </c>
      <c r="E131" s="146" t="s">
        <v>1558</v>
      </c>
      <c r="F131" s="146"/>
      <c r="G131" s="146" t="s">
        <v>1080</v>
      </c>
      <c r="H131" s="146" t="s">
        <v>1081</v>
      </c>
      <c r="I131" s="146" t="s">
        <v>1082</v>
      </c>
      <c r="J131" s="146" t="s">
        <v>1083</v>
      </c>
      <c r="K131" s="146" t="s">
        <v>1084</v>
      </c>
      <c r="L131" s="146" t="s">
        <v>28</v>
      </c>
      <c r="M131" s="147">
        <v>45199</v>
      </c>
      <c r="N131" s="146" t="s">
        <v>1085</v>
      </c>
    </row>
    <row r="132" spans="1:14">
      <c r="A132" s="144" t="s">
        <v>1075</v>
      </c>
      <c r="B132" s="144" t="s">
        <v>1559</v>
      </c>
      <c r="C132" s="144" t="s">
        <v>1559</v>
      </c>
      <c r="D132" s="144" t="s">
        <v>1559</v>
      </c>
      <c r="E132" s="144" t="s">
        <v>1560</v>
      </c>
      <c r="F132" s="144" t="s">
        <v>1250</v>
      </c>
      <c r="G132" s="144" t="s">
        <v>1080</v>
      </c>
      <c r="H132" s="144" t="s">
        <v>1118</v>
      </c>
      <c r="I132" s="144" t="s">
        <v>1119</v>
      </c>
      <c r="J132" s="144" t="s">
        <v>1447</v>
      </c>
      <c r="K132" s="144" t="s">
        <v>1448</v>
      </c>
      <c r="L132" s="144" t="s">
        <v>28</v>
      </c>
      <c r="M132" s="145">
        <v>45200</v>
      </c>
      <c r="N132" s="144" t="s">
        <v>1085</v>
      </c>
    </row>
    <row r="133" spans="1:14">
      <c r="A133" s="146" t="s">
        <v>1075</v>
      </c>
      <c r="B133" s="146" t="s">
        <v>1561</v>
      </c>
      <c r="C133" s="146" t="s">
        <v>1077</v>
      </c>
      <c r="D133" s="146" t="s">
        <v>1562</v>
      </c>
      <c r="E133" s="146" t="s">
        <v>1563</v>
      </c>
      <c r="F133" s="146" t="s">
        <v>1105</v>
      </c>
      <c r="G133" s="146" t="s">
        <v>1133</v>
      </c>
      <c r="H133" s="146" t="s">
        <v>1194</v>
      </c>
      <c r="I133" s="146" t="s">
        <v>1195</v>
      </c>
      <c r="J133" s="146" t="s">
        <v>1564</v>
      </c>
      <c r="K133" s="146" t="s">
        <v>1338</v>
      </c>
      <c r="L133" s="146" t="s">
        <v>28</v>
      </c>
      <c r="M133" s="147">
        <v>45924</v>
      </c>
      <c r="N133" s="146" t="s">
        <v>1085</v>
      </c>
    </row>
    <row r="134" spans="1:14">
      <c r="A134" s="144" t="s">
        <v>1075</v>
      </c>
      <c r="B134" s="144" t="s">
        <v>1565</v>
      </c>
      <c r="C134" s="144" t="s">
        <v>1077</v>
      </c>
      <c r="D134" s="144" t="s">
        <v>1565</v>
      </c>
      <c r="E134" s="144" t="s">
        <v>1566</v>
      </c>
      <c r="F134" s="144" t="s">
        <v>1117</v>
      </c>
      <c r="G134" s="144" t="s">
        <v>1080</v>
      </c>
      <c r="H134" s="144" t="s">
        <v>1232</v>
      </c>
      <c r="I134" s="144" t="s">
        <v>1233</v>
      </c>
      <c r="J134" s="144" t="s">
        <v>1550</v>
      </c>
      <c r="K134" s="144" t="s">
        <v>1235</v>
      </c>
      <c r="L134" s="144" t="s">
        <v>28</v>
      </c>
      <c r="M134" s="145">
        <v>45200</v>
      </c>
      <c r="N134" s="144" t="s">
        <v>1085</v>
      </c>
    </row>
    <row r="135" spans="1:14">
      <c r="A135" s="146" t="s">
        <v>1075</v>
      </c>
      <c r="B135" s="146" t="s">
        <v>1567</v>
      </c>
      <c r="C135" s="146" t="s">
        <v>1567</v>
      </c>
      <c r="D135" s="146" t="s">
        <v>1567</v>
      </c>
      <c r="E135" s="146" t="s">
        <v>1568</v>
      </c>
      <c r="F135" s="146" t="s">
        <v>1105</v>
      </c>
      <c r="G135" s="146" t="s">
        <v>1569</v>
      </c>
      <c r="H135" s="146" t="s">
        <v>1134</v>
      </c>
      <c r="I135" s="146" t="s">
        <v>1135</v>
      </c>
      <c r="J135" s="146" t="s">
        <v>1136</v>
      </c>
      <c r="K135" s="146" t="s">
        <v>1570</v>
      </c>
      <c r="L135" s="146" t="s">
        <v>28</v>
      </c>
      <c r="M135" s="147">
        <v>45716</v>
      </c>
      <c r="N135" s="146" t="s">
        <v>1085</v>
      </c>
    </row>
    <row r="136" spans="1:14">
      <c r="A136" s="144" t="s">
        <v>1075</v>
      </c>
      <c r="B136" s="144" t="s">
        <v>1571</v>
      </c>
      <c r="C136" s="144" t="s">
        <v>1077</v>
      </c>
      <c r="D136" s="144" t="s">
        <v>1571</v>
      </c>
      <c r="E136" s="144" t="s">
        <v>1572</v>
      </c>
      <c r="F136" s="144" t="s">
        <v>1090</v>
      </c>
      <c r="G136" s="144" t="s">
        <v>1080</v>
      </c>
      <c r="H136" s="144" t="s">
        <v>1134</v>
      </c>
      <c r="I136" s="144" t="s">
        <v>1243</v>
      </c>
      <c r="J136" s="144" t="s">
        <v>1244</v>
      </c>
      <c r="K136" s="144" t="s">
        <v>1243</v>
      </c>
      <c r="L136" s="144" t="s">
        <v>28</v>
      </c>
      <c r="M136" s="145">
        <v>46052</v>
      </c>
      <c r="N136" s="144" t="s">
        <v>1085</v>
      </c>
    </row>
    <row r="137" spans="1:14">
      <c r="A137" s="146" t="s">
        <v>1075</v>
      </c>
      <c r="B137" s="146" t="s">
        <v>1573</v>
      </c>
      <c r="C137" s="146" t="s">
        <v>1573</v>
      </c>
      <c r="D137" s="146" t="s">
        <v>1573</v>
      </c>
      <c r="E137" s="146" t="s">
        <v>1574</v>
      </c>
      <c r="F137" s="146" t="s">
        <v>1090</v>
      </c>
      <c r="G137" s="146" t="s">
        <v>1080</v>
      </c>
      <c r="H137" s="146" t="s">
        <v>1134</v>
      </c>
      <c r="I137" s="146" t="s">
        <v>1135</v>
      </c>
      <c r="J137" s="146" t="s">
        <v>1136</v>
      </c>
      <c r="K137" s="146" t="s">
        <v>1184</v>
      </c>
      <c r="L137" s="146" t="s">
        <v>28</v>
      </c>
      <c r="M137" s="147">
        <v>45200</v>
      </c>
      <c r="N137" s="146" t="s">
        <v>1085</v>
      </c>
    </row>
    <row r="138" spans="1:14">
      <c r="A138" s="144" t="s">
        <v>1075</v>
      </c>
      <c r="B138" s="144" t="s">
        <v>1575</v>
      </c>
      <c r="C138" s="144" t="s">
        <v>1575</v>
      </c>
      <c r="D138" s="144" t="s">
        <v>1575</v>
      </c>
      <c r="E138" s="144" t="s">
        <v>1576</v>
      </c>
      <c r="F138" s="144" t="s">
        <v>1105</v>
      </c>
      <c r="G138" s="144" t="s">
        <v>1569</v>
      </c>
      <c r="H138" s="144" t="s">
        <v>1134</v>
      </c>
      <c r="I138" s="144" t="s">
        <v>1135</v>
      </c>
      <c r="J138" s="144" t="s">
        <v>1136</v>
      </c>
      <c r="K138" s="144" t="s">
        <v>1577</v>
      </c>
      <c r="L138" s="144" t="s">
        <v>28</v>
      </c>
      <c r="M138" s="145">
        <v>45716</v>
      </c>
      <c r="N138" s="144" t="s">
        <v>1085</v>
      </c>
    </row>
    <row r="139" spans="1:14">
      <c r="A139" s="146" t="s">
        <v>1075</v>
      </c>
      <c r="B139" s="146" t="s">
        <v>1578</v>
      </c>
      <c r="C139" s="146" t="s">
        <v>1077</v>
      </c>
      <c r="D139" s="146" t="s">
        <v>1578</v>
      </c>
      <c r="E139" s="146" t="s">
        <v>1579</v>
      </c>
      <c r="F139" s="146" t="s">
        <v>1105</v>
      </c>
      <c r="G139" s="146" t="s">
        <v>1080</v>
      </c>
      <c r="H139" s="146" t="s">
        <v>1134</v>
      </c>
      <c r="I139" s="146" t="s">
        <v>1135</v>
      </c>
      <c r="J139" s="146" t="s">
        <v>1136</v>
      </c>
      <c r="K139" s="146" t="s">
        <v>1355</v>
      </c>
      <c r="L139" s="146" t="s">
        <v>28</v>
      </c>
      <c r="M139" s="147">
        <v>46028</v>
      </c>
      <c r="N139" s="146" t="s">
        <v>1085</v>
      </c>
    </row>
    <row r="140" spans="1:14">
      <c r="A140" s="144" t="s">
        <v>1075</v>
      </c>
      <c r="B140" s="144" t="s">
        <v>1580</v>
      </c>
      <c r="C140" s="144" t="s">
        <v>1077</v>
      </c>
      <c r="D140" s="144" t="s">
        <v>1580</v>
      </c>
      <c r="E140" s="144" t="s">
        <v>1581</v>
      </c>
      <c r="F140" s="144" t="s">
        <v>1189</v>
      </c>
      <c r="G140" s="144" t="s">
        <v>1080</v>
      </c>
      <c r="H140" s="144" t="s">
        <v>1205</v>
      </c>
      <c r="I140" s="144" t="s">
        <v>1206</v>
      </c>
      <c r="J140" s="144" t="s">
        <v>1482</v>
      </c>
      <c r="K140" s="144" t="s">
        <v>1582</v>
      </c>
      <c r="L140" s="144" t="s">
        <v>28</v>
      </c>
      <c r="M140" s="145">
        <v>45200</v>
      </c>
      <c r="N140" s="144" t="s">
        <v>1085</v>
      </c>
    </row>
    <row r="141" spans="1:14">
      <c r="A141" s="146" t="s">
        <v>1075</v>
      </c>
      <c r="B141" s="146" t="s">
        <v>1583</v>
      </c>
      <c r="C141" s="146" t="s">
        <v>1077</v>
      </c>
      <c r="D141" s="146" t="s">
        <v>1583</v>
      </c>
      <c r="E141" s="146" t="s">
        <v>1584</v>
      </c>
      <c r="F141" s="146" t="s">
        <v>1189</v>
      </c>
      <c r="G141" s="146" t="s">
        <v>1080</v>
      </c>
      <c r="H141" s="146"/>
      <c r="I141" s="146"/>
      <c r="J141" s="146"/>
      <c r="K141" s="146" t="s">
        <v>1585</v>
      </c>
      <c r="L141" s="146" t="s">
        <v>28</v>
      </c>
      <c r="M141" s="147">
        <v>45200</v>
      </c>
      <c r="N141" s="146" t="s">
        <v>1085</v>
      </c>
    </row>
    <row r="142" spans="1:14">
      <c r="A142" s="144" t="s">
        <v>1075</v>
      </c>
      <c r="B142" s="144" t="s">
        <v>1586</v>
      </c>
      <c r="C142" s="144" t="s">
        <v>1077</v>
      </c>
      <c r="D142" s="144" t="s">
        <v>1586</v>
      </c>
      <c r="E142" s="144" t="s">
        <v>1587</v>
      </c>
      <c r="F142" s="144" t="s">
        <v>1189</v>
      </c>
      <c r="G142" s="144" t="s">
        <v>1080</v>
      </c>
      <c r="H142" s="144"/>
      <c r="I142" s="144"/>
      <c r="J142" s="144"/>
      <c r="K142" s="144" t="s">
        <v>1585</v>
      </c>
      <c r="L142" s="144" t="s">
        <v>28</v>
      </c>
      <c r="M142" s="145">
        <v>45200</v>
      </c>
      <c r="N142" s="144" t="s">
        <v>1085</v>
      </c>
    </row>
    <row r="143" spans="1:14">
      <c r="A143" s="146" t="s">
        <v>1075</v>
      </c>
      <c r="B143" s="146" t="s">
        <v>1588</v>
      </c>
      <c r="C143" s="146" t="s">
        <v>1077</v>
      </c>
      <c r="D143" s="146" t="s">
        <v>1580</v>
      </c>
      <c r="E143" s="146" t="s">
        <v>1589</v>
      </c>
      <c r="F143" s="146" t="s">
        <v>1117</v>
      </c>
      <c r="G143" s="146" t="s">
        <v>1080</v>
      </c>
      <c r="H143" s="146" t="s">
        <v>1481</v>
      </c>
      <c r="I143" s="146" t="s">
        <v>1082</v>
      </c>
      <c r="J143" s="146" t="s">
        <v>1482</v>
      </c>
      <c r="K143" s="146" t="s">
        <v>1454</v>
      </c>
      <c r="L143" s="146" t="s">
        <v>28</v>
      </c>
      <c r="M143" s="147">
        <v>45200</v>
      </c>
      <c r="N143" s="146" t="s">
        <v>1085</v>
      </c>
    </row>
    <row r="144" spans="1:14">
      <c r="A144" s="144" t="s">
        <v>1075</v>
      </c>
      <c r="B144" s="144" t="s">
        <v>1590</v>
      </c>
      <c r="C144" s="144" t="s">
        <v>1077</v>
      </c>
      <c r="D144" s="144" t="s">
        <v>1590</v>
      </c>
      <c r="E144" s="144" t="s">
        <v>1591</v>
      </c>
      <c r="F144" s="144"/>
      <c r="G144" s="144"/>
      <c r="H144" s="144"/>
      <c r="I144" s="144"/>
      <c r="J144" s="144"/>
      <c r="K144" s="144" t="s">
        <v>1585</v>
      </c>
      <c r="L144" s="144" t="s">
        <v>28</v>
      </c>
      <c r="M144" s="145">
        <v>45200</v>
      </c>
      <c r="N144" s="144" t="s">
        <v>1085</v>
      </c>
    </row>
    <row r="145" spans="1:14">
      <c r="A145" s="146" t="s">
        <v>1075</v>
      </c>
      <c r="B145" s="146" t="s">
        <v>1592</v>
      </c>
      <c r="C145" s="146" t="s">
        <v>1077</v>
      </c>
      <c r="D145" s="146" t="s">
        <v>1590</v>
      </c>
      <c r="E145" s="146" t="s">
        <v>1593</v>
      </c>
      <c r="F145" s="146" t="s">
        <v>1117</v>
      </c>
      <c r="G145" s="146" t="s">
        <v>1168</v>
      </c>
      <c r="H145" s="146" t="s">
        <v>1481</v>
      </c>
      <c r="I145" s="146" t="s">
        <v>1082</v>
      </c>
      <c r="J145" s="146" t="s">
        <v>1482</v>
      </c>
      <c r="K145" s="146" t="s">
        <v>1454</v>
      </c>
      <c r="L145" s="146" t="s">
        <v>28</v>
      </c>
      <c r="M145" s="147">
        <v>45200</v>
      </c>
      <c r="N145" s="146" t="s">
        <v>1085</v>
      </c>
    </row>
    <row r="146" spans="1:14">
      <c r="A146" s="144" t="s">
        <v>1075</v>
      </c>
      <c r="B146" s="144" t="s">
        <v>1594</v>
      </c>
      <c r="C146" s="144" t="s">
        <v>1077</v>
      </c>
      <c r="D146" s="144" t="s">
        <v>1280</v>
      </c>
      <c r="E146" s="144" t="s">
        <v>1595</v>
      </c>
      <c r="F146" s="144" t="s">
        <v>1105</v>
      </c>
      <c r="G146" s="144" t="s">
        <v>1080</v>
      </c>
      <c r="H146" s="144" t="s">
        <v>1205</v>
      </c>
      <c r="I146" s="144" t="s">
        <v>1596</v>
      </c>
      <c r="J146" s="144"/>
      <c r="K146" s="144" t="s">
        <v>1206</v>
      </c>
      <c r="L146" s="144" t="s">
        <v>28</v>
      </c>
      <c r="M146" s="145">
        <v>45199</v>
      </c>
      <c r="N146" s="144" t="s">
        <v>1085</v>
      </c>
    </row>
    <row r="147" spans="1:14">
      <c r="A147" s="146" t="s">
        <v>1075</v>
      </c>
      <c r="B147" s="146" t="s">
        <v>1597</v>
      </c>
      <c r="C147" s="146" t="s">
        <v>1077</v>
      </c>
      <c r="D147" s="146" t="s">
        <v>1597</v>
      </c>
      <c r="E147" s="146" t="s">
        <v>1598</v>
      </c>
      <c r="F147" s="146" t="s">
        <v>1105</v>
      </c>
      <c r="G147" s="146" t="s">
        <v>1133</v>
      </c>
      <c r="H147" s="146" t="s">
        <v>1169</v>
      </c>
      <c r="I147" s="146" t="s">
        <v>1170</v>
      </c>
      <c r="J147" s="146" t="s">
        <v>1171</v>
      </c>
      <c r="K147" s="146" t="s">
        <v>1172</v>
      </c>
      <c r="L147" s="146" t="s">
        <v>28</v>
      </c>
      <c r="M147" s="147">
        <v>45199</v>
      </c>
      <c r="N147" s="146" t="s">
        <v>1085</v>
      </c>
    </row>
    <row r="148" spans="1:14">
      <c r="A148" s="144" t="s">
        <v>1075</v>
      </c>
      <c r="B148" s="144" t="s">
        <v>1599</v>
      </c>
      <c r="C148" s="144" t="s">
        <v>1599</v>
      </c>
      <c r="D148" s="144" t="s">
        <v>1599</v>
      </c>
      <c r="E148" s="144" t="s">
        <v>1600</v>
      </c>
      <c r="F148" s="144" t="s">
        <v>1105</v>
      </c>
      <c r="G148" s="144" t="s">
        <v>1133</v>
      </c>
      <c r="H148" s="144" t="s">
        <v>1134</v>
      </c>
      <c r="I148" s="144" t="s">
        <v>1135</v>
      </c>
      <c r="J148" s="144" t="s">
        <v>1136</v>
      </c>
      <c r="K148" s="144" t="s">
        <v>1184</v>
      </c>
      <c r="L148" s="144" t="s">
        <v>28</v>
      </c>
      <c r="M148" s="145">
        <v>46045</v>
      </c>
      <c r="N148" s="144" t="s">
        <v>1085</v>
      </c>
    </row>
    <row r="149" spans="1:14">
      <c r="A149" s="146" t="s">
        <v>1075</v>
      </c>
      <c r="B149" s="146" t="s">
        <v>1601</v>
      </c>
      <c r="C149" s="146" t="s">
        <v>1077</v>
      </c>
      <c r="D149" s="146" t="s">
        <v>1601</v>
      </c>
      <c r="E149" s="146" t="s">
        <v>1602</v>
      </c>
      <c r="F149" s="146" t="s">
        <v>1105</v>
      </c>
      <c r="G149" s="146" t="s">
        <v>1080</v>
      </c>
      <c r="H149" s="146" t="s">
        <v>1205</v>
      </c>
      <c r="I149" s="146" t="s">
        <v>1206</v>
      </c>
      <c r="J149" s="146" t="s">
        <v>1207</v>
      </c>
      <c r="K149" s="146" t="s">
        <v>1208</v>
      </c>
      <c r="L149" s="146" t="s">
        <v>28</v>
      </c>
      <c r="M149" s="147">
        <v>45200</v>
      </c>
      <c r="N149" s="146" t="s">
        <v>1085</v>
      </c>
    </row>
    <row r="150" spans="1:14">
      <c r="A150" s="144" t="s">
        <v>1075</v>
      </c>
      <c r="B150" s="144" t="s">
        <v>1603</v>
      </c>
      <c r="C150" s="144" t="s">
        <v>1077</v>
      </c>
      <c r="D150" s="144" t="s">
        <v>1604</v>
      </c>
      <c r="E150" s="144" t="s">
        <v>1605</v>
      </c>
      <c r="F150" s="144"/>
      <c r="G150" s="144" t="s">
        <v>1080</v>
      </c>
      <c r="H150" s="144" t="s">
        <v>1081</v>
      </c>
      <c r="I150" s="144" t="s">
        <v>1082</v>
      </c>
      <c r="J150" s="144" t="s">
        <v>1083</v>
      </c>
      <c r="K150" s="144" t="s">
        <v>1084</v>
      </c>
      <c r="L150" s="144" t="s">
        <v>28</v>
      </c>
      <c r="M150" s="145">
        <v>45199</v>
      </c>
      <c r="N150" s="144" t="s">
        <v>1085</v>
      </c>
    </row>
    <row r="151" spans="1:14">
      <c r="A151" s="146" t="s">
        <v>1075</v>
      </c>
      <c r="B151" s="146" t="s">
        <v>1606</v>
      </c>
      <c r="C151" s="146" t="s">
        <v>1606</v>
      </c>
      <c r="D151" s="146" t="s">
        <v>1606</v>
      </c>
      <c r="E151" s="146" t="s">
        <v>1607</v>
      </c>
      <c r="F151" s="146" t="s">
        <v>1117</v>
      </c>
      <c r="G151" s="146" t="s">
        <v>1080</v>
      </c>
      <c r="H151" s="146" t="s">
        <v>1134</v>
      </c>
      <c r="I151" s="146" t="s">
        <v>1135</v>
      </c>
      <c r="J151" s="146" t="s">
        <v>1136</v>
      </c>
      <c r="K151" s="146" t="s">
        <v>1145</v>
      </c>
      <c r="L151" s="146" t="s">
        <v>28</v>
      </c>
      <c r="M151" s="147">
        <v>45721</v>
      </c>
      <c r="N151" s="146" t="s">
        <v>1085</v>
      </c>
    </row>
    <row r="152" spans="1:14">
      <c r="A152" s="144" t="s">
        <v>1075</v>
      </c>
      <c r="B152" s="144" t="s">
        <v>1608</v>
      </c>
      <c r="C152" s="144" t="s">
        <v>1608</v>
      </c>
      <c r="D152" s="144" t="s">
        <v>1608</v>
      </c>
      <c r="E152" s="144" t="s">
        <v>1609</v>
      </c>
      <c r="F152" s="144" t="s">
        <v>1105</v>
      </c>
      <c r="G152" s="144" t="s">
        <v>1133</v>
      </c>
      <c r="H152" s="144" t="s">
        <v>1118</v>
      </c>
      <c r="I152" s="144" t="s">
        <v>1119</v>
      </c>
      <c r="J152" s="144" t="s">
        <v>1610</v>
      </c>
      <c r="K152" s="144" t="s">
        <v>1611</v>
      </c>
      <c r="L152" s="144" t="s">
        <v>28</v>
      </c>
      <c r="M152" s="145">
        <v>46066</v>
      </c>
      <c r="N152" s="144" t="s">
        <v>1085</v>
      </c>
    </row>
    <row r="153" spans="1:14">
      <c r="A153" s="146" t="s">
        <v>1075</v>
      </c>
      <c r="B153" s="146" t="s">
        <v>1612</v>
      </c>
      <c r="C153" s="146" t="s">
        <v>1077</v>
      </c>
      <c r="D153" s="146" t="s">
        <v>1613</v>
      </c>
      <c r="E153" s="146" t="s">
        <v>1614</v>
      </c>
      <c r="F153" s="146" t="s">
        <v>1105</v>
      </c>
      <c r="G153" s="146" t="s">
        <v>1080</v>
      </c>
      <c r="H153" s="146" t="s">
        <v>1081</v>
      </c>
      <c r="I153" s="146" t="s">
        <v>1082</v>
      </c>
      <c r="J153" s="146" t="s">
        <v>1082</v>
      </c>
      <c r="K153" s="146" t="s">
        <v>1615</v>
      </c>
      <c r="L153" s="146" t="s">
        <v>28</v>
      </c>
      <c r="M153" s="147">
        <v>45199</v>
      </c>
      <c r="N153" s="146" t="s">
        <v>1085</v>
      </c>
    </row>
    <row r="154" spans="1:14">
      <c r="A154" s="144" t="s">
        <v>1075</v>
      </c>
      <c r="B154" s="144" t="s">
        <v>1616</v>
      </c>
      <c r="C154" s="144" t="s">
        <v>1077</v>
      </c>
      <c r="D154" s="144" t="s">
        <v>1616</v>
      </c>
      <c r="E154" s="144" t="s">
        <v>1617</v>
      </c>
      <c r="F154" s="144" t="s">
        <v>1105</v>
      </c>
      <c r="G154" s="144" t="s">
        <v>1080</v>
      </c>
      <c r="H154" s="144" t="s">
        <v>1118</v>
      </c>
      <c r="I154" s="144" t="s">
        <v>1119</v>
      </c>
      <c r="J154" s="144" t="s">
        <v>1447</v>
      </c>
      <c r="K154" s="144" t="s">
        <v>1618</v>
      </c>
      <c r="L154" s="144" t="s">
        <v>28</v>
      </c>
      <c r="M154" s="145">
        <v>45199</v>
      </c>
      <c r="N154" s="144" t="s">
        <v>1085</v>
      </c>
    </row>
    <row r="155" spans="1:14">
      <c r="A155" s="146" t="s">
        <v>1075</v>
      </c>
      <c r="B155" s="146" t="s">
        <v>1619</v>
      </c>
      <c r="C155" s="146" t="s">
        <v>1077</v>
      </c>
      <c r="D155" s="146" t="s">
        <v>1322</v>
      </c>
      <c r="E155" s="146" t="s">
        <v>1620</v>
      </c>
      <c r="F155" s="146" t="s">
        <v>1105</v>
      </c>
      <c r="G155" s="146" t="s">
        <v>1080</v>
      </c>
      <c r="H155" s="146" t="s">
        <v>1091</v>
      </c>
      <c r="I155" s="146" t="s">
        <v>1092</v>
      </c>
      <c r="J155" s="146" t="s">
        <v>1349</v>
      </c>
      <c r="K155" s="146" t="s">
        <v>1349</v>
      </c>
      <c r="L155" s="146" t="s">
        <v>28</v>
      </c>
      <c r="M155" s="147">
        <v>45579</v>
      </c>
      <c r="N155" s="146" t="s">
        <v>1085</v>
      </c>
    </row>
    <row r="156" spans="1:14">
      <c r="A156" s="144" t="s">
        <v>1075</v>
      </c>
      <c r="B156" s="144" t="s">
        <v>1621</v>
      </c>
      <c r="C156" s="144" t="s">
        <v>1077</v>
      </c>
      <c r="D156" s="144" t="s">
        <v>1621</v>
      </c>
      <c r="E156" s="144" t="s">
        <v>1622</v>
      </c>
      <c r="F156" s="144" t="s">
        <v>1090</v>
      </c>
      <c r="G156" s="144" t="s">
        <v>1080</v>
      </c>
      <c r="H156" s="144" t="s">
        <v>1150</v>
      </c>
      <c r="I156" s="144" t="s">
        <v>1082</v>
      </c>
      <c r="J156" s="144" t="s">
        <v>1466</v>
      </c>
      <c r="K156" s="144" t="s">
        <v>1466</v>
      </c>
      <c r="L156" s="144" t="s">
        <v>28</v>
      </c>
      <c r="M156" s="145">
        <v>45565</v>
      </c>
      <c r="N156" s="144" t="s">
        <v>1085</v>
      </c>
    </row>
    <row r="157" spans="1:14">
      <c r="A157" s="146" t="s">
        <v>1075</v>
      </c>
      <c r="B157" s="146" t="s">
        <v>1623</v>
      </c>
      <c r="C157" s="146" t="s">
        <v>1623</v>
      </c>
      <c r="D157" s="146" t="s">
        <v>1623</v>
      </c>
      <c r="E157" s="146" t="s">
        <v>1624</v>
      </c>
      <c r="F157" s="146" t="s">
        <v>1090</v>
      </c>
      <c r="G157" s="146" t="s">
        <v>1080</v>
      </c>
      <c r="H157" s="146" t="s">
        <v>1150</v>
      </c>
      <c r="I157" s="146" t="s">
        <v>1082</v>
      </c>
      <c r="J157" s="146" t="s">
        <v>1466</v>
      </c>
      <c r="K157" s="146" t="s">
        <v>1466</v>
      </c>
      <c r="L157" s="146" t="s">
        <v>28</v>
      </c>
      <c r="M157" s="147">
        <v>45595</v>
      </c>
      <c r="N157" s="146" t="s">
        <v>1085</v>
      </c>
    </row>
    <row r="158" spans="1:14">
      <c r="A158" s="144" t="s">
        <v>1075</v>
      </c>
      <c r="B158" s="144" t="s">
        <v>1625</v>
      </c>
      <c r="C158" s="144" t="s">
        <v>1626</v>
      </c>
      <c r="D158" s="144" t="s">
        <v>1626</v>
      </c>
      <c r="E158" s="144" t="s">
        <v>1627</v>
      </c>
      <c r="F158" s="144" t="s">
        <v>1090</v>
      </c>
      <c r="G158" s="144" t="s">
        <v>1080</v>
      </c>
      <c r="H158" s="144" t="s">
        <v>1150</v>
      </c>
      <c r="I158" s="144" t="s">
        <v>1082</v>
      </c>
      <c r="J158" s="144" t="s">
        <v>1466</v>
      </c>
      <c r="K158" s="144" t="s">
        <v>1466</v>
      </c>
      <c r="L158" s="144" t="s">
        <v>28</v>
      </c>
      <c r="M158" s="145">
        <v>45565</v>
      </c>
      <c r="N158" s="144" t="s">
        <v>1085</v>
      </c>
    </row>
    <row r="159" spans="1:14">
      <c r="A159" s="146" t="s">
        <v>1075</v>
      </c>
      <c r="B159" s="146" t="s">
        <v>1628</v>
      </c>
      <c r="C159" s="146" t="s">
        <v>1077</v>
      </c>
      <c r="D159" s="146" t="s">
        <v>1629</v>
      </c>
      <c r="E159" s="146" t="s">
        <v>1630</v>
      </c>
      <c r="F159" s="146" t="s">
        <v>1105</v>
      </c>
      <c r="G159" s="146" t="s">
        <v>1080</v>
      </c>
      <c r="H159" s="146" t="s">
        <v>1081</v>
      </c>
      <c r="I159" s="146" t="s">
        <v>1082</v>
      </c>
      <c r="J159" s="146" t="s">
        <v>1360</v>
      </c>
      <c r="K159" s="146" t="s">
        <v>1084</v>
      </c>
      <c r="L159" s="146" t="s">
        <v>28</v>
      </c>
      <c r="M159" s="147">
        <v>45199</v>
      </c>
      <c r="N159" s="146" t="s">
        <v>1085</v>
      </c>
    </row>
    <row r="160" spans="1:14">
      <c r="A160" s="144" t="s">
        <v>1075</v>
      </c>
      <c r="B160" s="144" t="s">
        <v>1631</v>
      </c>
      <c r="C160" s="144" t="s">
        <v>1077</v>
      </c>
      <c r="D160" s="144" t="s">
        <v>1631</v>
      </c>
      <c r="E160" s="144" t="s">
        <v>1632</v>
      </c>
      <c r="F160" s="144" t="s">
        <v>1189</v>
      </c>
      <c r="G160" s="144" t="s">
        <v>1080</v>
      </c>
      <c r="H160" s="144" t="s">
        <v>1118</v>
      </c>
      <c r="I160" s="144" t="s">
        <v>1119</v>
      </c>
      <c r="J160" s="144" t="s">
        <v>1447</v>
      </c>
      <c r="K160" s="144" t="s">
        <v>1448</v>
      </c>
      <c r="L160" s="144" t="s">
        <v>28</v>
      </c>
      <c r="M160" s="145">
        <v>45199</v>
      </c>
      <c r="N160" s="144" t="s">
        <v>1085</v>
      </c>
    </row>
    <row r="161" spans="1:14">
      <c r="A161" s="146" t="s">
        <v>1075</v>
      </c>
      <c r="B161" s="146" t="s">
        <v>1633</v>
      </c>
      <c r="C161" s="146" t="s">
        <v>1633</v>
      </c>
      <c r="D161" s="146" t="s">
        <v>1633</v>
      </c>
      <c r="E161" s="146" t="s">
        <v>1634</v>
      </c>
      <c r="F161" s="146" t="s">
        <v>1105</v>
      </c>
      <c r="G161" s="146" t="s">
        <v>1133</v>
      </c>
      <c r="H161" s="146" t="s">
        <v>1194</v>
      </c>
      <c r="I161" s="146" t="s">
        <v>1195</v>
      </c>
      <c r="J161" s="146" t="s">
        <v>1635</v>
      </c>
      <c r="K161" s="146" t="s">
        <v>1197</v>
      </c>
      <c r="L161" s="146" t="s">
        <v>28</v>
      </c>
      <c r="M161" s="147">
        <v>45646</v>
      </c>
      <c r="N161" s="146" t="s">
        <v>1085</v>
      </c>
    </row>
    <row r="162" spans="1:14">
      <c r="A162" s="144" t="s">
        <v>1075</v>
      </c>
      <c r="B162" s="144" t="s">
        <v>1636</v>
      </c>
      <c r="C162" s="144" t="s">
        <v>1636</v>
      </c>
      <c r="D162" s="144" t="s">
        <v>1636</v>
      </c>
      <c r="E162" s="144" t="s">
        <v>1637</v>
      </c>
      <c r="F162" s="144" t="s">
        <v>1105</v>
      </c>
      <c r="G162" s="144" t="s">
        <v>1080</v>
      </c>
      <c r="H162" s="144" t="s">
        <v>1134</v>
      </c>
      <c r="I162" s="144" t="s">
        <v>1638</v>
      </c>
      <c r="J162" s="144" t="s">
        <v>1257</v>
      </c>
      <c r="K162" s="144" t="s">
        <v>1638</v>
      </c>
      <c r="L162" s="144" t="s">
        <v>28</v>
      </c>
      <c r="M162" s="145">
        <v>45200</v>
      </c>
      <c r="N162" s="144" t="s">
        <v>1085</v>
      </c>
    </row>
    <row r="163" spans="1:14">
      <c r="A163" s="146" t="s">
        <v>1075</v>
      </c>
      <c r="B163" s="146" t="s">
        <v>1639</v>
      </c>
      <c r="C163" s="146" t="s">
        <v>1077</v>
      </c>
      <c r="D163" s="146" t="s">
        <v>1639</v>
      </c>
      <c r="E163" s="146" t="s">
        <v>1640</v>
      </c>
      <c r="F163" s="146"/>
      <c r="G163" s="146"/>
      <c r="H163" s="146"/>
      <c r="I163" s="146"/>
      <c r="J163" s="146"/>
      <c r="K163" s="146" t="s">
        <v>1410</v>
      </c>
      <c r="L163" s="146" t="s">
        <v>28</v>
      </c>
      <c r="M163" s="147">
        <v>46052</v>
      </c>
      <c r="N163" s="146" t="s">
        <v>1085</v>
      </c>
    </row>
    <row r="164" spans="1:14">
      <c r="A164" s="144" t="s">
        <v>1075</v>
      </c>
      <c r="B164" s="144" t="s">
        <v>1641</v>
      </c>
      <c r="C164" s="144" t="s">
        <v>1077</v>
      </c>
      <c r="D164" s="144" t="s">
        <v>1641</v>
      </c>
      <c r="E164" s="144" t="s">
        <v>1642</v>
      </c>
      <c r="F164" s="144" t="s">
        <v>1105</v>
      </c>
      <c r="G164" s="144" t="s">
        <v>1168</v>
      </c>
      <c r="H164" s="144" t="s">
        <v>1194</v>
      </c>
      <c r="I164" s="144" t="s">
        <v>1195</v>
      </c>
      <c r="J164" s="144" t="s">
        <v>1376</v>
      </c>
      <c r="K164" s="144" t="s">
        <v>1197</v>
      </c>
      <c r="L164" s="144" t="s">
        <v>28</v>
      </c>
      <c r="M164" s="145">
        <v>45200</v>
      </c>
      <c r="N164" s="144" t="s">
        <v>1085</v>
      </c>
    </row>
    <row r="165" spans="1:14">
      <c r="A165" s="146" t="s">
        <v>1075</v>
      </c>
      <c r="B165" s="146" t="s">
        <v>1643</v>
      </c>
      <c r="C165" s="146" t="s">
        <v>1077</v>
      </c>
      <c r="D165" s="146" t="s">
        <v>1643</v>
      </c>
      <c r="E165" s="146" t="s">
        <v>1644</v>
      </c>
      <c r="F165" s="146" t="s">
        <v>1117</v>
      </c>
      <c r="G165" s="146" t="s">
        <v>1133</v>
      </c>
      <c r="H165" s="146" t="s">
        <v>1288</v>
      </c>
      <c r="I165" s="146" t="s">
        <v>1290</v>
      </c>
      <c r="J165" s="146" t="s">
        <v>1290</v>
      </c>
      <c r="K165" s="146" t="s">
        <v>1291</v>
      </c>
      <c r="L165" s="146" t="s">
        <v>28</v>
      </c>
      <c r="M165" s="147">
        <v>45404</v>
      </c>
      <c r="N165" s="146" t="s">
        <v>1085</v>
      </c>
    </row>
    <row r="166" spans="1:14">
      <c r="A166" s="144" t="s">
        <v>1146</v>
      </c>
      <c r="B166" s="144" t="s">
        <v>1645</v>
      </c>
      <c r="C166" s="144" t="s">
        <v>1098</v>
      </c>
      <c r="D166" s="144" t="s">
        <v>1645</v>
      </c>
      <c r="E166" s="144" t="s">
        <v>1646</v>
      </c>
      <c r="F166" s="144" t="s">
        <v>1105</v>
      </c>
      <c r="G166" s="144" t="s">
        <v>1133</v>
      </c>
      <c r="H166" s="144" t="s">
        <v>1134</v>
      </c>
      <c r="I166" s="144" t="s">
        <v>1135</v>
      </c>
      <c r="J166" s="144" t="s">
        <v>1136</v>
      </c>
      <c r="K166" s="144" t="s">
        <v>1534</v>
      </c>
      <c r="L166" s="144" t="s">
        <v>805</v>
      </c>
      <c r="M166" s="144"/>
      <c r="N166" s="144" t="s">
        <v>1123</v>
      </c>
    </row>
    <row r="167" spans="1:14">
      <c r="A167" s="146" t="s">
        <v>1146</v>
      </c>
      <c r="B167" s="146" t="s">
        <v>1647</v>
      </c>
      <c r="C167" s="146" t="s">
        <v>1098</v>
      </c>
      <c r="D167" s="146" t="s">
        <v>1647</v>
      </c>
      <c r="E167" s="146" t="s">
        <v>1648</v>
      </c>
      <c r="F167" s="146" t="s">
        <v>1105</v>
      </c>
      <c r="G167" s="146" t="s">
        <v>1133</v>
      </c>
      <c r="H167" s="146" t="s">
        <v>1194</v>
      </c>
      <c r="I167" s="146" t="s">
        <v>1195</v>
      </c>
      <c r="J167" s="146" t="s">
        <v>1649</v>
      </c>
      <c r="K167" s="146" t="s">
        <v>1197</v>
      </c>
      <c r="L167" s="146" t="s">
        <v>805</v>
      </c>
      <c r="M167" s="146"/>
      <c r="N167" s="146" t="s">
        <v>1098</v>
      </c>
    </row>
    <row r="168" spans="1:14">
      <c r="A168" s="144" t="s">
        <v>1146</v>
      </c>
      <c r="B168" s="144" t="s">
        <v>1650</v>
      </c>
      <c r="C168" s="144" t="s">
        <v>1098</v>
      </c>
      <c r="D168" s="144" t="s">
        <v>1650</v>
      </c>
      <c r="E168" s="144" t="s">
        <v>1651</v>
      </c>
      <c r="F168" s="144" t="s">
        <v>1105</v>
      </c>
      <c r="G168" s="144" t="s">
        <v>1080</v>
      </c>
      <c r="H168" s="144" t="s">
        <v>1194</v>
      </c>
      <c r="I168" s="144" t="s">
        <v>1195</v>
      </c>
      <c r="J168" s="144" t="s">
        <v>1352</v>
      </c>
      <c r="K168" s="144" t="s">
        <v>1379</v>
      </c>
      <c r="L168" s="144" t="s">
        <v>805</v>
      </c>
      <c r="M168" s="144"/>
      <c r="N168" s="144" t="s">
        <v>1098</v>
      </c>
    </row>
    <row r="169" spans="1:14">
      <c r="A169" s="146" t="s">
        <v>1153</v>
      </c>
      <c r="B169" s="146" t="s">
        <v>1652</v>
      </c>
      <c r="C169" s="146" t="s">
        <v>1098</v>
      </c>
      <c r="D169" s="146" t="s">
        <v>1425</v>
      </c>
      <c r="E169" s="146" t="s">
        <v>1653</v>
      </c>
      <c r="F169" s="146" t="s">
        <v>1105</v>
      </c>
      <c r="G169" s="146" t="s">
        <v>1133</v>
      </c>
      <c r="H169" s="146" t="s">
        <v>1106</v>
      </c>
      <c r="I169" s="146" t="s">
        <v>1107</v>
      </c>
      <c r="J169" s="146" t="s">
        <v>1654</v>
      </c>
      <c r="K169" s="146" t="s">
        <v>1109</v>
      </c>
      <c r="L169" s="146" t="s">
        <v>805</v>
      </c>
      <c r="M169" s="146"/>
      <c r="N169" s="146" t="s">
        <v>1102</v>
      </c>
    </row>
    <row r="170" spans="1:14">
      <c r="A170" s="144" t="s">
        <v>1146</v>
      </c>
      <c r="B170" s="144" t="s">
        <v>1655</v>
      </c>
      <c r="C170" s="144" t="s">
        <v>1098</v>
      </c>
      <c r="D170" s="144" t="s">
        <v>1655</v>
      </c>
      <c r="E170" s="144" t="s">
        <v>1656</v>
      </c>
      <c r="F170" s="144" t="s">
        <v>1117</v>
      </c>
      <c r="G170" s="144" t="s">
        <v>1080</v>
      </c>
      <c r="H170" s="144" t="s">
        <v>1205</v>
      </c>
      <c r="I170" s="144" t="s">
        <v>1206</v>
      </c>
      <c r="J170" s="144" t="s">
        <v>1657</v>
      </c>
      <c r="K170" s="144" t="s">
        <v>1658</v>
      </c>
      <c r="L170" s="144" t="s">
        <v>805</v>
      </c>
      <c r="M170" s="144"/>
      <c r="N170" s="144" t="s">
        <v>1114</v>
      </c>
    </row>
    <row r="171" spans="1:14">
      <c r="A171" s="146" t="s">
        <v>1153</v>
      </c>
      <c r="B171" s="146" t="s">
        <v>1659</v>
      </c>
      <c r="C171" s="146" t="s">
        <v>1098</v>
      </c>
      <c r="D171" s="146" t="s">
        <v>1425</v>
      </c>
      <c r="E171" s="146" t="s">
        <v>1660</v>
      </c>
      <c r="F171" s="146" t="s">
        <v>1105</v>
      </c>
      <c r="G171" s="146" t="s">
        <v>1133</v>
      </c>
      <c r="H171" s="146" t="s">
        <v>1661</v>
      </c>
      <c r="I171" s="146" t="s">
        <v>1662</v>
      </c>
      <c r="J171" s="146" t="s">
        <v>1662</v>
      </c>
      <c r="K171" s="146" t="s">
        <v>1662</v>
      </c>
      <c r="L171" s="146" t="s">
        <v>805</v>
      </c>
      <c r="M171" s="146"/>
      <c r="N171" s="146" t="s">
        <v>1102</v>
      </c>
    </row>
    <row r="172" spans="1:14">
      <c r="A172" s="144" t="s">
        <v>1153</v>
      </c>
      <c r="B172" s="144" t="s">
        <v>1663</v>
      </c>
      <c r="C172" s="144" t="s">
        <v>1098</v>
      </c>
      <c r="D172" s="144" t="s">
        <v>1425</v>
      </c>
      <c r="E172" s="144" t="s">
        <v>1664</v>
      </c>
      <c r="F172" s="144" t="s">
        <v>1105</v>
      </c>
      <c r="G172" s="144" t="s">
        <v>1133</v>
      </c>
      <c r="H172" s="144" t="s">
        <v>1665</v>
      </c>
      <c r="I172" s="144" t="s">
        <v>1666</v>
      </c>
      <c r="J172" s="144" t="s">
        <v>1667</v>
      </c>
      <c r="K172" s="144" t="s">
        <v>1668</v>
      </c>
      <c r="L172" s="144" t="s">
        <v>805</v>
      </c>
      <c r="M172" s="144"/>
      <c r="N172" s="144" t="s">
        <v>1102</v>
      </c>
    </row>
    <row r="173" spans="1:14">
      <c r="A173" s="146" t="s">
        <v>1146</v>
      </c>
      <c r="B173" s="146" t="s">
        <v>1669</v>
      </c>
      <c r="C173" s="146" t="s">
        <v>1098</v>
      </c>
      <c r="D173" s="146" t="s">
        <v>1669</v>
      </c>
      <c r="E173" s="146" t="s">
        <v>1670</v>
      </c>
      <c r="F173" s="146" t="s">
        <v>1105</v>
      </c>
      <c r="G173" s="146" t="s">
        <v>1080</v>
      </c>
      <c r="H173" s="146" t="s">
        <v>1134</v>
      </c>
      <c r="I173" s="146" t="s">
        <v>1136</v>
      </c>
      <c r="J173" s="146" t="s">
        <v>1244</v>
      </c>
      <c r="K173" s="146" t="s">
        <v>1307</v>
      </c>
      <c r="L173" s="146" t="s">
        <v>805</v>
      </c>
      <c r="M173" s="146"/>
      <c r="N173" s="146" t="s">
        <v>1123</v>
      </c>
    </row>
    <row r="174" spans="1:14">
      <c r="A174" s="144" t="s">
        <v>1153</v>
      </c>
      <c r="B174" s="144" t="s">
        <v>1671</v>
      </c>
      <c r="C174" s="144" t="s">
        <v>1098</v>
      </c>
      <c r="D174" s="144" t="s">
        <v>1425</v>
      </c>
      <c r="E174" s="144" t="s">
        <v>1672</v>
      </c>
      <c r="F174" s="144" t="s">
        <v>1105</v>
      </c>
      <c r="G174" s="144" t="s">
        <v>1080</v>
      </c>
      <c r="H174" s="144" t="s">
        <v>1091</v>
      </c>
      <c r="I174" s="144" t="s">
        <v>1092</v>
      </c>
      <c r="J174" s="144" t="s">
        <v>1673</v>
      </c>
      <c r="K174" s="144" t="s">
        <v>1674</v>
      </c>
      <c r="L174" s="144" t="s">
        <v>805</v>
      </c>
      <c r="M174" s="144"/>
      <c r="N174" s="144" t="s">
        <v>1102</v>
      </c>
    </row>
    <row r="175" spans="1:14">
      <c r="A175" s="146" t="s">
        <v>1146</v>
      </c>
      <c r="B175" s="146" t="s">
        <v>1675</v>
      </c>
      <c r="C175" s="146" t="s">
        <v>1098</v>
      </c>
      <c r="D175" s="146" t="s">
        <v>1675</v>
      </c>
      <c r="E175" s="146" t="s">
        <v>1676</v>
      </c>
      <c r="F175" s="146" t="s">
        <v>1090</v>
      </c>
      <c r="G175" s="146" t="s">
        <v>1133</v>
      </c>
      <c r="H175" s="146" t="s">
        <v>1091</v>
      </c>
      <c r="I175" s="146" t="s">
        <v>1092</v>
      </c>
      <c r="J175" s="146" t="s">
        <v>1677</v>
      </c>
      <c r="K175" s="146" t="s">
        <v>1677</v>
      </c>
      <c r="L175" s="146" t="s">
        <v>805</v>
      </c>
      <c r="M175" s="146"/>
      <c r="N175" s="146" t="s">
        <v>1114</v>
      </c>
    </row>
    <row r="176" spans="1:14">
      <c r="A176" s="144" t="s">
        <v>1146</v>
      </c>
      <c r="B176" s="144" t="s">
        <v>1678</v>
      </c>
      <c r="C176" s="144" t="s">
        <v>1098</v>
      </c>
      <c r="D176" s="144" t="s">
        <v>1678</v>
      </c>
      <c r="E176" s="144" t="s">
        <v>1679</v>
      </c>
      <c r="F176" s="144" t="s">
        <v>1105</v>
      </c>
      <c r="G176" s="144" t="s">
        <v>1080</v>
      </c>
      <c r="H176" s="144" t="s">
        <v>1332</v>
      </c>
      <c r="I176" s="144" t="s">
        <v>1342</v>
      </c>
      <c r="J176" s="144" t="s">
        <v>1342</v>
      </c>
      <c r="K176" s="144" t="s">
        <v>1680</v>
      </c>
      <c r="L176" s="144" t="s">
        <v>805</v>
      </c>
      <c r="M176" s="144"/>
      <c r="N176" s="144" t="s">
        <v>1098</v>
      </c>
    </row>
    <row r="177" spans="1:14">
      <c r="A177" s="146" t="s">
        <v>1146</v>
      </c>
      <c r="B177" s="146" t="s">
        <v>1681</v>
      </c>
      <c r="C177" s="146" t="s">
        <v>1098</v>
      </c>
      <c r="D177" s="146" t="s">
        <v>1681</v>
      </c>
      <c r="E177" s="146" t="s">
        <v>1682</v>
      </c>
      <c r="F177" s="146" t="s">
        <v>1090</v>
      </c>
      <c r="G177" s="146" t="s">
        <v>1080</v>
      </c>
      <c r="H177" s="146" t="s">
        <v>1134</v>
      </c>
      <c r="I177" s="146" t="s">
        <v>1257</v>
      </c>
      <c r="J177" s="146" t="s">
        <v>1257</v>
      </c>
      <c r="K177" s="146" t="s">
        <v>1257</v>
      </c>
      <c r="L177" s="146" t="s">
        <v>805</v>
      </c>
      <c r="M177" s="146"/>
      <c r="N177" s="146" t="s">
        <v>1114</v>
      </c>
    </row>
    <row r="178" spans="1:14">
      <c r="A178" s="144" t="s">
        <v>1153</v>
      </c>
      <c r="B178" s="144" t="s">
        <v>1683</v>
      </c>
      <c r="C178" s="144" t="s">
        <v>1098</v>
      </c>
      <c r="D178" s="144" t="s">
        <v>1425</v>
      </c>
      <c r="E178" s="144" t="s">
        <v>1684</v>
      </c>
      <c r="F178" s="144" t="s">
        <v>1090</v>
      </c>
      <c r="G178" s="144" t="s">
        <v>1080</v>
      </c>
      <c r="H178" s="144" t="s">
        <v>1134</v>
      </c>
      <c r="I178" s="144" t="s">
        <v>1135</v>
      </c>
      <c r="J178" s="144" t="s">
        <v>1136</v>
      </c>
      <c r="K178" s="144" t="s">
        <v>1239</v>
      </c>
      <c r="L178" s="144" t="s">
        <v>805</v>
      </c>
      <c r="M178" s="144"/>
      <c r="N178" s="144" t="s">
        <v>1114</v>
      </c>
    </row>
    <row r="179" spans="1:14">
      <c r="A179" s="146" t="s">
        <v>1153</v>
      </c>
      <c r="B179" s="146" t="s">
        <v>1685</v>
      </c>
      <c r="C179" s="146" t="s">
        <v>1098</v>
      </c>
      <c r="D179" s="146" t="s">
        <v>1425</v>
      </c>
      <c r="E179" s="146" t="s">
        <v>1686</v>
      </c>
      <c r="F179" s="146" t="s">
        <v>1105</v>
      </c>
      <c r="G179" s="146" t="s">
        <v>1133</v>
      </c>
      <c r="H179" s="146" t="s">
        <v>1118</v>
      </c>
      <c r="I179" s="146" t="s">
        <v>1687</v>
      </c>
      <c r="J179" s="146" t="s">
        <v>1302</v>
      </c>
      <c r="K179" s="146" t="s">
        <v>1688</v>
      </c>
      <c r="L179" s="146" t="s">
        <v>805</v>
      </c>
      <c r="M179" s="146"/>
      <c r="N179" s="146" t="s">
        <v>1102</v>
      </c>
    </row>
    <row r="180" spans="1:14">
      <c r="A180" s="144" t="s">
        <v>1153</v>
      </c>
      <c r="B180" s="144" t="s">
        <v>1689</v>
      </c>
      <c r="C180" s="144" t="s">
        <v>1098</v>
      </c>
      <c r="D180" s="144" t="s">
        <v>1425</v>
      </c>
      <c r="E180" s="144" t="s">
        <v>1690</v>
      </c>
      <c r="F180" s="144" t="s">
        <v>1105</v>
      </c>
      <c r="G180" s="144" t="s">
        <v>1080</v>
      </c>
      <c r="H180" s="144" t="s">
        <v>1091</v>
      </c>
      <c r="I180" s="144" t="s">
        <v>1092</v>
      </c>
      <c r="J180" s="144" t="s">
        <v>1673</v>
      </c>
      <c r="K180" s="144" t="s">
        <v>1691</v>
      </c>
      <c r="L180" s="144" t="s">
        <v>805</v>
      </c>
      <c r="M180" s="144"/>
      <c r="N180" s="144" t="s">
        <v>1102</v>
      </c>
    </row>
    <row r="181" spans="1:14">
      <c r="A181" s="146" t="s">
        <v>1146</v>
      </c>
      <c r="B181" s="146" t="s">
        <v>1692</v>
      </c>
      <c r="C181" s="146" t="s">
        <v>1098</v>
      </c>
      <c r="D181" s="146" t="s">
        <v>1692</v>
      </c>
      <c r="E181" s="146" t="s">
        <v>1693</v>
      </c>
      <c r="F181" s="146" t="s">
        <v>1105</v>
      </c>
      <c r="G181" s="146" t="s">
        <v>1080</v>
      </c>
      <c r="H181" s="146" t="s">
        <v>1134</v>
      </c>
      <c r="I181" s="146" t="s">
        <v>1694</v>
      </c>
      <c r="J181" s="146" t="s">
        <v>1257</v>
      </c>
      <c r="K181" s="146" t="s">
        <v>1694</v>
      </c>
      <c r="L181" s="146" t="s">
        <v>805</v>
      </c>
      <c r="M181" s="146"/>
      <c r="N181" s="146" t="s">
        <v>1123</v>
      </c>
    </row>
    <row r="182" spans="1:14">
      <c r="A182" s="144" t="s">
        <v>1146</v>
      </c>
      <c r="B182" s="144" t="s">
        <v>1185</v>
      </c>
      <c r="C182" s="144" t="s">
        <v>1185</v>
      </c>
      <c r="D182" s="144" t="s">
        <v>1185</v>
      </c>
      <c r="E182" s="144" t="s">
        <v>1695</v>
      </c>
      <c r="F182" s="144" t="s">
        <v>1090</v>
      </c>
      <c r="G182" s="144" t="s">
        <v>1133</v>
      </c>
      <c r="H182" s="144" t="s">
        <v>1091</v>
      </c>
      <c r="I182" s="144" t="s">
        <v>1092</v>
      </c>
      <c r="J182" s="144" t="s">
        <v>1673</v>
      </c>
      <c r="K182" s="144" t="s">
        <v>1673</v>
      </c>
      <c r="L182" s="144" t="s">
        <v>805</v>
      </c>
      <c r="M182" s="144"/>
      <c r="N182" s="144" t="s">
        <v>1111</v>
      </c>
    </row>
    <row r="183" spans="1:14">
      <c r="A183" s="146" t="s">
        <v>1153</v>
      </c>
      <c r="B183" s="146" t="s">
        <v>1696</v>
      </c>
      <c r="C183" s="146" t="s">
        <v>1098</v>
      </c>
      <c r="D183" s="146" t="s">
        <v>1425</v>
      </c>
      <c r="E183" s="146" t="s">
        <v>1697</v>
      </c>
      <c r="F183" s="146" t="s">
        <v>1105</v>
      </c>
      <c r="G183" s="146" t="s">
        <v>1133</v>
      </c>
      <c r="H183" s="146" t="s">
        <v>1665</v>
      </c>
      <c r="I183" s="146" t="s">
        <v>1698</v>
      </c>
      <c r="J183" s="146" t="s">
        <v>1677</v>
      </c>
      <c r="K183" s="146" t="s">
        <v>1699</v>
      </c>
      <c r="L183" s="146" t="s">
        <v>805</v>
      </c>
      <c r="M183" s="146"/>
      <c r="N183" s="146" t="s">
        <v>1102</v>
      </c>
    </row>
    <row r="184" spans="1:14">
      <c r="A184" s="144" t="s">
        <v>1146</v>
      </c>
      <c r="B184" s="144" t="s">
        <v>1191</v>
      </c>
      <c r="C184" s="144" t="s">
        <v>1191</v>
      </c>
      <c r="D184" s="144" t="s">
        <v>1191</v>
      </c>
      <c r="E184" s="144" t="s">
        <v>1700</v>
      </c>
      <c r="F184" s="144" t="s">
        <v>1090</v>
      </c>
      <c r="G184" s="144" t="s">
        <v>1133</v>
      </c>
      <c r="H184" s="144" t="s">
        <v>1665</v>
      </c>
      <c r="I184" s="144" t="s">
        <v>1698</v>
      </c>
      <c r="J184" s="144" t="s">
        <v>1698</v>
      </c>
      <c r="K184" s="144" t="s">
        <v>1699</v>
      </c>
      <c r="L184" s="144" t="s">
        <v>805</v>
      </c>
      <c r="M184" s="144"/>
      <c r="N184" s="144" t="s">
        <v>1111</v>
      </c>
    </row>
    <row r="185" spans="1:14">
      <c r="A185" s="146" t="s">
        <v>1146</v>
      </c>
      <c r="B185" s="146" t="s">
        <v>1198</v>
      </c>
      <c r="C185" s="146" t="s">
        <v>1198</v>
      </c>
      <c r="D185" s="146" t="s">
        <v>1198</v>
      </c>
      <c r="E185" s="146" t="s">
        <v>1701</v>
      </c>
      <c r="F185" s="146" t="s">
        <v>1090</v>
      </c>
      <c r="G185" s="146" t="s">
        <v>1133</v>
      </c>
      <c r="H185" s="146" t="s">
        <v>1665</v>
      </c>
      <c r="I185" s="146" t="s">
        <v>1698</v>
      </c>
      <c r="J185" s="146" t="s">
        <v>1677</v>
      </c>
      <c r="K185" s="146" t="s">
        <v>1699</v>
      </c>
      <c r="L185" s="146" t="s">
        <v>805</v>
      </c>
      <c r="M185" s="146"/>
      <c r="N185" s="146" t="s">
        <v>1111</v>
      </c>
    </row>
    <row r="186" spans="1:14">
      <c r="A186" s="144" t="s">
        <v>1153</v>
      </c>
      <c r="B186" s="144" t="s">
        <v>1702</v>
      </c>
      <c r="C186" s="144" t="s">
        <v>1098</v>
      </c>
      <c r="D186" s="144" t="s">
        <v>1425</v>
      </c>
      <c r="E186" s="144" t="s">
        <v>1703</v>
      </c>
      <c r="F186" s="144" t="s">
        <v>1105</v>
      </c>
      <c r="G186" s="144" t="s">
        <v>1080</v>
      </c>
      <c r="H186" s="144" t="s">
        <v>1194</v>
      </c>
      <c r="I186" s="144" t="s">
        <v>1195</v>
      </c>
      <c r="J186" s="144" t="s">
        <v>1376</v>
      </c>
      <c r="K186" s="144" t="s">
        <v>1197</v>
      </c>
      <c r="L186" s="144" t="s">
        <v>805</v>
      </c>
      <c r="M186" s="144"/>
      <c r="N186" s="144" t="s">
        <v>1102</v>
      </c>
    </row>
    <row r="187" spans="1:14">
      <c r="A187" s="146" t="s">
        <v>1146</v>
      </c>
      <c r="B187" s="146" t="s">
        <v>1704</v>
      </c>
      <c r="C187" s="146" t="s">
        <v>1098</v>
      </c>
      <c r="D187" s="146" t="s">
        <v>1705</v>
      </c>
      <c r="E187" s="146" t="s">
        <v>1706</v>
      </c>
      <c r="F187" s="146" t="s">
        <v>1105</v>
      </c>
      <c r="G187" s="146" t="s">
        <v>1133</v>
      </c>
      <c r="H187" s="146" t="s">
        <v>1665</v>
      </c>
      <c r="I187" s="146" t="s">
        <v>1666</v>
      </c>
      <c r="J187" s="146" t="s">
        <v>1707</v>
      </c>
      <c r="K187" s="146" t="s">
        <v>1708</v>
      </c>
      <c r="L187" s="146" t="s">
        <v>805</v>
      </c>
      <c r="M187" s="146"/>
      <c r="N187" s="146" t="s">
        <v>1098</v>
      </c>
    </row>
    <row r="188" spans="1:14">
      <c r="A188" s="144" t="s">
        <v>1153</v>
      </c>
      <c r="B188" s="144" t="s">
        <v>1709</v>
      </c>
      <c r="C188" s="144" t="s">
        <v>1098</v>
      </c>
      <c r="D188" s="144" t="s">
        <v>1425</v>
      </c>
      <c r="E188" s="144" t="s">
        <v>1710</v>
      </c>
      <c r="F188" s="144" t="s">
        <v>1105</v>
      </c>
      <c r="G188" s="144" t="s">
        <v>1133</v>
      </c>
      <c r="H188" s="144" t="s">
        <v>1711</v>
      </c>
      <c r="I188" s="144" t="s">
        <v>1289</v>
      </c>
      <c r="J188" s="144" t="s">
        <v>1712</v>
      </c>
      <c r="K188" s="144" t="s">
        <v>1713</v>
      </c>
      <c r="L188" s="144" t="s">
        <v>805</v>
      </c>
      <c r="M188" s="144"/>
      <c r="N188" s="144" t="s">
        <v>1102</v>
      </c>
    </row>
    <row r="189" spans="1:14">
      <c r="A189" s="146" t="s">
        <v>1146</v>
      </c>
      <c r="B189" s="146" t="s">
        <v>1714</v>
      </c>
      <c r="C189" s="146" t="s">
        <v>1098</v>
      </c>
      <c r="D189" s="146" t="s">
        <v>1714</v>
      </c>
      <c r="E189" s="146" t="s">
        <v>1715</v>
      </c>
      <c r="F189" s="146" t="s">
        <v>1105</v>
      </c>
      <c r="G189" s="146" t="s">
        <v>1168</v>
      </c>
      <c r="H189" s="146" t="s">
        <v>1150</v>
      </c>
      <c r="I189" s="146" t="s">
        <v>1082</v>
      </c>
      <c r="J189" s="146" t="s">
        <v>1716</v>
      </c>
      <c r="K189" s="146" t="s">
        <v>1482</v>
      </c>
      <c r="L189" s="146" t="s">
        <v>805</v>
      </c>
      <c r="M189" s="146"/>
      <c r="N189" s="146" t="s">
        <v>1098</v>
      </c>
    </row>
    <row r="190" spans="1:14">
      <c r="A190" s="144" t="s">
        <v>1146</v>
      </c>
      <c r="B190" s="144" t="s">
        <v>1717</v>
      </c>
      <c r="C190" s="144" t="s">
        <v>1098</v>
      </c>
      <c r="D190" s="144" t="s">
        <v>1717</v>
      </c>
      <c r="E190" s="144" t="s">
        <v>1718</v>
      </c>
      <c r="F190" s="144" t="s">
        <v>1250</v>
      </c>
      <c r="G190" s="144" t="s">
        <v>1133</v>
      </c>
      <c r="H190" s="144" t="s">
        <v>1106</v>
      </c>
      <c r="I190" s="144" t="s">
        <v>1107</v>
      </c>
      <c r="J190" s="144" t="s">
        <v>1272</v>
      </c>
      <c r="K190" s="144" t="s">
        <v>1273</v>
      </c>
      <c r="L190" s="144" t="s">
        <v>805</v>
      </c>
      <c r="M190" s="144"/>
      <c r="N190" s="144" t="s">
        <v>1098</v>
      </c>
    </row>
    <row r="191" spans="1:14">
      <c r="A191" s="146" t="s">
        <v>1153</v>
      </c>
      <c r="B191" s="146" t="s">
        <v>1719</v>
      </c>
      <c r="C191" s="146" t="s">
        <v>1098</v>
      </c>
      <c r="D191" s="146" t="s">
        <v>1425</v>
      </c>
      <c r="E191" s="146" t="s">
        <v>1720</v>
      </c>
      <c r="F191" s="146" t="s">
        <v>1105</v>
      </c>
      <c r="G191" s="146" t="s">
        <v>1168</v>
      </c>
      <c r="H191" s="146" t="s">
        <v>1194</v>
      </c>
      <c r="I191" s="146" t="s">
        <v>1195</v>
      </c>
      <c r="J191" s="146" t="s">
        <v>1721</v>
      </c>
      <c r="K191" s="146" t="s">
        <v>1722</v>
      </c>
      <c r="L191" s="146" t="s">
        <v>805</v>
      </c>
      <c r="M191" s="146"/>
      <c r="N191" s="146" t="s">
        <v>1102</v>
      </c>
    </row>
    <row r="192" spans="1:14">
      <c r="A192" s="144" t="s">
        <v>1146</v>
      </c>
      <c r="B192" s="144" t="s">
        <v>1723</v>
      </c>
      <c r="C192" s="144" t="s">
        <v>1098</v>
      </c>
      <c r="D192" s="144" t="s">
        <v>1723</v>
      </c>
      <c r="E192" s="144" t="s">
        <v>1724</v>
      </c>
      <c r="F192" s="144" t="s">
        <v>1250</v>
      </c>
      <c r="G192" s="144" t="s">
        <v>1080</v>
      </c>
      <c r="H192" s="144" t="s">
        <v>1091</v>
      </c>
      <c r="I192" s="144" t="s">
        <v>1092</v>
      </c>
      <c r="J192" s="144" t="s">
        <v>1725</v>
      </c>
      <c r="K192" s="144" t="s">
        <v>1725</v>
      </c>
      <c r="L192" s="144" t="s">
        <v>805</v>
      </c>
      <c r="M192" s="144"/>
      <c r="N192" s="144" t="s">
        <v>1098</v>
      </c>
    </row>
    <row r="193" spans="1:14">
      <c r="A193" s="146" t="s">
        <v>1146</v>
      </c>
      <c r="B193" s="146" t="s">
        <v>1726</v>
      </c>
      <c r="C193" s="146" t="s">
        <v>1098</v>
      </c>
      <c r="D193" s="146" t="s">
        <v>1726</v>
      </c>
      <c r="E193" s="146" t="s">
        <v>1727</v>
      </c>
      <c r="F193" s="146" t="s">
        <v>1105</v>
      </c>
      <c r="G193" s="146" t="s">
        <v>1080</v>
      </c>
      <c r="H193" s="146" t="s">
        <v>1341</v>
      </c>
      <c r="I193" s="146" t="s">
        <v>1342</v>
      </c>
      <c r="J193" s="146" t="s">
        <v>1728</v>
      </c>
      <c r="K193" s="146" t="s">
        <v>1343</v>
      </c>
      <c r="L193" s="146" t="s">
        <v>805</v>
      </c>
      <c r="M193" s="146"/>
      <c r="N193" s="146" t="s">
        <v>1098</v>
      </c>
    </row>
    <row r="194" spans="1:14">
      <c r="A194" s="144" t="s">
        <v>1153</v>
      </c>
      <c r="B194" s="144" t="s">
        <v>1729</v>
      </c>
      <c r="C194" s="144" t="s">
        <v>1098</v>
      </c>
      <c r="D194" s="144" t="s">
        <v>1425</v>
      </c>
      <c r="E194" s="144" t="s">
        <v>1730</v>
      </c>
      <c r="F194" s="144" t="s">
        <v>1105</v>
      </c>
      <c r="G194" s="144" t="s">
        <v>1133</v>
      </c>
      <c r="H194" s="144" t="s">
        <v>1194</v>
      </c>
      <c r="I194" s="144" t="s">
        <v>1195</v>
      </c>
      <c r="J194" s="144" t="s">
        <v>1196</v>
      </c>
      <c r="K194" s="144" t="s">
        <v>1367</v>
      </c>
      <c r="L194" s="144" t="s">
        <v>805</v>
      </c>
      <c r="M194" s="144"/>
      <c r="N194" s="144" t="s">
        <v>1102</v>
      </c>
    </row>
    <row r="195" spans="1:14">
      <c r="A195" s="146" t="s">
        <v>1146</v>
      </c>
      <c r="B195" s="146" t="s">
        <v>1202</v>
      </c>
      <c r="C195" s="146" t="s">
        <v>1202</v>
      </c>
      <c r="D195" s="146" t="s">
        <v>1202</v>
      </c>
      <c r="E195" s="146" t="s">
        <v>1731</v>
      </c>
      <c r="F195" s="146" t="s">
        <v>1090</v>
      </c>
      <c r="G195" s="146" t="s">
        <v>1133</v>
      </c>
      <c r="H195" s="146" t="s">
        <v>1118</v>
      </c>
      <c r="I195" s="146" t="s">
        <v>1119</v>
      </c>
      <c r="J195" s="146" t="s">
        <v>1732</v>
      </c>
      <c r="K195" s="146" t="s">
        <v>1733</v>
      </c>
      <c r="L195" s="146" t="s">
        <v>805</v>
      </c>
      <c r="M195" s="146"/>
      <c r="N195" s="146" t="s">
        <v>1111</v>
      </c>
    </row>
    <row r="196" spans="1:14">
      <c r="A196" s="144" t="s">
        <v>1153</v>
      </c>
      <c r="B196" s="144" t="s">
        <v>1734</v>
      </c>
      <c r="C196" s="144" t="s">
        <v>1098</v>
      </c>
      <c r="D196" s="144" t="s">
        <v>1425</v>
      </c>
      <c r="E196" s="144" t="s">
        <v>1735</v>
      </c>
      <c r="F196" s="144" t="s">
        <v>1090</v>
      </c>
      <c r="G196" s="144" t="s">
        <v>1080</v>
      </c>
      <c r="H196" s="144" t="s">
        <v>1205</v>
      </c>
      <c r="I196" s="144" t="s">
        <v>1206</v>
      </c>
      <c r="J196" s="144" t="s">
        <v>1207</v>
      </c>
      <c r="K196" s="144" t="s">
        <v>1208</v>
      </c>
      <c r="L196" s="144" t="s">
        <v>805</v>
      </c>
      <c r="M196" s="144"/>
      <c r="N196" s="144" t="s">
        <v>1114</v>
      </c>
    </row>
    <row r="197" spans="1:14">
      <c r="A197" s="146" t="s">
        <v>1146</v>
      </c>
      <c r="B197" s="146" t="s">
        <v>1736</v>
      </c>
      <c r="C197" s="146" t="s">
        <v>1098</v>
      </c>
      <c r="D197" s="146" t="s">
        <v>1736</v>
      </c>
      <c r="E197" s="146" t="s">
        <v>1737</v>
      </c>
      <c r="F197" s="146" t="s">
        <v>1105</v>
      </c>
      <c r="G197" s="146" t="s">
        <v>1133</v>
      </c>
      <c r="H197" s="146" t="s">
        <v>1106</v>
      </c>
      <c r="I197" s="146" t="s">
        <v>1107</v>
      </c>
      <c r="J197" s="146" t="s">
        <v>1738</v>
      </c>
      <c r="K197" s="146" t="s">
        <v>1273</v>
      </c>
      <c r="L197" s="146" t="s">
        <v>805</v>
      </c>
      <c r="M197" s="146"/>
      <c r="N197" s="146" t="s">
        <v>1098</v>
      </c>
    </row>
    <row r="198" spans="1:14">
      <c r="A198" s="144" t="s">
        <v>1146</v>
      </c>
      <c r="B198" s="144" t="s">
        <v>1739</v>
      </c>
      <c r="C198" s="144" t="s">
        <v>1098</v>
      </c>
      <c r="D198" s="144" t="s">
        <v>1739</v>
      </c>
      <c r="E198" s="144" t="s">
        <v>1740</v>
      </c>
      <c r="F198" s="144" t="s">
        <v>1117</v>
      </c>
      <c r="G198" s="144" t="s">
        <v>1133</v>
      </c>
      <c r="H198" s="144" t="s">
        <v>1169</v>
      </c>
      <c r="I198" s="144" t="s">
        <v>1170</v>
      </c>
      <c r="J198" s="144" t="s">
        <v>1171</v>
      </c>
      <c r="K198" s="144" t="s">
        <v>1172</v>
      </c>
      <c r="L198" s="144" t="s">
        <v>805</v>
      </c>
      <c r="M198" s="144"/>
      <c r="N198" s="144" t="s">
        <v>1114</v>
      </c>
    </row>
    <row r="199" spans="1:14">
      <c r="A199" s="146" t="s">
        <v>1146</v>
      </c>
      <c r="B199" s="146" t="s">
        <v>1741</v>
      </c>
      <c r="C199" s="146" t="s">
        <v>1098</v>
      </c>
      <c r="D199" s="146" t="s">
        <v>1741</v>
      </c>
      <c r="E199" s="146" t="s">
        <v>1742</v>
      </c>
      <c r="F199" s="146" t="s">
        <v>1105</v>
      </c>
      <c r="G199" s="146" t="s">
        <v>1133</v>
      </c>
      <c r="H199" s="146" t="s">
        <v>1106</v>
      </c>
      <c r="I199" s="146" t="s">
        <v>1107</v>
      </c>
      <c r="J199" s="146" t="s">
        <v>1743</v>
      </c>
      <c r="K199" s="146" t="s">
        <v>1109</v>
      </c>
      <c r="L199" s="146" t="s">
        <v>805</v>
      </c>
      <c r="M199" s="146"/>
      <c r="N199" s="146" t="s">
        <v>1098</v>
      </c>
    </row>
    <row r="200" spans="1:14">
      <c r="A200" s="144" t="s">
        <v>1146</v>
      </c>
      <c r="B200" s="144" t="s">
        <v>1744</v>
      </c>
      <c r="C200" s="144" t="s">
        <v>1098</v>
      </c>
      <c r="D200" s="144" t="s">
        <v>1744</v>
      </c>
      <c r="E200" s="144" t="s">
        <v>1745</v>
      </c>
      <c r="F200" s="144" t="s">
        <v>1105</v>
      </c>
      <c r="G200" s="144" t="s">
        <v>1080</v>
      </c>
      <c r="H200" s="144" t="s">
        <v>1106</v>
      </c>
      <c r="I200" s="144" t="s">
        <v>1107</v>
      </c>
      <c r="J200" s="144" t="s">
        <v>1654</v>
      </c>
      <c r="K200" s="144" t="s">
        <v>1109</v>
      </c>
      <c r="L200" s="144" t="s">
        <v>805</v>
      </c>
      <c r="M200" s="144"/>
      <c r="N200" s="144" t="s">
        <v>1098</v>
      </c>
    </row>
    <row r="201" spans="1:14">
      <c r="A201" s="146" t="s">
        <v>1146</v>
      </c>
      <c r="B201" s="146" t="s">
        <v>1746</v>
      </c>
      <c r="C201" s="146" t="s">
        <v>1098</v>
      </c>
      <c r="D201" s="146" t="s">
        <v>1746</v>
      </c>
      <c r="E201" s="146" t="s">
        <v>1747</v>
      </c>
      <c r="F201" s="146" t="s">
        <v>1105</v>
      </c>
      <c r="G201" s="146" t="s">
        <v>1133</v>
      </c>
      <c r="H201" s="146" t="s">
        <v>1169</v>
      </c>
      <c r="I201" s="146" t="s">
        <v>1170</v>
      </c>
      <c r="J201" s="146" t="s">
        <v>1748</v>
      </c>
      <c r="K201" s="146" t="s">
        <v>1172</v>
      </c>
      <c r="L201" s="146" t="s">
        <v>805</v>
      </c>
      <c r="M201" s="146"/>
      <c r="N201" s="146" t="s">
        <v>1098</v>
      </c>
    </row>
    <row r="202" spans="1:14">
      <c r="A202" s="144" t="s">
        <v>1153</v>
      </c>
      <c r="B202" s="144" t="s">
        <v>1749</v>
      </c>
      <c r="C202" s="144" t="s">
        <v>1098</v>
      </c>
      <c r="D202" s="144" t="s">
        <v>1425</v>
      </c>
      <c r="E202" s="144" t="s">
        <v>1750</v>
      </c>
      <c r="F202" s="144" t="s">
        <v>1090</v>
      </c>
      <c r="G202" s="144" t="s">
        <v>1080</v>
      </c>
      <c r="H202" s="144" t="s">
        <v>1118</v>
      </c>
      <c r="I202" s="144" t="s">
        <v>1119</v>
      </c>
      <c r="J202" s="144" t="s">
        <v>1302</v>
      </c>
      <c r="K202" s="144" t="s">
        <v>1303</v>
      </c>
      <c r="L202" s="144" t="s">
        <v>805</v>
      </c>
      <c r="M202" s="144"/>
      <c r="N202" s="144" t="s">
        <v>1114</v>
      </c>
    </row>
    <row r="203" spans="1:14">
      <c r="A203" s="146" t="s">
        <v>1153</v>
      </c>
      <c r="B203" s="146" t="s">
        <v>1751</v>
      </c>
      <c r="C203" s="146" t="s">
        <v>1098</v>
      </c>
      <c r="D203" s="146" t="s">
        <v>1425</v>
      </c>
      <c r="E203" s="146" t="s">
        <v>1752</v>
      </c>
      <c r="F203" s="146" t="s">
        <v>1105</v>
      </c>
      <c r="G203" s="146" t="s">
        <v>1080</v>
      </c>
      <c r="H203" s="146" t="s">
        <v>1134</v>
      </c>
      <c r="I203" s="146" t="s">
        <v>1753</v>
      </c>
      <c r="J203" s="146" t="s">
        <v>1754</v>
      </c>
      <c r="K203" s="146" t="s">
        <v>1755</v>
      </c>
      <c r="L203" s="146" t="s">
        <v>805</v>
      </c>
      <c r="M203" s="146"/>
      <c r="N203" s="146" t="s">
        <v>1123</v>
      </c>
    </row>
    <row r="204" spans="1:14">
      <c r="A204" s="144" t="s">
        <v>1146</v>
      </c>
      <c r="B204" s="144" t="s">
        <v>1756</v>
      </c>
      <c r="C204" s="144" t="s">
        <v>1098</v>
      </c>
      <c r="D204" s="144" t="s">
        <v>1756</v>
      </c>
      <c r="E204" s="144" t="s">
        <v>1757</v>
      </c>
      <c r="F204" s="144" t="s">
        <v>1105</v>
      </c>
      <c r="G204" s="144" t="s">
        <v>1080</v>
      </c>
      <c r="H204" s="144" t="s">
        <v>1091</v>
      </c>
      <c r="I204" s="144" t="s">
        <v>1092</v>
      </c>
      <c r="J204" s="144" t="s">
        <v>1758</v>
      </c>
      <c r="K204" s="144" t="s">
        <v>1759</v>
      </c>
      <c r="L204" s="144" t="s">
        <v>805</v>
      </c>
      <c r="M204" s="144"/>
      <c r="N204" s="144" t="s">
        <v>1098</v>
      </c>
    </row>
    <row r="205" spans="1:14">
      <c r="A205" s="146" t="s">
        <v>1146</v>
      </c>
      <c r="B205" s="146" t="s">
        <v>1760</v>
      </c>
      <c r="C205" s="146" t="s">
        <v>1098</v>
      </c>
      <c r="D205" s="146" t="s">
        <v>1760</v>
      </c>
      <c r="E205" s="146" t="s">
        <v>1761</v>
      </c>
      <c r="F205" s="146" t="s">
        <v>1117</v>
      </c>
      <c r="G205" s="146" t="s">
        <v>1168</v>
      </c>
      <c r="H205" s="146"/>
      <c r="I205" s="146"/>
      <c r="J205" s="146"/>
      <c r="K205" s="146" t="s">
        <v>1410</v>
      </c>
      <c r="L205" s="146" t="s">
        <v>805</v>
      </c>
      <c r="M205" s="146"/>
      <c r="N205" s="146" t="s">
        <v>1114</v>
      </c>
    </row>
    <row r="206" spans="1:14">
      <c r="A206" s="144" t="s">
        <v>1153</v>
      </c>
      <c r="B206" s="144" t="s">
        <v>1762</v>
      </c>
      <c r="C206" s="144" t="s">
        <v>1098</v>
      </c>
      <c r="D206" s="144" t="s">
        <v>1425</v>
      </c>
      <c r="E206" s="144" t="s">
        <v>1763</v>
      </c>
      <c r="F206" s="144" t="s">
        <v>1105</v>
      </c>
      <c r="G206" s="144" t="s">
        <v>1080</v>
      </c>
      <c r="H206" s="144" t="s">
        <v>1134</v>
      </c>
      <c r="I206" s="144" t="s">
        <v>1764</v>
      </c>
      <c r="J206" s="144" t="s">
        <v>1764</v>
      </c>
      <c r="K206" s="144" t="s">
        <v>1765</v>
      </c>
      <c r="L206" s="144" t="s">
        <v>805</v>
      </c>
      <c r="M206" s="144"/>
      <c r="N206" s="144" t="s">
        <v>1123</v>
      </c>
    </row>
    <row r="207" spans="1:14">
      <c r="A207" s="146" t="s">
        <v>1153</v>
      </c>
      <c r="B207" s="146" t="s">
        <v>1766</v>
      </c>
      <c r="C207" s="146" t="s">
        <v>1098</v>
      </c>
      <c r="D207" s="146" t="s">
        <v>1425</v>
      </c>
      <c r="E207" s="146" t="s">
        <v>1767</v>
      </c>
      <c r="F207" s="146" t="s">
        <v>1105</v>
      </c>
      <c r="G207" s="146" t="s">
        <v>1133</v>
      </c>
      <c r="H207" s="146" t="s">
        <v>1091</v>
      </c>
      <c r="I207" s="146" t="s">
        <v>1092</v>
      </c>
      <c r="J207" s="146" t="s">
        <v>1677</v>
      </c>
      <c r="K207" s="146" t="s">
        <v>1768</v>
      </c>
      <c r="L207" s="146" t="s">
        <v>805</v>
      </c>
      <c r="M207" s="146"/>
      <c r="N207" s="146" t="s">
        <v>1102</v>
      </c>
    </row>
    <row r="208" spans="1:14">
      <c r="A208" s="144" t="s">
        <v>1153</v>
      </c>
      <c r="B208" s="144" t="s">
        <v>1769</v>
      </c>
      <c r="C208" s="144" t="s">
        <v>1098</v>
      </c>
      <c r="D208" s="144" t="s">
        <v>1425</v>
      </c>
      <c r="E208" s="144" t="s">
        <v>1770</v>
      </c>
      <c r="F208" s="144" t="s">
        <v>1105</v>
      </c>
      <c r="G208" s="144" t="s">
        <v>1080</v>
      </c>
      <c r="H208" s="144" t="s">
        <v>1134</v>
      </c>
      <c r="I208" s="144" t="s">
        <v>1257</v>
      </c>
      <c r="J208" s="144" t="s">
        <v>1257</v>
      </c>
      <c r="K208" s="144" t="s">
        <v>1257</v>
      </c>
      <c r="L208" s="144" t="s">
        <v>805</v>
      </c>
      <c r="M208" s="144"/>
      <c r="N208" s="144" t="s">
        <v>1123</v>
      </c>
    </row>
    <row r="209" spans="1:14">
      <c r="A209" s="146" t="s">
        <v>1153</v>
      </c>
      <c r="B209" s="146" t="s">
        <v>1771</v>
      </c>
      <c r="C209" s="146" t="s">
        <v>1098</v>
      </c>
      <c r="D209" s="146" t="s">
        <v>1425</v>
      </c>
      <c r="E209" s="146" t="s">
        <v>1772</v>
      </c>
      <c r="F209" s="146" t="s">
        <v>1105</v>
      </c>
      <c r="G209" s="146" t="s">
        <v>1080</v>
      </c>
      <c r="H209" s="146" t="s">
        <v>1091</v>
      </c>
      <c r="I209" s="146" t="s">
        <v>1092</v>
      </c>
      <c r="J209" s="146" t="s">
        <v>1673</v>
      </c>
      <c r="K209" s="146" t="s">
        <v>1691</v>
      </c>
      <c r="L209" s="146" t="s">
        <v>805</v>
      </c>
      <c r="M209" s="146"/>
      <c r="N209" s="146" t="s">
        <v>1102</v>
      </c>
    </row>
    <row r="210" spans="1:14">
      <c r="A210" s="144" t="s">
        <v>1153</v>
      </c>
      <c r="B210" s="144" t="s">
        <v>1773</v>
      </c>
      <c r="C210" s="144" t="s">
        <v>1098</v>
      </c>
      <c r="D210" s="144" t="s">
        <v>1425</v>
      </c>
      <c r="E210" s="144" t="s">
        <v>1774</v>
      </c>
      <c r="F210" s="144" t="s">
        <v>1105</v>
      </c>
      <c r="G210" s="144" t="s">
        <v>1080</v>
      </c>
      <c r="H210" s="144" t="s">
        <v>1091</v>
      </c>
      <c r="I210" s="144" t="s">
        <v>1092</v>
      </c>
      <c r="J210" s="144" t="s">
        <v>1349</v>
      </c>
      <c r="K210" s="144" t="s">
        <v>1775</v>
      </c>
      <c r="L210" s="144" t="s">
        <v>805</v>
      </c>
      <c r="M210" s="144"/>
      <c r="N210" s="144" t="s">
        <v>1102</v>
      </c>
    </row>
    <row r="211" spans="1:14">
      <c r="A211" s="146" t="s">
        <v>1153</v>
      </c>
      <c r="B211" s="146" t="s">
        <v>1776</v>
      </c>
      <c r="C211" s="146" t="s">
        <v>1098</v>
      </c>
      <c r="D211" s="146" t="s">
        <v>1425</v>
      </c>
      <c r="E211" s="146" t="s">
        <v>1777</v>
      </c>
      <c r="F211" s="146" t="s">
        <v>1105</v>
      </c>
      <c r="G211" s="146" t="s">
        <v>1080</v>
      </c>
      <c r="H211" s="146" t="s">
        <v>1091</v>
      </c>
      <c r="I211" s="146" t="s">
        <v>1092</v>
      </c>
      <c r="J211" s="146" t="s">
        <v>1349</v>
      </c>
      <c r="K211" s="146" t="s">
        <v>1093</v>
      </c>
      <c r="L211" s="146" t="s">
        <v>805</v>
      </c>
      <c r="M211" s="146"/>
      <c r="N211" s="146" t="s">
        <v>1102</v>
      </c>
    </row>
    <row r="212" spans="1:14">
      <c r="A212" s="144" t="s">
        <v>1153</v>
      </c>
      <c r="B212" s="144" t="s">
        <v>1778</v>
      </c>
      <c r="C212" s="144" t="s">
        <v>1098</v>
      </c>
      <c r="D212" s="144" t="s">
        <v>1425</v>
      </c>
      <c r="E212" s="144" t="s">
        <v>1779</v>
      </c>
      <c r="F212" s="144" t="s">
        <v>1105</v>
      </c>
      <c r="G212" s="144" t="s">
        <v>1080</v>
      </c>
      <c r="H212" s="144" t="s">
        <v>1091</v>
      </c>
      <c r="I212" s="144" t="s">
        <v>1092</v>
      </c>
      <c r="J212" s="144" t="s">
        <v>1759</v>
      </c>
      <c r="K212" s="144" t="s">
        <v>1758</v>
      </c>
      <c r="L212" s="144" t="s">
        <v>805</v>
      </c>
      <c r="M212" s="144"/>
      <c r="N212" s="144" t="s">
        <v>1102</v>
      </c>
    </row>
    <row r="213" spans="1:14">
      <c r="A213" s="146" t="s">
        <v>1153</v>
      </c>
      <c r="B213" s="146" t="s">
        <v>1780</v>
      </c>
      <c r="C213" s="146" t="s">
        <v>1098</v>
      </c>
      <c r="D213" s="146" t="s">
        <v>1425</v>
      </c>
      <c r="E213" s="146" t="s">
        <v>1781</v>
      </c>
      <c r="F213" s="146" t="s">
        <v>1105</v>
      </c>
      <c r="G213" s="146" t="s">
        <v>1080</v>
      </c>
      <c r="H213" s="146" t="s">
        <v>1134</v>
      </c>
      <c r="I213" s="146" t="s">
        <v>1782</v>
      </c>
      <c r="J213" s="146" t="s">
        <v>1782</v>
      </c>
      <c r="K213" s="146" t="s">
        <v>1783</v>
      </c>
      <c r="L213" s="146" t="s">
        <v>805</v>
      </c>
      <c r="M213" s="146"/>
      <c r="N213" s="146" t="s">
        <v>1123</v>
      </c>
    </row>
    <row r="214" spans="1:14">
      <c r="A214" s="144" t="s">
        <v>1153</v>
      </c>
      <c r="B214" s="144" t="s">
        <v>1784</v>
      </c>
      <c r="C214" s="144" t="s">
        <v>1098</v>
      </c>
      <c r="D214" s="144" t="s">
        <v>1425</v>
      </c>
      <c r="E214" s="144" t="s">
        <v>1785</v>
      </c>
      <c r="F214" s="144" t="s">
        <v>1105</v>
      </c>
      <c r="G214" s="144" t="s">
        <v>1080</v>
      </c>
      <c r="H214" s="144" t="s">
        <v>1091</v>
      </c>
      <c r="I214" s="144" t="s">
        <v>1342</v>
      </c>
      <c r="J214" s="144" t="s">
        <v>1786</v>
      </c>
      <c r="K214" s="144" t="s">
        <v>1787</v>
      </c>
      <c r="L214" s="144" t="s">
        <v>805</v>
      </c>
      <c r="M214" s="144"/>
      <c r="N214" s="144" t="s">
        <v>1102</v>
      </c>
    </row>
    <row r="215" spans="1:14">
      <c r="A215" s="146" t="s">
        <v>1146</v>
      </c>
      <c r="B215" s="146" t="s">
        <v>1209</v>
      </c>
      <c r="C215" s="146" t="s">
        <v>1209</v>
      </c>
      <c r="D215" s="146" t="s">
        <v>1209</v>
      </c>
      <c r="E215" s="146" t="s">
        <v>1788</v>
      </c>
      <c r="F215" s="146" t="s">
        <v>1105</v>
      </c>
      <c r="G215" s="146" t="s">
        <v>1080</v>
      </c>
      <c r="H215" s="146" t="s">
        <v>1282</v>
      </c>
      <c r="I215" s="146" t="s">
        <v>1219</v>
      </c>
      <c r="J215" s="146" t="s">
        <v>1129</v>
      </c>
      <c r="K215" s="146" t="s">
        <v>1789</v>
      </c>
      <c r="L215" s="146" t="s">
        <v>805</v>
      </c>
      <c r="M215" s="146"/>
      <c r="N215" s="146" t="s">
        <v>1111</v>
      </c>
    </row>
    <row r="216" spans="1:14">
      <c r="A216" s="144" t="s">
        <v>1153</v>
      </c>
      <c r="B216" s="144" t="s">
        <v>1790</v>
      </c>
      <c r="C216" s="144" t="s">
        <v>1098</v>
      </c>
      <c r="D216" s="144" t="s">
        <v>1425</v>
      </c>
      <c r="E216" s="144" t="s">
        <v>1791</v>
      </c>
      <c r="F216" s="144" t="s">
        <v>1105</v>
      </c>
      <c r="G216" s="144" t="s">
        <v>1080</v>
      </c>
      <c r="H216" s="144" t="s">
        <v>1091</v>
      </c>
      <c r="I216" s="144" t="s">
        <v>1092</v>
      </c>
      <c r="J216" s="144" t="s">
        <v>1759</v>
      </c>
      <c r="K216" s="144" t="s">
        <v>1371</v>
      </c>
      <c r="L216" s="144" t="s">
        <v>805</v>
      </c>
      <c r="M216" s="144"/>
      <c r="N216" s="144" t="s">
        <v>1102</v>
      </c>
    </row>
    <row r="217" spans="1:14">
      <c r="A217" s="146" t="s">
        <v>1146</v>
      </c>
      <c r="B217" s="146" t="s">
        <v>1792</v>
      </c>
      <c r="C217" s="146" t="s">
        <v>1098</v>
      </c>
      <c r="D217" s="146" t="s">
        <v>1792</v>
      </c>
      <c r="E217" s="146" t="s">
        <v>1793</v>
      </c>
      <c r="F217" s="146" t="s">
        <v>1250</v>
      </c>
      <c r="G217" s="146" t="s">
        <v>1168</v>
      </c>
      <c r="H217" s="146" t="s">
        <v>1205</v>
      </c>
      <c r="I217" s="146" t="s">
        <v>1206</v>
      </c>
      <c r="J217" s="146" t="s">
        <v>1207</v>
      </c>
      <c r="K217" s="146" t="s">
        <v>1208</v>
      </c>
      <c r="L217" s="146" t="s">
        <v>805</v>
      </c>
      <c r="M217" s="146"/>
      <c r="N217" s="146" t="s">
        <v>1098</v>
      </c>
    </row>
    <row r="218" spans="1:14">
      <c r="A218" s="144" t="s">
        <v>1146</v>
      </c>
      <c r="B218" s="144" t="s">
        <v>1215</v>
      </c>
      <c r="C218" s="144" t="s">
        <v>1215</v>
      </c>
      <c r="D218" s="144" t="s">
        <v>1215</v>
      </c>
      <c r="E218" s="144" t="s">
        <v>1794</v>
      </c>
      <c r="F218" s="144" t="s">
        <v>1105</v>
      </c>
      <c r="G218" s="144" t="s">
        <v>1133</v>
      </c>
      <c r="H218" s="144" t="s">
        <v>1505</v>
      </c>
      <c r="I218" s="144" t="s">
        <v>1795</v>
      </c>
      <c r="J218" s="144" t="s">
        <v>1466</v>
      </c>
      <c r="K218" s="144" t="s">
        <v>1466</v>
      </c>
      <c r="L218" s="144" t="s">
        <v>805</v>
      </c>
      <c r="M218" s="144"/>
      <c r="N218" s="144" t="s">
        <v>1111</v>
      </c>
    </row>
    <row r="219" spans="1:14">
      <c r="A219" s="146" t="s">
        <v>1146</v>
      </c>
      <c r="B219" s="146" t="s">
        <v>1796</v>
      </c>
      <c r="C219" s="146" t="s">
        <v>1098</v>
      </c>
      <c r="D219" s="146" t="s">
        <v>1796</v>
      </c>
      <c r="E219" s="146" t="s">
        <v>1797</v>
      </c>
      <c r="F219" s="146" t="s">
        <v>1117</v>
      </c>
      <c r="G219" s="146" t="s">
        <v>1080</v>
      </c>
      <c r="H219" s="146" t="s">
        <v>1091</v>
      </c>
      <c r="I219" s="146" t="s">
        <v>1798</v>
      </c>
      <c r="J219" s="146" t="s">
        <v>1799</v>
      </c>
      <c r="K219" s="146" t="s">
        <v>1800</v>
      </c>
      <c r="L219" s="146" t="s">
        <v>805</v>
      </c>
      <c r="M219" s="146"/>
      <c r="N219" s="146" t="s">
        <v>1114</v>
      </c>
    </row>
    <row r="220" spans="1:14">
      <c r="A220" s="144" t="s">
        <v>1153</v>
      </c>
      <c r="B220" s="144" t="s">
        <v>1801</v>
      </c>
      <c r="C220" s="144" t="s">
        <v>1098</v>
      </c>
      <c r="D220" s="144" t="s">
        <v>1425</v>
      </c>
      <c r="E220" s="144" t="s">
        <v>1802</v>
      </c>
      <c r="F220" s="144" t="s">
        <v>1105</v>
      </c>
      <c r="G220" s="144" t="s">
        <v>1080</v>
      </c>
      <c r="H220" s="144" t="s">
        <v>1091</v>
      </c>
      <c r="I220" s="144" t="s">
        <v>1092</v>
      </c>
      <c r="J220" s="144" t="s">
        <v>1803</v>
      </c>
      <c r="K220" s="144" t="s">
        <v>1803</v>
      </c>
      <c r="L220" s="144" t="s">
        <v>805</v>
      </c>
      <c r="M220" s="144"/>
      <c r="N220" s="144" t="s">
        <v>1102</v>
      </c>
    </row>
    <row r="221" spans="1:14">
      <c r="A221" s="146" t="s">
        <v>1153</v>
      </c>
      <c r="B221" s="146" t="s">
        <v>1804</v>
      </c>
      <c r="C221" s="146" t="s">
        <v>1098</v>
      </c>
      <c r="D221" s="146" t="s">
        <v>1425</v>
      </c>
      <c r="E221" s="146" t="s">
        <v>1805</v>
      </c>
      <c r="F221" s="146" t="s">
        <v>1105</v>
      </c>
      <c r="G221" s="146" t="s">
        <v>1168</v>
      </c>
      <c r="H221" s="146" t="s">
        <v>1169</v>
      </c>
      <c r="I221" s="146" t="s">
        <v>1190</v>
      </c>
      <c r="J221" s="146" t="s">
        <v>1806</v>
      </c>
      <c r="K221" s="146" t="s">
        <v>1172</v>
      </c>
      <c r="L221" s="146" t="s">
        <v>805</v>
      </c>
      <c r="M221" s="146"/>
      <c r="N221" s="146" t="s">
        <v>1102</v>
      </c>
    </row>
    <row r="222" spans="1:14">
      <c r="A222" s="144" t="s">
        <v>1153</v>
      </c>
      <c r="B222" s="144" t="s">
        <v>1807</v>
      </c>
      <c r="C222" s="144" t="s">
        <v>1098</v>
      </c>
      <c r="D222" s="144" t="s">
        <v>1425</v>
      </c>
      <c r="E222" s="144" t="s">
        <v>1808</v>
      </c>
      <c r="F222" s="144" t="s">
        <v>1105</v>
      </c>
      <c r="G222" s="144" t="s">
        <v>1133</v>
      </c>
      <c r="H222" s="144" t="s">
        <v>1218</v>
      </c>
      <c r="I222" s="144" t="s">
        <v>1219</v>
      </c>
      <c r="J222" s="144" t="s">
        <v>1809</v>
      </c>
      <c r="K222" s="144" t="s">
        <v>1221</v>
      </c>
      <c r="L222" s="144" t="s">
        <v>805</v>
      </c>
      <c r="M222" s="144"/>
      <c r="N222" s="144" t="s">
        <v>1102</v>
      </c>
    </row>
    <row r="223" spans="1:14">
      <c r="A223" s="146" t="s">
        <v>1146</v>
      </c>
      <c r="B223" s="146" t="s">
        <v>1810</v>
      </c>
      <c r="C223" s="146" t="s">
        <v>1098</v>
      </c>
      <c r="D223" s="146" t="s">
        <v>1810</v>
      </c>
      <c r="E223" s="146" t="s">
        <v>1811</v>
      </c>
      <c r="F223" s="146" t="s">
        <v>1105</v>
      </c>
      <c r="G223" s="146" t="s">
        <v>1133</v>
      </c>
      <c r="H223" s="146" t="s">
        <v>1194</v>
      </c>
      <c r="I223" s="146" t="s">
        <v>1195</v>
      </c>
      <c r="J223" s="146" t="s">
        <v>1352</v>
      </c>
      <c r="K223" s="146" t="s">
        <v>1338</v>
      </c>
      <c r="L223" s="146" t="s">
        <v>805</v>
      </c>
      <c r="M223" s="146"/>
      <c r="N223" s="146" t="s">
        <v>1098</v>
      </c>
    </row>
    <row r="224" spans="1:14">
      <c r="A224" s="144" t="s">
        <v>1146</v>
      </c>
      <c r="B224" s="144" t="s">
        <v>1812</v>
      </c>
      <c r="C224" s="144" t="s">
        <v>1098</v>
      </c>
      <c r="D224" s="144" t="s">
        <v>1812</v>
      </c>
      <c r="E224" s="144" t="s">
        <v>1813</v>
      </c>
      <c r="F224" s="144" t="s">
        <v>1117</v>
      </c>
      <c r="G224" s="144" t="s">
        <v>1080</v>
      </c>
      <c r="H224" s="144" t="s">
        <v>1134</v>
      </c>
      <c r="I224" s="144" t="s">
        <v>1135</v>
      </c>
      <c r="J224" s="144" t="s">
        <v>1136</v>
      </c>
      <c r="K224" s="144" t="s">
        <v>1145</v>
      </c>
      <c r="L224" s="144" t="s">
        <v>805</v>
      </c>
      <c r="M224" s="144"/>
      <c r="N224" s="144" t="s">
        <v>1114</v>
      </c>
    </row>
    <row r="225" spans="1:14">
      <c r="A225" s="146" t="s">
        <v>1146</v>
      </c>
      <c r="B225" s="146" t="s">
        <v>1814</v>
      </c>
      <c r="C225" s="146" t="s">
        <v>1098</v>
      </c>
      <c r="D225" s="146" t="s">
        <v>1814</v>
      </c>
      <c r="E225" s="146" t="s">
        <v>1815</v>
      </c>
      <c r="F225" s="146" t="s">
        <v>1105</v>
      </c>
      <c r="G225" s="146" t="s">
        <v>1080</v>
      </c>
      <c r="H225" s="146" t="s">
        <v>1134</v>
      </c>
      <c r="I225" s="146" t="s">
        <v>1135</v>
      </c>
      <c r="J225" s="146" t="s">
        <v>1136</v>
      </c>
      <c r="K225" s="146" t="s">
        <v>1137</v>
      </c>
      <c r="L225" s="146" t="s">
        <v>805</v>
      </c>
      <c r="M225" s="146"/>
      <c r="N225" s="146" t="s">
        <v>1123</v>
      </c>
    </row>
    <row r="226" spans="1:14">
      <c r="A226" s="144" t="s">
        <v>1146</v>
      </c>
      <c r="B226" s="144" t="s">
        <v>1816</v>
      </c>
      <c r="C226" s="144" t="s">
        <v>1098</v>
      </c>
      <c r="D226" s="144" t="s">
        <v>1816</v>
      </c>
      <c r="E226" s="144" t="s">
        <v>1817</v>
      </c>
      <c r="F226" s="144" t="s">
        <v>1090</v>
      </c>
      <c r="G226" s="144" t="s">
        <v>1080</v>
      </c>
      <c r="H226" s="144" t="s">
        <v>1150</v>
      </c>
      <c r="I226" s="144" t="s">
        <v>1082</v>
      </c>
      <c r="J226" s="144" t="s">
        <v>1466</v>
      </c>
      <c r="K226" s="144" t="s">
        <v>1181</v>
      </c>
      <c r="L226" s="144" t="s">
        <v>805</v>
      </c>
      <c r="M226" s="144"/>
      <c r="N226" s="144" t="s">
        <v>1114</v>
      </c>
    </row>
    <row r="227" spans="1:14">
      <c r="A227" s="146" t="s">
        <v>1146</v>
      </c>
      <c r="B227" s="146" t="s">
        <v>1818</v>
      </c>
      <c r="C227" s="146" t="s">
        <v>1098</v>
      </c>
      <c r="D227" s="146" t="s">
        <v>1818</v>
      </c>
      <c r="E227" s="146" t="s">
        <v>1819</v>
      </c>
      <c r="F227" s="146" t="s">
        <v>1090</v>
      </c>
      <c r="G227" s="146" t="s">
        <v>1080</v>
      </c>
      <c r="H227" s="146" t="s">
        <v>1150</v>
      </c>
      <c r="I227" s="146" t="s">
        <v>1082</v>
      </c>
      <c r="J227" s="146" t="s">
        <v>1466</v>
      </c>
      <c r="K227" s="146" t="s">
        <v>1181</v>
      </c>
      <c r="L227" s="146" t="s">
        <v>805</v>
      </c>
      <c r="M227" s="146"/>
      <c r="N227" s="146" t="s">
        <v>1114</v>
      </c>
    </row>
    <row r="228" spans="1:14">
      <c r="A228" s="144" t="s">
        <v>1153</v>
      </c>
      <c r="B228" s="144" t="s">
        <v>1820</v>
      </c>
      <c r="C228" s="144" t="s">
        <v>1098</v>
      </c>
      <c r="D228" s="144" t="s">
        <v>1425</v>
      </c>
      <c r="E228" s="144" t="s">
        <v>1821</v>
      </c>
      <c r="F228" s="144" t="s">
        <v>1105</v>
      </c>
      <c r="G228" s="144" t="s">
        <v>1133</v>
      </c>
      <c r="H228" s="144" t="s">
        <v>1205</v>
      </c>
      <c r="I228" s="144" t="s">
        <v>1206</v>
      </c>
      <c r="J228" s="144" t="s">
        <v>1398</v>
      </c>
      <c r="K228" s="144" t="s">
        <v>1399</v>
      </c>
      <c r="L228" s="144" t="s">
        <v>805</v>
      </c>
      <c r="M228" s="144"/>
      <c r="N228" s="144" t="s">
        <v>1102</v>
      </c>
    </row>
    <row r="229" spans="1:14">
      <c r="A229" s="146" t="s">
        <v>1146</v>
      </c>
      <c r="B229" s="146" t="s">
        <v>1822</v>
      </c>
      <c r="C229" s="146" t="s">
        <v>1098</v>
      </c>
      <c r="D229" s="146" t="s">
        <v>1822</v>
      </c>
      <c r="E229" s="146" t="s">
        <v>1823</v>
      </c>
      <c r="F229" s="146" t="s">
        <v>1105</v>
      </c>
      <c r="G229" s="146" t="s">
        <v>1080</v>
      </c>
      <c r="H229" s="146" t="s">
        <v>1091</v>
      </c>
      <c r="I229" s="146" t="s">
        <v>1092</v>
      </c>
      <c r="J229" s="146" t="s">
        <v>1758</v>
      </c>
      <c r="K229" s="146" t="s">
        <v>1759</v>
      </c>
      <c r="L229" s="146" t="s">
        <v>805</v>
      </c>
      <c r="M229" s="146"/>
      <c r="N229" s="146" t="s">
        <v>1098</v>
      </c>
    </row>
    <row r="230" spans="1:14">
      <c r="A230" s="144" t="s">
        <v>1153</v>
      </c>
      <c r="B230" s="144" t="s">
        <v>1824</v>
      </c>
      <c r="C230" s="144" t="s">
        <v>1098</v>
      </c>
      <c r="D230" s="144" t="s">
        <v>1425</v>
      </c>
      <c r="E230" s="144" t="s">
        <v>1825</v>
      </c>
      <c r="F230" s="144" t="s">
        <v>1105</v>
      </c>
      <c r="G230" s="144" t="s">
        <v>1133</v>
      </c>
      <c r="H230" s="144" t="s">
        <v>1711</v>
      </c>
      <c r="I230" s="144" t="s">
        <v>1289</v>
      </c>
      <c r="J230" s="144" t="s">
        <v>1826</v>
      </c>
      <c r="K230" s="144" t="s">
        <v>1713</v>
      </c>
      <c r="L230" s="144" t="s">
        <v>805</v>
      </c>
      <c r="M230" s="144"/>
      <c r="N230" s="144" t="s">
        <v>1102</v>
      </c>
    </row>
    <row r="231" spans="1:14">
      <c r="A231" s="146" t="s">
        <v>1153</v>
      </c>
      <c r="B231" s="146" t="s">
        <v>1827</v>
      </c>
      <c r="C231" s="146" t="s">
        <v>1098</v>
      </c>
      <c r="D231" s="146" t="s">
        <v>1425</v>
      </c>
      <c r="E231" s="146" t="s">
        <v>1828</v>
      </c>
      <c r="F231" s="146" t="s">
        <v>1250</v>
      </c>
      <c r="G231" s="146" t="s">
        <v>1080</v>
      </c>
      <c r="H231" s="146" t="s">
        <v>1332</v>
      </c>
      <c r="I231" s="146" t="s">
        <v>1333</v>
      </c>
      <c r="J231" s="146" t="s">
        <v>1334</v>
      </c>
      <c r="K231" s="146" t="s">
        <v>1333</v>
      </c>
      <c r="L231" s="146" t="s">
        <v>805</v>
      </c>
      <c r="M231" s="146"/>
      <c r="N231" s="146" t="s">
        <v>1102</v>
      </c>
    </row>
    <row r="232" spans="1:14">
      <c r="A232" s="144" t="s">
        <v>1153</v>
      </c>
      <c r="B232" s="144" t="s">
        <v>1829</v>
      </c>
      <c r="C232" s="144" t="s">
        <v>1098</v>
      </c>
      <c r="D232" s="144" t="s">
        <v>1425</v>
      </c>
      <c r="E232" s="144" t="s">
        <v>1830</v>
      </c>
      <c r="F232" s="144" t="s">
        <v>1105</v>
      </c>
      <c r="G232" s="144" t="s">
        <v>1133</v>
      </c>
      <c r="H232" s="144" t="s">
        <v>1665</v>
      </c>
      <c r="I232" s="144" t="s">
        <v>1698</v>
      </c>
      <c r="J232" s="144" t="s">
        <v>1677</v>
      </c>
      <c r="K232" s="144" t="s">
        <v>1831</v>
      </c>
      <c r="L232" s="144" t="s">
        <v>805</v>
      </c>
      <c r="M232" s="144"/>
      <c r="N232" s="144" t="s">
        <v>1102</v>
      </c>
    </row>
    <row r="233" spans="1:14">
      <c r="A233" s="146" t="s">
        <v>1153</v>
      </c>
      <c r="B233" s="146" t="s">
        <v>1832</v>
      </c>
      <c r="C233" s="146" t="s">
        <v>1098</v>
      </c>
      <c r="D233" s="146" t="s">
        <v>1425</v>
      </c>
      <c r="E233" s="146" t="s">
        <v>1833</v>
      </c>
      <c r="F233" s="146" t="s">
        <v>1090</v>
      </c>
      <c r="G233" s="146" t="s">
        <v>1133</v>
      </c>
      <c r="H233" s="146" t="s">
        <v>1665</v>
      </c>
      <c r="I233" s="146" t="s">
        <v>1698</v>
      </c>
      <c r="J233" s="146" t="s">
        <v>1677</v>
      </c>
      <c r="K233" s="146" t="s">
        <v>1699</v>
      </c>
      <c r="L233" s="146" t="s">
        <v>805</v>
      </c>
      <c r="M233" s="146"/>
      <c r="N233" s="146" t="s">
        <v>1114</v>
      </c>
    </row>
    <row r="234" spans="1:14">
      <c r="A234" s="144" t="s">
        <v>1146</v>
      </c>
      <c r="B234" s="144" t="s">
        <v>1834</v>
      </c>
      <c r="C234" s="144" t="s">
        <v>1098</v>
      </c>
      <c r="D234" s="144" t="s">
        <v>1834</v>
      </c>
      <c r="E234" s="144" t="s">
        <v>1835</v>
      </c>
      <c r="F234" s="144" t="s">
        <v>1105</v>
      </c>
      <c r="G234" s="144" t="s">
        <v>1080</v>
      </c>
      <c r="H234" s="144" t="s">
        <v>1134</v>
      </c>
      <c r="I234" s="144" t="s">
        <v>1136</v>
      </c>
      <c r="J234" s="144" t="s">
        <v>1258</v>
      </c>
      <c r="K234" s="144" t="s">
        <v>1764</v>
      </c>
      <c r="L234" s="144" t="s">
        <v>805</v>
      </c>
      <c r="M234" s="144"/>
      <c r="N234" s="144" t="s">
        <v>1123</v>
      </c>
    </row>
    <row r="235" spans="1:14">
      <c r="A235" s="146" t="s">
        <v>1153</v>
      </c>
      <c r="B235" s="146" t="s">
        <v>1836</v>
      </c>
      <c r="C235" s="146" t="s">
        <v>1098</v>
      </c>
      <c r="D235" s="146" t="s">
        <v>1425</v>
      </c>
      <c r="E235" s="146" t="s">
        <v>1805</v>
      </c>
      <c r="F235" s="146" t="s">
        <v>1105</v>
      </c>
      <c r="G235" s="146" t="s">
        <v>1133</v>
      </c>
      <c r="H235" s="146" t="s">
        <v>1665</v>
      </c>
      <c r="I235" s="146" t="s">
        <v>1837</v>
      </c>
      <c r="J235" s="146" t="s">
        <v>1668</v>
      </c>
      <c r="K235" s="146" t="s">
        <v>1838</v>
      </c>
      <c r="L235" s="146" t="s">
        <v>805</v>
      </c>
      <c r="M235" s="146"/>
      <c r="N235" s="146" t="s">
        <v>1102</v>
      </c>
    </row>
    <row r="236" spans="1:14">
      <c r="A236" s="144" t="s">
        <v>1146</v>
      </c>
      <c r="B236" s="144" t="s">
        <v>1839</v>
      </c>
      <c r="C236" s="144" t="s">
        <v>1098</v>
      </c>
      <c r="D236" s="144" t="s">
        <v>1839</v>
      </c>
      <c r="E236" s="144" t="s">
        <v>1840</v>
      </c>
      <c r="F236" s="144" t="s">
        <v>1105</v>
      </c>
      <c r="G236" s="144" t="s">
        <v>1133</v>
      </c>
      <c r="H236" s="144" t="s">
        <v>1134</v>
      </c>
      <c r="I236" s="144" t="s">
        <v>1782</v>
      </c>
      <c r="J236" s="144" t="s">
        <v>1782</v>
      </c>
      <c r="K236" s="144" t="s">
        <v>1841</v>
      </c>
      <c r="L236" s="144" t="s">
        <v>805</v>
      </c>
      <c r="M236" s="144"/>
      <c r="N236" s="144" t="s">
        <v>1123</v>
      </c>
    </row>
    <row r="237" spans="1:14">
      <c r="A237" s="146" t="s">
        <v>1153</v>
      </c>
      <c r="B237" s="146" t="s">
        <v>1842</v>
      </c>
      <c r="C237" s="146" t="s">
        <v>1098</v>
      </c>
      <c r="D237" s="146" t="s">
        <v>1425</v>
      </c>
      <c r="E237" s="146" t="s">
        <v>1843</v>
      </c>
      <c r="F237" s="146" t="s">
        <v>1105</v>
      </c>
      <c r="G237" s="146" t="s">
        <v>1133</v>
      </c>
      <c r="H237" s="146" t="s">
        <v>1218</v>
      </c>
      <c r="I237" s="146" t="s">
        <v>1219</v>
      </c>
      <c r="J237" s="146" t="s">
        <v>1844</v>
      </c>
      <c r="K237" s="146" t="s">
        <v>1221</v>
      </c>
      <c r="L237" s="146" t="s">
        <v>805</v>
      </c>
      <c r="M237" s="146"/>
      <c r="N237" s="146" t="s">
        <v>1102</v>
      </c>
    </row>
    <row r="238" spans="1:14">
      <c r="A238" s="144" t="s">
        <v>1153</v>
      </c>
      <c r="B238" s="144" t="s">
        <v>1845</v>
      </c>
      <c r="C238" s="144" t="s">
        <v>1098</v>
      </c>
      <c r="D238" s="144" t="s">
        <v>1425</v>
      </c>
      <c r="E238" s="144" t="s">
        <v>1846</v>
      </c>
      <c r="F238" s="144" t="s">
        <v>1105</v>
      </c>
      <c r="G238" s="144" t="s">
        <v>1133</v>
      </c>
      <c r="H238" s="144" t="s">
        <v>1847</v>
      </c>
      <c r="I238" s="144" t="s">
        <v>1848</v>
      </c>
      <c r="J238" s="144" t="s">
        <v>1849</v>
      </c>
      <c r="K238" s="144" t="s">
        <v>1849</v>
      </c>
      <c r="L238" s="144" t="s">
        <v>805</v>
      </c>
      <c r="M238" s="144"/>
      <c r="N238" s="144" t="s">
        <v>1102</v>
      </c>
    </row>
    <row r="239" spans="1:14">
      <c r="A239" s="146" t="s">
        <v>1153</v>
      </c>
      <c r="B239" s="146" t="s">
        <v>1850</v>
      </c>
      <c r="C239" s="146" t="s">
        <v>1098</v>
      </c>
      <c r="D239" s="146" t="s">
        <v>1425</v>
      </c>
      <c r="E239" s="146" t="s">
        <v>1851</v>
      </c>
      <c r="F239" s="146" t="s">
        <v>1105</v>
      </c>
      <c r="G239" s="146" t="s">
        <v>1133</v>
      </c>
      <c r="H239" s="146" t="s">
        <v>1218</v>
      </c>
      <c r="I239" s="146" t="s">
        <v>1219</v>
      </c>
      <c r="J239" s="146" t="s">
        <v>1852</v>
      </c>
      <c r="K239" s="146" t="s">
        <v>1221</v>
      </c>
      <c r="L239" s="146" t="s">
        <v>805</v>
      </c>
      <c r="M239" s="146"/>
      <c r="N239" s="146" t="s">
        <v>1102</v>
      </c>
    </row>
    <row r="240" spans="1:14">
      <c r="A240" s="144" t="s">
        <v>1153</v>
      </c>
      <c r="B240" s="144" t="s">
        <v>1853</v>
      </c>
      <c r="C240" s="144" t="s">
        <v>1098</v>
      </c>
      <c r="D240" s="144" t="s">
        <v>1425</v>
      </c>
      <c r="E240" s="144" t="s">
        <v>1854</v>
      </c>
      <c r="F240" s="144" t="s">
        <v>1090</v>
      </c>
      <c r="G240" s="144" t="s">
        <v>1133</v>
      </c>
      <c r="H240" s="144" t="s">
        <v>1134</v>
      </c>
      <c r="I240" s="144" t="s">
        <v>1135</v>
      </c>
      <c r="J240" s="144" t="s">
        <v>1136</v>
      </c>
      <c r="K240" s="144" t="s">
        <v>1184</v>
      </c>
      <c r="L240" s="144" t="s">
        <v>805</v>
      </c>
      <c r="M240" s="144"/>
      <c r="N240" s="144" t="s">
        <v>1114</v>
      </c>
    </row>
    <row r="241" spans="1:14">
      <c r="A241" s="146" t="s">
        <v>1153</v>
      </c>
      <c r="B241" s="146" t="s">
        <v>1855</v>
      </c>
      <c r="C241" s="146" t="s">
        <v>1098</v>
      </c>
      <c r="D241" s="146" t="s">
        <v>1425</v>
      </c>
      <c r="E241" s="146" t="s">
        <v>1856</v>
      </c>
      <c r="F241" s="146" t="s">
        <v>1090</v>
      </c>
      <c r="G241" s="146" t="s">
        <v>1133</v>
      </c>
      <c r="H241" s="146" t="s">
        <v>1665</v>
      </c>
      <c r="I241" s="146" t="s">
        <v>1666</v>
      </c>
      <c r="J241" s="146" t="s">
        <v>1699</v>
      </c>
      <c r="K241" s="146" t="s">
        <v>1699</v>
      </c>
      <c r="L241" s="146" t="s">
        <v>805</v>
      </c>
      <c r="M241" s="146"/>
      <c r="N241" s="146" t="s">
        <v>1114</v>
      </c>
    </row>
    <row r="242" spans="1:14">
      <c r="A242" s="144" t="s">
        <v>1153</v>
      </c>
      <c r="B242" s="144" t="s">
        <v>1857</v>
      </c>
      <c r="C242" s="144" t="s">
        <v>1098</v>
      </c>
      <c r="D242" s="144" t="s">
        <v>1425</v>
      </c>
      <c r="E242" s="144" t="s">
        <v>1858</v>
      </c>
      <c r="F242" s="144" t="s">
        <v>1105</v>
      </c>
      <c r="G242" s="144" t="s">
        <v>1133</v>
      </c>
      <c r="H242" s="144" t="s">
        <v>1661</v>
      </c>
      <c r="I242" s="144" t="s">
        <v>1662</v>
      </c>
      <c r="J242" s="144"/>
      <c r="K242" s="144"/>
      <c r="L242" s="144" t="s">
        <v>805</v>
      </c>
      <c r="M242" s="144"/>
      <c r="N242" s="144" t="s">
        <v>1102</v>
      </c>
    </row>
    <row r="243" spans="1:14">
      <c r="A243" s="146" t="s">
        <v>1146</v>
      </c>
      <c r="B243" s="146" t="s">
        <v>1859</v>
      </c>
      <c r="C243" s="146" t="s">
        <v>1098</v>
      </c>
      <c r="D243" s="146" t="s">
        <v>1860</v>
      </c>
      <c r="E243" s="146" t="s">
        <v>1861</v>
      </c>
      <c r="F243" s="146" t="s">
        <v>1105</v>
      </c>
      <c r="G243" s="146" t="s">
        <v>1080</v>
      </c>
      <c r="H243" s="146" t="s">
        <v>1091</v>
      </c>
      <c r="I243" s="146" t="s">
        <v>1092</v>
      </c>
      <c r="J243" s="146" t="s">
        <v>1349</v>
      </c>
      <c r="K243" s="146" t="s">
        <v>1349</v>
      </c>
      <c r="L243" s="146" t="s">
        <v>805</v>
      </c>
      <c r="M243" s="146"/>
      <c r="N243" s="146" t="s">
        <v>1098</v>
      </c>
    </row>
    <row r="244" spans="1:14">
      <c r="A244" s="144" t="s">
        <v>1146</v>
      </c>
      <c r="B244" s="144" t="s">
        <v>1862</v>
      </c>
      <c r="C244" s="144" t="s">
        <v>1098</v>
      </c>
      <c r="D244" s="144" t="s">
        <v>1862</v>
      </c>
      <c r="E244" s="144" t="s">
        <v>1863</v>
      </c>
      <c r="F244" s="144" t="s">
        <v>1117</v>
      </c>
      <c r="G244" s="144" t="s">
        <v>1080</v>
      </c>
      <c r="H244" s="144" t="s">
        <v>1081</v>
      </c>
      <c r="I244" s="144" t="s">
        <v>1082</v>
      </c>
      <c r="J244" s="144" t="s">
        <v>1482</v>
      </c>
      <c r="K244" s="144" t="s">
        <v>1084</v>
      </c>
      <c r="L244" s="144" t="s">
        <v>805</v>
      </c>
      <c r="M244" s="144"/>
      <c r="N244" s="144" t="s">
        <v>1114</v>
      </c>
    </row>
    <row r="245" spans="1:14">
      <c r="A245" s="146" t="s">
        <v>1153</v>
      </c>
      <c r="B245" s="146" t="s">
        <v>1864</v>
      </c>
      <c r="C245" s="146" t="s">
        <v>1098</v>
      </c>
      <c r="D245" s="146" t="s">
        <v>1425</v>
      </c>
      <c r="E245" s="146" t="s">
        <v>1865</v>
      </c>
      <c r="F245" s="146" t="s">
        <v>1105</v>
      </c>
      <c r="G245" s="146" t="s">
        <v>1133</v>
      </c>
      <c r="H245" s="146" t="s">
        <v>1282</v>
      </c>
      <c r="I245" s="146" t="s">
        <v>1219</v>
      </c>
      <c r="J245" s="146" t="s">
        <v>1434</v>
      </c>
      <c r="K245" s="146" t="s">
        <v>1284</v>
      </c>
      <c r="L245" s="146" t="s">
        <v>805</v>
      </c>
      <c r="M245" s="146"/>
      <c r="N245" s="146" t="s">
        <v>1102</v>
      </c>
    </row>
    <row r="246" spans="1:14">
      <c r="A246" s="144" t="s">
        <v>1146</v>
      </c>
      <c r="B246" s="144" t="s">
        <v>1866</v>
      </c>
      <c r="C246" s="144" t="s">
        <v>1098</v>
      </c>
      <c r="D246" s="144" t="s">
        <v>1866</v>
      </c>
      <c r="E246" s="144" t="s">
        <v>1867</v>
      </c>
      <c r="F246" s="144" t="s">
        <v>1105</v>
      </c>
      <c r="G246" s="144" t="s">
        <v>1133</v>
      </c>
      <c r="H246" s="144" t="s">
        <v>1661</v>
      </c>
      <c r="I246" s="144" t="s">
        <v>1289</v>
      </c>
      <c r="J246" s="144" t="s">
        <v>1868</v>
      </c>
      <c r="K246" s="144" t="s">
        <v>1713</v>
      </c>
      <c r="L246" s="144" t="s">
        <v>805</v>
      </c>
      <c r="M246" s="144"/>
      <c r="N246" s="144" t="s">
        <v>1098</v>
      </c>
    </row>
    <row r="247" spans="1:14">
      <c r="A247" s="146" t="s">
        <v>1153</v>
      </c>
      <c r="B247" s="146" t="s">
        <v>1869</v>
      </c>
      <c r="C247" s="146" t="s">
        <v>1098</v>
      </c>
      <c r="D247" s="146" t="s">
        <v>1425</v>
      </c>
      <c r="E247" s="146" t="s">
        <v>1870</v>
      </c>
      <c r="F247" s="146" t="s">
        <v>1105</v>
      </c>
      <c r="G247" s="146" t="s">
        <v>1080</v>
      </c>
      <c r="H247" s="146" t="s">
        <v>1091</v>
      </c>
      <c r="I247" s="146" t="s">
        <v>1092</v>
      </c>
      <c r="J247" s="146" t="s">
        <v>1871</v>
      </c>
      <c r="K247" s="146" t="s">
        <v>1872</v>
      </c>
      <c r="L247" s="146" t="s">
        <v>805</v>
      </c>
      <c r="M247" s="146"/>
      <c r="N247" s="146" t="s">
        <v>1102</v>
      </c>
    </row>
    <row r="248" spans="1:14">
      <c r="A248" s="144" t="s">
        <v>1146</v>
      </c>
      <c r="B248" s="144" t="s">
        <v>1873</v>
      </c>
      <c r="C248" s="144" t="s">
        <v>1098</v>
      </c>
      <c r="D248" s="144" t="s">
        <v>1873</v>
      </c>
      <c r="E248" s="144" t="s">
        <v>1874</v>
      </c>
      <c r="F248" s="144" t="s">
        <v>1105</v>
      </c>
      <c r="G248" s="144" t="s">
        <v>1080</v>
      </c>
      <c r="H248" s="144" t="s">
        <v>1341</v>
      </c>
      <c r="I248" s="144" t="s">
        <v>1342</v>
      </c>
      <c r="J248" s="144" t="s">
        <v>1343</v>
      </c>
      <c r="K248" s="144" t="s">
        <v>1343</v>
      </c>
      <c r="L248" s="144" t="s">
        <v>805</v>
      </c>
      <c r="M248" s="144"/>
      <c r="N248" s="144" t="s">
        <v>1098</v>
      </c>
    </row>
    <row r="249" spans="1:14">
      <c r="A249" s="146" t="s">
        <v>1153</v>
      </c>
      <c r="B249" s="146" t="s">
        <v>1875</v>
      </c>
      <c r="C249" s="146" t="s">
        <v>1098</v>
      </c>
      <c r="D249" s="146" t="s">
        <v>1425</v>
      </c>
      <c r="E249" s="146" t="s">
        <v>1876</v>
      </c>
      <c r="F249" s="146" t="s">
        <v>1090</v>
      </c>
      <c r="G249" s="146" t="s">
        <v>1080</v>
      </c>
      <c r="H249" s="146" t="s">
        <v>1091</v>
      </c>
      <c r="I249" s="146" t="s">
        <v>1092</v>
      </c>
      <c r="J249" s="146" t="s">
        <v>1673</v>
      </c>
      <c r="K249" s="146" t="s">
        <v>1877</v>
      </c>
      <c r="L249" s="146" t="s">
        <v>805</v>
      </c>
      <c r="M249" s="146"/>
      <c r="N249" s="146" t="s">
        <v>1114</v>
      </c>
    </row>
    <row r="250" spans="1:14">
      <c r="A250" s="144" t="s">
        <v>1146</v>
      </c>
      <c r="B250" s="144" t="s">
        <v>1878</v>
      </c>
      <c r="C250" s="144" t="s">
        <v>1098</v>
      </c>
      <c r="D250" s="144" t="s">
        <v>1878</v>
      </c>
      <c r="E250" s="144" t="s">
        <v>1879</v>
      </c>
      <c r="F250" s="144" t="s">
        <v>1250</v>
      </c>
      <c r="G250" s="144" t="s">
        <v>1133</v>
      </c>
      <c r="H250" s="144" t="s">
        <v>1661</v>
      </c>
      <c r="I250" s="144" t="s">
        <v>1662</v>
      </c>
      <c r="J250" s="144"/>
      <c r="K250" s="144"/>
      <c r="L250" s="144" t="s">
        <v>805</v>
      </c>
      <c r="M250" s="144"/>
      <c r="N250" s="144" t="s">
        <v>1098</v>
      </c>
    </row>
    <row r="251" spans="1:14">
      <c r="A251" s="146" t="s">
        <v>1153</v>
      </c>
      <c r="B251" s="146" t="s">
        <v>1880</v>
      </c>
      <c r="C251" s="146" t="s">
        <v>1098</v>
      </c>
      <c r="D251" s="146" t="s">
        <v>1425</v>
      </c>
      <c r="E251" s="146" t="s">
        <v>1881</v>
      </c>
      <c r="F251" s="146" t="s">
        <v>1105</v>
      </c>
      <c r="G251" s="146" t="s">
        <v>1133</v>
      </c>
      <c r="H251" s="146" t="s">
        <v>1847</v>
      </c>
      <c r="I251" s="146" t="s">
        <v>1848</v>
      </c>
      <c r="J251" s="146" t="s">
        <v>1849</v>
      </c>
      <c r="K251" s="146" t="s">
        <v>1882</v>
      </c>
      <c r="L251" s="146" t="s">
        <v>805</v>
      </c>
      <c r="M251" s="146"/>
      <c r="N251" s="146" t="s">
        <v>1102</v>
      </c>
    </row>
    <row r="252" spans="1:14">
      <c r="A252" s="144" t="s">
        <v>1146</v>
      </c>
      <c r="B252" s="144" t="s">
        <v>1222</v>
      </c>
      <c r="C252" s="144" t="s">
        <v>1222</v>
      </c>
      <c r="D252" s="144" t="s">
        <v>1222</v>
      </c>
      <c r="E252" s="144" t="s">
        <v>1883</v>
      </c>
      <c r="F252" s="144" t="s">
        <v>1117</v>
      </c>
      <c r="G252" s="144" t="s">
        <v>1080</v>
      </c>
      <c r="H252" s="144" t="s">
        <v>1332</v>
      </c>
      <c r="I252" s="144" t="s">
        <v>1333</v>
      </c>
      <c r="J252" s="144" t="s">
        <v>1334</v>
      </c>
      <c r="K252" s="144" t="s">
        <v>1333</v>
      </c>
      <c r="L252" s="144" t="s">
        <v>805</v>
      </c>
      <c r="M252" s="144"/>
      <c r="N252" s="144" t="s">
        <v>1111</v>
      </c>
    </row>
    <row r="253" spans="1:14">
      <c r="A253" s="146" t="s">
        <v>1153</v>
      </c>
      <c r="B253" s="146" t="s">
        <v>1884</v>
      </c>
      <c r="C253" s="146" t="s">
        <v>1098</v>
      </c>
      <c r="D253" s="146" t="s">
        <v>1425</v>
      </c>
      <c r="E253" s="146" t="s">
        <v>1885</v>
      </c>
      <c r="F253" s="146" t="s">
        <v>1105</v>
      </c>
      <c r="G253" s="146" t="s">
        <v>1133</v>
      </c>
      <c r="H253" s="146" t="s">
        <v>1665</v>
      </c>
      <c r="I253" s="146" t="s">
        <v>1837</v>
      </c>
      <c r="J253" s="146" t="s">
        <v>1668</v>
      </c>
      <c r="K253" s="146" t="s">
        <v>1838</v>
      </c>
      <c r="L253" s="146" t="s">
        <v>805</v>
      </c>
      <c r="M253" s="146"/>
      <c r="N253" s="146" t="s">
        <v>1102</v>
      </c>
    </row>
    <row r="254" spans="1:14">
      <c r="A254" s="144" t="s">
        <v>1146</v>
      </c>
      <c r="B254" s="144" t="s">
        <v>1886</v>
      </c>
      <c r="C254" s="144" t="s">
        <v>1098</v>
      </c>
      <c r="D254" s="144" t="s">
        <v>1886</v>
      </c>
      <c r="E254" s="144" t="s">
        <v>1887</v>
      </c>
      <c r="F254" s="144" t="s">
        <v>1105</v>
      </c>
      <c r="G254" s="144" t="s">
        <v>1080</v>
      </c>
      <c r="H254" s="144" t="s">
        <v>1091</v>
      </c>
      <c r="I254" s="144" t="s">
        <v>1092</v>
      </c>
      <c r="J254" s="144" t="s">
        <v>1803</v>
      </c>
      <c r="K254" s="144" t="s">
        <v>1803</v>
      </c>
      <c r="L254" s="144" t="s">
        <v>805</v>
      </c>
      <c r="M254" s="144"/>
      <c r="N254" s="144" t="s">
        <v>1098</v>
      </c>
    </row>
    <row r="255" spans="1:14">
      <c r="A255" s="146" t="s">
        <v>1146</v>
      </c>
      <c r="B255" s="146" t="s">
        <v>1888</v>
      </c>
      <c r="C255" s="146" t="s">
        <v>1098</v>
      </c>
      <c r="D255" s="146" t="s">
        <v>1888</v>
      </c>
      <c r="E255" s="146" t="s">
        <v>1889</v>
      </c>
      <c r="F255" s="146" t="s">
        <v>1105</v>
      </c>
      <c r="G255" s="146" t="s">
        <v>1080</v>
      </c>
      <c r="H255" s="146" t="s">
        <v>1091</v>
      </c>
      <c r="I255" s="146" t="s">
        <v>1092</v>
      </c>
      <c r="J255" s="146" t="s">
        <v>1803</v>
      </c>
      <c r="K255" s="146" t="s">
        <v>1803</v>
      </c>
      <c r="L255" s="146" t="s">
        <v>805</v>
      </c>
      <c r="M255" s="146"/>
      <c r="N255" s="146" t="s">
        <v>1098</v>
      </c>
    </row>
    <row r="256" spans="1:14">
      <c r="A256" s="144" t="s">
        <v>1146</v>
      </c>
      <c r="B256" s="144" t="s">
        <v>1226</v>
      </c>
      <c r="C256" s="144" t="s">
        <v>1226</v>
      </c>
      <c r="D256" s="144" t="s">
        <v>1226</v>
      </c>
      <c r="E256" s="144" t="s">
        <v>1890</v>
      </c>
      <c r="F256" s="144" t="s">
        <v>1105</v>
      </c>
      <c r="G256" s="144" t="s">
        <v>1080</v>
      </c>
      <c r="H256" s="144" t="s">
        <v>1091</v>
      </c>
      <c r="I256" s="144" t="s">
        <v>1092</v>
      </c>
      <c r="J256" s="144" t="s">
        <v>1349</v>
      </c>
      <c r="K256" s="144" t="s">
        <v>1349</v>
      </c>
      <c r="L256" s="144" t="s">
        <v>805</v>
      </c>
      <c r="M256" s="144"/>
      <c r="N256" s="144" t="s">
        <v>1111</v>
      </c>
    </row>
    <row r="257" spans="1:14">
      <c r="A257" s="146" t="s">
        <v>1146</v>
      </c>
      <c r="B257" s="146" t="s">
        <v>1229</v>
      </c>
      <c r="C257" s="146" t="s">
        <v>1229</v>
      </c>
      <c r="D257" s="146" t="s">
        <v>1229</v>
      </c>
      <c r="E257" s="146" t="s">
        <v>1891</v>
      </c>
      <c r="F257" s="146" t="s">
        <v>1105</v>
      </c>
      <c r="G257" s="146" t="s">
        <v>1133</v>
      </c>
      <c r="H257" s="146" t="s">
        <v>1892</v>
      </c>
      <c r="I257" s="146" t="s">
        <v>1893</v>
      </c>
      <c r="J257" s="146" t="s">
        <v>1894</v>
      </c>
      <c r="K257" s="146" t="s">
        <v>1893</v>
      </c>
      <c r="L257" s="146" t="s">
        <v>805</v>
      </c>
      <c r="M257" s="146"/>
      <c r="N257" s="146" t="s">
        <v>1111</v>
      </c>
    </row>
    <row r="258" spans="1:14">
      <c r="A258" s="144" t="s">
        <v>1146</v>
      </c>
      <c r="B258" s="144" t="s">
        <v>1895</v>
      </c>
      <c r="C258" s="144" t="s">
        <v>1098</v>
      </c>
      <c r="D258" s="144" t="s">
        <v>1895</v>
      </c>
      <c r="E258" s="144" t="s">
        <v>1896</v>
      </c>
      <c r="F258" s="144" t="s">
        <v>1105</v>
      </c>
      <c r="G258" s="144" t="s">
        <v>1080</v>
      </c>
      <c r="H258" s="144" t="s">
        <v>1194</v>
      </c>
      <c r="I258" s="144" t="s">
        <v>1195</v>
      </c>
      <c r="J258" s="144" t="s">
        <v>1366</v>
      </c>
      <c r="K258" s="144" t="s">
        <v>1367</v>
      </c>
      <c r="L258" s="144" t="s">
        <v>805</v>
      </c>
      <c r="M258" s="144"/>
      <c r="N258" s="144" t="s">
        <v>1098</v>
      </c>
    </row>
    <row r="259" spans="1:14">
      <c r="A259" s="146" t="s">
        <v>1153</v>
      </c>
      <c r="B259" s="146" t="s">
        <v>1897</v>
      </c>
      <c r="C259" s="146" t="s">
        <v>1098</v>
      </c>
      <c r="D259" s="146" t="s">
        <v>1425</v>
      </c>
      <c r="E259" s="146" t="s">
        <v>1898</v>
      </c>
      <c r="F259" s="146" t="s">
        <v>1105</v>
      </c>
      <c r="G259" s="146" t="s">
        <v>1080</v>
      </c>
      <c r="H259" s="146" t="s">
        <v>1091</v>
      </c>
      <c r="I259" s="146" t="s">
        <v>1092</v>
      </c>
      <c r="J259" s="146" t="s">
        <v>1349</v>
      </c>
      <c r="K259" s="146" t="s">
        <v>1093</v>
      </c>
      <c r="L259" s="146" t="s">
        <v>805</v>
      </c>
      <c r="M259" s="146"/>
      <c r="N259" s="146" t="s">
        <v>1102</v>
      </c>
    </row>
    <row r="260" spans="1:14">
      <c r="A260" s="144" t="s">
        <v>1153</v>
      </c>
      <c r="B260" s="144" t="s">
        <v>1899</v>
      </c>
      <c r="C260" s="144" t="s">
        <v>1098</v>
      </c>
      <c r="D260" s="144" t="s">
        <v>1425</v>
      </c>
      <c r="E260" s="144" t="s">
        <v>1885</v>
      </c>
      <c r="F260" s="144" t="s">
        <v>1105</v>
      </c>
      <c r="G260" s="144" t="s">
        <v>1080</v>
      </c>
      <c r="H260" s="144" t="s">
        <v>1091</v>
      </c>
      <c r="I260" s="144" t="s">
        <v>1092</v>
      </c>
      <c r="J260" s="144" t="s">
        <v>1673</v>
      </c>
      <c r="K260" s="144" t="s">
        <v>1674</v>
      </c>
      <c r="L260" s="144" t="s">
        <v>805</v>
      </c>
      <c r="M260" s="144"/>
      <c r="N260" s="144" t="s">
        <v>1102</v>
      </c>
    </row>
    <row r="261" spans="1:14">
      <c r="A261" s="146" t="s">
        <v>1153</v>
      </c>
      <c r="B261" s="146" t="s">
        <v>1900</v>
      </c>
      <c r="C261" s="146" t="s">
        <v>1098</v>
      </c>
      <c r="D261" s="146" t="s">
        <v>1425</v>
      </c>
      <c r="E261" s="146" t="s">
        <v>1901</v>
      </c>
      <c r="F261" s="146" t="s">
        <v>1105</v>
      </c>
      <c r="G261" s="146" t="s">
        <v>1133</v>
      </c>
      <c r="H261" s="146" t="s">
        <v>1218</v>
      </c>
      <c r="I261" s="146" t="s">
        <v>1219</v>
      </c>
      <c r="J261" s="146" t="s">
        <v>1902</v>
      </c>
      <c r="K261" s="146" t="s">
        <v>1514</v>
      </c>
      <c r="L261" s="146" t="s">
        <v>805</v>
      </c>
      <c r="M261" s="146"/>
      <c r="N261" s="146" t="s">
        <v>1102</v>
      </c>
    </row>
    <row r="262" spans="1:14">
      <c r="A262" s="144" t="s">
        <v>1153</v>
      </c>
      <c r="B262" s="144" t="s">
        <v>1903</v>
      </c>
      <c r="C262" s="144" t="s">
        <v>1098</v>
      </c>
      <c r="D262" s="144" t="s">
        <v>1425</v>
      </c>
      <c r="E262" s="144" t="s">
        <v>1904</v>
      </c>
      <c r="F262" s="144" t="s">
        <v>1105</v>
      </c>
      <c r="G262" s="144" t="s">
        <v>1080</v>
      </c>
      <c r="H262" s="144" t="s">
        <v>1091</v>
      </c>
      <c r="I262" s="144" t="s">
        <v>1092</v>
      </c>
      <c r="J262" s="144" t="s">
        <v>1803</v>
      </c>
      <c r="K262" s="144" t="s">
        <v>1674</v>
      </c>
      <c r="L262" s="144" t="s">
        <v>805</v>
      </c>
      <c r="M262" s="144"/>
      <c r="N262" s="144" t="s">
        <v>1102</v>
      </c>
    </row>
    <row r="263" spans="1:14">
      <c r="A263" s="146" t="s">
        <v>1146</v>
      </c>
      <c r="B263" s="146" t="s">
        <v>1905</v>
      </c>
      <c r="C263" s="146" t="s">
        <v>1098</v>
      </c>
      <c r="D263" s="146" t="s">
        <v>1905</v>
      </c>
      <c r="E263" s="146" t="s">
        <v>1906</v>
      </c>
      <c r="F263" s="146" t="s">
        <v>1090</v>
      </c>
      <c r="G263" s="146" t="s">
        <v>1080</v>
      </c>
      <c r="H263" s="146" t="s">
        <v>1150</v>
      </c>
      <c r="I263" s="146" t="s">
        <v>1466</v>
      </c>
      <c r="J263" s="146" t="s">
        <v>1466</v>
      </c>
      <c r="K263" s="146" t="s">
        <v>1084</v>
      </c>
      <c r="L263" s="146" t="s">
        <v>805</v>
      </c>
      <c r="M263" s="146"/>
      <c r="N263" s="146" t="s">
        <v>1114</v>
      </c>
    </row>
    <row r="264" spans="1:14">
      <c r="A264" s="144" t="s">
        <v>1153</v>
      </c>
      <c r="B264" s="144" t="s">
        <v>1907</v>
      </c>
      <c r="C264" s="144" t="s">
        <v>1098</v>
      </c>
      <c r="D264" s="144" t="s">
        <v>1425</v>
      </c>
      <c r="E264" s="144" t="s">
        <v>1908</v>
      </c>
      <c r="F264" s="144" t="s">
        <v>1105</v>
      </c>
      <c r="G264" s="144" t="s">
        <v>1080</v>
      </c>
      <c r="H264" s="144" t="s">
        <v>1665</v>
      </c>
      <c r="I264" s="144" t="s">
        <v>1666</v>
      </c>
      <c r="J264" s="144" t="s">
        <v>1909</v>
      </c>
      <c r="K264" s="144" t="s">
        <v>1909</v>
      </c>
      <c r="L264" s="144" t="s">
        <v>805</v>
      </c>
      <c r="M264" s="144"/>
      <c r="N264" s="144" t="s">
        <v>1102</v>
      </c>
    </row>
    <row r="265" spans="1:14">
      <c r="A265" s="146" t="s">
        <v>1146</v>
      </c>
      <c r="B265" s="146" t="s">
        <v>1910</v>
      </c>
      <c r="C265" s="146" t="s">
        <v>1098</v>
      </c>
      <c r="D265" s="146" t="s">
        <v>1910</v>
      </c>
      <c r="E265" s="146" t="s">
        <v>1911</v>
      </c>
      <c r="F265" s="146" t="s">
        <v>1105</v>
      </c>
      <c r="G265" s="146" t="s">
        <v>1080</v>
      </c>
      <c r="H265" s="146" t="s">
        <v>1091</v>
      </c>
      <c r="I265" s="146" t="s">
        <v>1092</v>
      </c>
      <c r="J265" s="146" t="s">
        <v>1803</v>
      </c>
      <c r="K265" s="146" t="s">
        <v>1803</v>
      </c>
      <c r="L265" s="146" t="s">
        <v>805</v>
      </c>
      <c r="M265" s="146"/>
      <c r="N265" s="146" t="s">
        <v>1098</v>
      </c>
    </row>
    <row r="266" spans="1:14">
      <c r="A266" s="144" t="s">
        <v>1146</v>
      </c>
      <c r="B266" s="144" t="s">
        <v>1236</v>
      </c>
      <c r="C266" s="144" t="s">
        <v>1236</v>
      </c>
      <c r="D266" s="144" t="s">
        <v>1236</v>
      </c>
      <c r="E266" s="144" t="s">
        <v>1912</v>
      </c>
      <c r="F266" s="144" t="s">
        <v>1189</v>
      </c>
      <c r="G266" s="144" t="s">
        <v>1080</v>
      </c>
      <c r="H266" s="144" t="s">
        <v>1118</v>
      </c>
      <c r="I266" s="144" t="s">
        <v>1119</v>
      </c>
      <c r="J266" s="144" t="s">
        <v>1687</v>
      </c>
      <c r="K266" s="144" t="s">
        <v>1448</v>
      </c>
      <c r="L266" s="144" t="s">
        <v>805</v>
      </c>
      <c r="M266" s="144"/>
      <c r="N266" s="144" t="s">
        <v>1111</v>
      </c>
    </row>
    <row r="267" spans="1:14">
      <c r="A267" s="146" t="s">
        <v>1146</v>
      </c>
      <c r="B267" s="146" t="s">
        <v>1240</v>
      </c>
      <c r="C267" s="146" t="s">
        <v>1240</v>
      </c>
      <c r="D267" s="146" t="s">
        <v>1240</v>
      </c>
      <c r="E267" s="146" t="s">
        <v>1913</v>
      </c>
      <c r="F267" s="146" t="s">
        <v>1250</v>
      </c>
      <c r="G267" s="146" t="s">
        <v>1133</v>
      </c>
      <c r="H267" s="146" t="s">
        <v>1892</v>
      </c>
      <c r="I267" s="146" t="s">
        <v>1914</v>
      </c>
      <c r="J267" s="146" t="s">
        <v>1213</v>
      </c>
      <c r="K267" s="146" t="s">
        <v>1213</v>
      </c>
      <c r="L267" s="146" t="s">
        <v>805</v>
      </c>
      <c r="M267" s="146"/>
      <c r="N267" s="146" t="s">
        <v>1111</v>
      </c>
    </row>
    <row r="268" spans="1:14">
      <c r="A268" s="144" t="s">
        <v>1146</v>
      </c>
      <c r="B268" s="144" t="s">
        <v>1915</v>
      </c>
      <c r="C268" s="144" t="s">
        <v>1098</v>
      </c>
      <c r="D268" s="144" t="s">
        <v>1915</v>
      </c>
      <c r="E268" s="144" t="s">
        <v>1916</v>
      </c>
      <c r="F268" s="144" t="s">
        <v>1250</v>
      </c>
      <c r="G268" s="144" t="s">
        <v>1080</v>
      </c>
      <c r="H268" s="144" t="s">
        <v>1091</v>
      </c>
      <c r="I268" s="144" t="s">
        <v>1092</v>
      </c>
      <c r="J268" s="144" t="s">
        <v>1673</v>
      </c>
      <c r="K268" s="144" t="s">
        <v>1673</v>
      </c>
      <c r="L268" s="144" t="s">
        <v>805</v>
      </c>
      <c r="M268" s="144"/>
      <c r="N268" s="144" t="s">
        <v>1098</v>
      </c>
    </row>
    <row r="269" spans="1:14">
      <c r="A269" s="146" t="s">
        <v>1146</v>
      </c>
      <c r="B269" s="146" t="s">
        <v>1917</v>
      </c>
      <c r="C269" s="146" t="s">
        <v>1098</v>
      </c>
      <c r="D269" s="146" t="s">
        <v>1917</v>
      </c>
      <c r="E269" s="146" t="s">
        <v>1918</v>
      </c>
      <c r="F269" s="146" t="s">
        <v>1250</v>
      </c>
      <c r="G269" s="146" t="s">
        <v>1080</v>
      </c>
      <c r="H269" s="146" t="s">
        <v>1091</v>
      </c>
      <c r="I269" s="146" t="s">
        <v>1092</v>
      </c>
      <c r="J269" s="146" t="s">
        <v>1725</v>
      </c>
      <c r="K269" s="146" t="s">
        <v>1725</v>
      </c>
      <c r="L269" s="146" t="s">
        <v>805</v>
      </c>
      <c r="M269" s="146"/>
      <c r="N269" s="146" t="s">
        <v>1098</v>
      </c>
    </row>
    <row r="270" spans="1:14">
      <c r="A270" s="144" t="s">
        <v>1146</v>
      </c>
      <c r="B270" s="144" t="s">
        <v>1919</v>
      </c>
      <c r="C270" s="144" t="s">
        <v>1098</v>
      </c>
      <c r="D270" s="144" t="s">
        <v>1919</v>
      </c>
      <c r="E270" s="144" t="s">
        <v>1920</v>
      </c>
      <c r="F270" s="144" t="s">
        <v>1105</v>
      </c>
      <c r="G270" s="144" t="s">
        <v>1080</v>
      </c>
      <c r="H270" s="144" t="s">
        <v>1091</v>
      </c>
      <c r="I270" s="144" t="s">
        <v>1092</v>
      </c>
      <c r="J270" s="144" t="s">
        <v>1349</v>
      </c>
      <c r="K270" s="144" t="s">
        <v>1349</v>
      </c>
      <c r="L270" s="144" t="s">
        <v>805</v>
      </c>
      <c r="M270" s="144"/>
      <c r="N270" s="144" t="s">
        <v>1098</v>
      </c>
    </row>
    <row r="271" spans="1:14">
      <c r="A271" s="146" t="s">
        <v>1146</v>
      </c>
      <c r="B271" s="146" t="s">
        <v>1246</v>
      </c>
      <c r="C271" s="146" t="s">
        <v>1246</v>
      </c>
      <c r="D271" s="146" t="s">
        <v>1246</v>
      </c>
      <c r="E271" s="146" t="s">
        <v>1921</v>
      </c>
      <c r="F271" s="146" t="s">
        <v>1090</v>
      </c>
      <c r="G271" s="146" t="s">
        <v>1080</v>
      </c>
      <c r="H271" s="146" t="s">
        <v>1150</v>
      </c>
      <c r="I271" s="146" t="s">
        <v>1082</v>
      </c>
      <c r="J271" s="146" t="s">
        <v>1466</v>
      </c>
      <c r="K271" s="146" t="s">
        <v>1466</v>
      </c>
      <c r="L271" s="146" t="s">
        <v>805</v>
      </c>
      <c r="M271" s="146"/>
      <c r="N271" s="146" t="s">
        <v>1111</v>
      </c>
    </row>
    <row r="272" spans="1:14">
      <c r="A272" s="144" t="s">
        <v>1146</v>
      </c>
      <c r="B272" s="144" t="s">
        <v>1253</v>
      </c>
      <c r="C272" s="144" t="s">
        <v>1253</v>
      </c>
      <c r="D272" s="144" t="s">
        <v>1253</v>
      </c>
      <c r="E272" s="144" t="s">
        <v>1922</v>
      </c>
      <c r="F272" s="144" t="s">
        <v>1090</v>
      </c>
      <c r="G272" s="144" t="s">
        <v>1080</v>
      </c>
      <c r="H272" s="144" t="s">
        <v>1150</v>
      </c>
      <c r="I272" s="144" t="s">
        <v>1082</v>
      </c>
      <c r="J272" s="144" t="s">
        <v>1466</v>
      </c>
      <c r="K272" s="144" t="s">
        <v>1466</v>
      </c>
      <c r="L272" s="144" t="s">
        <v>805</v>
      </c>
      <c r="M272" s="144"/>
      <c r="N272" s="144" t="s">
        <v>1111</v>
      </c>
    </row>
    <row r="273" spans="1:14">
      <c r="A273" s="146" t="s">
        <v>1153</v>
      </c>
      <c r="B273" s="146" t="s">
        <v>1923</v>
      </c>
      <c r="C273" s="146" t="s">
        <v>1098</v>
      </c>
      <c r="D273" s="146" t="s">
        <v>1425</v>
      </c>
      <c r="E273" s="146" t="s">
        <v>1924</v>
      </c>
      <c r="F273" s="146" t="s">
        <v>1105</v>
      </c>
      <c r="G273" s="146" t="s">
        <v>1133</v>
      </c>
      <c r="H273" s="146" t="s">
        <v>1091</v>
      </c>
      <c r="I273" s="146" t="s">
        <v>1677</v>
      </c>
      <c r="J273" s="146" t="s">
        <v>1092</v>
      </c>
      <c r="K273" s="146" t="s">
        <v>1925</v>
      </c>
      <c r="L273" s="146" t="s">
        <v>805</v>
      </c>
      <c r="M273" s="146"/>
      <c r="N273" s="146" t="s">
        <v>1102</v>
      </c>
    </row>
    <row r="274" spans="1:14">
      <c r="A274" s="144" t="s">
        <v>1153</v>
      </c>
      <c r="B274" s="144" t="s">
        <v>1926</v>
      </c>
      <c r="C274" s="144" t="s">
        <v>1098</v>
      </c>
      <c r="D274" s="144" t="s">
        <v>1425</v>
      </c>
      <c r="E274" s="144" t="s">
        <v>1927</v>
      </c>
      <c r="F274" s="144" t="s">
        <v>1090</v>
      </c>
      <c r="G274" s="144" t="s">
        <v>1080</v>
      </c>
      <c r="H274" s="144" t="s">
        <v>1150</v>
      </c>
      <c r="I274" s="144" t="s">
        <v>1082</v>
      </c>
      <c r="J274" s="144" t="s">
        <v>1466</v>
      </c>
      <c r="K274" s="144" t="s">
        <v>1466</v>
      </c>
      <c r="L274" s="144" t="s">
        <v>805</v>
      </c>
      <c r="M274" s="144"/>
      <c r="N274" s="144" t="s">
        <v>1114</v>
      </c>
    </row>
    <row r="275" spans="1:14">
      <c r="A275" s="146" t="s">
        <v>1146</v>
      </c>
      <c r="B275" s="146" t="s">
        <v>1259</v>
      </c>
      <c r="C275" s="146" t="s">
        <v>1259</v>
      </c>
      <c r="D275" s="146" t="s">
        <v>1259</v>
      </c>
      <c r="E275" s="146" t="s">
        <v>1928</v>
      </c>
      <c r="F275" s="146" t="s">
        <v>1105</v>
      </c>
      <c r="G275" s="146" t="s">
        <v>1133</v>
      </c>
      <c r="H275" s="146" t="s">
        <v>1134</v>
      </c>
      <c r="I275" s="146" t="s">
        <v>1135</v>
      </c>
      <c r="J275" s="146" t="s">
        <v>1136</v>
      </c>
      <c r="K275" s="146" t="s">
        <v>1534</v>
      </c>
      <c r="L275" s="146" t="s">
        <v>805</v>
      </c>
      <c r="M275" s="146"/>
      <c r="N275" s="146" t="s">
        <v>1111</v>
      </c>
    </row>
    <row r="276" spans="1:14">
      <c r="A276" s="144" t="s">
        <v>1146</v>
      </c>
      <c r="B276" s="144" t="s">
        <v>1929</v>
      </c>
      <c r="C276" s="144" t="s">
        <v>1098</v>
      </c>
      <c r="D276" s="144" t="s">
        <v>1929</v>
      </c>
      <c r="E276" s="144" t="s">
        <v>1930</v>
      </c>
      <c r="F276" s="144" t="s">
        <v>1105</v>
      </c>
      <c r="G276" s="144" t="s">
        <v>1133</v>
      </c>
      <c r="H276" s="144" t="s">
        <v>1134</v>
      </c>
      <c r="I276" s="144" t="s">
        <v>1135</v>
      </c>
      <c r="J276" s="144" t="s">
        <v>1136</v>
      </c>
      <c r="K276" s="144" t="s">
        <v>1135</v>
      </c>
      <c r="L276" s="144" t="s">
        <v>805</v>
      </c>
      <c r="M276" s="144"/>
      <c r="N276" s="144" t="s">
        <v>1123</v>
      </c>
    </row>
    <row r="277" spans="1:14">
      <c r="A277" s="146" t="s">
        <v>1153</v>
      </c>
      <c r="B277" s="146" t="s">
        <v>1931</v>
      </c>
      <c r="C277" s="146" t="s">
        <v>1098</v>
      </c>
      <c r="D277" s="146" t="s">
        <v>1425</v>
      </c>
      <c r="E277" s="146" t="s">
        <v>1932</v>
      </c>
      <c r="F277" s="146" t="s">
        <v>1105</v>
      </c>
      <c r="G277" s="146" t="s">
        <v>1133</v>
      </c>
      <c r="H277" s="146" t="s">
        <v>1194</v>
      </c>
      <c r="I277" s="146" t="s">
        <v>1195</v>
      </c>
      <c r="J277" s="146" t="s">
        <v>1366</v>
      </c>
      <c r="K277" s="146" t="s">
        <v>1367</v>
      </c>
      <c r="L277" s="146" t="s">
        <v>805</v>
      </c>
      <c r="M277" s="146"/>
      <c r="N277" s="146" t="s">
        <v>1102</v>
      </c>
    </row>
    <row r="278" spans="1:14">
      <c r="A278" s="144" t="s">
        <v>1146</v>
      </c>
      <c r="B278" s="144" t="s">
        <v>1933</v>
      </c>
      <c r="C278" s="144" t="s">
        <v>1098</v>
      </c>
      <c r="D278" s="144" t="s">
        <v>1933</v>
      </c>
      <c r="E278" s="144" t="s">
        <v>1934</v>
      </c>
      <c r="F278" s="144" t="s">
        <v>1105</v>
      </c>
      <c r="G278" s="144" t="s">
        <v>1168</v>
      </c>
      <c r="H278" s="144" t="s">
        <v>1194</v>
      </c>
      <c r="I278" s="144" t="s">
        <v>1195</v>
      </c>
      <c r="J278" s="144" t="s">
        <v>1352</v>
      </c>
      <c r="K278" s="144" t="s">
        <v>1197</v>
      </c>
      <c r="L278" s="144" t="s">
        <v>805</v>
      </c>
      <c r="M278" s="144"/>
      <c r="N278" s="144" t="s">
        <v>1098</v>
      </c>
    </row>
    <row r="279" spans="1:14">
      <c r="A279" s="146" t="s">
        <v>1146</v>
      </c>
      <c r="B279" s="146" t="s">
        <v>1935</v>
      </c>
      <c r="C279" s="146" t="s">
        <v>1098</v>
      </c>
      <c r="D279" s="146" t="s">
        <v>1935</v>
      </c>
      <c r="E279" s="146" t="s">
        <v>1936</v>
      </c>
      <c r="F279" s="146" t="s">
        <v>1105</v>
      </c>
      <c r="G279" s="146" t="s">
        <v>1133</v>
      </c>
      <c r="H279" s="146" t="s">
        <v>1847</v>
      </c>
      <c r="I279" s="146" t="s">
        <v>1937</v>
      </c>
      <c r="J279" s="146" t="s">
        <v>1848</v>
      </c>
      <c r="K279" s="146" t="s">
        <v>1848</v>
      </c>
      <c r="L279" s="146" t="s">
        <v>805</v>
      </c>
      <c r="M279" s="146"/>
      <c r="N279" s="146" t="s">
        <v>1098</v>
      </c>
    </row>
    <row r="280" spans="1:14">
      <c r="A280" s="144" t="s">
        <v>1146</v>
      </c>
      <c r="B280" s="144" t="s">
        <v>1412</v>
      </c>
      <c r="C280" s="144" t="s">
        <v>1098</v>
      </c>
      <c r="D280" s="144" t="s">
        <v>1412</v>
      </c>
      <c r="E280" s="144" t="s">
        <v>1938</v>
      </c>
      <c r="F280" s="144" t="s">
        <v>1090</v>
      </c>
      <c r="G280" s="144" t="s">
        <v>1133</v>
      </c>
      <c r="H280" s="144" t="s">
        <v>1194</v>
      </c>
      <c r="I280" s="144" t="s">
        <v>1195</v>
      </c>
      <c r="J280" s="144" t="s">
        <v>1196</v>
      </c>
      <c r="K280" s="144" t="s">
        <v>1197</v>
      </c>
      <c r="L280" s="144" t="s">
        <v>805</v>
      </c>
      <c r="M280" s="144"/>
      <c r="N280" s="144" t="s">
        <v>1114</v>
      </c>
    </row>
    <row r="281" spans="1:14">
      <c r="A281" s="146" t="s">
        <v>1146</v>
      </c>
      <c r="B281" s="146" t="s">
        <v>1427</v>
      </c>
      <c r="C281" s="146" t="s">
        <v>1098</v>
      </c>
      <c r="D281" s="146" t="s">
        <v>1427</v>
      </c>
      <c r="E281" s="146" t="s">
        <v>1939</v>
      </c>
      <c r="F281" s="146" t="s">
        <v>1105</v>
      </c>
      <c r="G281" s="146" t="s">
        <v>1133</v>
      </c>
      <c r="H281" s="146" t="s">
        <v>1194</v>
      </c>
      <c r="I281" s="146" t="s">
        <v>1195</v>
      </c>
      <c r="J281" s="146" t="s">
        <v>1352</v>
      </c>
      <c r="K281" s="146" t="s">
        <v>1379</v>
      </c>
      <c r="L281" s="146" t="s">
        <v>805</v>
      </c>
      <c r="M281" s="146"/>
      <c r="N281" s="146" t="s">
        <v>1098</v>
      </c>
    </row>
    <row r="282" spans="1:14">
      <c r="A282" s="144" t="s">
        <v>1146</v>
      </c>
      <c r="B282" s="144" t="s">
        <v>1940</v>
      </c>
      <c r="C282" s="144" t="s">
        <v>1098</v>
      </c>
      <c r="D282" s="144" t="s">
        <v>1940</v>
      </c>
      <c r="E282" s="144" t="s">
        <v>1941</v>
      </c>
      <c r="F282" s="144" t="s">
        <v>1105</v>
      </c>
      <c r="G282" s="144" t="s">
        <v>1133</v>
      </c>
      <c r="H282" s="144" t="s">
        <v>1847</v>
      </c>
      <c r="I282" s="144" t="s">
        <v>1942</v>
      </c>
      <c r="J282" s="144" t="s">
        <v>1848</v>
      </c>
      <c r="K282" s="144" t="s">
        <v>1943</v>
      </c>
      <c r="L282" s="144" t="s">
        <v>805</v>
      </c>
      <c r="M282" s="144"/>
      <c r="N282" s="144" t="s">
        <v>1098</v>
      </c>
    </row>
    <row r="283" spans="1:14">
      <c r="A283" s="146" t="s">
        <v>1146</v>
      </c>
      <c r="B283" s="146" t="s">
        <v>1944</v>
      </c>
      <c r="C283" s="146" t="s">
        <v>1098</v>
      </c>
      <c r="D283" s="146" t="s">
        <v>1944</v>
      </c>
      <c r="E283" s="146" t="s">
        <v>1945</v>
      </c>
      <c r="F283" s="146" t="s">
        <v>1105</v>
      </c>
      <c r="G283" s="146" t="s">
        <v>1133</v>
      </c>
      <c r="H283" s="146" t="s">
        <v>1661</v>
      </c>
      <c r="I283" s="146" t="s">
        <v>1662</v>
      </c>
      <c r="J283" s="146" t="s">
        <v>1662</v>
      </c>
      <c r="K283" s="146" t="s">
        <v>1662</v>
      </c>
      <c r="L283" s="146" t="s">
        <v>805</v>
      </c>
      <c r="M283" s="146"/>
      <c r="N283" s="146" t="s">
        <v>1098</v>
      </c>
    </row>
    <row r="284" spans="1:14">
      <c r="A284" s="144" t="s">
        <v>1146</v>
      </c>
      <c r="B284" s="144" t="s">
        <v>1263</v>
      </c>
      <c r="C284" s="144" t="s">
        <v>1263</v>
      </c>
      <c r="D284" s="144" t="s">
        <v>1263</v>
      </c>
      <c r="E284" s="144" t="s">
        <v>1946</v>
      </c>
      <c r="F284" s="144" t="s">
        <v>1105</v>
      </c>
      <c r="G284" s="144" t="s">
        <v>1133</v>
      </c>
      <c r="H284" s="144" t="s">
        <v>1194</v>
      </c>
      <c r="I284" s="144" t="s">
        <v>1195</v>
      </c>
      <c r="J284" s="144" t="s">
        <v>1366</v>
      </c>
      <c r="K284" s="144" t="s">
        <v>1367</v>
      </c>
      <c r="L284" s="144" t="s">
        <v>805</v>
      </c>
      <c r="M284" s="144"/>
      <c r="N284" s="144" t="s">
        <v>1111</v>
      </c>
    </row>
    <row r="285" spans="1:14">
      <c r="A285" s="146" t="s">
        <v>1153</v>
      </c>
      <c r="B285" s="146" t="s">
        <v>1947</v>
      </c>
      <c r="C285" s="146" t="s">
        <v>1098</v>
      </c>
      <c r="D285" s="146" t="s">
        <v>1425</v>
      </c>
      <c r="E285" s="146" t="s">
        <v>1948</v>
      </c>
      <c r="F285" s="146" t="s">
        <v>1250</v>
      </c>
      <c r="G285" s="146" t="s">
        <v>1133</v>
      </c>
      <c r="H285" s="146" t="s">
        <v>1194</v>
      </c>
      <c r="I285" s="146" t="s">
        <v>1195</v>
      </c>
      <c r="J285" s="146" t="s">
        <v>1366</v>
      </c>
      <c r="K285" s="146" t="s">
        <v>1367</v>
      </c>
      <c r="L285" s="146" t="s">
        <v>805</v>
      </c>
      <c r="M285" s="146"/>
      <c r="N285" s="146" t="s">
        <v>1102</v>
      </c>
    </row>
    <row r="286" spans="1:14">
      <c r="A286" s="144" t="s">
        <v>1146</v>
      </c>
      <c r="B286" s="144" t="s">
        <v>1266</v>
      </c>
      <c r="C286" s="144" t="s">
        <v>1266</v>
      </c>
      <c r="D286" s="144" t="s">
        <v>1266</v>
      </c>
      <c r="E286" s="144" t="s">
        <v>1949</v>
      </c>
      <c r="F286" s="144" t="s">
        <v>1090</v>
      </c>
      <c r="G286" s="144" t="s">
        <v>1133</v>
      </c>
      <c r="H286" s="144" t="s">
        <v>1232</v>
      </c>
      <c r="I286" s="144" t="s">
        <v>1233</v>
      </c>
      <c r="J286" s="144" t="s">
        <v>1550</v>
      </c>
      <c r="K286" s="144" t="s">
        <v>1950</v>
      </c>
      <c r="L286" s="144" t="s">
        <v>805</v>
      </c>
      <c r="M286" s="144"/>
      <c r="N286" s="144" t="s">
        <v>1111</v>
      </c>
    </row>
    <row r="287" spans="1:14">
      <c r="A287" s="146" t="s">
        <v>1153</v>
      </c>
      <c r="B287" s="146" t="s">
        <v>1951</v>
      </c>
      <c r="C287" s="146" t="s">
        <v>1098</v>
      </c>
      <c r="D287" s="146" t="s">
        <v>1425</v>
      </c>
      <c r="E287" s="146" t="s">
        <v>1952</v>
      </c>
      <c r="F287" s="146" t="s">
        <v>1090</v>
      </c>
      <c r="G287" s="146" t="s">
        <v>1133</v>
      </c>
      <c r="H287" s="146" t="s">
        <v>1091</v>
      </c>
      <c r="I287" s="146" t="s">
        <v>1092</v>
      </c>
      <c r="J287" s="146" t="s">
        <v>1677</v>
      </c>
      <c r="K287" s="146" t="s">
        <v>1677</v>
      </c>
      <c r="L287" s="146" t="s">
        <v>805</v>
      </c>
      <c r="M287" s="146"/>
      <c r="N287" s="146" t="s">
        <v>1114</v>
      </c>
    </row>
    <row r="288" spans="1:14">
      <c r="A288" s="144" t="s">
        <v>1153</v>
      </c>
      <c r="B288" s="144" t="s">
        <v>1953</v>
      </c>
      <c r="C288" s="144" t="s">
        <v>1098</v>
      </c>
      <c r="D288" s="144" t="s">
        <v>1425</v>
      </c>
      <c r="E288" s="144" t="s">
        <v>1954</v>
      </c>
      <c r="F288" s="144" t="s">
        <v>1105</v>
      </c>
      <c r="G288" s="144" t="s">
        <v>1080</v>
      </c>
      <c r="H288" s="144" t="s">
        <v>1091</v>
      </c>
      <c r="I288" s="144" t="s">
        <v>1092</v>
      </c>
      <c r="J288" s="144" t="s">
        <v>1349</v>
      </c>
      <c r="K288" s="144" t="s">
        <v>1093</v>
      </c>
      <c r="L288" s="144" t="s">
        <v>805</v>
      </c>
      <c r="M288" s="144"/>
      <c r="N288" s="144" t="s">
        <v>1102</v>
      </c>
    </row>
    <row r="289" spans="1:14">
      <c r="A289" s="146" t="s">
        <v>1153</v>
      </c>
      <c r="B289" s="146" t="s">
        <v>1955</v>
      </c>
      <c r="C289" s="146" t="s">
        <v>1098</v>
      </c>
      <c r="D289" s="146" t="s">
        <v>1425</v>
      </c>
      <c r="E289" s="146" t="s">
        <v>1956</v>
      </c>
      <c r="F289" s="146" t="s">
        <v>1105</v>
      </c>
      <c r="G289" s="146" t="s">
        <v>1133</v>
      </c>
      <c r="H289" s="146" t="s">
        <v>1194</v>
      </c>
      <c r="I289" s="146" t="s">
        <v>1195</v>
      </c>
      <c r="J289" s="146" t="s">
        <v>1366</v>
      </c>
      <c r="K289" s="146" t="s">
        <v>1367</v>
      </c>
      <c r="L289" s="146" t="s">
        <v>805</v>
      </c>
      <c r="M289" s="146"/>
      <c r="N289" s="146" t="s">
        <v>1102</v>
      </c>
    </row>
    <row r="290" spans="1:14">
      <c r="A290" s="144" t="s">
        <v>1146</v>
      </c>
      <c r="B290" s="144" t="s">
        <v>1269</v>
      </c>
      <c r="C290" s="144" t="s">
        <v>1269</v>
      </c>
      <c r="D290" s="144" t="s">
        <v>1269</v>
      </c>
      <c r="E290" s="144" t="s">
        <v>1957</v>
      </c>
      <c r="F290" s="144" t="s">
        <v>1105</v>
      </c>
      <c r="G290" s="144" t="s">
        <v>1080</v>
      </c>
      <c r="H290" s="144" t="s">
        <v>1106</v>
      </c>
      <c r="I290" s="144" t="s">
        <v>1107</v>
      </c>
      <c r="J290" s="144" t="s">
        <v>1272</v>
      </c>
      <c r="K290" s="144" t="s">
        <v>1109</v>
      </c>
      <c r="L290" s="144" t="s">
        <v>805</v>
      </c>
      <c r="M290" s="144"/>
      <c r="N290" s="144" t="s">
        <v>1111</v>
      </c>
    </row>
    <row r="291" spans="1:14">
      <c r="A291" s="146" t="s">
        <v>1146</v>
      </c>
      <c r="B291" s="146" t="s">
        <v>1274</v>
      </c>
      <c r="C291" s="146" t="s">
        <v>1274</v>
      </c>
      <c r="D291" s="146" t="s">
        <v>1274</v>
      </c>
      <c r="E291" s="146" t="s">
        <v>1958</v>
      </c>
      <c r="F291" s="146" t="s">
        <v>1105</v>
      </c>
      <c r="G291" s="146" t="s">
        <v>1133</v>
      </c>
      <c r="H291" s="146" t="s">
        <v>1134</v>
      </c>
      <c r="I291" s="146" t="s">
        <v>1959</v>
      </c>
      <c r="J291" s="146" t="s">
        <v>1960</v>
      </c>
      <c r="K291" s="146" t="s">
        <v>1754</v>
      </c>
      <c r="L291" s="146" t="s">
        <v>805</v>
      </c>
      <c r="M291" s="146"/>
      <c r="N291" s="146" t="s">
        <v>1111</v>
      </c>
    </row>
    <row r="292" spans="1:14">
      <c r="A292" s="144" t="s">
        <v>1146</v>
      </c>
      <c r="B292" s="144" t="s">
        <v>1961</v>
      </c>
      <c r="C292" s="144" t="s">
        <v>1098</v>
      </c>
      <c r="D292" s="144" t="s">
        <v>1961</v>
      </c>
      <c r="E292" s="144" t="s">
        <v>1962</v>
      </c>
      <c r="F292" s="144" t="s">
        <v>1105</v>
      </c>
      <c r="G292" s="144" t="s">
        <v>1080</v>
      </c>
      <c r="H292" s="144" t="s">
        <v>1505</v>
      </c>
      <c r="I292" s="144" t="s">
        <v>1506</v>
      </c>
      <c r="J292" s="144" t="s">
        <v>1963</v>
      </c>
      <c r="K292" s="144" t="s">
        <v>1964</v>
      </c>
      <c r="L292" s="144" t="s">
        <v>805</v>
      </c>
      <c r="M292" s="144"/>
      <c r="N292" s="144" t="s">
        <v>1098</v>
      </c>
    </row>
    <row r="293" spans="1:14">
      <c r="A293" s="146" t="s">
        <v>1146</v>
      </c>
      <c r="B293" s="146" t="s">
        <v>1279</v>
      </c>
      <c r="C293" s="146" t="s">
        <v>1279</v>
      </c>
      <c r="D293" s="146" t="s">
        <v>1279</v>
      </c>
      <c r="E293" s="146" t="s">
        <v>1965</v>
      </c>
      <c r="F293" s="146" t="s">
        <v>1105</v>
      </c>
      <c r="G293" s="146" t="s">
        <v>1133</v>
      </c>
      <c r="H293" s="146" t="s">
        <v>1711</v>
      </c>
      <c r="I293" s="146" t="s">
        <v>1289</v>
      </c>
      <c r="J293" s="146" t="s">
        <v>1295</v>
      </c>
      <c r="K293" s="146" t="s">
        <v>1966</v>
      </c>
      <c r="L293" s="146" t="s">
        <v>805</v>
      </c>
      <c r="M293" s="146"/>
      <c r="N293" s="146" t="s">
        <v>1111</v>
      </c>
    </row>
    <row r="294" spans="1:14">
      <c r="A294" s="144" t="s">
        <v>1146</v>
      </c>
      <c r="B294" s="144" t="s">
        <v>1285</v>
      </c>
      <c r="C294" s="144" t="s">
        <v>1285</v>
      </c>
      <c r="D294" s="144" t="s">
        <v>1285</v>
      </c>
      <c r="E294" s="144" t="s">
        <v>1967</v>
      </c>
      <c r="F294" s="144" t="s">
        <v>1105</v>
      </c>
      <c r="G294" s="144" t="s">
        <v>1569</v>
      </c>
      <c r="H294" s="144" t="s">
        <v>1194</v>
      </c>
      <c r="I294" s="144" t="s">
        <v>1195</v>
      </c>
      <c r="J294" s="144" t="s">
        <v>1968</v>
      </c>
      <c r="K294" s="144" t="s">
        <v>1379</v>
      </c>
      <c r="L294" s="144" t="s">
        <v>805</v>
      </c>
      <c r="M294" s="144"/>
      <c r="N294" s="144" t="s">
        <v>1111</v>
      </c>
    </row>
    <row r="295" spans="1:14">
      <c r="A295" s="146" t="s">
        <v>1146</v>
      </c>
      <c r="B295" s="146" t="s">
        <v>1969</v>
      </c>
      <c r="C295" s="146" t="s">
        <v>1098</v>
      </c>
      <c r="D295" s="146" t="s">
        <v>1969</v>
      </c>
      <c r="E295" s="146" t="s">
        <v>1970</v>
      </c>
      <c r="F295" s="146" t="s">
        <v>1105</v>
      </c>
      <c r="G295" s="146" t="s">
        <v>1168</v>
      </c>
      <c r="H295" s="146" t="s">
        <v>1847</v>
      </c>
      <c r="I295" s="146" t="s">
        <v>1119</v>
      </c>
      <c r="J295" s="146" t="s">
        <v>1302</v>
      </c>
      <c r="K295" s="146" t="s">
        <v>1303</v>
      </c>
      <c r="L295" s="146" t="s">
        <v>805</v>
      </c>
      <c r="M295" s="146"/>
      <c r="N295" s="146" t="s">
        <v>1098</v>
      </c>
    </row>
    <row r="296" spans="1:14">
      <c r="A296" s="144" t="s">
        <v>1146</v>
      </c>
      <c r="B296" s="144" t="s">
        <v>1971</v>
      </c>
      <c r="C296" s="144" t="s">
        <v>1098</v>
      </c>
      <c r="D296" s="144" t="s">
        <v>1971</v>
      </c>
      <c r="E296" s="144" t="s">
        <v>1972</v>
      </c>
      <c r="F296" s="144" t="s">
        <v>1090</v>
      </c>
      <c r="G296" s="144" t="s">
        <v>1133</v>
      </c>
      <c r="H296" s="144" t="s">
        <v>1973</v>
      </c>
      <c r="I296" s="144" t="s">
        <v>1974</v>
      </c>
      <c r="J296" s="144" t="s">
        <v>1974</v>
      </c>
      <c r="K296" s="144" t="s">
        <v>1974</v>
      </c>
      <c r="L296" s="144" t="s">
        <v>805</v>
      </c>
      <c r="M296" s="144"/>
      <c r="N296" s="144" t="s">
        <v>1114</v>
      </c>
    </row>
    <row r="297" spans="1:14">
      <c r="A297" s="146" t="s">
        <v>1153</v>
      </c>
      <c r="B297" s="146" t="s">
        <v>1975</v>
      </c>
      <c r="C297" s="146" t="s">
        <v>1098</v>
      </c>
      <c r="D297" s="146" t="s">
        <v>1425</v>
      </c>
      <c r="E297" s="146" t="s">
        <v>1976</v>
      </c>
      <c r="F297" s="146" t="s">
        <v>1105</v>
      </c>
      <c r="G297" s="146" t="s">
        <v>1133</v>
      </c>
      <c r="H297" s="146" t="s">
        <v>1205</v>
      </c>
      <c r="I297" s="146" t="s">
        <v>1206</v>
      </c>
      <c r="J297" s="146" t="s">
        <v>1977</v>
      </c>
      <c r="K297" s="146" t="s">
        <v>1658</v>
      </c>
      <c r="L297" s="146" t="s">
        <v>805</v>
      </c>
      <c r="M297" s="146"/>
      <c r="N297" s="146" t="s">
        <v>1102</v>
      </c>
    </row>
    <row r="298" spans="1:14">
      <c r="A298" s="144" t="s">
        <v>1153</v>
      </c>
      <c r="B298" s="144" t="s">
        <v>1978</v>
      </c>
      <c r="C298" s="144" t="s">
        <v>1098</v>
      </c>
      <c r="D298" s="144" t="s">
        <v>1425</v>
      </c>
      <c r="E298" s="144" t="s">
        <v>1979</v>
      </c>
      <c r="F298" s="144" t="s">
        <v>1105</v>
      </c>
      <c r="G298" s="144" t="s">
        <v>1133</v>
      </c>
      <c r="H298" s="144" t="s">
        <v>1106</v>
      </c>
      <c r="I298" s="144" t="s">
        <v>1107</v>
      </c>
      <c r="J298" s="144" t="s">
        <v>1980</v>
      </c>
      <c r="K298" s="144" t="s">
        <v>1273</v>
      </c>
      <c r="L298" s="144" t="s">
        <v>805</v>
      </c>
      <c r="M298" s="144"/>
      <c r="N298" s="144" t="s">
        <v>1102</v>
      </c>
    </row>
    <row r="299" spans="1:14">
      <c r="A299" s="146" t="s">
        <v>1146</v>
      </c>
      <c r="B299" s="146" t="s">
        <v>1981</v>
      </c>
      <c r="C299" s="146" t="s">
        <v>1098</v>
      </c>
      <c r="D299" s="146" t="s">
        <v>1981</v>
      </c>
      <c r="E299" s="146" t="s">
        <v>1982</v>
      </c>
      <c r="F299" s="146" t="s">
        <v>1117</v>
      </c>
      <c r="G299" s="146" t="s">
        <v>1080</v>
      </c>
      <c r="H299" s="146" t="s">
        <v>1091</v>
      </c>
      <c r="I299" s="146" t="s">
        <v>1092</v>
      </c>
      <c r="J299" s="146" t="s">
        <v>1803</v>
      </c>
      <c r="K299" s="146" t="s">
        <v>1803</v>
      </c>
      <c r="L299" s="146" t="s">
        <v>805</v>
      </c>
      <c r="M299" s="146"/>
      <c r="N299" s="146" t="s">
        <v>1114</v>
      </c>
    </row>
    <row r="300" spans="1:14">
      <c r="A300" s="144" t="s">
        <v>1146</v>
      </c>
      <c r="B300" s="144" t="s">
        <v>1983</v>
      </c>
      <c r="C300" s="144" t="s">
        <v>1098</v>
      </c>
      <c r="D300" s="144" t="s">
        <v>1983</v>
      </c>
      <c r="E300" s="144" t="s">
        <v>1984</v>
      </c>
      <c r="F300" s="144" t="s">
        <v>1250</v>
      </c>
      <c r="G300" s="144" t="s">
        <v>1080</v>
      </c>
      <c r="H300" s="144" t="s">
        <v>1205</v>
      </c>
      <c r="I300" s="144" t="s">
        <v>1206</v>
      </c>
      <c r="J300" s="144" t="s">
        <v>1207</v>
      </c>
      <c r="K300" s="144" t="s">
        <v>1208</v>
      </c>
      <c r="L300" s="144" t="s">
        <v>805</v>
      </c>
      <c r="M300" s="144"/>
      <c r="N300" s="144" t="s">
        <v>1098</v>
      </c>
    </row>
    <row r="301" spans="1:14">
      <c r="A301" s="146" t="s">
        <v>1153</v>
      </c>
      <c r="B301" s="146" t="s">
        <v>1985</v>
      </c>
      <c r="C301" s="146" t="s">
        <v>1098</v>
      </c>
      <c r="D301" s="146" t="s">
        <v>1425</v>
      </c>
      <c r="E301" s="146" t="s">
        <v>1986</v>
      </c>
      <c r="F301" s="146" t="s">
        <v>1090</v>
      </c>
      <c r="G301" s="146" t="s">
        <v>1133</v>
      </c>
      <c r="H301" s="146" t="s">
        <v>1150</v>
      </c>
      <c r="I301" s="146" t="s">
        <v>1082</v>
      </c>
      <c r="J301" s="146" t="s">
        <v>1152</v>
      </c>
      <c r="K301" s="146" t="s">
        <v>1987</v>
      </c>
      <c r="L301" s="146" t="s">
        <v>805</v>
      </c>
      <c r="M301" s="146"/>
      <c r="N301" s="146" t="s">
        <v>1114</v>
      </c>
    </row>
    <row r="302" spans="1:14">
      <c r="A302" s="144" t="s">
        <v>1153</v>
      </c>
      <c r="B302" s="144" t="s">
        <v>1988</v>
      </c>
      <c r="C302" s="144" t="s">
        <v>1098</v>
      </c>
      <c r="D302" s="144" t="s">
        <v>1425</v>
      </c>
      <c r="E302" s="144" t="s">
        <v>1989</v>
      </c>
      <c r="F302" s="144" t="s">
        <v>1250</v>
      </c>
      <c r="G302" s="144" t="s">
        <v>1133</v>
      </c>
      <c r="H302" s="144" t="s">
        <v>1150</v>
      </c>
      <c r="I302" s="144" t="s">
        <v>1152</v>
      </c>
      <c r="J302" s="144" t="s">
        <v>1152</v>
      </c>
      <c r="K302" s="144" t="s">
        <v>1990</v>
      </c>
      <c r="L302" s="144" t="s">
        <v>805</v>
      </c>
      <c r="M302" s="144"/>
      <c r="N302" s="144" t="s">
        <v>1102</v>
      </c>
    </row>
    <row r="303" spans="1:14">
      <c r="A303" s="146" t="s">
        <v>1153</v>
      </c>
      <c r="B303" s="146" t="s">
        <v>1991</v>
      </c>
      <c r="C303" s="146" t="s">
        <v>1098</v>
      </c>
      <c r="D303" s="146" t="s">
        <v>1425</v>
      </c>
      <c r="E303" s="146" t="s">
        <v>1992</v>
      </c>
      <c r="F303" s="146" t="s">
        <v>1105</v>
      </c>
      <c r="G303" s="146" t="s">
        <v>1080</v>
      </c>
      <c r="H303" s="146" t="s">
        <v>1091</v>
      </c>
      <c r="I303" s="146" t="s">
        <v>1092</v>
      </c>
      <c r="J303" s="146" t="s">
        <v>1349</v>
      </c>
      <c r="K303" s="146" t="s">
        <v>1093</v>
      </c>
      <c r="L303" s="146" t="s">
        <v>805</v>
      </c>
      <c r="M303" s="146"/>
      <c r="N303" s="146" t="s">
        <v>1102</v>
      </c>
    </row>
    <row r="304" spans="1:14">
      <c r="A304" s="144" t="s">
        <v>1153</v>
      </c>
      <c r="B304" s="144" t="s">
        <v>1993</v>
      </c>
      <c r="C304" s="144" t="s">
        <v>1098</v>
      </c>
      <c r="D304" s="144" t="s">
        <v>1425</v>
      </c>
      <c r="E304" s="144" t="s">
        <v>1994</v>
      </c>
      <c r="F304" s="144" t="s">
        <v>1105</v>
      </c>
      <c r="G304" s="144" t="s">
        <v>1080</v>
      </c>
      <c r="H304" s="144" t="s">
        <v>1091</v>
      </c>
      <c r="I304" s="144" t="s">
        <v>1092</v>
      </c>
      <c r="J304" s="144" t="s">
        <v>1349</v>
      </c>
      <c r="K304" s="144" t="s">
        <v>1093</v>
      </c>
      <c r="L304" s="144" t="s">
        <v>805</v>
      </c>
      <c r="M304" s="144"/>
      <c r="N304" s="144" t="s">
        <v>1102</v>
      </c>
    </row>
    <row r="305" spans="1:14">
      <c r="A305" s="146" t="s">
        <v>1146</v>
      </c>
      <c r="B305" s="146" t="s">
        <v>1995</v>
      </c>
      <c r="C305" s="146" t="s">
        <v>1098</v>
      </c>
      <c r="D305" s="146" t="s">
        <v>1995</v>
      </c>
      <c r="E305" s="146" t="s">
        <v>1996</v>
      </c>
      <c r="F305" s="146" t="s">
        <v>1250</v>
      </c>
      <c r="G305" s="146" t="s">
        <v>1080</v>
      </c>
      <c r="H305" s="146" t="s">
        <v>1091</v>
      </c>
      <c r="I305" s="146" t="s">
        <v>1092</v>
      </c>
      <c r="J305" s="146" t="s">
        <v>1349</v>
      </c>
      <c r="K305" s="146" t="s">
        <v>1349</v>
      </c>
      <c r="L305" s="146" t="s">
        <v>805</v>
      </c>
      <c r="M305" s="146"/>
      <c r="N305" s="146" t="s">
        <v>1098</v>
      </c>
    </row>
    <row r="306" spans="1:14">
      <c r="A306" s="144" t="s">
        <v>1146</v>
      </c>
      <c r="B306" s="144" t="s">
        <v>1997</v>
      </c>
      <c r="C306" s="144" t="s">
        <v>1098</v>
      </c>
      <c r="D306" s="144" t="s">
        <v>1997</v>
      </c>
      <c r="E306" s="144" t="s">
        <v>1998</v>
      </c>
      <c r="F306" s="144" t="s">
        <v>1117</v>
      </c>
      <c r="G306" s="144" t="s">
        <v>1133</v>
      </c>
      <c r="H306" s="144" t="s">
        <v>1134</v>
      </c>
      <c r="I306" s="144" t="s">
        <v>1243</v>
      </c>
      <c r="J306" s="144" t="s">
        <v>1244</v>
      </c>
      <c r="K306" s="144" t="s">
        <v>1245</v>
      </c>
      <c r="L306" s="144" t="s">
        <v>805</v>
      </c>
      <c r="M306" s="144"/>
      <c r="N306" s="144" t="s">
        <v>1114</v>
      </c>
    </row>
    <row r="307" spans="1:14">
      <c r="A307" s="146" t="s">
        <v>1146</v>
      </c>
      <c r="B307" s="146" t="s">
        <v>1999</v>
      </c>
      <c r="C307" s="146" t="s">
        <v>1098</v>
      </c>
      <c r="D307" s="146" t="s">
        <v>1999</v>
      </c>
      <c r="E307" s="146" t="s">
        <v>2000</v>
      </c>
      <c r="F307" s="146" t="s">
        <v>1250</v>
      </c>
      <c r="G307" s="146" t="s">
        <v>1080</v>
      </c>
      <c r="H307" s="146" t="s">
        <v>1091</v>
      </c>
      <c r="I307" s="146" t="s">
        <v>1092</v>
      </c>
      <c r="J307" s="146" t="s">
        <v>1673</v>
      </c>
      <c r="K307" s="146" t="s">
        <v>1673</v>
      </c>
      <c r="L307" s="146" t="s">
        <v>805</v>
      </c>
      <c r="M307" s="146"/>
      <c r="N307" s="146" t="s">
        <v>1098</v>
      </c>
    </row>
    <row r="308" spans="1:14">
      <c r="A308" s="144" t="s">
        <v>1146</v>
      </c>
      <c r="B308" s="144" t="s">
        <v>2001</v>
      </c>
      <c r="C308" s="144" t="s">
        <v>1098</v>
      </c>
      <c r="D308" s="144" t="s">
        <v>2001</v>
      </c>
      <c r="E308" s="144" t="s">
        <v>2002</v>
      </c>
      <c r="F308" s="144" t="s">
        <v>1090</v>
      </c>
      <c r="G308" s="144" t="s">
        <v>1133</v>
      </c>
      <c r="H308" s="144" t="s">
        <v>1847</v>
      </c>
      <c r="I308" s="144" t="s">
        <v>1849</v>
      </c>
      <c r="J308" s="144" t="s">
        <v>1848</v>
      </c>
      <c r="K308" s="144" t="s">
        <v>1937</v>
      </c>
      <c r="L308" s="144" t="s">
        <v>805</v>
      </c>
      <c r="M308" s="144"/>
      <c r="N308" s="144" t="s">
        <v>1114</v>
      </c>
    </row>
    <row r="309" spans="1:14">
      <c r="A309" s="146" t="s">
        <v>1153</v>
      </c>
      <c r="B309" s="146" t="s">
        <v>2003</v>
      </c>
      <c r="C309" s="146" t="s">
        <v>1098</v>
      </c>
      <c r="D309" s="146" t="s">
        <v>1425</v>
      </c>
      <c r="E309" s="146" t="s">
        <v>2004</v>
      </c>
      <c r="F309" s="146" t="s">
        <v>1105</v>
      </c>
      <c r="G309" s="146" t="s">
        <v>1133</v>
      </c>
      <c r="H309" s="146" t="s">
        <v>1277</v>
      </c>
      <c r="I309" s="146" t="s">
        <v>1219</v>
      </c>
      <c r="J309" s="146" t="s">
        <v>1513</v>
      </c>
      <c r="K309" s="146" t="s">
        <v>1553</v>
      </c>
      <c r="L309" s="146" t="s">
        <v>805</v>
      </c>
      <c r="M309" s="146"/>
      <c r="N309" s="146" t="s">
        <v>1102</v>
      </c>
    </row>
    <row r="310" spans="1:14">
      <c r="A310" s="144" t="s">
        <v>1153</v>
      </c>
      <c r="B310" s="144" t="s">
        <v>498</v>
      </c>
      <c r="C310" s="144" t="s">
        <v>1098</v>
      </c>
      <c r="D310" s="144" t="s">
        <v>1425</v>
      </c>
      <c r="E310" s="144" t="s">
        <v>2005</v>
      </c>
      <c r="F310" s="144" t="s">
        <v>1117</v>
      </c>
      <c r="G310" s="144" t="s">
        <v>1133</v>
      </c>
      <c r="H310" s="144" t="s">
        <v>2006</v>
      </c>
      <c r="I310" s="144" t="s">
        <v>1289</v>
      </c>
      <c r="J310" s="144" t="s">
        <v>2007</v>
      </c>
      <c r="K310" s="144" t="s">
        <v>2008</v>
      </c>
      <c r="L310" s="144" t="s">
        <v>805</v>
      </c>
      <c r="M310" s="144"/>
      <c r="N310" s="144" t="s">
        <v>1114</v>
      </c>
    </row>
    <row r="311" spans="1:14">
      <c r="A311" s="146" t="s">
        <v>1146</v>
      </c>
      <c r="B311" s="146" t="s">
        <v>2009</v>
      </c>
      <c r="C311" s="146" t="s">
        <v>1098</v>
      </c>
      <c r="D311" s="146" t="s">
        <v>2009</v>
      </c>
      <c r="E311" s="146" t="s">
        <v>2010</v>
      </c>
      <c r="F311" s="146" t="s">
        <v>1105</v>
      </c>
      <c r="G311" s="146" t="s">
        <v>1080</v>
      </c>
      <c r="H311" s="146" t="s">
        <v>1505</v>
      </c>
      <c r="I311" s="146" t="s">
        <v>1506</v>
      </c>
      <c r="J311" s="146" t="s">
        <v>2011</v>
      </c>
      <c r="K311" s="146" t="s">
        <v>2012</v>
      </c>
      <c r="L311" s="146" t="s">
        <v>805</v>
      </c>
      <c r="M311" s="146"/>
      <c r="N311" s="146" t="s">
        <v>1098</v>
      </c>
    </row>
    <row r="312" spans="1:14">
      <c r="A312" s="144" t="s">
        <v>1146</v>
      </c>
      <c r="B312" s="144" t="s">
        <v>2013</v>
      </c>
      <c r="C312" s="144" t="s">
        <v>1098</v>
      </c>
      <c r="D312" s="144" t="s">
        <v>2014</v>
      </c>
      <c r="E312" s="144" t="s">
        <v>2015</v>
      </c>
      <c r="F312" s="144" t="s">
        <v>1105</v>
      </c>
      <c r="G312" s="144" t="s">
        <v>1080</v>
      </c>
      <c r="H312" s="144" t="s">
        <v>1134</v>
      </c>
      <c r="I312" s="144" t="s">
        <v>1136</v>
      </c>
      <c r="J312" s="144" t="s">
        <v>1764</v>
      </c>
      <c r="K312" s="144" t="s">
        <v>1389</v>
      </c>
      <c r="L312" s="144" t="s">
        <v>805</v>
      </c>
      <c r="M312" s="144"/>
      <c r="N312" s="144" t="s">
        <v>1123</v>
      </c>
    </row>
    <row r="313" spans="1:14">
      <c r="A313" s="146" t="s">
        <v>1153</v>
      </c>
      <c r="B313" s="146" t="s">
        <v>2016</v>
      </c>
      <c r="C313" s="146" t="s">
        <v>1098</v>
      </c>
      <c r="D313" s="146" t="s">
        <v>1425</v>
      </c>
      <c r="E313" s="146" t="s">
        <v>2017</v>
      </c>
      <c r="F313" s="146" t="s">
        <v>1105</v>
      </c>
      <c r="G313" s="146" t="s">
        <v>1080</v>
      </c>
      <c r="H313" s="146" t="s">
        <v>1091</v>
      </c>
      <c r="I313" s="146" t="s">
        <v>1092</v>
      </c>
      <c r="J313" s="146" t="s">
        <v>1673</v>
      </c>
      <c r="K313" s="146" t="s">
        <v>1691</v>
      </c>
      <c r="L313" s="146" t="s">
        <v>805</v>
      </c>
      <c r="M313" s="146"/>
      <c r="N313" s="146" t="s">
        <v>1102</v>
      </c>
    </row>
    <row r="314" spans="1:14">
      <c r="A314" s="144" t="s">
        <v>1146</v>
      </c>
      <c r="B314" s="144" t="s">
        <v>2018</v>
      </c>
      <c r="C314" s="144" t="s">
        <v>1098</v>
      </c>
      <c r="D314" s="144" t="s">
        <v>2018</v>
      </c>
      <c r="E314" s="144" t="s">
        <v>2019</v>
      </c>
      <c r="F314" s="144" t="s">
        <v>1189</v>
      </c>
      <c r="G314" s="144" t="s">
        <v>1133</v>
      </c>
      <c r="H314" s="144" t="s">
        <v>1212</v>
      </c>
      <c r="I314" s="144" t="s">
        <v>1213</v>
      </c>
      <c r="J314" s="144" t="s">
        <v>1213</v>
      </c>
      <c r="K314" s="144" t="s">
        <v>2020</v>
      </c>
      <c r="L314" s="144" t="s">
        <v>805</v>
      </c>
      <c r="M314" s="144"/>
      <c r="N314" s="144" t="s">
        <v>1114</v>
      </c>
    </row>
    <row r="315" spans="1:14">
      <c r="A315" s="146" t="s">
        <v>1153</v>
      </c>
      <c r="B315" s="146" t="s">
        <v>2021</v>
      </c>
      <c r="C315" s="146" t="s">
        <v>1098</v>
      </c>
      <c r="D315" s="146" t="s">
        <v>1425</v>
      </c>
      <c r="E315" s="146" t="s">
        <v>2022</v>
      </c>
      <c r="F315" s="146" t="s">
        <v>1105</v>
      </c>
      <c r="G315" s="146" t="s">
        <v>1133</v>
      </c>
      <c r="H315" s="146" t="s">
        <v>1194</v>
      </c>
      <c r="I315" s="146" t="s">
        <v>1195</v>
      </c>
      <c r="J315" s="146" t="s">
        <v>1082</v>
      </c>
      <c r="K315" s="146" t="s">
        <v>1338</v>
      </c>
      <c r="L315" s="146" t="s">
        <v>805</v>
      </c>
      <c r="M315" s="146"/>
      <c r="N315" s="146" t="s">
        <v>1102</v>
      </c>
    </row>
    <row r="316" spans="1:14">
      <c r="A316" s="144" t="s">
        <v>1146</v>
      </c>
      <c r="B316" s="144" t="s">
        <v>2023</v>
      </c>
      <c r="C316" s="144" t="s">
        <v>1098</v>
      </c>
      <c r="D316" s="144" t="s">
        <v>2023</v>
      </c>
      <c r="E316" s="144" t="s">
        <v>2024</v>
      </c>
      <c r="F316" s="144" t="s">
        <v>1105</v>
      </c>
      <c r="G316" s="144" t="s">
        <v>1080</v>
      </c>
      <c r="H316" s="144" t="s">
        <v>1194</v>
      </c>
      <c r="I316" s="144" t="s">
        <v>1195</v>
      </c>
      <c r="J316" s="144" t="s">
        <v>1196</v>
      </c>
      <c r="K316" s="144" t="s">
        <v>1197</v>
      </c>
      <c r="L316" s="144" t="s">
        <v>805</v>
      </c>
      <c r="M316" s="144"/>
      <c r="N316" s="144" t="s">
        <v>1098</v>
      </c>
    </row>
    <row r="317" spans="1:14">
      <c r="A317" s="146" t="s">
        <v>1153</v>
      </c>
      <c r="B317" s="146" t="s">
        <v>2025</v>
      </c>
      <c r="C317" s="146" t="s">
        <v>1098</v>
      </c>
      <c r="D317" s="146" t="s">
        <v>1425</v>
      </c>
      <c r="E317" s="146" t="s">
        <v>2026</v>
      </c>
      <c r="F317" s="146" t="s">
        <v>1105</v>
      </c>
      <c r="G317" s="146" t="s">
        <v>1133</v>
      </c>
      <c r="H317" s="146" t="s">
        <v>1505</v>
      </c>
      <c r="I317" s="146" t="s">
        <v>1506</v>
      </c>
      <c r="J317" s="146" t="s">
        <v>2027</v>
      </c>
      <c r="K317" s="146" t="s">
        <v>1508</v>
      </c>
      <c r="L317" s="146" t="s">
        <v>805</v>
      </c>
      <c r="M317" s="146"/>
      <c r="N317" s="146" t="s">
        <v>1102</v>
      </c>
    </row>
    <row r="318" spans="1:14">
      <c r="A318" s="144" t="s">
        <v>1146</v>
      </c>
      <c r="B318" s="144" t="s">
        <v>2028</v>
      </c>
      <c r="C318" s="144" t="s">
        <v>1098</v>
      </c>
      <c r="D318" s="144" t="s">
        <v>2028</v>
      </c>
      <c r="E318" s="144" t="s">
        <v>2029</v>
      </c>
      <c r="F318" s="144" t="s">
        <v>1105</v>
      </c>
      <c r="G318" s="144" t="s">
        <v>1133</v>
      </c>
      <c r="H318" s="144" t="s">
        <v>1118</v>
      </c>
      <c r="I318" s="144" t="s">
        <v>1119</v>
      </c>
      <c r="J318" s="144" t="s">
        <v>1493</v>
      </c>
      <c r="K318" s="144" t="s">
        <v>1494</v>
      </c>
      <c r="L318" s="144" t="s">
        <v>805</v>
      </c>
      <c r="M318" s="144"/>
      <c r="N318" s="144" t="s">
        <v>1098</v>
      </c>
    </row>
    <row r="319" spans="1:14">
      <c r="A319" s="146" t="s">
        <v>1153</v>
      </c>
      <c r="B319" s="146" t="s">
        <v>2030</v>
      </c>
      <c r="C319" s="146" t="s">
        <v>1098</v>
      </c>
      <c r="D319" s="146" t="s">
        <v>1425</v>
      </c>
      <c r="E319" s="146" t="s">
        <v>2031</v>
      </c>
      <c r="F319" s="146" t="s">
        <v>1105</v>
      </c>
      <c r="G319" s="146" t="s">
        <v>1080</v>
      </c>
      <c r="H319" s="146" t="s">
        <v>1194</v>
      </c>
      <c r="I319" s="146" t="s">
        <v>1195</v>
      </c>
      <c r="J319" s="146" t="s">
        <v>1564</v>
      </c>
      <c r="K319" s="146" t="s">
        <v>1564</v>
      </c>
      <c r="L319" s="146" t="s">
        <v>805</v>
      </c>
      <c r="M319" s="146"/>
      <c r="N319" s="146" t="s">
        <v>1102</v>
      </c>
    </row>
    <row r="320" spans="1:14">
      <c r="A320" s="144" t="s">
        <v>1146</v>
      </c>
      <c r="B320" s="144" t="s">
        <v>2032</v>
      </c>
      <c r="C320" s="144" t="s">
        <v>1098</v>
      </c>
      <c r="D320" s="144" t="s">
        <v>2032</v>
      </c>
      <c r="E320" s="144" t="s">
        <v>2033</v>
      </c>
      <c r="F320" s="144" t="s">
        <v>1105</v>
      </c>
      <c r="G320" s="144" t="s">
        <v>1133</v>
      </c>
      <c r="H320" s="144" t="s">
        <v>1232</v>
      </c>
      <c r="I320" s="144" t="s">
        <v>1233</v>
      </c>
      <c r="J320" s="144" t="s">
        <v>1550</v>
      </c>
      <c r="K320" s="144" t="s">
        <v>1950</v>
      </c>
      <c r="L320" s="144" t="s">
        <v>805</v>
      </c>
      <c r="M320" s="144"/>
      <c r="N320" s="144" t="s">
        <v>1098</v>
      </c>
    </row>
    <row r="321" spans="1:14">
      <c r="A321" s="146" t="s">
        <v>1146</v>
      </c>
      <c r="B321" s="146" t="s">
        <v>1292</v>
      </c>
      <c r="C321" s="146" t="s">
        <v>1292</v>
      </c>
      <c r="D321" s="146" t="s">
        <v>1292</v>
      </c>
      <c r="E321" s="146" t="s">
        <v>2034</v>
      </c>
      <c r="F321" s="146" t="s">
        <v>1105</v>
      </c>
      <c r="G321" s="146" t="s">
        <v>1133</v>
      </c>
      <c r="H321" s="146" t="s">
        <v>1282</v>
      </c>
      <c r="I321" s="146" t="s">
        <v>1219</v>
      </c>
      <c r="J321" s="146" t="s">
        <v>1513</v>
      </c>
      <c r="K321" s="146" t="s">
        <v>1514</v>
      </c>
      <c r="L321" s="146" t="s">
        <v>805</v>
      </c>
      <c r="M321" s="146"/>
      <c r="N321" s="146" t="s">
        <v>1111</v>
      </c>
    </row>
    <row r="322" spans="1:14">
      <c r="A322" s="144" t="s">
        <v>1146</v>
      </c>
      <c r="B322" s="144" t="s">
        <v>1296</v>
      </c>
      <c r="C322" s="144" t="s">
        <v>1296</v>
      </c>
      <c r="D322" s="144" t="s">
        <v>1296</v>
      </c>
      <c r="E322" s="144" t="s">
        <v>2035</v>
      </c>
      <c r="F322" s="144" t="s">
        <v>1105</v>
      </c>
      <c r="G322" s="144" t="s">
        <v>1133</v>
      </c>
      <c r="H322" s="144" t="s">
        <v>1232</v>
      </c>
      <c r="I322" s="144" t="s">
        <v>1233</v>
      </c>
      <c r="J322" s="144" t="s">
        <v>1550</v>
      </c>
      <c r="K322" s="144" t="s">
        <v>1950</v>
      </c>
      <c r="L322" s="144" t="s">
        <v>805</v>
      </c>
      <c r="M322" s="144"/>
      <c r="N322" s="144" t="s">
        <v>1111</v>
      </c>
    </row>
    <row r="323" spans="1:14">
      <c r="A323" s="146" t="s">
        <v>1153</v>
      </c>
      <c r="B323" s="146" t="s">
        <v>2036</v>
      </c>
      <c r="C323" s="146" t="s">
        <v>1098</v>
      </c>
      <c r="D323" s="146" t="s">
        <v>1425</v>
      </c>
      <c r="E323" s="146" t="s">
        <v>2037</v>
      </c>
      <c r="F323" s="146" t="s">
        <v>1105</v>
      </c>
      <c r="G323" s="146" t="s">
        <v>1133</v>
      </c>
      <c r="H323" s="146" t="s">
        <v>1118</v>
      </c>
      <c r="I323" s="146" t="s">
        <v>1119</v>
      </c>
      <c r="J323" s="146" t="s">
        <v>2038</v>
      </c>
      <c r="K323" s="146" t="s">
        <v>1733</v>
      </c>
      <c r="L323" s="146" t="s">
        <v>805</v>
      </c>
      <c r="M323" s="146"/>
      <c r="N323" s="146" t="s">
        <v>1102</v>
      </c>
    </row>
    <row r="324" spans="1:14">
      <c r="A324" s="144" t="s">
        <v>1153</v>
      </c>
      <c r="B324" s="144" t="s">
        <v>2039</v>
      </c>
      <c r="C324" s="144" t="s">
        <v>1098</v>
      </c>
      <c r="D324" s="144" t="s">
        <v>1425</v>
      </c>
      <c r="E324" s="144" t="s">
        <v>2040</v>
      </c>
      <c r="F324" s="144" t="s">
        <v>1105</v>
      </c>
      <c r="G324" s="144" t="s">
        <v>1133</v>
      </c>
      <c r="H324" s="144" t="s">
        <v>1134</v>
      </c>
      <c r="I324" s="144" t="s">
        <v>2041</v>
      </c>
      <c r="J324" s="144" t="s">
        <v>2042</v>
      </c>
      <c r="K324" s="144" t="s">
        <v>2043</v>
      </c>
      <c r="L324" s="144" t="s">
        <v>805</v>
      </c>
      <c r="M324" s="144"/>
      <c r="N324" s="144" t="s">
        <v>1123</v>
      </c>
    </row>
    <row r="325" spans="1:14">
      <c r="A325" s="146" t="s">
        <v>1146</v>
      </c>
      <c r="B325" s="146" t="s">
        <v>2044</v>
      </c>
      <c r="C325" s="146" t="s">
        <v>1098</v>
      </c>
      <c r="D325" s="146" t="s">
        <v>2044</v>
      </c>
      <c r="E325" s="146" t="s">
        <v>2045</v>
      </c>
      <c r="F325" s="146" t="s">
        <v>1250</v>
      </c>
      <c r="G325" s="146" t="s">
        <v>1080</v>
      </c>
      <c r="H325" s="146" t="s">
        <v>1505</v>
      </c>
      <c r="I325" s="146" t="s">
        <v>1506</v>
      </c>
      <c r="J325" s="146" t="s">
        <v>1795</v>
      </c>
      <c r="K325" s="146" t="s">
        <v>2046</v>
      </c>
      <c r="L325" s="146" t="s">
        <v>805</v>
      </c>
      <c r="M325" s="146"/>
      <c r="N325" s="146" t="s">
        <v>1098</v>
      </c>
    </row>
    <row r="326" spans="1:14">
      <c r="A326" s="144" t="s">
        <v>1153</v>
      </c>
      <c r="B326" s="144" t="s">
        <v>2047</v>
      </c>
      <c r="C326" s="144" t="s">
        <v>1098</v>
      </c>
      <c r="D326" s="144" t="s">
        <v>1425</v>
      </c>
      <c r="E326" s="144" t="s">
        <v>2048</v>
      </c>
      <c r="F326" s="144" t="s">
        <v>1105</v>
      </c>
      <c r="G326" s="144" t="s">
        <v>1080</v>
      </c>
      <c r="H326" s="144" t="s">
        <v>1091</v>
      </c>
      <c r="I326" s="144" t="s">
        <v>1092</v>
      </c>
      <c r="J326" s="144" t="s">
        <v>1803</v>
      </c>
      <c r="K326" s="144" t="s">
        <v>1803</v>
      </c>
      <c r="L326" s="144" t="s">
        <v>805</v>
      </c>
      <c r="M326" s="144"/>
      <c r="N326" s="144" t="s">
        <v>1102</v>
      </c>
    </row>
    <row r="327" spans="1:14">
      <c r="A327" s="146" t="s">
        <v>1146</v>
      </c>
      <c r="B327" s="146" t="s">
        <v>2049</v>
      </c>
      <c r="C327" s="146" t="s">
        <v>1098</v>
      </c>
      <c r="D327" s="146" t="s">
        <v>2049</v>
      </c>
      <c r="E327" s="146" t="s">
        <v>2050</v>
      </c>
      <c r="F327" s="146" t="s">
        <v>1105</v>
      </c>
      <c r="G327" s="146" t="s">
        <v>1080</v>
      </c>
      <c r="H327" s="146" t="s">
        <v>1091</v>
      </c>
      <c r="I327" s="146" t="s">
        <v>1092</v>
      </c>
      <c r="J327" s="146" t="s">
        <v>1349</v>
      </c>
      <c r="K327" s="146" t="s">
        <v>1349</v>
      </c>
      <c r="L327" s="146" t="s">
        <v>805</v>
      </c>
      <c r="M327" s="146"/>
      <c r="N327" s="146" t="s">
        <v>1098</v>
      </c>
    </row>
    <row r="328" spans="1:14">
      <c r="A328" s="144" t="s">
        <v>1146</v>
      </c>
      <c r="B328" s="144" t="s">
        <v>2051</v>
      </c>
      <c r="C328" s="144" t="s">
        <v>1098</v>
      </c>
      <c r="D328" s="144" t="s">
        <v>2052</v>
      </c>
      <c r="E328" s="144" t="s">
        <v>2053</v>
      </c>
      <c r="F328" s="144" t="s">
        <v>1117</v>
      </c>
      <c r="G328" s="144" t="s">
        <v>1569</v>
      </c>
      <c r="H328" s="144" t="s">
        <v>1205</v>
      </c>
      <c r="I328" s="144" t="s">
        <v>1206</v>
      </c>
      <c r="J328" s="144" t="s">
        <v>1657</v>
      </c>
      <c r="K328" s="144" t="s">
        <v>1658</v>
      </c>
      <c r="L328" s="144" t="s">
        <v>805</v>
      </c>
      <c r="M328" s="144"/>
      <c r="N328" s="144" t="s">
        <v>1114</v>
      </c>
    </row>
    <row r="329" spans="1:14">
      <c r="A329" s="146" t="s">
        <v>1146</v>
      </c>
      <c r="B329" s="146" t="s">
        <v>2054</v>
      </c>
      <c r="C329" s="146" t="s">
        <v>1098</v>
      </c>
      <c r="D329" s="146" t="s">
        <v>2055</v>
      </c>
      <c r="E329" s="146" t="s">
        <v>2056</v>
      </c>
      <c r="F329" s="146" t="s">
        <v>1117</v>
      </c>
      <c r="G329" s="146" t="s">
        <v>1133</v>
      </c>
      <c r="H329" s="146" t="s">
        <v>1106</v>
      </c>
      <c r="I329" s="146" t="s">
        <v>1107</v>
      </c>
      <c r="J329" s="146" t="s">
        <v>1108</v>
      </c>
      <c r="K329" s="146" t="s">
        <v>1109</v>
      </c>
      <c r="L329" s="146" t="s">
        <v>805</v>
      </c>
      <c r="M329" s="146"/>
      <c r="N329" s="146" t="s">
        <v>1114</v>
      </c>
    </row>
    <row r="330" spans="1:14">
      <c r="A330" s="144" t="s">
        <v>1146</v>
      </c>
      <c r="B330" s="144" t="s">
        <v>2057</v>
      </c>
      <c r="C330" s="144" t="s">
        <v>1098</v>
      </c>
      <c r="D330" s="144" t="s">
        <v>2058</v>
      </c>
      <c r="E330" s="144" t="s">
        <v>2059</v>
      </c>
      <c r="F330" s="144" t="s">
        <v>1117</v>
      </c>
      <c r="G330" s="144" t="s">
        <v>1133</v>
      </c>
      <c r="H330" s="144" t="s">
        <v>1081</v>
      </c>
      <c r="I330" s="144" t="s">
        <v>1082</v>
      </c>
      <c r="J330" s="144" t="s">
        <v>1360</v>
      </c>
      <c r="K330" s="144" t="s">
        <v>1084</v>
      </c>
      <c r="L330" s="144" t="s">
        <v>805</v>
      </c>
      <c r="M330" s="144"/>
      <c r="N330" s="144" t="s">
        <v>1114</v>
      </c>
    </row>
    <row r="331" spans="1:14">
      <c r="A331" s="146" t="s">
        <v>1146</v>
      </c>
      <c r="B331" s="146" t="s">
        <v>1299</v>
      </c>
      <c r="C331" s="146" t="s">
        <v>1299</v>
      </c>
      <c r="D331" s="146" t="s">
        <v>1299</v>
      </c>
      <c r="E331" s="146" t="s">
        <v>2060</v>
      </c>
      <c r="F331" s="146" t="s">
        <v>1105</v>
      </c>
      <c r="G331" s="146" t="s">
        <v>1133</v>
      </c>
      <c r="H331" s="146" t="s">
        <v>1169</v>
      </c>
      <c r="I331" s="146" t="s">
        <v>1170</v>
      </c>
      <c r="J331" s="146" t="s">
        <v>1514</v>
      </c>
      <c r="K331" s="146" t="s">
        <v>2061</v>
      </c>
      <c r="L331" s="146" t="s">
        <v>805</v>
      </c>
      <c r="M331" s="146"/>
      <c r="N331" s="146" t="s">
        <v>1111</v>
      </c>
    </row>
    <row r="332" spans="1:14">
      <c r="A332" s="144" t="s">
        <v>1153</v>
      </c>
      <c r="B332" s="144" t="s">
        <v>2062</v>
      </c>
      <c r="C332" s="144" t="s">
        <v>1098</v>
      </c>
      <c r="D332" s="144" t="s">
        <v>1425</v>
      </c>
      <c r="E332" s="144" t="s">
        <v>2063</v>
      </c>
      <c r="F332" s="144" t="s">
        <v>1105</v>
      </c>
      <c r="G332" s="144" t="s">
        <v>1133</v>
      </c>
      <c r="H332" s="144" t="s">
        <v>1194</v>
      </c>
      <c r="I332" s="144" t="s">
        <v>1195</v>
      </c>
      <c r="J332" s="144" t="s">
        <v>1366</v>
      </c>
      <c r="K332" s="144" t="s">
        <v>1367</v>
      </c>
      <c r="L332" s="144" t="s">
        <v>805</v>
      </c>
      <c r="M332" s="144"/>
      <c r="N332" s="144" t="s">
        <v>1102</v>
      </c>
    </row>
    <row r="333" spans="1:14">
      <c r="A333" s="146" t="s">
        <v>1146</v>
      </c>
      <c r="B333" s="146" t="s">
        <v>1304</v>
      </c>
      <c r="C333" s="146" t="s">
        <v>1304</v>
      </c>
      <c r="D333" s="146" t="s">
        <v>1304</v>
      </c>
      <c r="E333" s="146" t="s">
        <v>2064</v>
      </c>
      <c r="F333" s="146" t="s">
        <v>1105</v>
      </c>
      <c r="G333" s="146" t="s">
        <v>1133</v>
      </c>
      <c r="H333" s="146" t="s">
        <v>1194</v>
      </c>
      <c r="I333" s="146" t="s">
        <v>1195</v>
      </c>
      <c r="J333" s="146" t="s">
        <v>1366</v>
      </c>
      <c r="K333" s="146" t="s">
        <v>1367</v>
      </c>
      <c r="L333" s="146" t="s">
        <v>805</v>
      </c>
      <c r="M333" s="146"/>
      <c r="N333" s="146" t="s">
        <v>1111</v>
      </c>
    </row>
    <row r="334" spans="1:14">
      <c r="A334" s="144" t="s">
        <v>1153</v>
      </c>
      <c r="B334" s="144" t="s">
        <v>2065</v>
      </c>
      <c r="C334" s="144" t="s">
        <v>1098</v>
      </c>
      <c r="D334" s="144" t="s">
        <v>1425</v>
      </c>
      <c r="E334" s="144" t="s">
        <v>2066</v>
      </c>
      <c r="F334" s="144" t="s">
        <v>1105</v>
      </c>
      <c r="G334" s="144" t="s">
        <v>1080</v>
      </c>
      <c r="H334" s="144" t="s">
        <v>1091</v>
      </c>
      <c r="I334" s="144" t="s">
        <v>1092</v>
      </c>
      <c r="J334" s="144" t="s">
        <v>1759</v>
      </c>
      <c r="K334" s="144" t="s">
        <v>1758</v>
      </c>
      <c r="L334" s="144" t="s">
        <v>805</v>
      </c>
      <c r="M334" s="144"/>
      <c r="N334" s="144" t="s">
        <v>1102</v>
      </c>
    </row>
    <row r="335" spans="1:14">
      <c r="A335" s="146" t="s">
        <v>1153</v>
      </c>
      <c r="B335" s="146" t="s">
        <v>2067</v>
      </c>
      <c r="C335" s="146" t="s">
        <v>1098</v>
      </c>
      <c r="D335" s="146" t="s">
        <v>1425</v>
      </c>
      <c r="E335" s="146" t="s">
        <v>2068</v>
      </c>
      <c r="F335" s="146" t="s">
        <v>1105</v>
      </c>
      <c r="G335" s="146" t="s">
        <v>1133</v>
      </c>
      <c r="H335" s="146" t="s">
        <v>2006</v>
      </c>
      <c r="I335" s="146" t="s">
        <v>1289</v>
      </c>
      <c r="J335" s="146" t="s">
        <v>2069</v>
      </c>
      <c r="K335" s="146" t="s">
        <v>2008</v>
      </c>
      <c r="L335" s="146" t="s">
        <v>805</v>
      </c>
      <c r="M335" s="146"/>
      <c r="N335" s="146" t="s">
        <v>1102</v>
      </c>
    </row>
    <row r="336" spans="1:14">
      <c r="A336" s="144" t="s">
        <v>1153</v>
      </c>
      <c r="B336" s="144" t="s">
        <v>2070</v>
      </c>
      <c r="C336" s="144" t="s">
        <v>1098</v>
      </c>
      <c r="D336" s="144" t="s">
        <v>1425</v>
      </c>
      <c r="E336" s="144" t="s">
        <v>2071</v>
      </c>
      <c r="F336" s="144" t="s">
        <v>1090</v>
      </c>
      <c r="G336" s="144" t="s">
        <v>1080</v>
      </c>
      <c r="H336" s="144" t="s">
        <v>1134</v>
      </c>
      <c r="I336" s="144" t="s">
        <v>1694</v>
      </c>
      <c r="J336" s="144" t="s">
        <v>1257</v>
      </c>
      <c r="K336" s="144" t="s">
        <v>1389</v>
      </c>
      <c r="L336" s="144" t="s">
        <v>805</v>
      </c>
      <c r="M336" s="144"/>
      <c r="N336" s="144" t="s">
        <v>1114</v>
      </c>
    </row>
    <row r="337" spans="1:14">
      <c r="A337" s="146" t="s">
        <v>1153</v>
      </c>
      <c r="B337" s="146" t="s">
        <v>2072</v>
      </c>
      <c r="C337" s="146" t="s">
        <v>1098</v>
      </c>
      <c r="D337" s="146" t="s">
        <v>1425</v>
      </c>
      <c r="E337" s="146" t="s">
        <v>2073</v>
      </c>
      <c r="F337" s="146" t="s">
        <v>1090</v>
      </c>
      <c r="G337" s="146" t="s">
        <v>1080</v>
      </c>
      <c r="H337" s="146" t="s">
        <v>1205</v>
      </c>
      <c r="I337" s="146" t="s">
        <v>1206</v>
      </c>
      <c r="J337" s="146" t="s">
        <v>1207</v>
      </c>
      <c r="K337" s="146" t="s">
        <v>1208</v>
      </c>
      <c r="L337" s="146" t="s">
        <v>805</v>
      </c>
      <c r="M337" s="146"/>
      <c r="N337" s="146" t="s">
        <v>1114</v>
      </c>
    </row>
    <row r="338" spans="1:14">
      <c r="A338" s="144" t="s">
        <v>1146</v>
      </c>
      <c r="B338" s="144" t="s">
        <v>1308</v>
      </c>
      <c r="C338" s="144" t="s">
        <v>1308</v>
      </c>
      <c r="D338" s="144" t="s">
        <v>1308</v>
      </c>
      <c r="E338" s="144" t="s">
        <v>2074</v>
      </c>
      <c r="F338" s="144" t="s">
        <v>1117</v>
      </c>
      <c r="G338" s="144" t="s">
        <v>1133</v>
      </c>
      <c r="H338" s="144" t="s">
        <v>1091</v>
      </c>
      <c r="I338" s="144" t="s">
        <v>1798</v>
      </c>
      <c r="J338" s="144" t="s">
        <v>2075</v>
      </c>
      <c r="K338" s="144" t="s">
        <v>2076</v>
      </c>
      <c r="L338" s="144" t="s">
        <v>805</v>
      </c>
      <c r="M338" s="144"/>
      <c r="N338" s="144" t="s">
        <v>1111</v>
      </c>
    </row>
    <row r="339" spans="1:14">
      <c r="A339" s="146" t="s">
        <v>1153</v>
      </c>
      <c r="B339" s="146" t="s">
        <v>2077</v>
      </c>
      <c r="C339" s="146" t="s">
        <v>1098</v>
      </c>
      <c r="D339" s="146" t="s">
        <v>1425</v>
      </c>
      <c r="E339" s="146" t="s">
        <v>2078</v>
      </c>
      <c r="F339" s="146" t="s">
        <v>1117</v>
      </c>
      <c r="G339" s="146" t="s">
        <v>1133</v>
      </c>
      <c r="H339" s="146" t="s">
        <v>1847</v>
      </c>
      <c r="I339" s="146" t="s">
        <v>1848</v>
      </c>
      <c r="J339" s="146" t="s">
        <v>2079</v>
      </c>
      <c r="K339" s="146" t="s">
        <v>2079</v>
      </c>
      <c r="L339" s="146" t="s">
        <v>805</v>
      </c>
      <c r="M339" s="146"/>
      <c r="N339" s="146" t="s">
        <v>1114</v>
      </c>
    </row>
    <row r="340" spans="1:14">
      <c r="A340" s="144" t="s">
        <v>1153</v>
      </c>
      <c r="B340" s="144" t="s">
        <v>2080</v>
      </c>
      <c r="C340" s="144" t="s">
        <v>1098</v>
      </c>
      <c r="D340" s="144" t="s">
        <v>1425</v>
      </c>
      <c r="E340" s="144" t="s">
        <v>2081</v>
      </c>
      <c r="F340" s="144" t="s">
        <v>1105</v>
      </c>
      <c r="G340" s="144" t="s">
        <v>1080</v>
      </c>
      <c r="H340" s="144" t="s">
        <v>1194</v>
      </c>
      <c r="I340" s="144" t="s">
        <v>1195</v>
      </c>
      <c r="J340" s="144" t="s">
        <v>1196</v>
      </c>
      <c r="K340" s="144" t="s">
        <v>1197</v>
      </c>
      <c r="L340" s="144" t="s">
        <v>805</v>
      </c>
      <c r="M340" s="144"/>
      <c r="N340" s="144" t="s">
        <v>1102</v>
      </c>
    </row>
    <row r="341" spans="1:14">
      <c r="A341" s="146" t="s">
        <v>1153</v>
      </c>
      <c r="B341" s="146" t="s">
        <v>2082</v>
      </c>
      <c r="C341" s="146" t="s">
        <v>1098</v>
      </c>
      <c r="D341" s="146" t="s">
        <v>1425</v>
      </c>
      <c r="E341" s="146" t="s">
        <v>2083</v>
      </c>
      <c r="F341" s="146" t="s">
        <v>1105</v>
      </c>
      <c r="G341" s="146" t="s">
        <v>1133</v>
      </c>
      <c r="H341" s="146" t="s">
        <v>1194</v>
      </c>
      <c r="I341" s="146" t="s">
        <v>1195</v>
      </c>
      <c r="J341" s="146" t="s">
        <v>1564</v>
      </c>
      <c r="K341" s="146" t="s">
        <v>1338</v>
      </c>
      <c r="L341" s="146" t="s">
        <v>805</v>
      </c>
      <c r="M341" s="146"/>
      <c r="N341" s="146" t="s">
        <v>1102</v>
      </c>
    </row>
    <row r="342" spans="1:14">
      <c r="A342" s="144" t="s">
        <v>1146</v>
      </c>
      <c r="B342" s="144" t="s">
        <v>2084</v>
      </c>
      <c r="C342" s="144" t="s">
        <v>1098</v>
      </c>
      <c r="D342" s="144" t="s">
        <v>2084</v>
      </c>
      <c r="E342" s="144" t="s">
        <v>2085</v>
      </c>
      <c r="F342" s="144" t="s">
        <v>1090</v>
      </c>
      <c r="G342" s="144" t="s">
        <v>1080</v>
      </c>
      <c r="H342" s="144" t="s">
        <v>1134</v>
      </c>
      <c r="I342" s="144" t="s">
        <v>1694</v>
      </c>
      <c r="J342" s="144" t="s">
        <v>1257</v>
      </c>
      <c r="K342" s="144" t="s">
        <v>1694</v>
      </c>
      <c r="L342" s="144" t="s">
        <v>805</v>
      </c>
      <c r="M342" s="144"/>
      <c r="N342" s="144" t="s">
        <v>1114</v>
      </c>
    </row>
    <row r="343" spans="1:14">
      <c r="A343" s="146" t="s">
        <v>1146</v>
      </c>
      <c r="B343" s="146" t="s">
        <v>651</v>
      </c>
      <c r="C343" s="146" t="s">
        <v>1098</v>
      </c>
      <c r="D343" s="146" t="s">
        <v>651</v>
      </c>
      <c r="E343" s="146" t="s">
        <v>2086</v>
      </c>
      <c r="F343" s="146" t="s">
        <v>1250</v>
      </c>
      <c r="G343" s="146" t="s">
        <v>1080</v>
      </c>
      <c r="H343" s="146" t="s">
        <v>1081</v>
      </c>
      <c r="I343" s="146" t="s">
        <v>1082</v>
      </c>
      <c r="J343" s="146" t="s">
        <v>1083</v>
      </c>
      <c r="K343" s="146" t="s">
        <v>1084</v>
      </c>
      <c r="L343" s="146" t="s">
        <v>805</v>
      </c>
      <c r="M343" s="146"/>
      <c r="N343" s="146" t="s">
        <v>1098</v>
      </c>
    </row>
    <row r="344" spans="1:14">
      <c r="A344" s="144" t="s">
        <v>1153</v>
      </c>
      <c r="B344" s="144" t="s">
        <v>2087</v>
      </c>
      <c r="C344" s="144" t="s">
        <v>1098</v>
      </c>
      <c r="D344" s="144" t="s">
        <v>1425</v>
      </c>
      <c r="E344" s="144" t="s">
        <v>2088</v>
      </c>
      <c r="F344" s="144" t="s">
        <v>1105</v>
      </c>
      <c r="G344" s="144" t="s">
        <v>1133</v>
      </c>
      <c r="H344" s="144" t="s">
        <v>1711</v>
      </c>
      <c r="I344" s="144" t="s">
        <v>1289</v>
      </c>
      <c r="J344" s="144" t="s">
        <v>2089</v>
      </c>
      <c r="K344" s="144" t="s">
        <v>1713</v>
      </c>
      <c r="L344" s="144" t="s">
        <v>805</v>
      </c>
      <c r="M344" s="144"/>
      <c r="N344" s="144" t="s">
        <v>1102</v>
      </c>
    </row>
    <row r="345" spans="1:14">
      <c r="A345" s="146" t="s">
        <v>1146</v>
      </c>
      <c r="B345" s="146" t="s">
        <v>1311</v>
      </c>
      <c r="C345" s="146" t="s">
        <v>1311</v>
      </c>
      <c r="D345" s="146" t="s">
        <v>1311</v>
      </c>
      <c r="E345" s="146" t="s">
        <v>2090</v>
      </c>
      <c r="F345" s="146" t="s">
        <v>1105</v>
      </c>
      <c r="G345" s="146" t="s">
        <v>1133</v>
      </c>
      <c r="H345" s="146" t="s">
        <v>1665</v>
      </c>
      <c r="I345" s="146" t="s">
        <v>1668</v>
      </c>
      <c r="J345" s="146" t="s">
        <v>1668</v>
      </c>
      <c r="K345" s="146" t="s">
        <v>1837</v>
      </c>
      <c r="L345" s="146" t="s">
        <v>805</v>
      </c>
      <c r="M345" s="146"/>
      <c r="N345" s="146" t="s">
        <v>1111</v>
      </c>
    </row>
    <row r="346" spans="1:14">
      <c r="A346" s="144" t="s">
        <v>1153</v>
      </c>
      <c r="B346" s="144" t="s">
        <v>2091</v>
      </c>
      <c r="C346" s="144" t="s">
        <v>1098</v>
      </c>
      <c r="D346" s="144" t="s">
        <v>1425</v>
      </c>
      <c r="E346" s="144" t="s">
        <v>2092</v>
      </c>
      <c r="F346" s="144" t="s">
        <v>1117</v>
      </c>
      <c r="G346" s="144" t="s">
        <v>1080</v>
      </c>
      <c r="H346" s="144" t="s">
        <v>1194</v>
      </c>
      <c r="I346" s="144" t="s">
        <v>1195</v>
      </c>
      <c r="J346" s="144" t="s">
        <v>2093</v>
      </c>
      <c r="K346" s="144" t="s">
        <v>1338</v>
      </c>
      <c r="L346" s="144" t="s">
        <v>805</v>
      </c>
      <c r="M346" s="144"/>
      <c r="N346" s="144" t="s">
        <v>1114</v>
      </c>
    </row>
    <row r="347" spans="1:14">
      <c r="A347" s="146" t="s">
        <v>1153</v>
      </c>
      <c r="B347" s="146" t="s">
        <v>2094</v>
      </c>
      <c r="C347" s="146" t="s">
        <v>1098</v>
      </c>
      <c r="D347" s="146" t="s">
        <v>1425</v>
      </c>
      <c r="E347" s="146" t="s">
        <v>2095</v>
      </c>
      <c r="F347" s="146" t="s">
        <v>1105</v>
      </c>
      <c r="G347" s="146" t="s">
        <v>1080</v>
      </c>
      <c r="H347" s="146" t="s">
        <v>1134</v>
      </c>
      <c r="I347" s="146" t="s">
        <v>1136</v>
      </c>
      <c r="J347" s="146" t="s">
        <v>1243</v>
      </c>
      <c r="K347" s="146" t="s">
        <v>1243</v>
      </c>
      <c r="L347" s="146" t="s">
        <v>805</v>
      </c>
      <c r="M347" s="146"/>
      <c r="N347" s="146" t="s">
        <v>1123</v>
      </c>
    </row>
    <row r="348" spans="1:14">
      <c r="A348" s="144" t="s">
        <v>1146</v>
      </c>
      <c r="B348" s="144" t="s">
        <v>2096</v>
      </c>
      <c r="C348" s="144" t="s">
        <v>1098</v>
      </c>
      <c r="D348" s="144" t="s">
        <v>2096</v>
      </c>
      <c r="E348" s="144" t="s">
        <v>2097</v>
      </c>
      <c r="F348" s="144" t="s">
        <v>1250</v>
      </c>
      <c r="G348" s="144" t="s">
        <v>1168</v>
      </c>
      <c r="H348" s="144" t="s">
        <v>1205</v>
      </c>
      <c r="I348" s="144" t="s">
        <v>1206</v>
      </c>
      <c r="J348" s="144" t="s">
        <v>1207</v>
      </c>
      <c r="K348" s="144" t="s">
        <v>1208</v>
      </c>
      <c r="L348" s="144" t="s">
        <v>805</v>
      </c>
      <c r="M348" s="144"/>
      <c r="N348" s="144" t="s">
        <v>1098</v>
      </c>
    </row>
    <row r="349" spans="1:14">
      <c r="A349" s="146" t="s">
        <v>1153</v>
      </c>
      <c r="B349" s="146" t="s">
        <v>2098</v>
      </c>
      <c r="C349" s="146" t="s">
        <v>1098</v>
      </c>
      <c r="D349" s="146" t="s">
        <v>1425</v>
      </c>
      <c r="E349" s="146" t="s">
        <v>2099</v>
      </c>
      <c r="F349" s="146" t="s">
        <v>1105</v>
      </c>
      <c r="G349" s="146" t="s">
        <v>1133</v>
      </c>
      <c r="H349" s="146" t="s">
        <v>1134</v>
      </c>
      <c r="I349" s="146" t="s">
        <v>1136</v>
      </c>
      <c r="J349" s="146" t="s">
        <v>1145</v>
      </c>
      <c r="K349" s="146" t="s">
        <v>2100</v>
      </c>
      <c r="L349" s="146" t="s">
        <v>805</v>
      </c>
      <c r="M349" s="146"/>
      <c r="N349" s="146" t="s">
        <v>1123</v>
      </c>
    </row>
    <row r="350" spans="1:14">
      <c r="A350" s="144" t="s">
        <v>1146</v>
      </c>
      <c r="B350" s="144" t="s">
        <v>2101</v>
      </c>
      <c r="C350" s="144" t="s">
        <v>1098</v>
      </c>
      <c r="D350" s="144" t="s">
        <v>2101</v>
      </c>
      <c r="E350" s="144" t="s">
        <v>2102</v>
      </c>
      <c r="F350" s="144" t="s">
        <v>1105</v>
      </c>
      <c r="G350" s="144" t="s">
        <v>1133</v>
      </c>
      <c r="H350" s="144" t="s">
        <v>1134</v>
      </c>
      <c r="I350" s="144" t="s">
        <v>1136</v>
      </c>
      <c r="J350" s="144" t="s">
        <v>2103</v>
      </c>
      <c r="K350" s="144" t="s">
        <v>1184</v>
      </c>
      <c r="L350" s="144" t="s">
        <v>805</v>
      </c>
      <c r="M350" s="144"/>
      <c r="N350" s="144" t="s">
        <v>1123</v>
      </c>
    </row>
    <row r="351" spans="1:14">
      <c r="A351" s="146" t="s">
        <v>1153</v>
      </c>
      <c r="B351" s="146" t="s">
        <v>2104</v>
      </c>
      <c r="C351" s="146" t="s">
        <v>1098</v>
      </c>
      <c r="D351" s="146" t="s">
        <v>1425</v>
      </c>
      <c r="E351" s="146" t="s">
        <v>2105</v>
      </c>
      <c r="F351" s="146" t="s">
        <v>1105</v>
      </c>
      <c r="G351" s="146" t="s">
        <v>1133</v>
      </c>
      <c r="H351" s="146" t="s">
        <v>1665</v>
      </c>
      <c r="I351" s="146" t="s">
        <v>1666</v>
      </c>
      <c r="J351" s="146" t="s">
        <v>2106</v>
      </c>
      <c r="K351" s="146" t="s">
        <v>1800</v>
      </c>
      <c r="L351" s="146" t="s">
        <v>805</v>
      </c>
      <c r="M351" s="146"/>
      <c r="N351" s="146" t="s">
        <v>1102</v>
      </c>
    </row>
    <row r="352" spans="1:14">
      <c r="A352" s="144" t="s">
        <v>1153</v>
      </c>
      <c r="B352" s="144" t="s">
        <v>2107</v>
      </c>
      <c r="C352" s="144" t="s">
        <v>1098</v>
      </c>
      <c r="D352" s="144" t="s">
        <v>1425</v>
      </c>
      <c r="E352" s="144" t="s">
        <v>2108</v>
      </c>
      <c r="F352" s="144" t="s">
        <v>1105</v>
      </c>
      <c r="G352" s="144" t="s">
        <v>1133</v>
      </c>
      <c r="H352" s="144" t="s">
        <v>1665</v>
      </c>
      <c r="I352" s="144" t="s">
        <v>2109</v>
      </c>
      <c r="J352" s="144" t="s">
        <v>2106</v>
      </c>
      <c r="K352" s="144" t="s">
        <v>1800</v>
      </c>
      <c r="L352" s="144" t="s">
        <v>805</v>
      </c>
      <c r="M352" s="144"/>
      <c r="N352" s="144" t="s">
        <v>1102</v>
      </c>
    </row>
    <row r="353" spans="1:14">
      <c r="A353" s="146" t="s">
        <v>1153</v>
      </c>
      <c r="B353" s="146" t="s">
        <v>2110</v>
      </c>
      <c r="C353" s="146" t="s">
        <v>1098</v>
      </c>
      <c r="D353" s="146" t="s">
        <v>1425</v>
      </c>
      <c r="E353" s="146" t="s">
        <v>2111</v>
      </c>
      <c r="F353" s="146" t="s">
        <v>1105</v>
      </c>
      <c r="G353" s="146" t="s">
        <v>1133</v>
      </c>
      <c r="H353" s="146" t="s">
        <v>1194</v>
      </c>
      <c r="I353" s="146" t="s">
        <v>1195</v>
      </c>
      <c r="J353" s="146" t="s">
        <v>2112</v>
      </c>
      <c r="K353" s="146" t="s">
        <v>1367</v>
      </c>
      <c r="L353" s="146" t="s">
        <v>805</v>
      </c>
      <c r="M353" s="146"/>
      <c r="N353" s="146" t="s">
        <v>1102</v>
      </c>
    </row>
    <row r="354" spans="1:14">
      <c r="A354" s="144" t="s">
        <v>1153</v>
      </c>
      <c r="B354" s="144" t="s">
        <v>2113</v>
      </c>
      <c r="C354" s="144" t="s">
        <v>1098</v>
      </c>
      <c r="D354" s="144" t="s">
        <v>1425</v>
      </c>
      <c r="E354" s="144" t="s">
        <v>2114</v>
      </c>
      <c r="F354" s="144" t="s">
        <v>1105</v>
      </c>
      <c r="G354" s="144" t="s">
        <v>1133</v>
      </c>
      <c r="H354" s="144" t="s">
        <v>1332</v>
      </c>
      <c r="I354" s="144" t="s">
        <v>1342</v>
      </c>
      <c r="J354" s="144" t="s">
        <v>2115</v>
      </c>
      <c r="K354" s="144" t="s">
        <v>2115</v>
      </c>
      <c r="L354" s="144" t="s">
        <v>805</v>
      </c>
      <c r="M354" s="144"/>
      <c r="N354" s="144" t="s">
        <v>1102</v>
      </c>
    </row>
    <row r="355" spans="1:14">
      <c r="A355" s="146" t="s">
        <v>1146</v>
      </c>
      <c r="B355" s="146" t="s">
        <v>1315</v>
      </c>
      <c r="C355" s="146" t="s">
        <v>1315</v>
      </c>
      <c r="D355" s="146" t="s">
        <v>1315</v>
      </c>
      <c r="E355" s="146" t="s">
        <v>2116</v>
      </c>
      <c r="F355" s="146" t="s">
        <v>1090</v>
      </c>
      <c r="G355" s="146" t="s">
        <v>1133</v>
      </c>
      <c r="H355" s="146" t="s">
        <v>1505</v>
      </c>
      <c r="I355" s="146" t="s">
        <v>1506</v>
      </c>
      <c r="J355" s="146" t="s">
        <v>1795</v>
      </c>
      <c r="K355" s="146" t="s">
        <v>1795</v>
      </c>
      <c r="L355" s="146" t="s">
        <v>805</v>
      </c>
      <c r="M355" s="146"/>
      <c r="N355" s="146" t="s">
        <v>1111</v>
      </c>
    </row>
    <row r="356" spans="1:14">
      <c r="A356" s="144" t="s">
        <v>1146</v>
      </c>
      <c r="B356" s="144" t="s">
        <v>2117</v>
      </c>
      <c r="C356" s="144" t="s">
        <v>1098</v>
      </c>
      <c r="D356" s="144" t="s">
        <v>2117</v>
      </c>
      <c r="E356" s="144" t="s">
        <v>2118</v>
      </c>
      <c r="F356" s="144" t="s">
        <v>1105</v>
      </c>
      <c r="G356" s="144" t="s">
        <v>1133</v>
      </c>
      <c r="H356" s="144" t="s">
        <v>1711</v>
      </c>
      <c r="I356" s="144" t="s">
        <v>1289</v>
      </c>
      <c r="J356" s="144" t="s">
        <v>1289</v>
      </c>
      <c r="K356" s="144" t="s">
        <v>1966</v>
      </c>
      <c r="L356" s="144" t="s">
        <v>805</v>
      </c>
      <c r="M356" s="144"/>
      <c r="N356" s="144" t="s">
        <v>1098</v>
      </c>
    </row>
    <row r="357" spans="1:14">
      <c r="A357" s="146" t="s">
        <v>1153</v>
      </c>
      <c r="B357" s="146" t="s">
        <v>2119</v>
      </c>
      <c r="C357" s="146" t="s">
        <v>1098</v>
      </c>
      <c r="D357" s="146" t="s">
        <v>1425</v>
      </c>
      <c r="E357" s="146" t="s">
        <v>2120</v>
      </c>
      <c r="F357" s="146" t="s">
        <v>1090</v>
      </c>
      <c r="G357" s="146" t="s">
        <v>1133</v>
      </c>
      <c r="H357" s="146" t="s">
        <v>1150</v>
      </c>
      <c r="I357" s="146" t="s">
        <v>1152</v>
      </c>
      <c r="J357" s="146" t="s">
        <v>1152</v>
      </c>
      <c r="K357" s="146" t="s">
        <v>1716</v>
      </c>
      <c r="L357" s="146" t="s">
        <v>805</v>
      </c>
      <c r="M357" s="146"/>
      <c r="N357" s="146" t="s">
        <v>1114</v>
      </c>
    </row>
    <row r="358" spans="1:14">
      <c r="A358" s="144" t="s">
        <v>1146</v>
      </c>
      <c r="B358" s="144" t="s">
        <v>2121</v>
      </c>
      <c r="C358" s="144" t="s">
        <v>1098</v>
      </c>
      <c r="D358" s="144" t="s">
        <v>2121</v>
      </c>
      <c r="E358" s="144" t="s">
        <v>2122</v>
      </c>
      <c r="F358" s="144" t="s">
        <v>1105</v>
      </c>
      <c r="G358" s="144" t="s">
        <v>1080</v>
      </c>
      <c r="H358" s="144" t="s">
        <v>1091</v>
      </c>
      <c r="I358" s="144" t="s">
        <v>1092</v>
      </c>
      <c r="J358" s="144" t="s">
        <v>1349</v>
      </c>
      <c r="K358" s="144" t="s">
        <v>1349</v>
      </c>
      <c r="L358" s="144" t="s">
        <v>805</v>
      </c>
      <c r="M358" s="144"/>
      <c r="N358" s="144" t="s">
        <v>1098</v>
      </c>
    </row>
    <row r="359" spans="1:14">
      <c r="A359" s="146" t="s">
        <v>1146</v>
      </c>
      <c r="B359" s="146" t="s">
        <v>1319</v>
      </c>
      <c r="C359" s="146" t="s">
        <v>1319</v>
      </c>
      <c r="D359" s="146" t="s">
        <v>1319</v>
      </c>
      <c r="E359" s="146" t="s">
        <v>2123</v>
      </c>
      <c r="F359" s="146" t="s">
        <v>1105</v>
      </c>
      <c r="G359" s="146" t="s">
        <v>1080</v>
      </c>
      <c r="H359" s="146" t="s">
        <v>1847</v>
      </c>
      <c r="I359" s="146" t="s">
        <v>1848</v>
      </c>
      <c r="J359" s="146" t="s">
        <v>1849</v>
      </c>
      <c r="K359" s="146" t="s">
        <v>1849</v>
      </c>
      <c r="L359" s="146" t="s">
        <v>805</v>
      </c>
      <c r="M359" s="146"/>
      <c r="N359" s="146" t="s">
        <v>1111</v>
      </c>
    </row>
    <row r="360" spans="1:14">
      <c r="A360" s="144" t="s">
        <v>1146</v>
      </c>
      <c r="B360" s="144" t="s">
        <v>2124</v>
      </c>
      <c r="C360" s="144" t="s">
        <v>2124</v>
      </c>
      <c r="D360" s="144" t="s">
        <v>2124</v>
      </c>
      <c r="E360" s="144" t="s">
        <v>2125</v>
      </c>
      <c r="F360" s="144" t="s">
        <v>1105</v>
      </c>
      <c r="G360" s="144" t="s">
        <v>1133</v>
      </c>
      <c r="H360" s="144" t="s">
        <v>1194</v>
      </c>
      <c r="I360" s="144" t="s">
        <v>1195</v>
      </c>
      <c r="J360" s="144" t="s">
        <v>1649</v>
      </c>
      <c r="K360" s="144" t="s">
        <v>1367</v>
      </c>
      <c r="L360" s="144" t="s">
        <v>28</v>
      </c>
      <c r="M360" s="144"/>
      <c r="N360" s="144" t="s">
        <v>1085</v>
      </c>
    </row>
    <row r="361" spans="1:14">
      <c r="A361" s="146" t="s">
        <v>1153</v>
      </c>
      <c r="B361" s="146" t="s">
        <v>2126</v>
      </c>
      <c r="C361" s="146" t="s">
        <v>1098</v>
      </c>
      <c r="D361" s="146" t="s">
        <v>1425</v>
      </c>
      <c r="E361" s="146" t="s">
        <v>2127</v>
      </c>
      <c r="F361" s="146" t="s">
        <v>1105</v>
      </c>
      <c r="G361" s="146" t="s">
        <v>1080</v>
      </c>
      <c r="H361" s="146" t="s">
        <v>1205</v>
      </c>
      <c r="I361" s="146" t="s">
        <v>1206</v>
      </c>
      <c r="J361" s="146" t="s">
        <v>1207</v>
      </c>
      <c r="K361" s="146" t="s">
        <v>1208</v>
      </c>
      <c r="L361" s="146" t="s">
        <v>805</v>
      </c>
      <c r="M361" s="146"/>
      <c r="N361" s="146" t="s">
        <v>1102</v>
      </c>
    </row>
    <row r="362" spans="1:14">
      <c r="A362" s="144" t="s">
        <v>1153</v>
      </c>
      <c r="B362" s="144" t="s">
        <v>2128</v>
      </c>
      <c r="C362" s="144" t="s">
        <v>1098</v>
      </c>
      <c r="D362" s="144" t="s">
        <v>1425</v>
      </c>
      <c r="E362" s="144" t="s">
        <v>2129</v>
      </c>
      <c r="F362" s="144" t="s">
        <v>1105</v>
      </c>
      <c r="G362" s="144" t="s">
        <v>1133</v>
      </c>
      <c r="H362" s="144" t="s">
        <v>1118</v>
      </c>
      <c r="I362" s="144" t="s">
        <v>1119</v>
      </c>
      <c r="J362" s="144" t="s">
        <v>2130</v>
      </c>
      <c r="K362" s="144" t="s">
        <v>1371</v>
      </c>
      <c r="L362" s="144" t="s">
        <v>805</v>
      </c>
      <c r="M362" s="144"/>
      <c r="N362" s="144" t="s">
        <v>1102</v>
      </c>
    </row>
    <row r="363" spans="1:14">
      <c r="A363" s="146" t="s">
        <v>1153</v>
      </c>
      <c r="B363" s="146" t="s">
        <v>2131</v>
      </c>
      <c r="C363" s="146" t="s">
        <v>1098</v>
      </c>
      <c r="D363" s="146" t="s">
        <v>1425</v>
      </c>
      <c r="E363" s="146" t="s">
        <v>2132</v>
      </c>
      <c r="F363" s="146" t="s">
        <v>1105</v>
      </c>
      <c r="G363" s="146" t="s">
        <v>1133</v>
      </c>
      <c r="H363" s="146" t="s">
        <v>1169</v>
      </c>
      <c r="I363" s="146" t="s">
        <v>1190</v>
      </c>
      <c r="J363" s="146" t="s">
        <v>1170</v>
      </c>
      <c r="K363" s="146" t="s">
        <v>1172</v>
      </c>
      <c r="L363" s="146" t="s">
        <v>805</v>
      </c>
      <c r="M363" s="146"/>
      <c r="N363" s="146" t="s">
        <v>1102</v>
      </c>
    </row>
    <row r="364" spans="1:14">
      <c r="A364" s="144" t="s">
        <v>1153</v>
      </c>
      <c r="B364" s="144" t="s">
        <v>2133</v>
      </c>
      <c r="C364" s="144" t="s">
        <v>1098</v>
      </c>
      <c r="D364" s="144" t="s">
        <v>1425</v>
      </c>
      <c r="E364" s="144" t="s">
        <v>2134</v>
      </c>
      <c r="F364" s="144" t="s">
        <v>1250</v>
      </c>
      <c r="G364" s="144" t="s">
        <v>1133</v>
      </c>
      <c r="H364" s="144" t="s">
        <v>1973</v>
      </c>
      <c r="I364" s="144" t="s">
        <v>1974</v>
      </c>
      <c r="J364" s="144" t="s">
        <v>1974</v>
      </c>
      <c r="K364" s="144" t="s">
        <v>1974</v>
      </c>
      <c r="L364" s="144" t="s">
        <v>805</v>
      </c>
      <c r="M364" s="144"/>
      <c r="N364" s="144" t="s">
        <v>1102</v>
      </c>
    </row>
    <row r="365" spans="1:14">
      <c r="A365" s="146" t="s">
        <v>1153</v>
      </c>
      <c r="B365" s="146" t="s">
        <v>2135</v>
      </c>
      <c r="C365" s="146" t="s">
        <v>1098</v>
      </c>
      <c r="D365" s="146" t="s">
        <v>1425</v>
      </c>
      <c r="E365" s="146" t="s">
        <v>2136</v>
      </c>
      <c r="F365" s="146" t="s">
        <v>1105</v>
      </c>
      <c r="G365" s="146" t="s">
        <v>1133</v>
      </c>
      <c r="H365" s="146" t="s">
        <v>1134</v>
      </c>
      <c r="I365" s="146" t="s">
        <v>1136</v>
      </c>
      <c r="J365" s="146" t="s">
        <v>2137</v>
      </c>
      <c r="K365" s="146" t="s">
        <v>2137</v>
      </c>
      <c r="L365" s="146" t="s">
        <v>805</v>
      </c>
      <c r="M365" s="146"/>
      <c r="N365" s="146" t="s">
        <v>1123</v>
      </c>
    </row>
    <row r="366" spans="1:14">
      <c r="A366" s="144" t="s">
        <v>1146</v>
      </c>
      <c r="B366" s="144" t="s">
        <v>2138</v>
      </c>
      <c r="C366" s="144" t="s">
        <v>1098</v>
      </c>
      <c r="D366" s="144" t="s">
        <v>2138</v>
      </c>
      <c r="E366" s="144" t="s">
        <v>2139</v>
      </c>
      <c r="F366" s="144" t="s">
        <v>1105</v>
      </c>
      <c r="G366" s="144" t="s">
        <v>1133</v>
      </c>
      <c r="H366" s="144" t="s">
        <v>1205</v>
      </c>
      <c r="I366" s="144" t="s">
        <v>1206</v>
      </c>
      <c r="J366" s="144" t="s">
        <v>2140</v>
      </c>
      <c r="K366" s="144" t="s">
        <v>1582</v>
      </c>
      <c r="L366" s="144" t="s">
        <v>805</v>
      </c>
      <c r="M366" s="144"/>
      <c r="N366" s="144" t="s">
        <v>1098</v>
      </c>
    </row>
    <row r="367" spans="1:14">
      <c r="A367" s="146" t="s">
        <v>1146</v>
      </c>
      <c r="B367" s="146" t="s">
        <v>2141</v>
      </c>
      <c r="C367" s="146" t="s">
        <v>1098</v>
      </c>
      <c r="D367" s="146" t="s">
        <v>2141</v>
      </c>
      <c r="E367" s="146" t="s">
        <v>2142</v>
      </c>
      <c r="F367" s="146" t="s">
        <v>1117</v>
      </c>
      <c r="G367" s="146" t="s">
        <v>1168</v>
      </c>
      <c r="H367" s="146" t="s">
        <v>1134</v>
      </c>
      <c r="I367" s="146" t="s">
        <v>2143</v>
      </c>
      <c r="J367" s="146" t="s">
        <v>2144</v>
      </c>
      <c r="K367" s="146" t="s">
        <v>2145</v>
      </c>
      <c r="L367" s="146" t="s">
        <v>805</v>
      </c>
      <c r="M367" s="146"/>
      <c r="N367" s="146" t="s">
        <v>1114</v>
      </c>
    </row>
    <row r="368" spans="1:14">
      <c r="A368" s="144" t="s">
        <v>1153</v>
      </c>
      <c r="B368" s="144" t="s">
        <v>2146</v>
      </c>
      <c r="C368" s="144" t="s">
        <v>1098</v>
      </c>
      <c r="D368" s="144" t="s">
        <v>1425</v>
      </c>
      <c r="E368" s="144" t="s">
        <v>2147</v>
      </c>
      <c r="F368" s="144" t="s">
        <v>1105</v>
      </c>
      <c r="G368" s="144" t="s">
        <v>1080</v>
      </c>
      <c r="H368" s="144" t="s">
        <v>1091</v>
      </c>
      <c r="I368" s="144" t="s">
        <v>1092</v>
      </c>
      <c r="J368" s="144" t="s">
        <v>1349</v>
      </c>
      <c r="K368" s="144" t="s">
        <v>1093</v>
      </c>
      <c r="L368" s="144" t="s">
        <v>805</v>
      </c>
      <c r="M368" s="144"/>
      <c r="N368" s="144" t="s">
        <v>1102</v>
      </c>
    </row>
    <row r="369" spans="1:14">
      <c r="A369" s="146" t="s">
        <v>1153</v>
      </c>
      <c r="B369" s="146" t="s">
        <v>2148</v>
      </c>
      <c r="C369" s="146" t="s">
        <v>1098</v>
      </c>
      <c r="D369" s="146" t="s">
        <v>1425</v>
      </c>
      <c r="E369" s="146" t="s">
        <v>2149</v>
      </c>
      <c r="F369" s="146" t="s">
        <v>1105</v>
      </c>
      <c r="G369" s="146" t="s">
        <v>1080</v>
      </c>
      <c r="H369" s="146" t="s">
        <v>1091</v>
      </c>
      <c r="I369" s="146" t="s">
        <v>1092</v>
      </c>
      <c r="J369" s="146" t="s">
        <v>1349</v>
      </c>
      <c r="K369" s="146" t="s">
        <v>1093</v>
      </c>
      <c r="L369" s="146" t="s">
        <v>805</v>
      </c>
      <c r="M369" s="146"/>
      <c r="N369" s="146" t="s">
        <v>1102</v>
      </c>
    </row>
    <row r="370" spans="1:14">
      <c r="A370" s="144" t="s">
        <v>1153</v>
      </c>
      <c r="B370" s="144" t="s">
        <v>2150</v>
      </c>
      <c r="C370" s="144" t="s">
        <v>1098</v>
      </c>
      <c r="D370" s="144" t="s">
        <v>1425</v>
      </c>
      <c r="E370" s="144" t="s">
        <v>2151</v>
      </c>
      <c r="F370" s="144" t="s">
        <v>1105</v>
      </c>
      <c r="G370" s="144" t="s">
        <v>1080</v>
      </c>
      <c r="H370" s="144" t="s">
        <v>1091</v>
      </c>
      <c r="I370" s="144" t="s">
        <v>1092</v>
      </c>
      <c r="J370" s="144" t="s">
        <v>1349</v>
      </c>
      <c r="K370" s="144" t="s">
        <v>1093</v>
      </c>
      <c r="L370" s="144" t="s">
        <v>805</v>
      </c>
      <c r="M370" s="144"/>
      <c r="N370" s="144" t="s">
        <v>1102</v>
      </c>
    </row>
    <row r="371" spans="1:14">
      <c r="A371" s="146" t="s">
        <v>1146</v>
      </c>
      <c r="B371" s="146" t="s">
        <v>1322</v>
      </c>
      <c r="C371" s="146" t="s">
        <v>1322</v>
      </c>
      <c r="D371" s="146" t="s">
        <v>1322</v>
      </c>
      <c r="E371" s="146" t="s">
        <v>2152</v>
      </c>
      <c r="F371" s="146" t="s">
        <v>1105</v>
      </c>
      <c r="G371" s="146" t="s">
        <v>1080</v>
      </c>
      <c r="H371" s="146" t="s">
        <v>1091</v>
      </c>
      <c r="I371" s="146" t="s">
        <v>1092</v>
      </c>
      <c r="J371" s="146" t="s">
        <v>1349</v>
      </c>
      <c r="K371" s="146" t="s">
        <v>1093</v>
      </c>
      <c r="L371" s="146" t="s">
        <v>805</v>
      </c>
      <c r="M371" s="146"/>
      <c r="N371" s="146" t="s">
        <v>1111</v>
      </c>
    </row>
    <row r="372" spans="1:14">
      <c r="A372" s="144" t="s">
        <v>1146</v>
      </c>
      <c r="B372" s="144" t="s">
        <v>2153</v>
      </c>
      <c r="C372" s="144" t="s">
        <v>1098</v>
      </c>
      <c r="D372" s="144" t="s">
        <v>2153</v>
      </c>
      <c r="E372" s="144" t="s">
        <v>2154</v>
      </c>
      <c r="F372" s="144" t="s">
        <v>1105</v>
      </c>
      <c r="G372" s="144" t="s">
        <v>1133</v>
      </c>
      <c r="H372" s="144" t="s">
        <v>1194</v>
      </c>
      <c r="I372" s="144" t="s">
        <v>1195</v>
      </c>
      <c r="J372" s="144" t="s">
        <v>2155</v>
      </c>
      <c r="K372" s="144" t="s">
        <v>1379</v>
      </c>
      <c r="L372" s="144" t="s">
        <v>805</v>
      </c>
      <c r="M372" s="144"/>
      <c r="N372" s="144" t="s">
        <v>1098</v>
      </c>
    </row>
    <row r="373" spans="1:14">
      <c r="A373" s="146" t="s">
        <v>1146</v>
      </c>
      <c r="B373" s="146" t="s">
        <v>2156</v>
      </c>
      <c r="C373" s="146" t="s">
        <v>1098</v>
      </c>
      <c r="D373" s="146" t="s">
        <v>2156</v>
      </c>
      <c r="E373" s="146" t="s">
        <v>2157</v>
      </c>
      <c r="F373" s="146" t="s">
        <v>1105</v>
      </c>
      <c r="G373" s="146" t="s">
        <v>1080</v>
      </c>
      <c r="H373" s="146" t="s">
        <v>1205</v>
      </c>
      <c r="I373" s="146" t="s">
        <v>1206</v>
      </c>
      <c r="J373" s="146" t="s">
        <v>1207</v>
      </c>
      <c r="K373" s="146" t="s">
        <v>1582</v>
      </c>
      <c r="L373" s="146" t="s">
        <v>805</v>
      </c>
      <c r="M373" s="146"/>
      <c r="N373" s="146" t="s">
        <v>1098</v>
      </c>
    </row>
    <row r="374" spans="1:14">
      <c r="A374" s="144" t="s">
        <v>1153</v>
      </c>
      <c r="B374" s="144" t="s">
        <v>2158</v>
      </c>
      <c r="C374" s="144" t="s">
        <v>1098</v>
      </c>
      <c r="D374" s="144" t="s">
        <v>1425</v>
      </c>
      <c r="E374" s="144" t="s">
        <v>2159</v>
      </c>
      <c r="F374" s="144" t="s">
        <v>1105</v>
      </c>
      <c r="G374" s="144" t="s">
        <v>1133</v>
      </c>
      <c r="H374" s="144" t="s">
        <v>1665</v>
      </c>
      <c r="I374" s="144" t="s">
        <v>1666</v>
      </c>
      <c r="J374" s="144" t="s">
        <v>1668</v>
      </c>
      <c r="K374" s="144" t="s">
        <v>1893</v>
      </c>
      <c r="L374" s="144" t="s">
        <v>805</v>
      </c>
      <c r="M374" s="144"/>
      <c r="N374" s="144" t="s">
        <v>1102</v>
      </c>
    </row>
    <row r="375" spans="1:14">
      <c r="A375" s="146" t="s">
        <v>1153</v>
      </c>
      <c r="B375" s="146" t="s">
        <v>2160</v>
      </c>
      <c r="C375" s="146" t="s">
        <v>1098</v>
      </c>
      <c r="D375" s="146" t="s">
        <v>1425</v>
      </c>
      <c r="E375" s="146" t="s">
        <v>2161</v>
      </c>
      <c r="F375" s="146" t="s">
        <v>1105</v>
      </c>
      <c r="G375" s="146" t="s">
        <v>1133</v>
      </c>
      <c r="H375" s="146" t="s">
        <v>1194</v>
      </c>
      <c r="I375" s="146" t="s">
        <v>1195</v>
      </c>
      <c r="J375" s="146" t="s">
        <v>2162</v>
      </c>
      <c r="K375" s="146" t="s">
        <v>1367</v>
      </c>
      <c r="L375" s="146" t="s">
        <v>805</v>
      </c>
      <c r="M375" s="146"/>
      <c r="N375" s="146" t="s">
        <v>1102</v>
      </c>
    </row>
    <row r="376" spans="1:14">
      <c r="A376" s="144" t="s">
        <v>1146</v>
      </c>
      <c r="B376" s="144" t="s">
        <v>2163</v>
      </c>
      <c r="C376" s="144" t="s">
        <v>1098</v>
      </c>
      <c r="D376" s="144" t="s">
        <v>2163</v>
      </c>
      <c r="E376" s="144" t="s">
        <v>2164</v>
      </c>
      <c r="F376" s="144" t="s">
        <v>1105</v>
      </c>
      <c r="G376" s="144" t="s">
        <v>1080</v>
      </c>
      <c r="H376" s="144" t="s">
        <v>1091</v>
      </c>
      <c r="I376" s="144" t="s">
        <v>1092</v>
      </c>
      <c r="J376" s="144" t="s">
        <v>1759</v>
      </c>
      <c r="K376" s="144" t="s">
        <v>2165</v>
      </c>
      <c r="L376" s="144" t="s">
        <v>805</v>
      </c>
      <c r="M376" s="144"/>
      <c r="N376" s="144" t="s">
        <v>1098</v>
      </c>
    </row>
  </sheetData>
  <mergeCells count="4">
    <mergeCell ref="P1:Q2"/>
    <mergeCell ref="P8:Q9"/>
    <mergeCell ref="P16:Q17"/>
    <mergeCell ref="S11:T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7126-AF30-4589-8729-F38AA8634548}">
  <dimension ref="A1:I167"/>
  <sheetViews>
    <sheetView topLeftCell="B1" zoomScale="69" workbookViewId="0">
      <selection activeCell="C8" sqref="C8"/>
    </sheetView>
  </sheetViews>
  <sheetFormatPr defaultColWidth="11.42578125" defaultRowHeight="15"/>
  <cols>
    <col min="1" max="2" width="57" bestFit="1" customWidth="1"/>
    <col min="3" max="4" width="52.85546875" customWidth="1"/>
    <col min="5" max="5" width="15.7109375" customWidth="1"/>
    <col min="7" max="7" width="30.7109375" customWidth="1"/>
  </cols>
  <sheetData>
    <row r="1" spans="1:9">
      <c r="A1" s="210" t="s">
        <v>2166</v>
      </c>
      <c r="B1" s="210" t="s">
        <v>2167</v>
      </c>
      <c r="C1" s="210" t="s">
        <v>2168</v>
      </c>
      <c r="D1" s="210" t="s">
        <v>2169</v>
      </c>
      <c r="E1" s="210" t="s">
        <v>2170</v>
      </c>
      <c r="F1" s="181" t="s">
        <v>307</v>
      </c>
      <c r="G1" s="181" t="s">
        <v>311</v>
      </c>
      <c r="H1" s="180" t="s">
        <v>312</v>
      </c>
    </row>
    <row r="2" spans="1:9">
      <c r="A2" s="211" t="s">
        <v>1078</v>
      </c>
      <c r="B2" s="211" t="s">
        <v>1078</v>
      </c>
      <c r="C2" s="211" t="s">
        <v>2171</v>
      </c>
      <c r="D2" s="211"/>
      <c r="E2" s="211" t="s">
        <v>2172</v>
      </c>
      <c r="F2" s="180" t="s">
        <v>2173</v>
      </c>
      <c r="G2" s="182">
        <v>46174</v>
      </c>
      <c r="H2" s="182">
        <v>46203</v>
      </c>
      <c r="I2">
        <v>1</v>
      </c>
    </row>
    <row r="3" spans="1:9">
      <c r="A3" s="211" t="s">
        <v>1088</v>
      </c>
      <c r="B3" s="211" t="s">
        <v>2174</v>
      </c>
      <c r="C3" s="211" t="s">
        <v>2175</v>
      </c>
      <c r="D3" s="211">
        <v>6311</v>
      </c>
      <c r="E3" s="211" t="s">
        <v>2172</v>
      </c>
      <c r="F3" s="180" t="s">
        <v>2173</v>
      </c>
      <c r="G3" s="182">
        <v>46174</v>
      </c>
      <c r="H3" s="182">
        <v>46203</v>
      </c>
      <c r="I3">
        <v>2</v>
      </c>
    </row>
    <row r="4" spans="1:9">
      <c r="A4" s="211" t="s">
        <v>1096</v>
      </c>
      <c r="B4" s="211" t="s">
        <v>1096</v>
      </c>
      <c r="C4" s="211" t="s">
        <v>2171</v>
      </c>
      <c r="D4" s="211"/>
      <c r="E4" s="211" t="s">
        <v>2172</v>
      </c>
      <c r="F4" s="180" t="s">
        <v>2173</v>
      </c>
      <c r="G4" s="182">
        <v>46174</v>
      </c>
      <c r="H4" s="182">
        <v>46203</v>
      </c>
      <c r="I4">
        <v>3</v>
      </c>
    </row>
    <row r="5" spans="1:9">
      <c r="A5" s="211" t="s">
        <v>1100</v>
      </c>
      <c r="B5" s="211" t="s">
        <v>1100</v>
      </c>
      <c r="C5" s="211" t="s">
        <v>2171</v>
      </c>
      <c r="D5" s="211"/>
      <c r="E5" s="211" t="s">
        <v>2172</v>
      </c>
      <c r="F5" s="180" t="s">
        <v>2173</v>
      </c>
      <c r="G5" s="182">
        <v>46174</v>
      </c>
      <c r="H5" s="182">
        <v>46203</v>
      </c>
      <c r="I5">
        <v>4</v>
      </c>
    </row>
    <row r="6" spans="1:9">
      <c r="A6" s="211" t="s">
        <v>2176</v>
      </c>
      <c r="B6" s="211" t="s">
        <v>2176</v>
      </c>
      <c r="C6" s="211" t="s">
        <v>2177</v>
      </c>
      <c r="D6" s="211"/>
      <c r="E6" s="211" t="s">
        <v>2178</v>
      </c>
      <c r="F6" s="180" t="s">
        <v>2179</v>
      </c>
      <c r="G6" s="182">
        <v>46174</v>
      </c>
      <c r="H6" s="182">
        <v>46203</v>
      </c>
      <c r="I6">
        <v>5</v>
      </c>
    </row>
    <row r="7" spans="1:9">
      <c r="A7" s="211" t="s">
        <v>2180</v>
      </c>
      <c r="B7" s="211" t="s">
        <v>2180</v>
      </c>
      <c r="C7" s="211" t="s">
        <v>2171</v>
      </c>
      <c r="D7" s="211"/>
      <c r="E7" s="211" t="s">
        <v>2172</v>
      </c>
      <c r="F7" s="180" t="s">
        <v>2173</v>
      </c>
      <c r="G7" s="182">
        <v>46174</v>
      </c>
      <c r="H7" s="182">
        <v>46203</v>
      </c>
      <c r="I7">
        <v>6</v>
      </c>
    </row>
    <row r="8" spans="1:9">
      <c r="A8" s="211" t="s">
        <v>1115</v>
      </c>
      <c r="B8" s="211" t="s">
        <v>2181</v>
      </c>
      <c r="C8" s="211" t="s">
        <v>2182</v>
      </c>
      <c r="D8" s="211"/>
      <c r="E8" s="211" t="s">
        <v>2183</v>
      </c>
      <c r="F8" s="180" t="s">
        <v>2173</v>
      </c>
      <c r="G8" s="182">
        <v>46174</v>
      </c>
      <c r="H8" s="182">
        <v>46203</v>
      </c>
      <c r="I8">
        <v>7</v>
      </c>
    </row>
    <row r="9" spans="1:9">
      <c r="A9" s="211" t="s">
        <v>2184</v>
      </c>
      <c r="B9" s="211" t="s">
        <v>2184</v>
      </c>
      <c r="C9" s="211" t="s">
        <v>2185</v>
      </c>
      <c r="D9" s="211"/>
      <c r="E9" s="211" t="s">
        <v>2172</v>
      </c>
      <c r="F9" s="180" t="s">
        <v>2173</v>
      </c>
      <c r="G9" s="182">
        <v>46174</v>
      </c>
      <c r="H9" s="182">
        <v>46203</v>
      </c>
      <c r="I9">
        <v>8</v>
      </c>
    </row>
    <row r="10" spans="1:9">
      <c r="A10" s="211" t="s">
        <v>1140</v>
      </c>
      <c r="B10" s="211" t="s">
        <v>1140</v>
      </c>
      <c r="C10" s="211" t="s">
        <v>2171</v>
      </c>
      <c r="D10" s="211"/>
      <c r="E10" s="211" t="s">
        <v>2172</v>
      </c>
      <c r="F10" s="180" t="s">
        <v>2173</v>
      </c>
      <c r="G10" s="182">
        <v>46174</v>
      </c>
      <c r="H10" s="182">
        <v>46203</v>
      </c>
      <c r="I10">
        <v>9</v>
      </c>
    </row>
    <row r="11" spans="1:9">
      <c r="A11" s="211" t="s">
        <v>2186</v>
      </c>
      <c r="B11" s="211" t="s">
        <v>2186</v>
      </c>
      <c r="C11" s="211" t="s">
        <v>2187</v>
      </c>
      <c r="D11" s="211"/>
      <c r="E11" s="211" t="s">
        <v>2178</v>
      </c>
      <c r="F11" s="180" t="s">
        <v>2173</v>
      </c>
      <c r="G11" s="182">
        <v>46174</v>
      </c>
      <c r="H11" s="182">
        <v>46203</v>
      </c>
      <c r="I11">
        <v>10</v>
      </c>
    </row>
    <row r="12" spans="1:9">
      <c r="A12" s="211" t="s">
        <v>2188</v>
      </c>
      <c r="B12" s="211" t="s">
        <v>2188</v>
      </c>
      <c r="C12" s="211" t="s">
        <v>2189</v>
      </c>
      <c r="D12" s="211"/>
      <c r="E12" s="211" t="s">
        <v>2172</v>
      </c>
      <c r="F12" s="180" t="s">
        <v>2173</v>
      </c>
      <c r="G12" s="182">
        <v>46174</v>
      </c>
      <c r="H12" s="182">
        <v>46203</v>
      </c>
      <c r="I12">
        <v>11</v>
      </c>
    </row>
    <row r="13" spans="1:9">
      <c r="A13" s="211" t="s">
        <v>1155</v>
      </c>
      <c r="B13" s="211" t="s">
        <v>2190</v>
      </c>
      <c r="C13" s="211"/>
      <c r="D13" s="211"/>
      <c r="E13" s="211" t="s">
        <v>2183</v>
      </c>
      <c r="F13" s="180" t="s">
        <v>2173</v>
      </c>
      <c r="G13" s="182">
        <v>46174</v>
      </c>
      <c r="H13" s="182">
        <v>46203</v>
      </c>
      <c r="I13">
        <v>12</v>
      </c>
    </row>
    <row r="14" spans="1:9">
      <c r="A14" s="211" t="s">
        <v>1629</v>
      </c>
      <c r="B14" s="211" t="s">
        <v>2191</v>
      </c>
      <c r="C14" s="211" t="s">
        <v>2171</v>
      </c>
      <c r="D14" s="211"/>
      <c r="E14" s="211" t="s">
        <v>2172</v>
      </c>
      <c r="F14" s="180" t="s">
        <v>2173</v>
      </c>
      <c r="G14" s="182">
        <v>46174</v>
      </c>
      <c r="H14" s="182">
        <v>46203</v>
      </c>
      <c r="I14">
        <v>13</v>
      </c>
    </row>
    <row r="15" spans="1:9">
      <c r="A15" s="211" t="s">
        <v>1159</v>
      </c>
      <c r="B15" s="211" t="s">
        <v>1160</v>
      </c>
      <c r="C15" s="211" t="s">
        <v>2171</v>
      </c>
      <c r="D15" s="211"/>
      <c r="E15" s="211" t="s">
        <v>2172</v>
      </c>
      <c r="F15" s="180" t="s">
        <v>2173</v>
      </c>
      <c r="G15" s="182">
        <v>46174</v>
      </c>
      <c r="H15" s="182">
        <v>46203</v>
      </c>
      <c r="I15">
        <v>14</v>
      </c>
    </row>
    <row r="16" spans="1:9">
      <c r="A16" s="211" t="s">
        <v>1162</v>
      </c>
      <c r="B16" s="211" t="s">
        <v>1163</v>
      </c>
      <c r="C16" s="211" t="s">
        <v>2171</v>
      </c>
      <c r="D16" s="211"/>
      <c r="E16" s="211" t="s">
        <v>2172</v>
      </c>
      <c r="F16" s="180" t="s">
        <v>2173</v>
      </c>
      <c r="G16" s="182">
        <v>46174</v>
      </c>
      <c r="H16" s="182">
        <v>46203</v>
      </c>
      <c r="I16">
        <v>15</v>
      </c>
    </row>
    <row r="17" spans="1:9">
      <c r="A17" s="211" t="s">
        <v>2192</v>
      </c>
      <c r="B17" s="211" t="s">
        <v>2192</v>
      </c>
      <c r="C17" s="211"/>
      <c r="D17" s="211"/>
      <c r="E17" s="211" t="s">
        <v>2172</v>
      </c>
      <c r="F17" s="180" t="s">
        <v>2173</v>
      </c>
      <c r="G17" s="182">
        <v>46174</v>
      </c>
      <c r="H17" s="182">
        <v>46203</v>
      </c>
      <c r="I17">
        <v>16</v>
      </c>
    </row>
    <row r="18" spans="1:9">
      <c r="A18" s="211" t="s">
        <v>1174</v>
      </c>
      <c r="B18" s="211" t="s">
        <v>1174</v>
      </c>
      <c r="C18" s="211" t="s">
        <v>2171</v>
      </c>
      <c r="D18" s="211"/>
      <c r="E18" s="211" t="s">
        <v>2172</v>
      </c>
      <c r="F18" s="180" t="s">
        <v>2173</v>
      </c>
      <c r="G18" s="182">
        <v>46174</v>
      </c>
      <c r="H18" s="182">
        <v>46203</v>
      </c>
      <c r="I18">
        <v>17</v>
      </c>
    </row>
    <row r="19" spans="1:9">
      <c r="A19" s="211" t="s">
        <v>1176</v>
      </c>
      <c r="B19" s="211" t="s">
        <v>2193</v>
      </c>
      <c r="C19" s="211" t="s">
        <v>2194</v>
      </c>
      <c r="D19" s="211"/>
      <c r="E19" s="211" t="s">
        <v>2178</v>
      </c>
      <c r="F19" s="180" t="s">
        <v>2179</v>
      </c>
      <c r="G19" s="182">
        <v>46174</v>
      </c>
      <c r="H19" s="182">
        <v>46203</v>
      </c>
      <c r="I19">
        <v>18</v>
      </c>
    </row>
    <row r="20" spans="1:9">
      <c r="A20" s="211" t="s">
        <v>2195</v>
      </c>
      <c r="B20" s="211" t="s">
        <v>2196</v>
      </c>
      <c r="C20" s="211" t="s">
        <v>2197</v>
      </c>
      <c r="D20" s="211"/>
      <c r="E20" s="211" t="s">
        <v>2183</v>
      </c>
      <c r="F20" s="180" t="s">
        <v>2173</v>
      </c>
      <c r="G20" s="182">
        <v>46174</v>
      </c>
      <c r="H20" s="182">
        <v>46203</v>
      </c>
      <c r="I20">
        <v>19</v>
      </c>
    </row>
    <row r="21" spans="1:9">
      <c r="A21" s="211" t="s">
        <v>2198</v>
      </c>
      <c r="B21" s="211" t="s">
        <v>2199</v>
      </c>
      <c r="C21" s="211" t="s">
        <v>2200</v>
      </c>
      <c r="D21" s="211"/>
      <c r="E21" s="211" t="s">
        <v>2172</v>
      </c>
      <c r="F21" s="180" t="s">
        <v>2173</v>
      </c>
      <c r="G21" s="182">
        <v>46174</v>
      </c>
      <c r="H21" s="182">
        <v>46203</v>
      </c>
      <c r="I21">
        <v>20</v>
      </c>
    </row>
    <row r="22" spans="1:9">
      <c r="A22" s="211" t="s">
        <v>1186</v>
      </c>
      <c r="B22" s="211" t="s">
        <v>1187</v>
      </c>
      <c r="C22" s="211" t="s">
        <v>2201</v>
      </c>
      <c r="D22" s="211"/>
      <c r="E22" s="211" t="s">
        <v>2178</v>
      </c>
      <c r="F22" s="180" t="s">
        <v>2179</v>
      </c>
      <c r="G22" s="182">
        <v>46174</v>
      </c>
      <c r="H22" s="182">
        <v>46203</v>
      </c>
      <c r="I22">
        <v>21</v>
      </c>
    </row>
    <row r="23" spans="1:9">
      <c r="A23" s="211" t="s">
        <v>1192</v>
      </c>
      <c r="B23" s="211" t="s">
        <v>1192</v>
      </c>
      <c r="C23" s="211" t="s">
        <v>2202</v>
      </c>
      <c r="D23" s="211"/>
      <c r="E23" s="211" t="s">
        <v>2183</v>
      </c>
      <c r="F23" s="180" t="s">
        <v>2173</v>
      </c>
      <c r="G23" s="182">
        <v>46174</v>
      </c>
      <c r="H23" s="182">
        <v>46203</v>
      </c>
      <c r="I23">
        <v>22</v>
      </c>
    </row>
    <row r="24" spans="1:9">
      <c r="A24" s="211" t="s">
        <v>1200</v>
      </c>
      <c r="B24" s="211" t="s">
        <v>1200</v>
      </c>
      <c r="C24" s="211" t="s">
        <v>2171</v>
      </c>
      <c r="D24" s="211"/>
      <c r="E24" s="211" t="s">
        <v>2172</v>
      </c>
      <c r="F24" s="180" t="s">
        <v>2173</v>
      </c>
      <c r="G24" s="182">
        <v>46174</v>
      </c>
      <c r="H24" s="182">
        <v>46203</v>
      </c>
      <c r="I24">
        <v>23</v>
      </c>
    </row>
    <row r="25" spans="1:9">
      <c r="A25" s="211" t="s">
        <v>1203</v>
      </c>
      <c r="B25" s="211" t="s">
        <v>2203</v>
      </c>
      <c r="C25" s="211" t="s">
        <v>2171</v>
      </c>
      <c r="D25" s="211"/>
      <c r="E25" s="211" t="s">
        <v>2172</v>
      </c>
      <c r="F25" s="180" t="s">
        <v>2173</v>
      </c>
      <c r="G25" s="182">
        <v>46174</v>
      </c>
      <c r="H25" s="182">
        <v>46203</v>
      </c>
      <c r="I25">
        <v>24</v>
      </c>
    </row>
    <row r="26" spans="1:9">
      <c r="A26" s="211" t="s">
        <v>1210</v>
      </c>
      <c r="B26" s="211" t="s">
        <v>2204</v>
      </c>
      <c r="C26" s="211" t="s">
        <v>2205</v>
      </c>
      <c r="D26" s="211"/>
      <c r="E26" s="211" t="s">
        <v>2178</v>
      </c>
      <c r="F26" s="180" t="s">
        <v>2173</v>
      </c>
      <c r="G26" s="182">
        <v>46174</v>
      </c>
      <c r="H26" s="182">
        <v>46203</v>
      </c>
      <c r="I26">
        <v>25</v>
      </c>
    </row>
    <row r="27" spans="1:9">
      <c r="A27" s="211" t="s">
        <v>1216</v>
      </c>
      <c r="B27" s="211" t="s">
        <v>2206</v>
      </c>
      <c r="C27" s="211" t="s">
        <v>2171</v>
      </c>
      <c r="D27" s="211"/>
      <c r="E27" s="211" t="s">
        <v>2172</v>
      </c>
      <c r="F27" s="180" t="s">
        <v>2173</v>
      </c>
      <c r="G27" s="182">
        <v>46174</v>
      </c>
      <c r="H27" s="182">
        <v>46203</v>
      </c>
      <c r="I27">
        <v>26</v>
      </c>
    </row>
    <row r="28" spans="1:9">
      <c r="A28" s="211" t="s">
        <v>1224</v>
      </c>
      <c r="B28" s="211" t="s">
        <v>1224</v>
      </c>
      <c r="C28" s="211" t="s">
        <v>2171</v>
      </c>
      <c r="D28" s="211"/>
      <c r="E28" s="211" t="s">
        <v>2172</v>
      </c>
      <c r="F28" s="180" t="s">
        <v>2173</v>
      </c>
      <c r="G28" s="182">
        <v>46174</v>
      </c>
      <c r="H28" s="182">
        <v>46203</v>
      </c>
      <c r="I28">
        <v>27</v>
      </c>
    </row>
    <row r="29" spans="1:9">
      <c r="A29" s="211" t="s">
        <v>1227</v>
      </c>
      <c r="B29" s="211" t="s">
        <v>2207</v>
      </c>
      <c r="C29" s="211" t="s">
        <v>2208</v>
      </c>
      <c r="D29" s="211"/>
      <c r="E29" s="211" t="s">
        <v>2183</v>
      </c>
      <c r="F29" s="180" t="s">
        <v>2173</v>
      </c>
      <c r="G29" s="182">
        <v>46174</v>
      </c>
      <c r="H29" s="182">
        <v>46203</v>
      </c>
      <c r="I29">
        <v>28</v>
      </c>
    </row>
    <row r="30" spans="1:9">
      <c r="A30" s="211" t="s">
        <v>1230</v>
      </c>
      <c r="B30" s="211" t="s">
        <v>2209</v>
      </c>
      <c r="C30" s="211" t="s">
        <v>2210</v>
      </c>
      <c r="D30" s="211"/>
      <c r="E30" s="211" t="s">
        <v>2178</v>
      </c>
      <c r="F30" s="180" t="s">
        <v>2173</v>
      </c>
      <c r="G30" s="182">
        <v>46174</v>
      </c>
      <c r="H30" s="182">
        <v>46203</v>
      </c>
      <c r="I30">
        <v>29</v>
      </c>
    </row>
    <row r="31" spans="1:9">
      <c r="A31" s="211" t="s">
        <v>1237</v>
      </c>
      <c r="B31" s="211" t="s">
        <v>2211</v>
      </c>
      <c r="C31" s="211" t="s">
        <v>2212</v>
      </c>
      <c r="D31" s="211"/>
      <c r="E31" s="211" t="s">
        <v>2172</v>
      </c>
      <c r="F31" s="180" t="s">
        <v>2173</v>
      </c>
      <c r="G31" s="182">
        <v>46174</v>
      </c>
      <c r="H31" s="182">
        <v>46203</v>
      </c>
      <c r="I31">
        <v>30</v>
      </c>
    </row>
    <row r="32" spans="1:9">
      <c r="A32" s="211" t="s">
        <v>2213</v>
      </c>
      <c r="B32" s="211" t="s">
        <v>2213</v>
      </c>
      <c r="C32" s="211"/>
      <c r="D32" s="211"/>
      <c r="E32" s="211" t="s">
        <v>2183</v>
      </c>
      <c r="F32" s="180" t="s">
        <v>2173</v>
      </c>
      <c r="G32" s="182">
        <v>46174</v>
      </c>
      <c r="H32" s="182">
        <v>46203</v>
      </c>
      <c r="I32">
        <v>31</v>
      </c>
    </row>
    <row r="33" spans="1:9">
      <c r="A33" s="211" t="s">
        <v>1254</v>
      </c>
      <c r="B33" s="211" t="s">
        <v>2214</v>
      </c>
      <c r="C33" s="211" t="s">
        <v>2215</v>
      </c>
      <c r="D33" s="211"/>
      <c r="E33" s="211" t="s">
        <v>2178</v>
      </c>
      <c r="F33" s="180" t="s">
        <v>2173</v>
      </c>
      <c r="G33" s="182">
        <v>46174</v>
      </c>
      <c r="H33" s="182">
        <v>46203</v>
      </c>
      <c r="I33">
        <v>32</v>
      </c>
    </row>
    <row r="34" spans="1:9">
      <c r="A34" s="211" t="s">
        <v>1261</v>
      </c>
      <c r="B34" s="211" t="s">
        <v>1261</v>
      </c>
      <c r="C34" s="211" t="s">
        <v>2171</v>
      </c>
      <c r="D34" s="211"/>
      <c r="E34" s="211" t="s">
        <v>2172</v>
      </c>
      <c r="F34" s="180" t="s">
        <v>2173</v>
      </c>
      <c r="G34" s="182">
        <v>46174</v>
      </c>
      <c r="H34" s="182">
        <v>46203</v>
      </c>
      <c r="I34">
        <v>33</v>
      </c>
    </row>
    <row r="35" spans="1:9">
      <c r="A35" s="211" t="s">
        <v>1264</v>
      </c>
      <c r="B35" s="211" t="s">
        <v>2216</v>
      </c>
      <c r="C35" s="211" t="s">
        <v>2217</v>
      </c>
      <c r="D35" s="211"/>
      <c r="E35" s="211" t="s">
        <v>2172</v>
      </c>
      <c r="F35" s="180" t="s">
        <v>2173</v>
      </c>
      <c r="G35" s="182">
        <v>46174</v>
      </c>
      <c r="H35" s="182">
        <v>46203</v>
      </c>
      <c r="I35">
        <v>34</v>
      </c>
    </row>
    <row r="36" spans="1:9">
      <c r="A36" s="211" t="s">
        <v>1267</v>
      </c>
      <c r="B36" s="211" t="s">
        <v>2218</v>
      </c>
      <c r="C36" s="211" t="s">
        <v>2219</v>
      </c>
      <c r="D36" s="211"/>
      <c r="E36" s="211" t="s">
        <v>2183</v>
      </c>
      <c r="F36" s="180" t="s">
        <v>2173</v>
      </c>
      <c r="G36" s="182">
        <v>46174</v>
      </c>
      <c r="H36" s="182">
        <v>46203</v>
      </c>
      <c r="I36">
        <v>35</v>
      </c>
    </row>
    <row r="37" spans="1:9">
      <c r="A37" s="211" t="s">
        <v>1270</v>
      </c>
      <c r="B37" s="211" t="s">
        <v>2220</v>
      </c>
      <c r="C37" s="211" t="s">
        <v>2221</v>
      </c>
      <c r="D37" s="211"/>
      <c r="E37" s="211" t="s">
        <v>2178</v>
      </c>
      <c r="F37" s="180" t="s">
        <v>2173</v>
      </c>
      <c r="G37" s="182">
        <v>46174</v>
      </c>
      <c r="H37" s="182">
        <v>46203</v>
      </c>
      <c r="I37">
        <v>36</v>
      </c>
    </row>
    <row r="38" spans="1:9">
      <c r="A38" s="211" t="s">
        <v>1275</v>
      </c>
      <c r="B38" s="211" t="s">
        <v>2222</v>
      </c>
      <c r="C38" s="211" t="s">
        <v>2171</v>
      </c>
      <c r="D38" s="211"/>
      <c r="E38" s="211" t="s">
        <v>2172</v>
      </c>
      <c r="F38" s="180" t="s">
        <v>2173</v>
      </c>
      <c r="G38" s="182">
        <v>46174</v>
      </c>
      <c r="H38" s="182">
        <v>46203</v>
      </c>
      <c r="I38">
        <v>37</v>
      </c>
    </row>
    <row r="39" spans="1:9">
      <c r="A39" s="211" t="s">
        <v>1280</v>
      </c>
      <c r="B39" s="211" t="s">
        <v>2223</v>
      </c>
      <c r="C39" s="211" t="s">
        <v>2171</v>
      </c>
      <c r="D39" s="211"/>
      <c r="E39" s="211" t="s">
        <v>2172</v>
      </c>
      <c r="F39" s="180" t="s">
        <v>2173</v>
      </c>
      <c r="G39" s="182">
        <v>46174</v>
      </c>
      <c r="H39" s="182">
        <v>46203</v>
      </c>
      <c r="I39">
        <v>38</v>
      </c>
    </row>
    <row r="40" spans="1:9">
      <c r="A40" s="211" t="s">
        <v>1286</v>
      </c>
      <c r="B40" s="211" t="s">
        <v>2224</v>
      </c>
      <c r="C40" s="211" t="s">
        <v>2225</v>
      </c>
      <c r="D40" s="211"/>
      <c r="E40" s="211" t="s">
        <v>2178</v>
      </c>
      <c r="F40" s="180" t="s">
        <v>2173</v>
      </c>
      <c r="G40" s="182">
        <v>46174</v>
      </c>
      <c r="H40" s="182">
        <v>46203</v>
      </c>
      <c r="I40">
        <v>39</v>
      </c>
    </row>
    <row r="41" spans="1:9">
      <c r="A41" s="211" t="s">
        <v>1293</v>
      </c>
      <c r="B41" s="211" t="s">
        <v>1293</v>
      </c>
      <c r="C41" s="211" t="s">
        <v>2226</v>
      </c>
      <c r="D41" s="211"/>
      <c r="E41" s="211" t="s">
        <v>2227</v>
      </c>
      <c r="F41" s="180" t="s">
        <v>2179</v>
      </c>
      <c r="G41" s="182">
        <v>46174</v>
      </c>
      <c r="H41" s="182">
        <v>46203</v>
      </c>
      <c r="I41">
        <v>40</v>
      </c>
    </row>
    <row r="42" spans="1:9">
      <c r="A42" s="211" t="s">
        <v>1297</v>
      </c>
      <c r="B42" s="211" t="s">
        <v>2228</v>
      </c>
      <c r="C42" s="211" t="s">
        <v>2229</v>
      </c>
      <c r="D42" s="211"/>
      <c r="E42" s="211" t="s">
        <v>2172</v>
      </c>
      <c r="F42" s="180" t="s">
        <v>2173</v>
      </c>
      <c r="G42" s="182">
        <v>46174</v>
      </c>
      <c r="H42" s="182">
        <v>46203</v>
      </c>
      <c r="I42">
        <v>41</v>
      </c>
    </row>
    <row r="43" spans="1:9">
      <c r="A43" s="211" t="s">
        <v>1300</v>
      </c>
      <c r="B43" s="211" t="s">
        <v>1300</v>
      </c>
      <c r="C43" s="211" t="s">
        <v>2171</v>
      </c>
      <c r="D43" s="211"/>
      <c r="E43" s="211" t="s">
        <v>2172</v>
      </c>
      <c r="F43" s="180" t="s">
        <v>2173</v>
      </c>
      <c r="G43" s="182">
        <v>46174</v>
      </c>
      <c r="H43" s="182">
        <v>46203</v>
      </c>
      <c r="I43">
        <v>42</v>
      </c>
    </row>
    <row r="44" spans="1:9">
      <c r="A44" s="211" t="s">
        <v>1248</v>
      </c>
      <c r="B44" s="211" t="s">
        <v>1248</v>
      </c>
      <c r="C44" s="211" t="s">
        <v>2171</v>
      </c>
      <c r="D44" s="211"/>
      <c r="E44" s="211" t="s">
        <v>2172</v>
      </c>
      <c r="F44" s="180" t="s">
        <v>2173</v>
      </c>
      <c r="G44" s="182">
        <v>46174</v>
      </c>
      <c r="H44" s="182">
        <v>46203</v>
      </c>
      <c r="I44">
        <v>43</v>
      </c>
    </row>
    <row r="45" spans="1:9">
      <c r="A45" s="211" t="s">
        <v>2230</v>
      </c>
      <c r="B45" s="211" t="s">
        <v>2230</v>
      </c>
      <c r="C45" s="211"/>
      <c r="D45" s="211"/>
      <c r="E45" s="211" t="s">
        <v>2178</v>
      </c>
      <c r="F45" s="180" t="s">
        <v>2173</v>
      </c>
      <c r="G45" s="182">
        <v>46174</v>
      </c>
      <c r="H45" s="182">
        <v>46203</v>
      </c>
      <c r="I45">
        <v>44</v>
      </c>
    </row>
    <row r="46" spans="1:9">
      <c r="A46" s="211" t="s">
        <v>1309</v>
      </c>
      <c r="B46" s="211" t="s">
        <v>2231</v>
      </c>
      <c r="C46" s="211" t="s">
        <v>2232</v>
      </c>
      <c r="D46" s="211"/>
      <c r="E46" s="211" t="s">
        <v>2183</v>
      </c>
      <c r="F46" s="180" t="s">
        <v>2173</v>
      </c>
      <c r="G46" s="182">
        <v>46174</v>
      </c>
      <c r="H46" s="182">
        <v>46203</v>
      </c>
      <c r="I46">
        <v>45</v>
      </c>
    </row>
    <row r="47" spans="1:9">
      <c r="A47" s="211" t="s">
        <v>1313</v>
      </c>
      <c r="B47" s="211" t="s">
        <v>1313</v>
      </c>
      <c r="C47" s="211" t="s">
        <v>2171</v>
      </c>
      <c r="D47" s="211"/>
      <c r="E47" s="211" t="s">
        <v>2172</v>
      </c>
      <c r="F47" s="180" t="s">
        <v>2173</v>
      </c>
      <c r="G47" s="182">
        <v>46174</v>
      </c>
      <c r="H47" s="182">
        <v>46203</v>
      </c>
      <c r="I47">
        <v>46</v>
      </c>
    </row>
    <row r="48" spans="1:9">
      <c r="A48" s="211" t="s">
        <v>1316</v>
      </c>
      <c r="B48" s="211" t="s">
        <v>2233</v>
      </c>
      <c r="C48" s="211" t="s">
        <v>2234</v>
      </c>
      <c r="D48" s="211"/>
      <c r="E48" s="211" t="s">
        <v>2183</v>
      </c>
      <c r="F48" s="180" t="s">
        <v>2173</v>
      </c>
      <c r="G48" s="182">
        <v>46174</v>
      </c>
      <c r="H48" s="182">
        <v>46203</v>
      </c>
      <c r="I48">
        <v>47</v>
      </c>
    </row>
    <row r="49" spans="1:9">
      <c r="A49" s="211" t="s">
        <v>1320</v>
      </c>
      <c r="B49" s="211" t="s">
        <v>1320</v>
      </c>
      <c r="C49" s="211"/>
      <c r="D49" s="211"/>
      <c r="E49" s="211" t="s">
        <v>2172</v>
      </c>
      <c r="F49" s="180" t="s">
        <v>2173</v>
      </c>
      <c r="G49" s="182">
        <v>46174</v>
      </c>
      <c r="H49" s="182">
        <v>46203</v>
      </c>
      <c r="I49">
        <v>48</v>
      </c>
    </row>
    <row r="50" spans="1:9">
      <c r="A50" s="211" t="s">
        <v>1323</v>
      </c>
      <c r="B50" s="211" t="s">
        <v>1323</v>
      </c>
      <c r="C50" s="211" t="s">
        <v>2171</v>
      </c>
      <c r="D50" s="211"/>
      <c r="E50" s="211" t="s">
        <v>2172</v>
      </c>
      <c r="F50" s="180" t="s">
        <v>2173</v>
      </c>
      <c r="G50" s="182">
        <v>46174</v>
      </c>
      <c r="H50" s="182">
        <v>46203</v>
      </c>
      <c r="I50">
        <v>49</v>
      </c>
    </row>
    <row r="51" spans="1:9">
      <c r="A51" s="211" t="s">
        <v>1325</v>
      </c>
      <c r="B51" s="211" t="s">
        <v>2235</v>
      </c>
      <c r="C51" s="211" t="s">
        <v>2236</v>
      </c>
      <c r="D51" s="211"/>
      <c r="E51" s="211" t="s">
        <v>2172</v>
      </c>
      <c r="F51" s="180" t="s">
        <v>2173</v>
      </c>
      <c r="G51" s="182">
        <v>46174</v>
      </c>
      <c r="H51" s="182">
        <v>46203</v>
      </c>
      <c r="I51">
        <v>50</v>
      </c>
    </row>
    <row r="52" spans="1:9">
      <c r="A52" s="211" t="s">
        <v>1328</v>
      </c>
      <c r="B52" s="211" t="s">
        <v>1328</v>
      </c>
      <c r="C52" s="211" t="s">
        <v>2234</v>
      </c>
      <c r="D52" s="211"/>
      <c r="E52" s="211" t="s">
        <v>2178</v>
      </c>
      <c r="F52" s="180" t="s">
        <v>2173</v>
      </c>
      <c r="G52" s="182">
        <v>46174</v>
      </c>
      <c r="H52" s="182">
        <v>46203</v>
      </c>
      <c r="I52">
        <v>51</v>
      </c>
    </row>
    <row r="53" spans="1:9">
      <c r="A53" s="211" t="s">
        <v>2237</v>
      </c>
      <c r="B53" s="211" t="s">
        <v>2237</v>
      </c>
      <c r="C53" s="211" t="s">
        <v>2238</v>
      </c>
      <c r="D53" s="211"/>
      <c r="E53" s="211" t="s">
        <v>2178</v>
      </c>
      <c r="F53" s="180" t="s">
        <v>2173</v>
      </c>
      <c r="G53" s="182">
        <v>46174</v>
      </c>
      <c r="H53" s="182">
        <v>46203</v>
      </c>
      <c r="I53">
        <v>52</v>
      </c>
    </row>
    <row r="54" spans="1:9">
      <c r="A54" s="211" t="s">
        <v>1335</v>
      </c>
      <c r="B54" s="211" t="s">
        <v>1335</v>
      </c>
      <c r="C54" s="211" t="s">
        <v>2239</v>
      </c>
      <c r="D54" s="211"/>
      <c r="E54" s="211" t="s">
        <v>2183</v>
      </c>
      <c r="F54" s="180" t="s">
        <v>2240</v>
      </c>
      <c r="G54" s="182">
        <v>46204</v>
      </c>
      <c r="H54" s="182">
        <v>46203</v>
      </c>
      <c r="I54">
        <v>53</v>
      </c>
    </row>
    <row r="55" spans="1:9">
      <c r="A55" s="211" t="s">
        <v>1339</v>
      </c>
      <c r="B55" s="211" t="s">
        <v>2241</v>
      </c>
      <c r="C55" s="211" t="s">
        <v>2242</v>
      </c>
      <c r="D55" s="211"/>
      <c r="E55" s="211" t="s">
        <v>2172</v>
      </c>
      <c r="F55" s="180" t="s">
        <v>2240</v>
      </c>
      <c r="G55" s="182">
        <v>46204</v>
      </c>
      <c r="H55" s="182">
        <v>46203</v>
      </c>
      <c r="I55">
        <v>54</v>
      </c>
    </row>
    <row r="56" spans="1:9">
      <c r="A56" s="211" t="s">
        <v>1345</v>
      </c>
      <c r="B56" s="211" t="s">
        <v>1345</v>
      </c>
      <c r="C56" s="211" t="s">
        <v>2171</v>
      </c>
      <c r="D56" s="211"/>
      <c r="E56" s="211" t="s">
        <v>2183</v>
      </c>
      <c r="F56" s="180" t="s">
        <v>2240</v>
      </c>
      <c r="G56" s="182">
        <v>46204</v>
      </c>
      <c r="H56" s="182">
        <v>46203</v>
      </c>
      <c r="I56">
        <v>55</v>
      </c>
    </row>
    <row r="57" spans="1:9">
      <c r="A57" s="211" t="s">
        <v>1347</v>
      </c>
      <c r="B57" s="211" t="s">
        <v>2243</v>
      </c>
      <c r="C57" s="211" t="s">
        <v>2244</v>
      </c>
      <c r="D57" s="211"/>
      <c r="E57" s="211" t="s">
        <v>2172</v>
      </c>
      <c r="F57" s="180" t="s">
        <v>2179</v>
      </c>
      <c r="G57" s="182">
        <v>46204</v>
      </c>
      <c r="H57" s="182">
        <v>46234</v>
      </c>
      <c r="I57">
        <v>56</v>
      </c>
    </row>
    <row r="58" spans="1:9">
      <c r="A58" s="211" t="s">
        <v>1350</v>
      </c>
      <c r="B58" s="211" t="s">
        <v>2245</v>
      </c>
      <c r="C58" s="211" t="s">
        <v>2246</v>
      </c>
      <c r="D58" s="211"/>
      <c r="E58" s="211" t="s">
        <v>2178</v>
      </c>
      <c r="F58" s="180" t="s">
        <v>2179</v>
      </c>
      <c r="G58" s="182">
        <v>46204</v>
      </c>
      <c r="H58" s="182">
        <v>46234</v>
      </c>
      <c r="I58">
        <v>57</v>
      </c>
    </row>
    <row r="59" spans="1:9">
      <c r="A59" s="211" t="s">
        <v>1353</v>
      </c>
      <c r="B59" s="211" t="s">
        <v>2247</v>
      </c>
      <c r="C59" s="211" t="s">
        <v>2248</v>
      </c>
      <c r="D59" s="211"/>
      <c r="E59" s="211" t="s">
        <v>2183</v>
      </c>
      <c r="F59" s="180" t="s">
        <v>2240</v>
      </c>
      <c r="G59" s="182">
        <v>46204</v>
      </c>
      <c r="H59" s="182">
        <v>46234</v>
      </c>
      <c r="I59">
        <v>58</v>
      </c>
    </row>
    <row r="60" spans="1:9">
      <c r="A60" s="211" t="s">
        <v>1356</v>
      </c>
      <c r="B60" s="211" t="s">
        <v>2249</v>
      </c>
      <c r="C60" s="211" t="s">
        <v>2250</v>
      </c>
      <c r="D60" s="211"/>
      <c r="E60" s="211" t="s">
        <v>2172</v>
      </c>
      <c r="F60" s="180" t="s">
        <v>2240</v>
      </c>
      <c r="G60" s="182">
        <v>46204</v>
      </c>
      <c r="H60" s="182">
        <v>46234</v>
      </c>
      <c r="I60">
        <v>59</v>
      </c>
    </row>
    <row r="61" spans="1:9">
      <c r="A61" s="211" t="s">
        <v>1358</v>
      </c>
      <c r="B61" s="211" t="s">
        <v>2251</v>
      </c>
      <c r="C61" s="211" t="s">
        <v>2252</v>
      </c>
      <c r="D61" s="211"/>
      <c r="E61" s="211" t="s">
        <v>2178</v>
      </c>
      <c r="F61" s="180" t="s">
        <v>2240</v>
      </c>
      <c r="G61" s="182">
        <v>46204</v>
      </c>
      <c r="H61" s="182">
        <v>46234</v>
      </c>
      <c r="I61">
        <v>60</v>
      </c>
    </row>
    <row r="62" spans="1:9">
      <c r="A62" s="211" t="s">
        <v>1362</v>
      </c>
      <c r="B62" s="211" t="s">
        <v>1362</v>
      </c>
      <c r="C62" s="211" t="s">
        <v>2171</v>
      </c>
      <c r="D62" s="211"/>
      <c r="E62" s="211" t="s">
        <v>2253</v>
      </c>
      <c r="F62" s="180" t="s">
        <v>2240</v>
      </c>
      <c r="G62" s="182">
        <v>46204</v>
      </c>
      <c r="H62" s="182">
        <v>46234</v>
      </c>
      <c r="I62">
        <v>61</v>
      </c>
    </row>
    <row r="63" spans="1:9">
      <c r="A63" s="211" t="s">
        <v>1364</v>
      </c>
      <c r="B63" s="211" t="s">
        <v>2254</v>
      </c>
      <c r="C63" s="211" t="s">
        <v>2255</v>
      </c>
      <c r="D63" s="211"/>
      <c r="E63" s="211" t="s">
        <v>2178</v>
      </c>
      <c r="F63" s="180" t="s">
        <v>2240</v>
      </c>
      <c r="G63" s="182">
        <v>46204</v>
      </c>
      <c r="H63" s="182">
        <v>46234</v>
      </c>
      <c r="I63">
        <v>62</v>
      </c>
    </row>
    <row r="64" spans="1:9">
      <c r="A64" s="211" t="s">
        <v>1368</v>
      </c>
      <c r="B64" s="211" t="s">
        <v>2256</v>
      </c>
      <c r="C64" s="211" t="s">
        <v>2257</v>
      </c>
      <c r="D64" s="211"/>
      <c r="E64" s="211" t="s">
        <v>2172</v>
      </c>
      <c r="F64" s="180" t="s">
        <v>2240</v>
      </c>
      <c r="G64" s="182">
        <v>46204</v>
      </c>
      <c r="H64" s="182">
        <v>46234</v>
      </c>
      <c r="I64">
        <v>63</v>
      </c>
    </row>
    <row r="65" spans="1:9">
      <c r="A65" s="211" t="s">
        <v>2258</v>
      </c>
      <c r="B65" s="211" t="s">
        <v>2259</v>
      </c>
      <c r="C65" s="211" t="s">
        <v>2171</v>
      </c>
      <c r="D65" s="211"/>
      <c r="E65" s="211" t="s">
        <v>2172</v>
      </c>
      <c r="F65" s="180" t="s">
        <v>2240</v>
      </c>
      <c r="G65" s="182">
        <v>46204</v>
      </c>
      <c r="H65" s="182">
        <v>46234</v>
      </c>
      <c r="I65">
        <v>64</v>
      </c>
    </row>
    <row r="66" spans="1:9">
      <c r="A66" s="211" t="s">
        <v>2260</v>
      </c>
      <c r="B66" s="211" t="s">
        <v>2260</v>
      </c>
      <c r="C66" s="211"/>
      <c r="D66" s="211"/>
      <c r="E66" s="211" t="s">
        <v>2178</v>
      </c>
      <c r="F66" s="180" t="s">
        <v>2240</v>
      </c>
      <c r="G66" s="182">
        <v>46204</v>
      </c>
      <c r="H66" s="182">
        <v>46234</v>
      </c>
      <c r="I66">
        <v>65</v>
      </c>
    </row>
    <row r="67" spans="1:9">
      <c r="A67" s="211" t="s">
        <v>1381</v>
      </c>
      <c r="B67" s="211" t="s">
        <v>1381</v>
      </c>
      <c r="C67" s="211" t="s">
        <v>2171</v>
      </c>
      <c r="D67" s="211"/>
      <c r="E67" s="211" t="s">
        <v>2172</v>
      </c>
      <c r="F67" s="180" t="s">
        <v>2240</v>
      </c>
      <c r="G67" s="182">
        <v>46204</v>
      </c>
      <c r="H67" s="182">
        <v>46234</v>
      </c>
      <c r="I67">
        <v>66</v>
      </c>
    </row>
    <row r="68" spans="1:9">
      <c r="A68" s="211" t="s">
        <v>1383</v>
      </c>
      <c r="B68" s="211" t="s">
        <v>2261</v>
      </c>
      <c r="C68" s="211" t="s">
        <v>2262</v>
      </c>
      <c r="D68" s="211"/>
      <c r="E68" s="211" t="s">
        <v>2183</v>
      </c>
      <c r="F68" s="180" t="s">
        <v>2240</v>
      </c>
      <c r="G68" s="182">
        <v>46204</v>
      </c>
      <c r="H68" s="182">
        <v>46234</v>
      </c>
      <c r="I68">
        <v>67</v>
      </c>
    </row>
    <row r="69" spans="1:9">
      <c r="A69" s="211" t="s">
        <v>1385</v>
      </c>
      <c r="B69" s="211" t="s">
        <v>2263</v>
      </c>
      <c r="C69" s="211" t="s">
        <v>2264</v>
      </c>
      <c r="D69" s="211"/>
      <c r="E69" s="211" t="s">
        <v>2183</v>
      </c>
      <c r="F69" s="180" t="s">
        <v>2240</v>
      </c>
      <c r="G69" s="182">
        <v>46204</v>
      </c>
      <c r="H69" s="182">
        <v>46234</v>
      </c>
      <c r="I69">
        <v>68</v>
      </c>
    </row>
    <row r="70" spans="1:9">
      <c r="A70" s="211" t="s">
        <v>1387</v>
      </c>
      <c r="B70" s="211" t="s">
        <v>2265</v>
      </c>
      <c r="C70" s="211"/>
      <c r="D70" s="211"/>
      <c r="E70" s="211" t="s">
        <v>2172</v>
      </c>
      <c r="F70" s="180" t="s">
        <v>2240</v>
      </c>
      <c r="G70" s="182">
        <v>46204</v>
      </c>
      <c r="H70" s="182">
        <v>46234</v>
      </c>
      <c r="I70">
        <v>69</v>
      </c>
    </row>
    <row r="71" spans="1:9">
      <c r="A71" s="211" t="s">
        <v>1390</v>
      </c>
      <c r="B71" s="211" t="s">
        <v>2266</v>
      </c>
      <c r="C71" s="211" t="s">
        <v>2267</v>
      </c>
      <c r="D71" s="211"/>
      <c r="E71" s="211" t="s">
        <v>2178</v>
      </c>
      <c r="F71" s="180" t="s">
        <v>2179</v>
      </c>
      <c r="G71" s="182">
        <v>46204</v>
      </c>
      <c r="H71" s="182">
        <v>46234</v>
      </c>
      <c r="I71">
        <v>70</v>
      </c>
    </row>
    <row r="72" spans="1:9">
      <c r="A72" s="211" t="s">
        <v>1392</v>
      </c>
      <c r="B72" s="211" t="s">
        <v>2268</v>
      </c>
      <c r="C72" s="211" t="s">
        <v>2171</v>
      </c>
      <c r="D72" s="211"/>
      <c r="E72" s="211" t="s">
        <v>2183</v>
      </c>
      <c r="F72" s="180" t="s">
        <v>2240</v>
      </c>
      <c r="G72" s="182">
        <v>46204</v>
      </c>
      <c r="H72" s="182">
        <v>46234</v>
      </c>
      <c r="I72">
        <v>71</v>
      </c>
    </row>
    <row r="73" spans="1:9">
      <c r="A73" s="211" t="s">
        <v>1394</v>
      </c>
      <c r="B73" s="211" t="s">
        <v>2269</v>
      </c>
      <c r="C73" s="211" t="s">
        <v>2171</v>
      </c>
      <c r="D73" s="211"/>
      <c r="E73" s="211" t="s">
        <v>2172</v>
      </c>
      <c r="F73" s="180" t="s">
        <v>2240</v>
      </c>
      <c r="G73" s="182">
        <v>46204</v>
      </c>
      <c r="H73" s="182">
        <v>46234</v>
      </c>
      <c r="I73">
        <v>72</v>
      </c>
    </row>
    <row r="74" spans="1:9">
      <c r="A74" s="211" t="s">
        <v>1396</v>
      </c>
      <c r="B74" s="211" t="s">
        <v>2270</v>
      </c>
      <c r="C74" s="211" t="s">
        <v>2271</v>
      </c>
      <c r="D74" s="211"/>
      <c r="E74" s="211" t="s">
        <v>2172</v>
      </c>
      <c r="F74" s="180" t="s">
        <v>2240</v>
      </c>
      <c r="G74" s="182">
        <v>46204</v>
      </c>
      <c r="H74" s="182">
        <v>46234</v>
      </c>
      <c r="I74">
        <v>73</v>
      </c>
    </row>
    <row r="75" spans="1:9">
      <c r="A75" s="211" t="s">
        <v>1400</v>
      </c>
      <c r="B75" s="211" t="s">
        <v>1400</v>
      </c>
      <c r="C75" s="211"/>
      <c r="D75" s="211"/>
      <c r="E75" s="211" t="s">
        <v>2172</v>
      </c>
      <c r="F75" s="180" t="s">
        <v>2240</v>
      </c>
      <c r="G75" s="182">
        <v>46204</v>
      </c>
      <c r="H75" s="182">
        <v>46234</v>
      </c>
      <c r="I75">
        <v>74</v>
      </c>
    </row>
    <row r="76" spans="1:9">
      <c r="A76" s="211" t="s">
        <v>1403</v>
      </c>
      <c r="B76" s="211" t="s">
        <v>2272</v>
      </c>
      <c r="C76" s="211" t="s">
        <v>2273</v>
      </c>
      <c r="D76" s="211"/>
      <c r="E76" s="211" t="s">
        <v>2178</v>
      </c>
      <c r="F76" s="180" t="s">
        <v>2240</v>
      </c>
      <c r="G76" s="182">
        <v>46204</v>
      </c>
      <c r="H76" s="182">
        <v>46234</v>
      </c>
      <c r="I76">
        <v>75</v>
      </c>
    </row>
    <row r="77" spans="1:9">
      <c r="A77" s="211" t="s">
        <v>1405</v>
      </c>
      <c r="B77" s="211" t="s">
        <v>1405</v>
      </c>
      <c r="C77" s="211" t="s">
        <v>2274</v>
      </c>
      <c r="D77" s="211"/>
      <c r="E77" s="211" t="s">
        <v>2178</v>
      </c>
      <c r="F77" s="180" t="s">
        <v>2240</v>
      </c>
      <c r="G77" s="182">
        <v>46204</v>
      </c>
      <c r="H77" s="182">
        <v>46234</v>
      </c>
      <c r="I77">
        <v>76</v>
      </c>
    </row>
    <row r="78" spans="1:9">
      <c r="A78" s="211" t="s">
        <v>2275</v>
      </c>
      <c r="B78" s="211" t="s">
        <v>2275</v>
      </c>
      <c r="C78" s="211"/>
      <c r="D78" s="211"/>
      <c r="E78" s="211" t="s">
        <v>2183</v>
      </c>
      <c r="F78" s="180" t="s">
        <v>2240</v>
      </c>
      <c r="G78" s="182">
        <v>46204</v>
      </c>
      <c r="H78" s="182">
        <v>46234</v>
      </c>
      <c r="I78">
        <v>77</v>
      </c>
    </row>
    <row r="79" spans="1:9">
      <c r="A79" s="211" t="s">
        <v>2276</v>
      </c>
      <c r="B79" s="211" t="s">
        <v>2276</v>
      </c>
      <c r="C79" s="211" t="s">
        <v>2277</v>
      </c>
      <c r="D79" s="211"/>
      <c r="E79" s="211" t="s">
        <v>2183</v>
      </c>
      <c r="F79" s="180" t="s">
        <v>2240</v>
      </c>
      <c r="G79" s="182">
        <v>46204</v>
      </c>
      <c r="H79" s="182">
        <v>46234</v>
      </c>
      <c r="I79">
        <v>78</v>
      </c>
    </row>
    <row r="80" spans="1:9">
      <c r="A80" s="211" t="s">
        <v>1412</v>
      </c>
      <c r="B80" s="211" t="s">
        <v>2278</v>
      </c>
      <c r="C80" s="211" t="s">
        <v>2171</v>
      </c>
      <c r="D80" s="211"/>
      <c r="E80" s="211" t="s">
        <v>2172</v>
      </c>
      <c r="F80" s="180" t="s">
        <v>2240</v>
      </c>
      <c r="G80" s="182">
        <v>46204</v>
      </c>
      <c r="H80" s="182">
        <v>46234</v>
      </c>
      <c r="I80">
        <v>79</v>
      </c>
    </row>
    <row r="81" spans="1:9">
      <c r="A81" s="211" t="s">
        <v>2279</v>
      </c>
      <c r="B81" s="211" t="s">
        <v>2279</v>
      </c>
      <c r="C81" s="211" t="s">
        <v>2280</v>
      </c>
      <c r="D81" s="211"/>
      <c r="E81" s="211" t="s">
        <v>2178</v>
      </c>
      <c r="F81" s="180" t="s">
        <v>2240</v>
      </c>
      <c r="G81" s="182">
        <v>46204</v>
      </c>
      <c r="H81" s="182">
        <v>46234</v>
      </c>
      <c r="I81">
        <v>80</v>
      </c>
    </row>
    <row r="82" spans="1:9">
      <c r="A82" s="211" t="s">
        <v>1416</v>
      </c>
      <c r="B82" s="211" t="s">
        <v>2281</v>
      </c>
      <c r="C82" s="211" t="s">
        <v>2282</v>
      </c>
      <c r="D82" s="211"/>
      <c r="E82" s="211" t="s">
        <v>2183</v>
      </c>
      <c r="F82" s="180" t="s">
        <v>2240</v>
      </c>
      <c r="G82" s="182">
        <v>46204</v>
      </c>
      <c r="H82" s="182">
        <v>46234</v>
      </c>
      <c r="I82">
        <v>81</v>
      </c>
    </row>
    <row r="83" spans="1:9">
      <c r="A83" s="211" t="s">
        <v>1419</v>
      </c>
      <c r="B83" s="211" t="s">
        <v>1419</v>
      </c>
      <c r="C83" s="211"/>
      <c r="D83" s="211"/>
      <c r="E83" s="211" t="s">
        <v>2227</v>
      </c>
      <c r="F83" s="180" t="s">
        <v>2179</v>
      </c>
      <c r="G83" s="182">
        <v>46174</v>
      </c>
      <c r="H83" s="182">
        <v>46234</v>
      </c>
      <c r="I83">
        <v>82</v>
      </c>
    </row>
    <row r="84" spans="1:9">
      <c r="A84" s="211" t="s">
        <v>1422</v>
      </c>
      <c r="B84" s="211" t="s">
        <v>2283</v>
      </c>
      <c r="C84" s="211" t="s">
        <v>2171</v>
      </c>
      <c r="D84" s="211"/>
      <c r="E84" s="211" t="s">
        <v>2178</v>
      </c>
      <c r="F84" s="180" t="s">
        <v>2240</v>
      </c>
      <c r="G84" s="182">
        <v>46204</v>
      </c>
      <c r="H84" s="182">
        <v>46234</v>
      </c>
      <c r="I84">
        <v>83</v>
      </c>
    </row>
    <row r="85" spans="1:9">
      <c r="A85" s="211" t="s">
        <v>2284</v>
      </c>
      <c r="B85" s="211" t="s">
        <v>2285</v>
      </c>
      <c r="C85" s="211" t="s">
        <v>2252</v>
      </c>
      <c r="D85" s="211"/>
      <c r="E85" s="211" t="s">
        <v>2172</v>
      </c>
      <c r="F85" s="180" t="s">
        <v>2240</v>
      </c>
      <c r="G85" s="182">
        <v>46204</v>
      </c>
      <c r="H85" s="182">
        <v>46234</v>
      </c>
      <c r="I85">
        <v>84</v>
      </c>
    </row>
    <row r="86" spans="1:9">
      <c r="A86" s="211" t="s">
        <v>1427</v>
      </c>
      <c r="B86" s="211" t="s">
        <v>2286</v>
      </c>
      <c r="C86" s="211" t="s">
        <v>2171</v>
      </c>
      <c r="D86" s="211"/>
      <c r="E86" s="211" t="s">
        <v>2183</v>
      </c>
      <c r="F86" s="180" t="s">
        <v>2240</v>
      </c>
      <c r="G86" s="182">
        <v>46204</v>
      </c>
      <c r="H86" s="182">
        <v>46234</v>
      </c>
      <c r="I86">
        <v>85</v>
      </c>
    </row>
    <row r="87" spans="1:9">
      <c r="A87" s="211" t="s">
        <v>1430</v>
      </c>
      <c r="B87" s="211" t="s">
        <v>1430</v>
      </c>
      <c r="C87" s="211" t="s">
        <v>2171</v>
      </c>
      <c r="D87" s="211"/>
      <c r="E87" s="211" t="s">
        <v>2172</v>
      </c>
      <c r="F87" s="180" t="s">
        <v>2240</v>
      </c>
      <c r="G87" s="182">
        <v>46204</v>
      </c>
      <c r="H87" s="182">
        <v>46234</v>
      </c>
      <c r="I87">
        <v>86</v>
      </c>
    </row>
    <row r="88" spans="1:9">
      <c r="A88" s="211" t="s">
        <v>2287</v>
      </c>
      <c r="B88" s="211" t="s">
        <v>2287</v>
      </c>
      <c r="C88" s="211"/>
      <c r="D88" s="211"/>
      <c r="E88" s="211" t="s">
        <v>2288</v>
      </c>
      <c r="F88" s="180" t="s">
        <v>2179</v>
      </c>
      <c r="G88" s="182">
        <v>46174</v>
      </c>
      <c r="H88" s="182">
        <v>46234</v>
      </c>
      <c r="I88">
        <v>87</v>
      </c>
    </row>
    <row r="89" spans="1:9">
      <c r="A89" s="211" t="s">
        <v>2289</v>
      </c>
      <c r="B89" s="211" t="s">
        <v>2289</v>
      </c>
      <c r="C89" s="211"/>
      <c r="D89" s="211"/>
      <c r="E89" s="211" t="s">
        <v>2172</v>
      </c>
      <c r="F89" s="180" t="s">
        <v>2240</v>
      </c>
      <c r="G89" s="182">
        <v>46204</v>
      </c>
      <c r="H89" s="182">
        <v>46234</v>
      </c>
      <c r="I89">
        <v>88</v>
      </c>
    </row>
    <row r="90" spans="1:9">
      <c r="A90" s="211" t="s">
        <v>1437</v>
      </c>
      <c r="B90" s="211" t="s">
        <v>1437</v>
      </c>
      <c r="C90" s="211"/>
      <c r="D90" s="211"/>
      <c r="E90" s="211" t="s">
        <v>2178</v>
      </c>
      <c r="F90" s="180" t="s">
        <v>2240</v>
      </c>
      <c r="G90" s="182">
        <v>46204</v>
      </c>
      <c r="H90" s="182">
        <v>46234</v>
      </c>
      <c r="I90">
        <v>89</v>
      </c>
    </row>
    <row r="91" spans="1:9">
      <c r="A91" s="211" t="s">
        <v>2290</v>
      </c>
      <c r="B91" s="211" t="s">
        <v>2290</v>
      </c>
      <c r="C91" s="211"/>
      <c r="D91" s="211"/>
      <c r="E91" s="211" t="s">
        <v>2183</v>
      </c>
      <c r="F91" s="180" t="s">
        <v>2240</v>
      </c>
      <c r="G91" s="182">
        <v>46204</v>
      </c>
      <c r="H91" s="182">
        <v>46234</v>
      </c>
      <c r="I91">
        <v>90</v>
      </c>
    </row>
    <row r="92" spans="1:9">
      <c r="A92" s="211" t="s">
        <v>1442</v>
      </c>
      <c r="B92" s="211" t="s">
        <v>1442</v>
      </c>
      <c r="C92" s="211" t="s">
        <v>2171</v>
      </c>
      <c r="D92" s="211"/>
      <c r="E92" s="211" t="s">
        <v>2172</v>
      </c>
      <c r="F92" s="180" t="s">
        <v>2240</v>
      </c>
      <c r="G92" s="182">
        <v>46204</v>
      </c>
      <c r="H92" s="182">
        <v>46234</v>
      </c>
      <c r="I92">
        <v>91</v>
      </c>
    </row>
    <row r="93" spans="1:9">
      <c r="A93" s="211" t="s">
        <v>1445</v>
      </c>
      <c r="B93" s="211" t="s">
        <v>2291</v>
      </c>
      <c r="C93" s="211" t="s">
        <v>2171</v>
      </c>
      <c r="D93" s="211"/>
      <c r="E93" s="211" t="s">
        <v>2178</v>
      </c>
      <c r="F93" s="180" t="s">
        <v>2240</v>
      </c>
      <c r="G93" s="182">
        <v>46204</v>
      </c>
      <c r="H93" s="182">
        <v>46234</v>
      </c>
      <c r="I93">
        <v>92</v>
      </c>
    </row>
    <row r="94" spans="1:9">
      <c r="A94" s="211" t="s">
        <v>1449</v>
      </c>
      <c r="B94" s="211" t="s">
        <v>2292</v>
      </c>
      <c r="C94" s="211" t="s">
        <v>2171</v>
      </c>
      <c r="D94" s="211"/>
      <c r="E94" s="211" t="s">
        <v>2183</v>
      </c>
      <c r="F94" s="180" t="s">
        <v>2240</v>
      </c>
      <c r="G94" s="182">
        <v>46204</v>
      </c>
      <c r="H94" s="182">
        <v>46234</v>
      </c>
      <c r="I94">
        <v>93</v>
      </c>
    </row>
    <row r="95" spans="1:9">
      <c r="A95" s="211" t="s">
        <v>1451</v>
      </c>
      <c r="B95" s="211" t="s">
        <v>2293</v>
      </c>
      <c r="C95" s="211" t="s">
        <v>2294</v>
      </c>
      <c r="D95" s="211"/>
      <c r="E95" s="211" t="s">
        <v>2172</v>
      </c>
      <c r="F95" s="180" t="s">
        <v>2240</v>
      </c>
      <c r="G95" s="182">
        <v>46204</v>
      </c>
      <c r="H95" s="182">
        <v>46234</v>
      </c>
      <c r="I95">
        <v>94</v>
      </c>
    </row>
    <row r="96" spans="1:9">
      <c r="A96" s="211" t="s">
        <v>1455</v>
      </c>
      <c r="B96" s="211" t="s">
        <v>1455</v>
      </c>
      <c r="C96" s="211" t="s">
        <v>2171</v>
      </c>
      <c r="D96" s="211"/>
      <c r="E96" s="211" t="s">
        <v>2178</v>
      </c>
      <c r="F96" s="180" t="s">
        <v>2240</v>
      </c>
      <c r="G96" s="182">
        <v>46204</v>
      </c>
      <c r="H96" s="182">
        <v>46234</v>
      </c>
      <c r="I96">
        <v>95</v>
      </c>
    </row>
    <row r="97" spans="1:9">
      <c r="A97" s="211" t="s">
        <v>2295</v>
      </c>
      <c r="B97" s="211" t="s">
        <v>2295</v>
      </c>
      <c r="C97" s="211" t="s">
        <v>2296</v>
      </c>
      <c r="D97" s="211"/>
      <c r="E97" s="211" t="s">
        <v>2183</v>
      </c>
      <c r="F97" s="180" t="s">
        <v>2240</v>
      </c>
      <c r="G97" s="182">
        <v>46204</v>
      </c>
      <c r="H97" s="182">
        <v>46234</v>
      </c>
      <c r="I97">
        <v>96</v>
      </c>
    </row>
    <row r="98" spans="1:9">
      <c r="A98" s="211" t="s">
        <v>2297</v>
      </c>
      <c r="B98" s="211" t="s">
        <v>2297</v>
      </c>
      <c r="C98" s="211" t="s">
        <v>2298</v>
      </c>
      <c r="D98" s="211"/>
      <c r="E98" s="211" t="s">
        <v>2183</v>
      </c>
      <c r="F98" s="180" t="s">
        <v>2240</v>
      </c>
      <c r="G98" s="182">
        <v>46204</v>
      </c>
      <c r="H98" s="182">
        <v>46234</v>
      </c>
      <c r="I98">
        <v>97</v>
      </c>
    </row>
    <row r="99" spans="1:9">
      <c r="A99" s="211" t="s">
        <v>1462</v>
      </c>
      <c r="B99" s="211" t="s">
        <v>1462</v>
      </c>
      <c r="C99" s="211" t="s">
        <v>2171</v>
      </c>
      <c r="D99" s="211"/>
      <c r="E99" s="211" t="s">
        <v>2172</v>
      </c>
      <c r="F99" s="180" t="s">
        <v>2240</v>
      </c>
      <c r="G99" s="182">
        <v>46204</v>
      </c>
      <c r="H99" s="182">
        <v>46234</v>
      </c>
      <c r="I99">
        <v>98</v>
      </c>
    </row>
    <row r="100" spans="1:9">
      <c r="A100" s="211" t="s">
        <v>1464</v>
      </c>
      <c r="B100" s="211" t="s">
        <v>2299</v>
      </c>
      <c r="C100" s="211" t="s">
        <v>2300</v>
      </c>
      <c r="D100" s="211"/>
      <c r="E100" s="211" t="s">
        <v>2172</v>
      </c>
      <c r="F100" s="180" t="s">
        <v>2240</v>
      </c>
      <c r="G100" s="182">
        <v>46204</v>
      </c>
      <c r="H100" s="182">
        <v>46234</v>
      </c>
      <c r="I100">
        <v>99</v>
      </c>
    </row>
    <row r="101" spans="1:9">
      <c r="A101" s="211" t="s">
        <v>1467</v>
      </c>
      <c r="B101" s="211" t="s">
        <v>1467</v>
      </c>
      <c r="C101" s="211" t="s">
        <v>2171</v>
      </c>
      <c r="D101" s="211"/>
      <c r="E101" s="211" t="s">
        <v>2172</v>
      </c>
      <c r="F101" s="180" t="s">
        <v>2240</v>
      </c>
      <c r="G101" s="182">
        <v>46204</v>
      </c>
      <c r="H101" s="182">
        <v>46234</v>
      </c>
      <c r="I101">
        <v>100</v>
      </c>
    </row>
    <row r="102" spans="1:9">
      <c r="A102" s="211" t="s">
        <v>1469</v>
      </c>
      <c r="B102" s="211" t="s">
        <v>1469</v>
      </c>
      <c r="C102" s="211"/>
      <c r="D102" s="211"/>
      <c r="E102" s="211" t="s">
        <v>2172</v>
      </c>
      <c r="F102" s="180" t="s">
        <v>2240</v>
      </c>
      <c r="G102" s="182">
        <v>46204</v>
      </c>
      <c r="H102" s="182">
        <v>46234</v>
      </c>
      <c r="I102">
        <v>101</v>
      </c>
    </row>
    <row r="103" spans="1:9">
      <c r="A103" s="211" t="s">
        <v>1473</v>
      </c>
      <c r="B103" s="211" t="s">
        <v>1473</v>
      </c>
      <c r="C103" s="211" t="s">
        <v>2171</v>
      </c>
      <c r="D103" s="211"/>
      <c r="E103" s="211" t="s">
        <v>2172</v>
      </c>
      <c r="F103" s="180" t="s">
        <v>2240</v>
      </c>
      <c r="G103" s="182">
        <v>46204</v>
      </c>
      <c r="H103" s="182">
        <v>46234</v>
      </c>
      <c r="I103">
        <v>102</v>
      </c>
    </row>
    <row r="104" spans="1:9">
      <c r="A104" s="211" t="s">
        <v>1476</v>
      </c>
      <c r="B104" s="211" t="s">
        <v>1476</v>
      </c>
      <c r="C104" s="211" t="s">
        <v>2171</v>
      </c>
      <c r="D104" s="211"/>
      <c r="E104" s="211" t="s">
        <v>2172</v>
      </c>
      <c r="F104" s="180" t="s">
        <v>2240</v>
      </c>
      <c r="G104" s="182">
        <v>46204</v>
      </c>
      <c r="H104" s="182">
        <v>46234</v>
      </c>
      <c r="I104">
        <v>103</v>
      </c>
    </row>
    <row r="105" spans="1:9">
      <c r="A105" s="211" t="s">
        <v>2301</v>
      </c>
      <c r="B105" s="211" t="s">
        <v>1479</v>
      </c>
      <c r="C105" s="211" t="s">
        <v>2302</v>
      </c>
      <c r="D105" s="211"/>
      <c r="E105" s="211" t="s">
        <v>2178</v>
      </c>
      <c r="F105" s="180" t="s">
        <v>2240</v>
      </c>
      <c r="G105" s="182">
        <v>46204</v>
      </c>
      <c r="H105" s="182">
        <v>46234</v>
      </c>
      <c r="I105">
        <v>104</v>
      </c>
    </row>
    <row r="106" spans="1:9">
      <c r="A106" s="211" t="s">
        <v>1483</v>
      </c>
      <c r="B106" s="211" t="s">
        <v>2303</v>
      </c>
      <c r="C106" s="211" t="s">
        <v>2304</v>
      </c>
      <c r="D106" s="211"/>
      <c r="E106" s="211" t="s">
        <v>2178</v>
      </c>
      <c r="F106" s="180" t="s">
        <v>2179</v>
      </c>
      <c r="G106" s="182">
        <v>46204</v>
      </c>
      <c r="H106" s="182">
        <v>46234</v>
      </c>
      <c r="I106">
        <v>105</v>
      </c>
    </row>
    <row r="107" spans="1:9">
      <c r="A107" s="211" t="s">
        <v>1488</v>
      </c>
      <c r="B107" s="211" t="s">
        <v>2305</v>
      </c>
      <c r="C107" s="211" t="s">
        <v>2306</v>
      </c>
      <c r="D107" s="211"/>
      <c r="E107" s="211" t="s">
        <v>2172</v>
      </c>
      <c r="F107" s="180" t="s">
        <v>2240</v>
      </c>
      <c r="G107" s="182">
        <v>46204</v>
      </c>
      <c r="H107" s="182">
        <v>46234</v>
      </c>
      <c r="I107">
        <v>106</v>
      </c>
    </row>
    <row r="108" spans="1:9">
      <c r="A108" s="211" t="s">
        <v>1491</v>
      </c>
      <c r="B108" s="211" t="s">
        <v>1491</v>
      </c>
      <c r="C108" s="211" t="s">
        <v>2171</v>
      </c>
      <c r="D108" s="211"/>
      <c r="E108" s="211" t="s">
        <v>2172</v>
      </c>
      <c r="F108" s="180" t="s">
        <v>2240</v>
      </c>
      <c r="G108" s="182">
        <v>46204</v>
      </c>
      <c r="H108" s="182">
        <v>46234</v>
      </c>
      <c r="I108">
        <v>107</v>
      </c>
    </row>
    <row r="109" spans="1:9">
      <c r="A109" s="211" t="s">
        <v>1496</v>
      </c>
      <c r="B109" s="211" t="s">
        <v>1496</v>
      </c>
      <c r="C109" s="211" t="s">
        <v>2171</v>
      </c>
      <c r="D109" s="211"/>
      <c r="E109" s="211" t="s">
        <v>2172</v>
      </c>
      <c r="F109" s="180" t="s">
        <v>2240</v>
      </c>
      <c r="G109" s="182">
        <v>46204</v>
      </c>
      <c r="H109" s="182">
        <v>46234</v>
      </c>
      <c r="I109">
        <v>108</v>
      </c>
    </row>
    <row r="110" spans="1:9">
      <c r="A110" s="211" t="s">
        <v>1499</v>
      </c>
      <c r="B110" s="211" t="s">
        <v>2307</v>
      </c>
      <c r="C110" s="211" t="s">
        <v>2308</v>
      </c>
      <c r="D110" s="211"/>
      <c r="E110" s="211" t="s">
        <v>2183</v>
      </c>
      <c r="F110" s="180" t="s">
        <v>2240</v>
      </c>
      <c r="G110" s="182">
        <v>46204</v>
      </c>
      <c r="H110" s="182">
        <v>46234</v>
      </c>
      <c r="I110">
        <v>109</v>
      </c>
    </row>
    <row r="111" spans="1:9">
      <c r="A111" s="211" t="s">
        <v>1501</v>
      </c>
      <c r="B111" s="211" t="s">
        <v>2309</v>
      </c>
      <c r="C111" s="211" t="s">
        <v>2310</v>
      </c>
      <c r="D111" s="211"/>
      <c r="E111" s="211" t="s">
        <v>2172</v>
      </c>
      <c r="F111" s="180" t="s">
        <v>2240</v>
      </c>
      <c r="G111" s="182">
        <v>46235</v>
      </c>
      <c r="H111" s="182">
        <v>46234</v>
      </c>
      <c r="I111">
        <v>110</v>
      </c>
    </row>
    <row r="112" spans="1:9">
      <c r="A112" s="211" t="s">
        <v>1503</v>
      </c>
      <c r="B112" s="211" t="s">
        <v>2311</v>
      </c>
      <c r="C112" s="211" t="s">
        <v>2312</v>
      </c>
      <c r="D112" s="211"/>
      <c r="E112" s="211" t="s">
        <v>2178</v>
      </c>
      <c r="F112" s="180" t="s">
        <v>2240</v>
      </c>
      <c r="G112" s="182">
        <v>46235</v>
      </c>
      <c r="H112" s="182">
        <v>46265</v>
      </c>
      <c r="I112">
        <v>111</v>
      </c>
    </row>
    <row r="113" spans="1:9">
      <c r="A113" s="211" t="s">
        <v>2313</v>
      </c>
      <c r="B113" s="211" t="s">
        <v>2313</v>
      </c>
      <c r="C113" s="211" t="s">
        <v>2314</v>
      </c>
      <c r="D113" s="211"/>
      <c r="E113" s="211" t="s">
        <v>2183</v>
      </c>
      <c r="F113" s="180" t="s">
        <v>2240</v>
      </c>
      <c r="G113" s="182">
        <v>46235</v>
      </c>
      <c r="H113" s="182">
        <v>46265</v>
      </c>
      <c r="I113">
        <v>112</v>
      </c>
    </row>
    <row r="114" spans="1:9">
      <c r="A114" s="211" t="s">
        <v>1511</v>
      </c>
      <c r="B114" s="211" t="s">
        <v>2315</v>
      </c>
      <c r="C114" s="211" t="s">
        <v>2316</v>
      </c>
      <c r="D114" s="211"/>
      <c r="E114" s="211" t="s">
        <v>2172</v>
      </c>
      <c r="F114" s="180" t="s">
        <v>2240</v>
      </c>
      <c r="G114" s="182">
        <v>46235</v>
      </c>
      <c r="H114" s="182">
        <v>46265</v>
      </c>
      <c r="I114">
        <v>113</v>
      </c>
    </row>
    <row r="115" spans="1:9">
      <c r="A115" s="211" t="s">
        <v>1515</v>
      </c>
      <c r="B115" s="211" t="s">
        <v>2317</v>
      </c>
      <c r="C115" s="211" t="s">
        <v>2318</v>
      </c>
      <c r="D115" s="211"/>
      <c r="E115" s="211" t="s">
        <v>2183</v>
      </c>
      <c r="F115" s="180" t="s">
        <v>2240</v>
      </c>
      <c r="G115" s="182">
        <v>46235</v>
      </c>
      <c r="H115" s="182">
        <v>46265</v>
      </c>
      <c r="I115">
        <v>114</v>
      </c>
    </row>
    <row r="116" spans="1:9">
      <c r="A116" s="211" t="s">
        <v>1518</v>
      </c>
      <c r="B116" s="211" t="s">
        <v>2319</v>
      </c>
      <c r="C116" s="211" t="s">
        <v>2320</v>
      </c>
      <c r="D116" s="211"/>
      <c r="E116" s="211" t="s">
        <v>2172</v>
      </c>
      <c r="F116" s="180" t="s">
        <v>2240</v>
      </c>
      <c r="G116" s="182">
        <v>46235</v>
      </c>
      <c r="H116" s="182">
        <v>46265</v>
      </c>
      <c r="I116">
        <v>115</v>
      </c>
    </row>
    <row r="117" spans="1:9">
      <c r="A117" s="211" t="s">
        <v>1125</v>
      </c>
      <c r="B117" s="211" t="s">
        <v>1125</v>
      </c>
      <c r="C117" s="211" t="s">
        <v>2171</v>
      </c>
      <c r="D117" s="211"/>
      <c r="E117" s="211" t="s">
        <v>2172</v>
      </c>
      <c r="F117" s="180" t="s">
        <v>2240</v>
      </c>
      <c r="G117" s="182">
        <v>46235</v>
      </c>
      <c r="H117" s="182">
        <v>46265</v>
      </c>
      <c r="I117">
        <v>116</v>
      </c>
    </row>
    <row r="118" spans="1:9">
      <c r="A118" s="211" t="s">
        <v>1520</v>
      </c>
      <c r="B118" s="211" t="s">
        <v>2321</v>
      </c>
      <c r="C118" s="211" t="s">
        <v>2322</v>
      </c>
      <c r="D118" s="211"/>
      <c r="E118" s="211" t="s">
        <v>2178</v>
      </c>
      <c r="F118" s="180" t="s">
        <v>2240</v>
      </c>
      <c r="G118" s="182">
        <v>46235</v>
      </c>
      <c r="H118" s="182">
        <v>46265</v>
      </c>
      <c r="I118">
        <v>117</v>
      </c>
    </row>
    <row r="119" spans="1:9">
      <c r="A119" s="211" t="s">
        <v>2323</v>
      </c>
      <c r="B119" s="211" t="s">
        <v>2324</v>
      </c>
      <c r="C119" s="211" t="s">
        <v>2325</v>
      </c>
      <c r="D119" s="211"/>
      <c r="E119" s="211" t="s">
        <v>2178</v>
      </c>
      <c r="F119" s="180" t="s">
        <v>2240</v>
      </c>
      <c r="G119" s="182">
        <v>46235</v>
      </c>
      <c r="H119" s="182">
        <v>46265</v>
      </c>
      <c r="I119">
        <v>118</v>
      </c>
    </row>
    <row r="120" spans="1:9">
      <c r="A120" s="211" t="s">
        <v>1526</v>
      </c>
      <c r="B120" s="211" t="s">
        <v>2326</v>
      </c>
      <c r="C120" s="211" t="s">
        <v>2171</v>
      </c>
      <c r="D120" s="211"/>
      <c r="E120" s="211" t="s">
        <v>2183</v>
      </c>
      <c r="F120" s="180" t="s">
        <v>2240</v>
      </c>
      <c r="G120" s="182">
        <v>46235</v>
      </c>
      <c r="H120" s="182">
        <v>46265</v>
      </c>
      <c r="I120">
        <v>119</v>
      </c>
    </row>
    <row r="121" spans="1:9">
      <c r="A121" s="211" t="s">
        <v>1528</v>
      </c>
      <c r="B121" s="211" t="s">
        <v>2327</v>
      </c>
      <c r="C121" s="211" t="s">
        <v>2328</v>
      </c>
      <c r="D121" s="211"/>
      <c r="E121" s="211" t="s">
        <v>2172</v>
      </c>
      <c r="F121" s="180" t="s">
        <v>2240</v>
      </c>
      <c r="G121" s="182">
        <v>46235</v>
      </c>
      <c r="H121" s="182">
        <v>46265</v>
      </c>
      <c r="I121">
        <v>120</v>
      </c>
    </row>
    <row r="122" spans="1:9">
      <c r="A122" s="211" t="s">
        <v>2329</v>
      </c>
      <c r="B122" s="211" t="s">
        <v>2329</v>
      </c>
      <c r="C122" s="211" t="s">
        <v>2330</v>
      </c>
      <c r="D122" s="211"/>
      <c r="E122" s="211" t="s">
        <v>2178</v>
      </c>
      <c r="F122" s="180" t="s">
        <v>2240</v>
      </c>
      <c r="G122" s="182">
        <v>46235</v>
      </c>
      <c r="H122" s="182">
        <v>46265</v>
      </c>
      <c r="I122">
        <v>121</v>
      </c>
    </row>
    <row r="123" spans="1:9">
      <c r="A123" s="211" t="s">
        <v>1535</v>
      </c>
      <c r="B123" s="211" t="s">
        <v>2331</v>
      </c>
      <c r="C123" s="211" t="s">
        <v>2332</v>
      </c>
      <c r="D123" s="211"/>
      <c r="E123" s="211" t="s">
        <v>2183</v>
      </c>
      <c r="F123" s="180" t="s">
        <v>2240</v>
      </c>
      <c r="G123" s="182">
        <v>46235</v>
      </c>
      <c r="H123" s="182">
        <v>46265</v>
      </c>
      <c r="I123">
        <v>122</v>
      </c>
    </row>
    <row r="124" spans="1:9">
      <c r="A124" s="211" t="s">
        <v>1537</v>
      </c>
      <c r="B124" s="211" t="s">
        <v>2333</v>
      </c>
      <c r="C124" s="211" t="s">
        <v>2334</v>
      </c>
      <c r="D124" s="211"/>
      <c r="E124" s="211" t="s">
        <v>2172</v>
      </c>
      <c r="F124" s="180" t="s">
        <v>2240</v>
      </c>
      <c r="G124" s="182">
        <v>46235</v>
      </c>
      <c r="H124" s="182">
        <v>46265</v>
      </c>
      <c r="I124">
        <v>123</v>
      </c>
    </row>
    <row r="125" spans="1:9">
      <c r="A125" s="211" t="s">
        <v>1539</v>
      </c>
      <c r="B125" s="211" t="s">
        <v>2335</v>
      </c>
      <c r="C125" s="211" t="s">
        <v>2336</v>
      </c>
      <c r="D125" s="211"/>
      <c r="E125" s="211" t="s">
        <v>2183</v>
      </c>
      <c r="F125" s="180" t="s">
        <v>2240</v>
      </c>
      <c r="G125" s="182">
        <v>46235</v>
      </c>
      <c r="H125" s="182">
        <v>46265</v>
      </c>
      <c r="I125">
        <v>124</v>
      </c>
    </row>
    <row r="126" spans="1:9">
      <c r="A126" s="211" t="s">
        <v>1541</v>
      </c>
      <c r="B126" s="211" t="s">
        <v>2337</v>
      </c>
      <c r="C126" s="211" t="s">
        <v>2338</v>
      </c>
      <c r="D126" s="211"/>
      <c r="E126" s="211" t="s">
        <v>2178</v>
      </c>
      <c r="F126" s="180" t="s">
        <v>2240</v>
      </c>
      <c r="G126" s="182">
        <v>46235</v>
      </c>
      <c r="H126" s="182">
        <v>46265</v>
      </c>
      <c r="I126">
        <v>125</v>
      </c>
    </row>
    <row r="127" spans="1:9">
      <c r="A127" s="211" t="s">
        <v>1543</v>
      </c>
      <c r="B127" s="211" t="s">
        <v>2339</v>
      </c>
      <c r="C127" s="211" t="s">
        <v>2338</v>
      </c>
      <c r="D127" s="211"/>
      <c r="E127" s="211" t="s">
        <v>2183</v>
      </c>
      <c r="F127" s="180" t="s">
        <v>2240</v>
      </c>
      <c r="G127" s="182">
        <v>46235</v>
      </c>
      <c r="H127" s="182">
        <v>46265</v>
      </c>
      <c r="I127">
        <v>126</v>
      </c>
    </row>
    <row r="128" spans="1:9">
      <c r="A128" s="211" t="s">
        <v>1545</v>
      </c>
      <c r="B128" s="211" t="s">
        <v>2340</v>
      </c>
      <c r="C128" s="211" t="s">
        <v>2341</v>
      </c>
      <c r="D128" s="211"/>
      <c r="E128" s="211" t="s">
        <v>2172</v>
      </c>
      <c r="F128" s="180" t="s">
        <v>2240</v>
      </c>
      <c r="G128" s="182">
        <v>46235</v>
      </c>
      <c r="H128" s="182">
        <v>46265</v>
      </c>
      <c r="I128">
        <v>127</v>
      </c>
    </row>
    <row r="129" spans="1:9">
      <c r="A129" s="211" t="s">
        <v>1548</v>
      </c>
      <c r="B129" s="211" t="s">
        <v>2342</v>
      </c>
      <c r="C129" s="211" t="s">
        <v>2343</v>
      </c>
      <c r="D129" s="211"/>
      <c r="E129" s="211" t="s">
        <v>2178</v>
      </c>
      <c r="F129" s="180" t="s">
        <v>2240</v>
      </c>
      <c r="G129" s="182">
        <v>46235</v>
      </c>
      <c r="H129" s="182">
        <v>46265</v>
      </c>
      <c r="I129">
        <v>128</v>
      </c>
    </row>
    <row r="130" spans="1:9">
      <c r="A130" s="211" t="s">
        <v>1551</v>
      </c>
      <c r="B130" s="211" t="s">
        <v>2344</v>
      </c>
      <c r="C130" s="211" t="s">
        <v>2345</v>
      </c>
      <c r="D130" s="211"/>
      <c r="E130" s="211" t="s">
        <v>2172</v>
      </c>
      <c r="F130" s="180" t="s">
        <v>2240</v>
      </c>
      <c r="G130" s="182">
        <v>46235</v>
      </c>
      <c r="H130" s="182">
        <v>46265</v>
      </c>
      <c r="I130">
        <v>129</v>
      </c>
    </row>
    <row r="131" spans="1:9">
      <c r="A131" s="211" t="s">
        <v>2346</v>
      </c>
      <c r="B131" s="211" t="s">
        <v>2346</v>
      </c>
      <c r="C131" s="211" t="s">
        <v>2347</v>
      </c>
      <c r="D131" s="211"/>
      <c r="E131" s="211" t="s">
        <v>2183</v>
      </c>
      <c r="F131" s="180" t="s">
        <v>2240</v>
      </c>
      <c r="G131" s="182">
        <v>46235</v>
      </c>
      <c r="H131" s="182">
        <v>46265</v>
      </c>
      <c r="I131">
        <v>130</v>
      </c>
    </row>
    <row r="132" spans="1:9">
      <c r="A132" s="211" t="s">
        <v>1557</v>
      </c>
      <c r="B132" s="211" t="s">
        <v>1557</v>
      </c>
      <c r="C132" s="211" t="s">
        <v>2171</v>
      </c>
      <c r="D132" s="211"/>
      <c r="E132" s="211" t="s">
        <v>2172</v>
      </c>
      <c r="F132" s="180" t="s">
        <v>2240</v>
      </c>
      <c r="G132" s="182">
        <v>46235</v>
      </c>
      <c r="H132" s="182">
        <v>46265</v>
      </c>
      <c r="I132">
        <v>131</v>
      </c>
    </row>
    <row r="133" spans="1:9">
      <c r="A133" s="211" t="s">
        <v>1559</v>
      </c>
      <c r="B133" s="211" t="s">
        <v>1559</v>
      </c>
      <c r="C133" s="211" t="s">
        <v>1559</v>
      </c>
      <c r="D133" s="211"/>
      <c r="E133" s="211" t="s">
        <v>2178</v>
      </c>
      <c r="F133" s="180" t="s">
        <v>2240</v>
      </c>
      <c r="G133" s="182">
        <v>46235</v>
      </c>
      <c r="H133" s="182">
        <v>46265</v>
      </c>
      <c r="I133">
        <v>132</v>
      </c>
    </row>
    <row r="134" spans="1:9">
      <c r="A134" s="211" t="s">
        <v>1565</v>
      </c>
      <c r="B134" s="211" t="s">
        <v>2348</v>
      </c>
      <c r="C134" s="211" t="s">
        <v>2349</v>
      </c>
      <c r="D134" s="211"/>
      <c r="E134" s="211" t="s">
        <v>2183</v>
      </c>
      <c r="F134" s="180" t="s">
        <v>2240</v>
      </c>
      <c r="G134" s="182">
        <v>46235</v>
      </c>
      <c r="H134" s="182">
        <v>46265</v>
      </c>
      <c r="I134">
        <v>133</v>
      </c>
    </row>
    <row r="135" spans="1:9">
      <c r="A135" s="211" t="s">
        <v>2350</v>
      </c>
      <c r="B135" s="211" t="s">
        <v>2350</v>
      </c>
      <c r="C135" s="211" t="s">
        <v>2351</v>
      </c>
      <c r="D135" s="211"/>
      <c r="E135" s="211" t="s">
        <v>2172</v>
      </c>
      <c r="F135" s="180" t="s">
        <v>2240</v>
      </c>
      <c r="G135" s="182">
        <v>46235</v>
      </c>
      <c r="H135" s="182">
        <v>46265</v>
      </c>
      <c r="I135">
        <v>134</v>
      </c>
    </row>
    <row r="136" spans="1:9">
      <c r="A136" s="211" t="s">
        <v>1567</v>
      </c>
      <c r="B136" s="211" t="s">
        <v>2352</v>
      </c>
      <c r="C136" s="211" t="s">
        <v>2353</v>
      </c>
      <c r="D136" s="211"/>
      <c r="E136" s="211" t="s">
        <v>2178</v>
      </c>
      <c r="F136" s="180" t="s">
        <v>2240</v>
      </c>
      <c r="G136" s="182">
        <v>46235</v>
      </c>
      <c r="H136" s="182">
        <v>46265</v>
      </c>
      <c r="I136">
        <v>135</v>
      </c>
    </row>
    <row r="137" spans="1:9">
      <c r="A137" s="211" t="s">
        <v>2354</v>
      </c>
      <c r="B137" s="211" t="s">
        <v>2354</v>
      </c>
      <c r="C137" s="211"/>
      <c r="D137" s="211"/>
      <c r="E137" s="211" t="s">
        <v>2172</v>
      </c>
      <c r="F137" s="180" t="s">
        <v>2240</v>
      </c>
      <c r="G137" s="182">
        <v>46235</v>
      </c>
      <c r="H137" s="182">
        <v>46265</v>
      </c>
      <c r="I137">
        <v>136</v>
      </c>
    </row>
    <row r="138" spans="1:9">
      <c r="A138" s="211" t="s">
        <v>1573</v>
      </c>
      <c r="B138" s="211" t="s">
        <v>2355</v>
      </c>
      <c r="C138" s="211" t="s">
        <v>2356</v>
      </c>
      <c r="D138" s="211"/>
      <c r="E138" s="211" t="s">
        <v>2183</v>
      </c>
      <c r="F138" s="180" t="s">
        <v>2240</v>
      </c>
      <c r="G138" s="182">
        <v>46235</v>
      </c>
      <c r="H138" s="182">
        <v>46265</v>
      </c>
      <c r="I138">
        <v>137</v>
      </c>
    </row>
    <row r="139" spans="1:9">
      <c r="A139" s="211" t="s">
        <v>1575</v>
      </c>
      <c r="B139" s="211" t="s">
        <v>2357</v>
      </c>
      <c r="C139" s="211" t="s">
        <v>2358</v>
      </c>
      <c r="D139" s="211"/>
      <c r="E139" s="211" t="s">
        <v>2172</v>
      </c>
      <c r="F139" s="180" t="s">
        <v>2240</v>
      </c>
      <c r="G139" s="182">
        <v>46235</v>
      </c>
      <c r="H139" s="182">
        <v>46265</v>
      </c>
      <c r="I139">
        <v>138</v>
      </c>
    </row>
    <row r="140" spans="1:9">
      <c r="A140" s="211" t="s">
        <v>1578</v>
      </c>
      <c r="B140" s="211" t="s">
        <v>2359</v>
      </c>
      <c r="C140" s="211"/>
      <c r="D140" s="211"/>
      <c r="E140" s="211" t="s">
        <v>2178</v>
      </c>
      <c r="F140" s="180" t="s">
        <v>2240</v>
      </c>
      <c r="G140" s="182">
        <v>46235</v>
      </c>
      <c r="H140" s="182">
        <v>46265</v>
      </c>
      <c r="I140">
        <v>139</v>
      </c>
    </row>
    <row r="141" spans="1:9">
      <c r="A141" s="211" t="s">
        <v>2360</v>
      </c>
      <c r="B141" s="211" t="s">
        <v>2361</v>
      </c>
      <c r="C141" s="211" t="s">
        <v>2362</v>
      </c>
      <c r="D141" s="211"/>
      <c r="E141" s="211" t="s">
        <v>2183</v>
      </c>
      <c r="F141" s="180" t="s">
        <v>2240</v>
      </c>
      <c r="G141" s="182">
        <v>46235</v>
      </c>
      <c r="H141" s="182">
        <v>46265</v>
      </c>
      <c r="I141">
        <v>140</v>
      </c>
    </row>
    <row r="142" spans="1:9">
      <c r="A142" s="211" t="s">
        <v>2363</v>
      </c>
      <c r="B142" s="211" t="s">
        <v>2364</v>
      </c>
      <c r="C142" s="211" t="s">
        <v>2362</v>
      </c>
      <c r="D142" s="211"/>
      <c r="E142" s="211" t="s">
        <v>2172</v>
      </c>
      <c r="F142" s="180" t="s">
        <v>2240</v>
      </c>
      <c r="G142" s="182">
        <v>46235</v>
      </c>
      <c r="H142" s="182">
        <v>46265</v>
      </c>
      <c r="I142">
        <v>141</v>
      </c>
    </row>
    <row r="143" spans="1:9">
      <c r="A143" s="211" t="s">
        <v>2365</v>
      </c>
      <c r="B143" s="211" t="s">
        <v>2366</v>
      </c>
      <c r="C143" s="211" t="s">
        <v>2362</v>
      </c>
      <c r="D143" s="211"/>
      <c r="E143" s="211" t="s">
        <v>2178</v>
      </c>
      <c r="F143" s="180" t="s">
        <v>2240</v>
      </c>
      <c r="G143" s="182">
        <v>46235</v>
      </c>
      <c r="H143" s="182">
        <v>46265</v>
      </c>
      <c r="I143">
        <v>142</v>
      </c>
    </row>
    <row r="144" spans="1:9">
      <c r="A144" s="211" t="s">
        <v>1588</v>
      </c>
      <c r="B144" s="211" t="s">
        <v>2367</v>
      </c>
      <c r="C144" s="211" t="s">
        <v>2362</v>
      </c>
      <c r="D144" s="211"/>
      <c r="E144" s="211" t="s">
        <v>2183</v>
      </c>
      <c r="F144" s="180" t="s">
        <v>2240</v>
      </c>
      <c r="G144" s="182">
        <v>46235</v>
      </c>
      <c r="H144" s="182">
        <v>46265</v>
      </c>
      <c r="I144">
        <v>143</v>
      </c>
    </row>
    <row r="145" spans="1:9">
      <c r="A145" s="211" t="s">
        <v>1592</v>
      </c>
      <c r="B145" s="211" t="s">
        <v>2368</v>
      </c>
      <c r="C145" s="211" t="s">
        <v>2369</v>
      </c>
      <c r="D145" s="211"/>
      <c r="E145" s="211" t="s">
        <v>2172</v>
      </c>
      <c r="F145" s="180" t="s">
        <v>2240</v>
      </c>
      <c r="G145" s="182">
        <v>46235</v>
      </c>
      <c r="H145" s="182">
        <v>46265</v>
      </c>
      <c r="I145">
        <v>144</v>
      </c>
    </row>
    <row r="146" spans="1:9">
      <c r="A146" s="211" t="s">
        <v>2370</v>
      </c>
      <c r="B146" s="211" t="s">
        <v>2371</v>
      </c>
      <c r="C146" s="211" t="s">
        <v>2369</v>
      </c>
      <c r="D146" s="211"/>
      <c r="E146" s="211" t="s">
        <v>2178</v>
      </c>
      <c r="F146" s="180" t="s">
        <v>2240</v>
      </c>
      <c r="G146" s="182">
        <v>46235</v>
      </c>
      <c r="H146" s="182">
        <v>46265</v>
      </c>
      <c r="I146">
        <v>145</v>
      </c>
    </row>
    <row r="147" spans="1:9">
      <c r="A147" s="211" t="s">
        <v>2372</v>
      </c>
      <c r="B147" s="211" t="s">
        <v>2372</v>
      </c>
      <c r="C147" s="211" t="s">
        <v>2171</v>
      </c>
      <c r="D147" s="211"/>
      <c r="E147" s="211" t="s">
        <v>2172</v>
      </c>
      <c r="F147" s="180" t="s">
        <v>2240</v>
      </c>
      <c r="G147" s="182">
        <v>46235</v>
      </c>
      <c r="H147" s="182">
        <v>46265</v>
      </c>
      <c r="I147">
        <v>146</v>
      </c>
    </row>
    <row r="148" spans="1:9">
      <c r="A148" s="211" t="s">
        <v>1597</v>
      </c>
      <c r="B148" s="211" t="s">
        <v>2373</v>
      </c>
      <c r="C148" s="211" t="s">
        <v>2171</v>
      </c>
      <c r="D148" s="211"/>
      <c r="E148" s="211" t="s">
        <v>2172</v>
      </c>
      <c r="F148" s="180" t="s">
        <v>2240</v>
      </c>
      <c r="G148" s="182">
        <v>46235</v>
      </c>
      <c r="H148" s="182">
        <v>46265</v>
      </c>
      <c r="I148">
        <v>147</v>
      </c>
    </row>
    <row r="149" spans="1:9">
      <c r="A149" s="211" t="s">
        <v>2374</v>
      </c>
      <c r="B149" s="211" t="s">
        <v>2375</v>
      </c>
      <c r="C149" s="211" t="s">
        <v>2376</v>
      </c>
      <c r="D149" s="211"/>
      <c r="E149" s="211" t="s">
        <v>2178</v>
      </c>
      <c r="F149" s="180" t="s">
        <v>2240</v>
      </c>
      <c r="G149" s="182">
        <v>46235</v>
      </c>
      <c r="H149" s="182">
        <v>46265</v>
      </c>
      <c r="I149">
        <v>148</v>
      </c>
    </row>
    <row r="150" spans="1:9">
      <c r="A150" s="211" t="s">
        <v>2377</v>
      </c>
      <c r="B150" s="211" t="s">
        <v>2377</v>
      </c>
      <c r="C150" s="211"/>
      <c r="D150" s="211"/>
      <c r="E150" s="211" t="s">
        <v>2183</v>
      </c>
      <c r="F150" s="180" t="s">
        <v>2240</v>
      </c>
      <c r="G150" s="182">
        <v>46235</v>
      </c>
      <c r="H150" s="182">
        <v>46265</v>
      </c>
      <c r="I150">
        <v>149</v>
      </c>
    </row>
    <row r="151" spans="1:9">
      <c r="A151" s="211" t="s">
        <v>1601</v>
      </c>
      <c r="B151" s="211" t="s">
        <v>2378</v>
      </c>
      <c r="C151" s="211" t="s">
        <v>2379</v>
      </c>
      <c r="D151" s="211"/>
      <c r="E151" s="211" t="s">
        <v>2183</v>
      </c>
      <c r="F151" s="180" t="s">
        <v>2240</v>
      </c>
      <c r="G151" s="182">
        <v>46235</v>
      </c>
      <c r="H151" s="182">
        <v>46265</v>
      </c>
      <c r="I151">
        <v>150</v>
      </c>
    </row>
    <row r="152" spans="1:9">
      <c r="A152" s="211" t="s">
        <v>1604</v>
      </c>
      <c r="B152" s="211" t="s">
        <v>1604</v>
      </c>
      <c r="C152" s="211" t="s">
        <v>2171</v>
      </c>
      <c r="D152" s="211"/>
      <c r="E152" s="211" t="s">
        <v>2172</v>
      </c>
      <c r="F152" s="180" t="s">
        <v>2240</v>
      </c>
      <c r="G152" s="182">
        <v>46235</v>
      </c>
      <c r="H152" s="182">
        <v>46265</v>
      </c>
      <c r="I152">
        <v>151</v>
      </c>
    </row>
    <row r="153" spans="1:9">
      <c r="A153" s="211" t="s">
        <v>1606</v>
      </c>
      <c r="B153" s="211" t="s">
        <v>2380</v>
      </c>
      <c r="C153" s="211" t="s">
        <v>2381</v>
      </c>
      <c r="D153" s="211"/>
      <c r="E153" s="211" t="s">
        <v>2172</v>
      </c>
      <c r="F153" s="180" t="s">
        <v>2240</v>
      </c>
      <c r="G153" s="182">
        <v>46235</v>
      </c>
      <c r="H153" s="182">
        <v>46265</v>
      </c>
      <c r="I153">
        <v>152</v>
      </c>
    </row>
    <row r="154" spans="1:9">
      <c r="A154" s="211" t="s">
        <v>2382</v>
      </c>
      <c r="B154" s="211" t="s">
        <v>2382</v>
      </c>
      <c r="C154" s="211"/>
      <c r="D154" s="211"/>
      <c r="E154" s="211" t="s">
        <v>2178</v>
      </c>
      <c r="F154" s="180" t="s">
        <v>2240</v>
      </c>
      <c r="G154" s="182">
        <v>46235</v>
      </c>
      <c r="H154" s="182">
        <v>46265</v>
      </c>
      <c r="I154">
        <v>153</v>
      </c>
    </row>
    <row r="155" spans="1:9">
      <c r="A155" s="211" t="s">
        <v>1612</v>
      </c>
      <c r="B155" s="211" t="s">
        <v>1613</v>
      </c>
      <c r="C155" s="211" t="s">
        <v>2171</v>
      </c>
      <c r="D155" s="211"/>
      <c r="E155" s="211" t="s">
        <v>2172</v>
      </c>
      <c r="F155" s="180" t="s">
        <v>2240</v>
      </c>
      <c r="G155" s="182">
        <v>46235</v>
      </c>
      <c r="H155" s="182">
        <v>46265</v>
      </c>
      <c r="I155">
        <v>154</v>
      </c>
    </row>
    <row r="156" spans="1:9">
      <c r="A156" s="211" t="s">
        <v>1616</v>
      </c>
      <c r="B156" s="211" t="s">
        <v>2383</v>
      </c>
      <c r="C156" s="211" t="s">
        <v>2171</v>
      </c>
      <c r="D156" s="211"/>
      <c r="E156" s="211" t="s">
        <v>2172</v>
      </c>
      <c r="F156" s="180" t="s">
        <v>2240</v>
      </c>
      <c r="G156" s="182">
        <v>46235</v>
      </c>
      <c r="H156" s="182">
        <v>46265</v>
      </c>
      <c r="I156">
        <v>155</v>
      </c>
    </row>
    <row r="157" spans="1:9">
      <c r="A157" s="211" t="s">
        <v>1619</v>
      </c>
      <c r="B157" s="211" t="s">
        <v>2384</v>
      </c>
      <c r="C157" s="211" t="s">
        <v>2385</v>
      </c>
      <c r="D157" s="211"/>
      <c r="E157" s="211" t="s">
        <v>2183</v>
      </c>
      <c r="F157" s="180" t="s">
        <v>2240</v>
      </c>
      <c r="G157" s="182">
        <v>46235</v>
      </c>
      <c r="H157" s="182">
        <v>46265</v>
      </c>
      <c r="I157">
        <v>156</v>
      </c>
    </row>
    <row r="158" spans="1:9">
      <c r="A158" s="211" t="s">
        <v>1621</v>
      </c>
      <c r="B158" s="211" t="s">
        <v>2386</v>
      </c>
      <c r="C158" s="211" t="s">
        <v>2387</v>
      </c>
      <c r="D158" s="211"/>
      <c r="E158" s="211" t="s">
        <v>2172</v>
      </c>
      <c r="F158" s="180" t="s">
        <v>2179</v>
      </c>
      <c r="G158" s="182">
        <v>46235</v>
      </c>
      <c r="H158" s="182">
        <v>46265</v>
      </c>
      <c r="I158">
        <v>157</v>
      </c>
    </row>
    <row r="159" spans="1:9">
      <c r="A159" s="211" t="s">
        <v>1623</v>
      </c>
      <c r="B159" s="211" t="s">
        <v>2388</v>
      </c>
      <c r="C159" s="211" t="s">
        <v>2389</v>
      </c>
      <c r="D159" s="211"/>
      <c r="E159" s="211" t="s">
        <v>2178</v>
      </c>
      <c r="F159" s="180" t="s">
        <v>2240</v>
      </c>
      <c r="G159" s="182">
        <v>46235</v>
      </c>
      <c r="H159" s="182">
        <v>46265</v>
      </c>
      <c r="I159">
        <v>158</v>
      </c>
    </row>
    <row r="160" spans="1:9">
      <c r="A160" s="211" t="s">
        <v>1625</v>
      </c>
      <c r="B160" s="211" t="s">
        <v>2390</v>
      </c>
      <c r="C160" s="211" t="s">
        <v>2391</v>
      </c>
      <c r="D160" s="211"/>
      <c r="E160" s="211" t="s">
        <v>2183</v>
      </c>
      <c r="F160" s="180" t="s">
        <v>2240</v>
      </c>
      <c r="G160" s="182">
        <v>46235</v>
      </c>
      <c r="H160" s="182">
        <v>46265</v>
      </c>
      <c r="I160">
        <v>159</v>
      </c>
    </row>
    <row r="161" spans="1:9">
      <c r="A161" s="211" t="s">
        <v>1631</v>
      </c>
      <c r="B161" s="211" t="s">
        <v>2392</v>
      </c>
      <c r="C161" s="211" t="s">
        <v>2171</v>
      </c>
      <c r="D161" s="211"/>
      <c r="E161" s="211" t="s">
        <v>2172</v>
      </c>
      <c r="F161" s="180" t="s">
        <v>2240</v>
      </c>
      <c r="G161" s="182">
        <v>46235</v>
      </c>
      <c r="H161" s="182">
        <v>46265</v>
      </c>
      <c r="I161">
        <v>160</v>
      </c>
    </row>
    <row r="162" spans="1:9">
      <c r="A162" s="211" t="s">
        <v>2393</v>
      </c>
      <c r="B162" s="211" t="s">
        <v>2393</v>
      </c>
      <c r="C162" s="211" t="s">
        <v>2394</v>
      </c>
      <c r="D162" s="211"/>
      <c r="E162" s="211" t="s">
        <v>2172</v>
      </c>
      <c r="F162" s="180" t="s">
        <v>2240</v>
      </c>
      <c r="G162" s="182">
        <v>46235</v>
      </c>
      <c r="H162" s="182">
        <v>46265</v>
      </c>
      <c r="I162">
        <v>161</v>
      </c>
    </row>
    <row r="163" spans="1:9">
      <c r="A163" s="211" t="s">
        <v>1636</v>
      </c>
      <c r="B163" s="211" t="s">
        <v>2395</v>
      </c>
      <c r="C163" s="211" t="s">
        <v>2396</v>
      </c>
      <c r="D163" s="211"/>
      <c r="E163" s="211" t="s">
        <v>2178</v>
      </c>
      <c r="F163" s="180" t="s">
        <v>2240</v>
      </c>
      <c r="G163" s="182">
        <v>46235</v>
      </c>
      <c r="H163" s="182">
        <v>46265</v>
      </c>
      <c r="I163">
        <v>162</v>
      </c>
    </row>
    <row r="164" spans="1:9">
      <c r="A164" s="211" t="s">
        <v>1639</v>
      </c>
      <c r="B164" s="211" t="s">
        <v>1639</v>
      </c>
      <c r="C164" s="211"/>
      <c r="D164" s="211"/>
      <c r="E164" s="211" t="s">
        <v>2172</v>
      </c>
      <c r="F164" s="180" t="s">
        <v>2240</v>
      </c>
      <c r="G164" s="182">
        <v>46235</v>
      </c>
      <c r="H164" s="182">
        <v>46265</v>
      </c>
      <c r="I164">
        <v>163</v>
      </c>
    </row>
    <row r="165" spans="1:9">
      <c r="A165" s="211" t="s">
        <v>1641</v>
      </c>
      <c r="B165" s="211" t="s">
        <v>2397</v>
      </c>
      <c r="C165" s="211" t="s">
        <v>2398</v>
      </c>
      <c r="D165" s="211"/>
      <c r="E165" s="211" t="s">
        <v>2178</v>
      </c>
      <c r="F165" s="180" t="s">
        <v>2240</v>
      </c>
      <c r="G165" s="182">
        <v>46235</v>
      </c>
      <c r="H165" s="182">
        <v>46265</v>
      </c>
      <c r="I165">
        <v>164</v>
      </c>
    </row>
    <row r="166" spans="1:9">
      <c r="A166" s="211" t="s">
        <v>1643</v>
      </c>
      <c r="B166" s="211" t="s">
        <v>2399</v>
      </c>
      <c r="C166" s="211" t="s">
        <v>2400</v>
      </c>
      <c r="D166" s="211"/>
      <c r="E166" s="211" t="s">
        <v>2183</v>
      </c>
      <c r="F166" s="180" t="s">
        <v>2240</v>
      </c>
      <c r="G166" s="182">
        <v>46235</v>
      </c>
      <c r="H166" s="182">
        <v>46265</v>
      </c>
      <c r="I166">
        <v>165</v>
      </c>
    </row>
    <row r="167" spans="1:9">
      <c r="A167" s="211" t="s">
        <v>2401</v>
      </c>
      <c r="B167" s="211" t="s">
        <v>2401</v>
      </c>
      <c r="C167" s="180"/>
      <c r="D167" s="180"/>
      <c r="E167" s="180" t="s">
        <v>2288</v>
      </c>
      <c r="F167" s="180" t="s">
        <v>2179</v>
      </c>
      <c r="G167" s="182">
        <v>46174</v>
      </c>
      <c r="H167" s="182">
        <v>46265</v>
      </c>
      <c r="I167">
        <v>166</v>
      </c>
    </row>
  </sheetData>
  <autoFilter ref="A1:G167" xr:uid="{40637126-AF30-4589-8729-F38AA8634548}"/>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F0A1-E77A-473D-8180-E9EE4CE028C0}">
  <sheetPr filterMode="1"/>
  <dimension ref="A1:H93"/>
  <sheetViews>
    <sheetView zoomScale="70" zoomScaleNormal="70" workbookViewId="0">
      <selection activeCell="A26" sqref="A26"/>
    </sheetView>
  </sheetViews>
  <sheetFormatPr defaultColWidth="11.42578125" defaultRowHeight="15"/>
  <cols>
    <col min="1" max="1" width="72" customWidth="1"/>
    <col min="2" max="2" width="13.85546875" bestFit="1" customWidth="1"/>
    <col min="3" max="4" width="48.140625" customWidth="1"/>
    <col min="5" max="5" width="21.140625" bestFit="1" customWidth="1"/>
    <col min="6" max="6" width="20.85546875" bestFit="1" customWidth="1"/>
    <col min="7" max="7" width="28.5703125" bestFit="1" customWidth="1"/>
    <col min="8" max="8" width="14" bestFit="1" customWidth="1"/>
  </cols>
  <sheetData>
    <row r="1" spans="1:8">
      <c r="A1" s="247" t="s">
        <v>2402</v>
      </c>
      <c r="B1" s="247" t="s">
        <v>2403</v>
      </c>
      <c r="C1" s="247" t="s">
        <v>2404</v>
      </c>
      <c r="D1" s="247" t="s">
        <v>2405</v>
      </c>
      <c r="E1" s="247" t="s">
        <v>2406</v>
      </c>
      <c r="F1" s="247" t="s">
        <v>2407</v>
      </c>
      <c r="G1" s="247" t="s">
        <v>2408</v>
      </c>
      <c r="H1" s="247" t="s">
        <v>2409</v>
      </c>
    </row>
    <row r="2" spans="1:8" hidden="1">
      <c r="A2" s="246" t="s">
        <v>2410</v>
      </c>
      <c r="B2" s="246" t="s">
        <v>909</v>
      </c>
      <c r="C2" s="246">
        <v>9289</v>
      </c>
      <c r="D2" s="246"/>
      <c r="E2" s="246"/>
      <c r="F2" s="246"/>
      <c r="G2" s="248">
        <v>46280</v>
      </c>
      <c r="H2" s="250" t="s">
        <v>2411</v>
      </c>
    </row>
    <row r="3" spans="1:8" hidden="1">
      <c r="A3" s="246" t="s">
        <v>2412</v>
      </c>
      <c r="B3" s="246" t="s">
        <v>2413</v>
      </c>
      <c r="C3" s="246">
        <v>12</v>
      </c>
      <c r="D3" s="246"/>
      <c r="E3" s="246"/>
      <c r="F3" s="246"/>
      <c r="G3" s="248">
        <v>46280</v>
      </c>
      <c r="H3" s="250" t="s">
        <v>2414</v>
      </c>
    </row>
    <row r="4" spans="1:8" hidden="1">
      <c r="A4" s="246" t="s">
        <v>2415</v>
      </c>
      <c r="B4" s="246" t="s">
        <v>911</v>
      </c>
      <c r="C4" s="246">
        <v>3</v>
      </c>
      <c r="D4" s="246" t="s">
        <v>2416</v>
      </c>
      <c r="E4" s="246"/>
      <c r="F4" s="246"/>
      <c r="G4" s="248">
        <v>46280</v>
      </c>
      <c r="H4" s="250" t="s">
        <v>2417</v>
      </c>
    </row>
    <row r="5" spans="1:8" hidden="1">
      <c r="A5" s="246" t="s">
        <v>2418</v>
      </c>
      <c r="B5" s="246" t="s">
        <v>911</v>
      </c>
      <c r="C5" s="246">
        <v>9</v>
      </c>
      <c r="D5" s="246"/>
      <c r="E5" s="248">
        <v>46238</v>
      </c>
      <c r="F5" s="248">
        <v>46251</v>
      </c>
      <c r="G5" s="248">
        <v>46280</v>
      </c>
      <c r="H5" s="250" t="s">
        <v>2419</v>
      </c>
    </row>
    <row r="6" spans="1:8" hidden="1">
      <c r="A6" s="246" t="s">
        <v>2361</v>
      </c>
      <c r="B6" s="246" t="s">
        <v>911</v>
      </c>
      <c r="C6" s="246">
        <v>50</v>
      </c>
      <c r="D6" s="246"/>
      <c r="E6" s="248">
        <v>46240</v>
      </c>
      <c r="F6" s="248">
        <v>46251</v>
      </c>
      <c r="G6" s="248">
        <v>46280</v>
      </c>
      <c r="H6" s="250" t="s">
        <v>2419</v>
      </c>
    </row>
    <row r="7" spans="1:8" hidden="1">
      <c r="A7" s="246" t="s">
        <v>2299</v>
      </c>
      <c r="B7" s="246" t="s">
        <v>911</v>
      </c>
      <c r="C7" s="246">
        <v>4</v>
      </c>
      <c r="D7" s="246"/>
      <c r="E7" s="248">
        <v>46251</v>
      </c>
      <c r="F7" s="248">
        <v>46251</v>
      </c>
      <c r="G7" s="248">
        <v>46280</v>
      </c>
      <c r="H7" s="250" t="s">
        <v>2420</v>
      </c>
    </row>
    <row r="8" spans="1:8" hidden="1">
      <c r="A8" s="246" t="s">
        <v>2421</v>
      </c>
      <c r="B8" s="246" t="s">
        <v>911</v>
      </c>
      <c r="C8" s="246">
        <v>26</v>
      </c>
      <c r="D8" s="246"/>
      <c r="E8" s="248">
        <v>46258</v>
      </c>
      <c r="F8" s="248">
        <v>46258</v>
      </c>
      <c r="G8" s="248">
        <v>46280</v>
      </c>
      <c r="H8" s="250" t="s">
        <v>2420</v>
      </c>
    </row>
    <row r="9" spans="1:8" hidden="1">
      <c r="A9" s="246" t="s">
        <v>2192</v>
      </c>
      <c r="B9" s="246" t="s">
        <v>2413</v>
      </c>
      <c r="C9" s="246">
        <v>17</v>
      </c>
      <c r="D9" s="246"/>
      <c r="E9" s="246"/>
      <c r="F9" s="246"/>
      <c r="G9" s="248">
        <v>46280</v>
      </c>
      <c r="H9" s="250" t="s">
        <v>2417</v>
      </c>
    </row>
    <row r="10" spans="1:8" hidden="1">
      <c r="A10" s="246" t="s">
        <v>2422</v>
      </c>
      <c r="B10" s="246" t="s">
        <v>2413</v>
      </c>
      <c r="C10" s="246">
        <v>187</v>
      </c>
      <c r="D10" s="246"/>
      <c r="E10" s="246"/>
      <c r="F10" s="246"/>
      <c r="G10" s="248">
        <v>46280</v>
      </c>
      <c r="H10" s="250" t="s">
        <v>2414</v>
      </c>
    </row>
    <row r="11" spans="1:8" hidden="1">
      <c r="A11" s="246" t="s">
        <v>2423</v>
      </c>
      <c r="B11" s="246" t="s">
        <v>911</v>
      </c>
      <c r="C11" s="246">
        <v>10</v>
      </c>
      <c r="D11" s="246"/>
      <c r="E11" s="248">
        <v>46251</v>
      </c>
      <c r="F11" s="248">
        <v>46251</v>
      </c>
      <c r="G11" s="248">
        <v>46280</v>
      </c>
      <c r="H11" s="250" t="s">
        <v>2420</v>
      </c>
    </row>
    <row r="12" spans="1:8" hidden="1">
      <c r="A12" s="246" t="s">
        <v>2424</v>
      </c>
      <c r="B12" s="246" t="s">
        <v>2413</v>
      </c>
      <c r="C12" s="246">
        <v>10</v>
      </c>
      <c r="D12" s="246"/>
      <c r="E12" s="246"/>
      <c r="F12" s="246"/>
      <c r="G12" s="248">
        <v>46280</v>
      </c>
      <c r="H12" s="250" t="s">
        <v>2411</v>
      </c>
    </row>
    <row r="13" spans="1:8" hidden="1">
      <c r="A13" s="246" t="s">
        <v>2425</v>
      </c>
      <c r="B13" s="246" t="s">
        <v>911</v>
      </c>
      <c r="C13" s="246">
        <v>5</v>
      </c>
      <c r="D13" s="246"/>
      <c r="E13" s="248">
        <v>46239</v>
      </c>
      <c r="F13" s="248">
        <v>46251</v>
      </c>
      <c r="G13" s="248">
        <v>46280</v>
      </c>
      <c r="H13" s="250" t="s">
        <v>2419</v>
      </c>
    </row>
    <row r="14" spans="1:8" hidden="1">
      <c r="A14" s="246" t="s">
        <v>2401</v>
      </c>
      <c r="B14" s="246" t="s">
        <v>911</v>
      </c>
      <c r="C14" s="246">
        <v>22</v>
      </c>
      <c r="D14" s="246" t="s">
        <v>2416</v>
      </c>
      <c r="E14" s="246"/>
      <c r="F14" s="246"/>
      <c r="G14" s="248">
        <v>46280</v>
      </c>
      <c r="H14" s="250" t="s">
        <v>2417</v>
      </c>
    </row>
    <row r="15" spans="1:8" hidden="1">
      <c r="A15" s="246" t="s">
        <v>2426</v>
      </c>
      <c r="B15" s="246" t="s">
        <v>911</v>
      </c>
      <c r="C15" s="246">
        <v>3</v>
      </c>
      <c r="D15" s="246"/>
      <c r="E15" s="248">
        <v>46239</v>
      </c>
      <c r="F15" s="248">
        <v>47347</v>
      </c>
      <c r="G15" s="248">
        <v>46280</v>
      </c>
      <c r="H15" s="250" t="s">
        <v>2419</v>
      </c>
    </row>
    <row r="16" spans="1:8">
      <c r="A16" s="246" t="s">
        <v>2209</v>
      </c>
      <c r="B16" s="246" t="s">
        <v>2413</v>
      </c>
      <c r="C16" s="246">
        <v>56</v>
      </c>
      <c r="D16" s="246" t="s">
        <v>2427</v>
      </c>
      <c r="E16" s="246"/>
      <c r="F16" s="246"/>
      <c r="G16" s="248">
        <v>46280</v>
      </c>
      <c r="H16" s="250" t="s">
        <v>2428</v>
      </c>
    </row>
    <row r="17" spans="1:8" hidden="1">
      <c r="A17" s="246" t="s">
        <v>2213</v>
      </c>
      <c r="B17" s="246" t="s">
        <v>911</v>
      </c>
      <c r="C17" s="246">
        <v>19</v>
      </c>
      <c r="D17" s="246"/>
      <c r="E17" s="248">
        <v>46251</v>
      </c>
      <c r="F17" s="248">
        <v>46251</v>
      </c>
      <c r="G17" s="248">
        <v>46280</v>
      </c>
      <c r="H17" s="250" t="s">
        <v>2420</v>
      </c>
    </row>
    <row r="18" spans="1:8" hidden="1">
      <c r="A18" s="246" t="s">
        <v>2429</v>
      </c>
      <c r="B18" s="246" t="s">
        <v>2413</v>
      </c>
      <c r="C18" s="246">
        <v>4</v>
      </c>
      <c r="D18" s="246"/>
      <c r="E18" s="246"/>
      <c r="F18" s="246"/>
      <c r="G18" s="248">
        <v>46280</v>
      </c>
      <c r="H18" s="250" t="s">
        <v>2411</v>
      </c>
    </row>
    <row r="19" spans="1:8">
      <c r="A19" s="246" t="s">
        <v>2388</v>
      </c>
      <c r="B19" s="246" t="s">
        <v>909</v>
      </c>
      <c r="C19" s="246">
        <v>12</v>
      </c>
      <c r="D19" s="246" t="s">
        <v>2430</v>
      </c>
      <c r="E19" s="249">
        <v>46246</v>
      </c>
      <c r="F19" s="246"/>
      <c r="G19" s="248">
        <v>46280</v>
      </c>
      <c r="H19" s="250" t="s">
        <v>2428</v>
      </c>
    </row>
    <row r="20" spans="1:8" hidden="1">
      <c r="A20" s="246" t="s">
        <v>2390</v>
      </c>
      <c r="B20" s="246" t="s">
        <v>2431</v>
      </c>
      <c r="C20" s="246">
        <v>9</v>
      </c>
      <c r="D20" s="246"/>
      <c r="E20" s="246"/>
      <c r="F20" s="246"/>
      <c r="G20" s="248">
        <v>46280</v>
      </c>
      <c r="H20" s="250" t="s">
        <v>2417</v>
      </c>
    </row>
    <row r="21" spans="1:8" hidden="1">
      <c r="A21" s="246" t="s">
        <v>2216</v>
      </c>
      <c r="B21" s="246" t="s">
        <v>911</v>
      </c>
      <c r="C21" s="246">
        <v>4</v>
      </c>
      <c r="D21" s="250"/>
      <c r="E21" s="248">
        <v>46239</v>
      </c>
      <c r="F21" s="248">
        <v>46251</v>
      </c>
      <c r="G21" s="248">
        <v>46280</v>
      </c>
      <c r="H21" s="250" t="s">
        <v>2419</v>
      </c>
    </row>
    <row r="22" spans="1:8">
      <c r="A22" s="246" t="s">
        <v>2432</v>
      </c>
      <c r="B22" s="246" t="s">
        <v>2413</v>
      </c>
      <c r="C22" s="246">
        <v>90</v>
      </c>
      <c r="D22" s="250"/>
      <c r="E22" s="246"/>
      <c r="F22" s="246"/>
      <c r="G22" s="248">
        <v>46280</v>
      </c>
      <c r="H22" s="250" t="s">
        <v>2428</v>
      </c>
    </row>
    <row r="23" spans="1:8" hidden="1">
      <c r="A23" s="246" t="s">
        <v>2220</v>
      </c>
      <c r="B23" s="246" t="s">
        <v>909</v>
      </c>
      <c r="C23" s="246">
        <v>4</v>
      </c>
      <c r="D23" s="250"/>
      <c r="E23" s="248">
        <v>46252</v>
      </c>
      <c r="F23" s="246"/>
      <c r="G23" s="248">
        <v>46280</v>
      </c>
      <c r="H23" s="250" t="s">
        <v>2420</v>
      </c>
    </row>
    <row r="24" spans="1:8" hidden="1">
      <c r="A24" s="246" t="s">
        <v>2433</v>
      </c>
      <c r="B24" s="246" t="s">
        <v>2413</v>
      </c>
      <c r="C24" s="246">
        <v>9</v>
      </c>
      <c r="D24" s="250"/>
      <c r="E24" s="246"/>
      <c r="F24" s="246"/>
      <c r="G24" s="248">
        <v>46280</v>
      </c>
      <c r="H24" s="250" t="s">
        <v>2411</v>
      </c>
    </row>
    <row r="25" spans="1:8" hidden="1">
      <c r="A25" s="246" t="s">
        <v>2434</v>
      </c>
      <c r="B25" s="246" t="s">
        <v>2413</v>
      </c>
      <c r="C25" s="246">
        <v>112</v>
      </c>
      <c r="D25" s="250"/>
      <c r="E25" s="246"/>
      <c r="F25" s="246"/>
      <c r="G25" s="248">
        <v>46280</v>
      </c>
      <c r="H25" s="250" t="s">
        <v>2414</v>
      </c>
    </row>
    <row r="26" spans="1:8" hidden="1">
      <c r="A26" s="246" t="s">
        <v>2228</v>
      </c>
      <c r="B26" s="246" t="s">
        <v>2413</v>
      </c>
      <c r="C26" s="246">
        <v>119</v>
      </c>
      <c r="D26" s="250"/>
      <c r="E26" s="246"/>
      <c r="F26" s="246"/>
      <c r="G26" s="248">
        <v>46280</v>
      </c>
      <c r="H26" s="250" t="s">
        <v>2417</v>
      </c>
    </row>
    <row r="27" spans="1:8" hidden="1">
      <c r="A27" s="246" t="s">
        <v>2435</v>
      </c>
      <c r="B27" s="246" t="s">
        <v>911</v>
      </c>
      <c r="C27" s="246">
        <v>9</v>
      </c>
      <c r="D27" s="250"/>
      <c r="E27" s="248">
        <v>46238</v>
      </c>
      <c r="F27" s="248">
        <v>46251</v>
      </c>
      <c r="G27" s="248">
        <v>46280</v>
      </c>
      <c r="H27" s="250" t="s">
        <v>2419</v>
      </c>
    </row>
    <row r="28" spans="1:8">
      <c r="A28" s="246" t="s">
        <v>1320</v>
      </c>
      <c r="B28" s="246" t="s">
        <v>909</v>
      </c>
      <c r="C28" s="250">
        <v>4</v>
      </c>
      <c r="D28" s="246" t="s">
        <v>2430</v>
      </c>
      <c r="E28" s="249">
        <v>46246</v>
      </c>
      <c r="F28" s="246"/>
      <c r="G28" s="248">
        <v>46280</v>
      </c>
      <c r="H28" s="250" t="s">
        <v>2428</v>
      </c>
    </row>
    <row r="29" spans="1:8" hidden="1">
      <c r="A29" s="246" t="s">
        <v>2235</v>
      </c>
      <c r="B29" s="246" t="s">
        <v>911</v>
      </c>
      <c r="C29" s="250">
        <v>52</v>
      </c>
      <c r="D29" s="250"/>
      <c r="E29" s="248">
        <v>46233</v>
      </c>
      <c r="F29" s="248">
        <v>46233</v>
      </c>
      <c r="G29" s="248">
        <v>46280</v>
      </c>
      <c r="H29" s="250" t="s">
        <v>2420</v>
      </c>
    </row>
    <row r="30" spans="1:8" hidden="1">
      <c r="A30" s="246" t="s">
        <v>2436</v>
      </c>
      <c r="B30" s="246" t="s">
        <v>2431</v>
      </c>
      <c r="C30" s="250">
        <v>6</v>
      </c>
      <c r="D30" s="250"/>
      <c r="E30" s="246"/>
      <c r="F30" s="246"/>
      <c r="G30" s="248">
        <v>46280</v>
      </c>
      <c r="H30" s="250" t="s">
        <v>2411</v>
      </c>
    </row>
    <row r="31" spans="1:8" hidden="1">
      <c r="A31" s="246" t="s">
        <v>2204</v>
      </c>
      <c r="B31" s="246" t="s">
        <v>2431</v>
      </c>
      <c r="C31" s="250">
        <v>172</v>
      </c>
      <c r="D31" s="250"/>
      <c r="E31" s="248">
        <v>46261</v>
      </c>
      <c r="F31" s="246"/>
      <c r="G31" s="248">
        <v>46280</v>
      </c>
      <c r="H31" s="250" t="s">
        <v>2414</v>
      </c>
    </row>
    <row r="32" spans="1:8" hidden="1">
      <c r="A32" s="246" t="s">
        <v>1335</v>
      </c>
      <c r="B32" s="246" t="s">
        <v>911</v>
      </c>
      <c r="C32" s="250">
        <v>1812</v>
      </c>
      <c r="D32" s="250" t="s">
        <v>2437</v>
      </c>
      <c r="E32" s="248">
        <v>46240</v>
      </c>
      <c r="F32" s="248">
        <v>46251</v>
      </c>
      <c r="G32" s="248">
        <v>46280</v>
      </c>
      <c r="H32" s="250" t="s">
        <v>2419</v>
      </c>
    </row>
    <row r="33" spans="1:8" hidden="1">
      <c r="A33" s="246" t="s">
        <v>2438</v>
      </c>
      <c r="B33" s="246" t="s">
        <v>911</v>
      </c>
      <c r="C33" s="250">
        <v>1856</v>
      </c>
      <c r="D33" s="250" t="s">
        <v>2439</v>
      </c>
      <c r="E33" s="248">
        <v>46240</v>
      </c>
      <c r="F33" s="248">
        <v>46251</v>
      </c>
      <c r="G33" s="248">
        <v>46280</v>
      </c>
      <c r="H33" s="250" t="s">
        <v>2419</v>
      </c>
    </row>
    <row r="34" spans="1:8">
      <c r="A34" s="246" t="s">
        <v>2440</v>
      </c>
      <c r="B34" s="246" t="s">
        <v>909</v>
      </c>
      <c r="C34" s="250">
        <v>14</v>
      </c>
      <c r="D34" s="246" t="s">
        <v>2441</v>
      </c>
      <c r="E34" s="250"/>
      <c r="F34" s="246"/>
      <c r="G34" s="248">
        <v>46280</v>
      </c>
      <c r="H34" s="250" t="s">
        <v>2428</v>
      </c>
    </row>
    <row r="35" spans="1:8" hidden="1">
      <c r="A35" s="246" t="s">
        <v>2247</v>
      </c>
      <c r="B35" s="246" t="s">
        <v>909</v>
      </c>
      <c r="C35" s="246">
        <v>5</v>
      </c>
      <c r="D35" s="250"/>
      <c r="E35" s="248">
        <v>46252</v>
      </c>
      <c r="F35" s="246"/>
      <c r="G35" s="248">
        <v>46280</v>
      </c>
      <c r="H35" s="250" t="s">
        <v>2420</v>
      </c>
    </row>
    <row r="36" spans="1:8" hidden="1">
      <c r="A36" s="246" t="s">
        <v>2249</v>
      </c>
      <c r="B36" s="246" t="s">
        <v>2431</v>
      </c>
      <c r="C36" s="246">
        <v>6</v>
      </c>
      <c r="D36" s="250"/>
      <c r="E36" s="246"/>
      <c r="F36" s="246"/>
      <c r="G36" s="248">
        <v>46280</v>
      </c>
      <c r="H36" s="250" t="s">
        <v>2411</v>
      </c>
    </row>
    <row r="37" spans="1:8" hidden="1">
      <c r="A37" s="246" t="s">
        <v>2442</v>
      </c>
      <c r="B37" s="246" t="s">
        <v>2413</v>
      </c>
      <c r="C37" s="246">
        <v>6</v>
      </c>
      <c r="D37" s="250"/>
      <c r="E37" s="246"/>
      <c r="F37" s="246"/>
      <c r="G37" s="248">
        <v>46280</v>
      </c>
      <c r="H37" s="250" t="s">
        <v>2414</v>
      </c>
    </row>
    <row r="38" spans="1:8" hidden="1">
      <c r="A38" s="246" t="s">
        <v>1358</v>
      </c>
      <c r="B38" s="246" t="s">
        <v>2413</v>
      </c>
      <c r="C38" s="246">
        <v>141</v>
      </c>
      <c r="D38" s="250"/>
      <c r="E38" s="246"/>
      <c r="F38" s="246"/>
      <c r="G38" s="248">
        <v>46280</v>
      </c>
      <c r="H38" s="250" t="s">
        <v>2417</v>
      </c>
    </row>
    <row r="39" spans="1:8" hidden="1">
      <c r="A39" s="246" t="s">
        <v>2443</v>
      </c>
      <c r="B39" s="246" t="s">
        <v>2413</v>
      </c>
      <c r="C39" s="246">
        <v>40</v>
      </c>
      <c r="D39" s="250"/>
      <c r="E39" s="246"/>
      <c r="F39" s="246"/>
      <c r="G39" s="248">
        <v>46280</v>
      </c>
      <c r="H39" s="250" t="s">
        <v>2417</v>
      </c>
    </row>
    <row r="40" spans="1:8">
      <c r="A40" s="246" t="s">
        <v>1364</v>
      </c>
      <c r="B40" s="246" t="s">
        <v>909</v>
      </c>
      <c r="C40" s="250">
        <v>51</v>
      </c>
      <c r="D40" s="246" t="s">
        <v>2430</v>
      </c>
      <c r="E40" s="249">
        <v>46246</v>
      </c>
      <c r="F40" s="246"/>
      <c r="G40" s="248">
        <v>46280</v>
      </c>
      <c r="H40" s="250" t="s">
        <v>2428</v>
      </c>
    </row>
    <row r="41" spans="1:8" hidden="1">
      <c r="A41" s="246" t="s">
        <v>2444</v>
      </c>
      <c r="B41" s="246" t="s">
        <v>911</v>
      </c>
      <c r="C41" s="246">
        <v>16</v>
      </c>
      <c r="D41" s="250"/>
      <c r="E41" s="248">
        <v>46233</v>
      </c>
      <c r="F41" s="248">
        <v>46233</v>
      </c>
      <c r="G41" s="248">
        <v>46280</v>
      </c>
      <c r="H41" s="250" t="s">
        <v>2420</v>
      </c>
    </row>
    <row r="42" spans="1:8" hidden="1">
      <c r="A42" s="246" t="s">
        <v>1405</v>
      </c>
      <c r="B42" s="246" t="s">
        <v>2431</v>
      </c>
      <c r="C42" s="246">
        <v>7</v>
      </c>
      <c r="D42" s="250"/>
      <c r="E42" s="246"/>
      <c r="F42" s="246"/>
      <c r="G42" s="248">
        <v>46280</v>
      </c>
      <c r="H42" s="250" t="s">
        <v>2411</v>
      </c>
    </row>
    <row r="43" spans="1:8" hidden="1">
      <c r="A43" s="246" t="s">
        <v>2445</v>
      </c>
      <c r="B43" s="246" t="s">
        <v>911</v>
      </c>
      <c r="C43" s="246">
        <v>6</v>
      </c>
      <c r="D43" s="250"/>
      <c r="E43" s="248">
        <v>46240</v>
      </c>
      <c r="F43" s="248">
        <v>46251</v>
      </c>
      <c r="G43" s="248">
        <v>46280</v>
      </c>
      <c r="H43" s="250" t="s">
        <v>2419</v>
      </c>
    </row>
    <row r="44" spans="1:8" hidden="1">
      <c r="A44" s="246" t="s">
        <v>2276</v>
      </c>
      <c r="B44" s="246" t="s">
        <v>2413</v>
      </c>
      <c r="C44" s="246">
        <v>14</v>
      </c>
      <c r="D44" s="250"/>
      <c r="E44" s="246"/>
      <c r="F44" s="246"/>
      <c r="G44" s="248">
        <v>46280</v>
      </c>
      <c r="H44" s="250" t="s">
        <v>2417</v>
      </c>
    </row>
    <row r="45" spans="1:8" hidden="1">
      <c r="A45" s="246" t="s">
        <v>2446</v>
      </c>
      <c r="B45" s="246" t="s">
        <v>911</v>
      </c>
      <c r="C45" s="246">
        <v>6</v>
      </c>
      <c r="D45" s="250"/>
      <c r="E45" s="248">
        <v>46240</v>
      </c>
      <c r="F45" s="248">
        <v>46251</v>
      </c>
      <c r="G45" s="248">
        <v>46280</v>
      </c>
      <c r="H45" s="250" t="s">
        <v>2419</v>
      </c>
    </row>
    <row r="46" spans="1:8">
      <c r="A46" s="246" t="s">
        <v>2279</v>
      </c>
      <c r="B46" s="246" t="s">
        <v>909</v>
      </c>
      <c r="C46" s="250">
        <v>237</v>
      </c>
      <c r="D46" s="246" t="s">
        <v>2447</v>
      </c>
      <c r="E46" s="246"/>
      <c r="F46" s="246"/>
      <c r="G46" s="248">
        <v>46280</v>
      </c>
      <c r="H46" s="250" t="s">
        <v>2428</v>
      </c>
    </row>
    <row r="47" spans="1:8" hidden="1">
      <c r="A47" s="246" t="s">
        <v>2448</v>
      </c>
      <c r="B47" s="246" t="s">
        <v>909</v>
      </c>
      <c r="C47" s="246">
        <v>6</v>
      </c>
      <c r="D47" s="250"/>
      <c r="E47" s="248">
        <v>46252</v>
      </c>
      <c r="F47" s="246"/>
      <c r="G47" s="248">
        <v>46280</v>
      </c>
      <c r="H47" s="250" t="s">
        <v>2420</v>
      </c>
    </row>
    <row r="48" spans="1:8" hidden="1">
      <c r="A48" s="246" t="s">
        <v>2287</v>
      </c>
      <c r="B48" s="246" t="s">
        <v>2413</v>
      </c>
      <c r="C48" s="246">
        <v>35</v>
      </c>
      <c r="D48" s="250"/>
      <c r="E48" s="246"/>
      <c r="F48" s="246"/>
      <c r="G48" s="248">
        <v>46280</v>
      </c>
      <c r="H48" s="250" t="s">
        <v>2411</v>
      </c>
    </row>
    <row r="49" spans="1:8" hidden="1">
      <c r="A49" s="246" t="s">
        <v>2449</v>
      </c>
      <c r="B49" s="246" t="s">
        <v>2413</v>
      </c>
      <c r="C49" s="246">
        <v>19</v>
      </c>
      <c r="D49" s="250"/>
      <c r="E49" s="246"/>
      <c r="F49" s="246"/>
      <c r="G49" s="248">
        <v>46280</v>
      </c>
      <c r="H49" s="250" t="s">
        <v>2414</v>
      </c>
    </row>
    <row r="50" spans="1:8" hidden="1">
      <c r="A50" s="246" t="s">
        <v>2450</v>
      </c>
      <c r="B50" s="246" t="s">
        <v>2413</v>
      </c>
      <c r="C50" s="246">
        <v>33</v>
      </c>
      <c r="D50" s="250"/>
      <c r="E50" s="246"/>
      <c r="F50" s="246"/>
      <c r="G50" s="248">
        <v>46280</v>
      </c>
      <c r="H50" s="250" t="s">
        <v>2417</v>
      </c>
    </row>
    <row r="51" spans="1:8" hidden="1">
      <c r="A51" s="246" t="s">
        <v>2295</v>
      </c>
      <c r="B51" s="246" t="s">
        <v>911</v>
      </c>
      <c r="C51" s="246">
        <v>42</v>
      </c>
      <c r="D51" s="250"/>
      <c r="E51" s="248">
        <v>46239</v>
      </c>
      <c r="F51" s="248">
        <v>46251</v>
      </c>
      <c r="G51" s="248">
        <v>46280</v>
      </c>
      <c r="H51" s="250" t="s">
        <v>2419</v>
      </c>
    </row>
    <row r="52" spans="1:8" hidden="1">
      <c r="A52" s="246" t="s">
        <v>2451</v>
      </c>
      <c r="B52" s="246" t="s">
        <v>911</v>
      </c>
      <c r="C52" s="246">
        <v>8</v>
      </c>
      <c r="D52" s="250"/>
      <c r="E52" s="248">
        <v>46233</v>
      </c>
      <c r="F52" s="248">
        <v>46233</v>
      </c>
      <c r="G52" s="248">
        <v>46280</v>
      </c>
      <c r="H52" s="250" t="s">
        <v>2420</v>
      </c>
    </row>
    <row r="53" spans="1:8">
      <c r="A53" s="246" t="s">
        <v>2297</v>
      </c>
      <c r="B53" s="246" t="s">
        <v>909</v>
      </c>
      <c r="C53" s="250">
        <v>7</v>
      </c>
      <c r="D53" s="246" t="s">
        <v>2430</v>
      </c>
      <c r="E53" s="249">
        <v>46246</v>
      </c>
      <c r="F53" s="246"/>
      <c r="G53" s="248">
        <v>46280</v>
      </c>
      <c r="H53" s="250" t="s">
        <v>2428</v>
      </c>
    </row>
    <row r="54" spans="1:8" hidden="1">
      <c r="A54" s="246" t="s">
        <v>2211</v>
      </c>
      <c r="B54" s="246" t="s">
        <v>909</v>
      </c>
      <c r="C54" s="246">
        <v>7</v>
      </c>
      <c r="D54" s="250"/>
      <c r="E54" s="248">
        <v>46252</v>
      </c>
      <c r="F54" s="246"/>
      <c r="G54" s="248">
        <v>46280</v>
      </c>
      <c r="H54" s="250" t="s">
        <v>2420</v>
      </c>
    </row>
    <row r="55" spans="1:8" hidden="1">
      <c r="A55" s="246" t="s">
        <v>2452</v>
      </c>
      <c r="B55" s="246" t="s">
        <v>2413</v>
      </c>
      <c r="C55" s="246">
        <v>65</v>
      </c>
      <c r="D55" s="250"/>
      <c r="E55" s="246"/>
      <c r="F55" s="246"/>
      <c r="G55" s="248">
        <v>46280</v>
      </c>
      <c r="H55" s="250" t="s">
        <v>2411</v>
      </c>
    </row>
    <row r="56" spans="1:8">
      <c r="A56" s="246" t="s">
        <v>2453</v>
      </c>
      <c r="B56" s="246" t="s">
        <v>909</v>
      </c>
      <c r="C56" s="250">
        <v>999</v>
      </c>
      <c r="D56" s="246" t="s">
        <v>2454</v>
      </c>
      <c r="E56" s="246"/>
      <c r="F56" s="246"/>
      <c r="G56" s="248">
        <v>46280</v>
      </c>
      <c r="H56" s="250" t="s">
        <v>2428</v>
      </c>
    </row>
    <row r="57" spans="1:8">
      <c r="A57" s="246" t="s">
        <v>2455</v>
      </c>
      <c r="B57" s="246" t="s">
        <v>1077</v>
      </c>
      <c r="C57" s="250">
        <v>0</v>
      </c>
      <c r="D57" s="246" t="s">
        <v>2456</v>
      </c>
      <c r="E57" s="246"/>
      <c r="F57" s="246"/>
      <c r="G57" s="248">
        <v>46280</v>
      </c>
      <c r="H57" s="250" t="s">
        <v>2428</v>
      </c>
    </row>
    <row r="58" spans="1:8" hidden="1">
      <c r="A58" s="246" t="s">
        <v>2301</v>
      </c>
      <c r="B58" s="246" t="s">
        <v>911</v>
      </c>
      <c r="C58" s="246">
        <v>8</v>
      </c>
      <c r="D58" s="250" t="s">
        <v>2457</v>
      </c>
      <c r="E58" s="248">
        <v>46238</v>
      </c>
      <c r="F58" s="248">
        <v>47347</v>
      </c>
      <c r="G58" s="248">
        <v>46280</v>
      </c>
      <c r="H58" s="250" t="s">
        <v>2419</v>
      </c>
    </row>
    <row r="59" spans="1:8">
      <c r="A59" s="246" t="s">
        <v>2458</v>
      </c>
      <c r="B59" s="246" t="s">
        <v>909</v>
      </c>
      <c r="C59" s="250">
        <v>72</v>
      </c>
      <c r="D59" s="246" t="s">
        <v>2441</v>
      </c>
      <c r="E59" s="246"/>
      <c r="F59" s="246"/>
      <c r="G59" s="248">
        <v>46280</v>
      </c>
      <c r="H59" s="250" t="s">
        <v>2428</v>
      </c>
    </row>
    <row r="60" spans="1:8" hidden="1">
      <c r="A60" s="246" t="s">
        <v>2459</v>
      </c>
      <c r="B60" s="246" t="s">
        <v>909</v>
      </c>
      <c r="C60" s="246">
        <v>9</v>
      </c>
      <c r="D60" s="250"/>
      <c r="E60" s="248">
        <v>46252</v>
      </c>
      <c r="F60" s="246"/>
      <c r="G60" s="248">
        <v>46280</v>
      </c>
      <c r="H60" s="250" t="s">
        <v>2420</v>
      </c>
    </row>
    <row r="61" spans="1:8" hidden="1">
      <c r="A61" s="246" t="s">
        <v>2460</v>
      </c>
      <c r="B61" s="246" t="s">
        <v>2413</v>
      </c>
      <c r="C61" s="246">
        <v>214</v>
      </c>
      <c r="D61" s="250"/>
      <c r="E61" s="246"/>
      <c r="F61" s="246"/>
      <c r="G61" s="248">
        <v>46280</v>
      </c>
      <c r="H61" s="250" t="s">
        <v>2411</v>
      </c>
    </row>
    <row r="62" spans="1:8" hidden="1">
      <c r="A62" s="246" t="s">
        <v>2461</v>
      </c>
      <c r="B62" s="246" t="s">
        <v>2413</v>
      </c>
      <c r="C62" s="246">
        <v>2</v>
      </c>
      <c r="D62" s="250"/>
      <c r="E62" s="246"/>
      <c r="F62" s="246"/>
      <c r="G62" s="248">
        <v>46280</v>
      </c>
      <c r="H62" s="250" t="s">
        <v>2414</v>
      </c>
    </row>
    <row r="63" spans="1:8" hidden="1">
      <c r="A63" s="246" t="s">
        <v>2462</v>
      </c>
      <c r="B63" s="246" t="s">
        <v>2413</v>
      </c>
      <c r="C63" s="246">
        <v>13</v>
      </c>
      <c r="D63" s="250"/>
      <c r="E63" s="246"/>
      <c r="F63" s="246"/>
      <c r="G63" s="248">
        <v>46280</v>
      </c>
      <c r="H63" s="250" t="s">
        <v>2417</v>
      </c>
    </row>
    <row r="64" spans="1:8" hidden="1">
      <c r="A64" s="246" t="s">
        <v>2307</v>
      </c>
      <c r="B64" s="246" t="s">
        <v>911</v>
      </c>
      <c r="C64" s="246">
        <v>24</v>
      </c>
      <c r="D64" s="250" t="s">
        <v>2457</v>
      </c>
      <c r="E64" s="248">
        <v>46238</v>
      </c>
      <c r="F64" s="248">
        <v>47347</v>
      </c>
      <c r="G64" s="248">
        <v>46280</v>
      </c>
      <c r="H64" s="250" t="s">
        <v>2419</v>
      </c>
    </row>
    <row r="65" spans="1:8">
      <c r="A65" s="246" t="s">
        <v>2309</v>
      </c>
      <c r="B65" s="246" t="s">
        <v>909</v>
      </c>
      <c r="C65" s="250">
        <v>6</v>
      </c>
      <c r="D65" s="246" t="s">
        <v>2430</v>
      </c>
      <c r="E65" s="249">
        <v>46246</v>
      </c>
      <c r="F65" s="246"/>
      <c r="G65" s="248">
        <v>46280</v>
      </c>
      <c r="H65" s="250" t="s">
        <v>2428</v>
      </c>
    </row>
    <row r="66" spans="1:8" hidden="1">
      <c r="A66" s="246" t="s">
        <v>2463</v>
      </c>
      <c r="B66" s="246" t="s">
        <v>909</v>
      </c>
      <c r="C66" s="246">
        <v>4</v>
      </c>
      <c r="D66" s="250"/>
      <c r="E66" s="248">
        <v>46252</v>
      </c>
      <c r="F66" s="246"/>
      <c r="G66" s="248">
        <v>46280</v>
      </c>
      <c r="H66" s="250" t="s">
        <v>2420</v>
      </c>
    </row>
    <row r="67" spans="1:8" hidden="1">
      <c r="A67" s="246" t="s">
        <v>2464</v>
      </c>
      <c r="B67" s="246" t="s">
        <v>2431</v>
      </c>
      <c r="C67" s="246">
        <v>14</v>
      </c>
      <c r="D67" s="250"/>
      <c r="E67" s="246"/>
      <c r="F67" s="246"/>
      <c r="G67" s="248">
        <v>46280</v>
      </c>
      <c r="H67" s="250" t="s">
        <v>2411</v>
      </c>
    </row>
    <row r="68" spans="1:8" hidden="1">
      <c r="A68" s="246" t="s">
        <v>2465</v>
      </c>
      <c r="B68" s="246" t="s">
        <v>2413</v>
      </c>
      <c r="C68" s="246">
        <v>9</v>
      </c>
      <c r="D68" s="250"/>
      <c r="E68" s="246"/>
      <c r="F68" s="246"/>
      <c r="G68" s="248">
        <v>46280</v>
      </c>
      <c r="H68" s="250" t="s">
        <v>2414</v>
      </c>
    </row>
    <row r="69" spans="1:8" hidden="1">
      <c r="A69" s="246" t="s">
        <v>2466</v>
      </c>
      <c r="B69" s="246" t="s">
        <v>2413</v>
      </c>
      <c r="C69" s="246">
        <v>145</v>
      </c>
      <c r="D69" s="250"/>
      <c r="E69" s="246"/>
      <c r="F69" s="246"/>
      <c r="G69" s="248">
        <v>46280</v>
      </c>
      <c r="H69" s="250" t="s">
        <v>2417</v>
      </c>
    </row>
    <row r="70" spans="1:8" hidden="1">
      <c r="A70" s="246" t="s">
        <v>1520</v>
      </c>
      <c r="B70" s="246" t="s">
        <v>909</v>
      </c>
      <c r="C70" s="246">
        <v>3</v>
      </c>
      <c r="D70" s="250" t="s">
        <v>2467</v>
      </c>
      <c r="E70" s="248">
        <v>46239</v>
      </c>
      <c r="F70" s="248"/>
      <c r="G70" s="248">
        <v>46280</v>
      </c>
      <c r="H70" s="250" t="s">
        <v>2419</v>
      </c>
    </row>
    <row r="71" spans="1:8">
      <c r="A71" s="246" t="s">
        <v>2468</v>
      </c>
      <c r="B71" s="246" t="s">
        <v>909</v>
      </c>
      <c r="C71" s="250">
        <v>19</v>
      </c>
      <c r="D71" s="246" t="s">
        <v>2430</v>
      </c>
      <c r="E71" s="249">
        <v>46246</v>
      </c>
      <c r="F71" s="246"/>
      <c r="G71" s="248">
        <v>46280</v>
      </c>
      <c r="H71" s="250" t="s">
        <v>2428</v>
      </c>
    </row>
    <row r="72" spans="1:8" hidden="1">
      <c r="A72" s="246" t="s">
        <v>2339</v>
      </c>
      <c r="B72" s="246" t="s">
        <v>909</v>
      </c>
      <c r="C72" s="246">
        <v>7</v>
      </c>
      <c r="D72" s="250"/>
      <c r="E72" s="248">
        <v>46252</v>
      </c>
      <c r="F72" s="246"/>
      <c r="G72" s="248">
        <v>46280</v>
      </c>
      <c r="H72" s="250" t="s">
        <v>2420</v>
      </c>
    </row>
    <row r="73" spans="1:8" hidden="1">
      <c r="A73" s="246" t="s">
        <v>2469</v>
      </c>
      <c r="B73" s="246" t="s">
        <v>2431</v>
      </c>
      <c r="C73" s="246">
        <v>4</v>
      </c>
      <c r="D73" s="250"/>
      <c r="E73" s="246"/>
      <c r="F73" s="246"/>
      <c r="G73" s="248">
        <v>46280</v>
      </c>
      <c r="H73" s="250" t="s">
        <v>2411</v>
      </c>
    </row>
    <row r="74" spans="1:8" hidden="1">
      <c r="A74" s="246" t="s">
        <v>2470</v>
      </c>
      <c r="B74" s="246" t="s">
        <v>2413</v>
      </c>
      <c r="C74" s="246">
        <v>131</v>
      </c>
      <c r="D74" s="250"/>
      <c r="E74" s="246"/>
      <c r="F74" s="246"/>
      <c r="G74" s="248">
        <v>46280</v>
      </c>
      <c r="H74" s="250" t="s">
        <v>2414</v>
      </c>
    </row>
    <row r="75" spans="1:8" hidden="1">
      <c r="A75" s="246" t="s">
        <v>2471</v>
      </c>
      <c r="B75" s="246" t="s">
        <v>911</v>
      </c>
      <c r="C75" s="246">
        <v>499</v>
      </c>
      <c r="D75" s="250"/>
      <c r="E75" s="248">
        <v>46251</v>
      </c>
      <c r="F75" s="248">
        <v>46251</v>
      </c>
      <c r="G75" s="248">
        <v>46280</v>
      </c>
      <c r="H75" s="250" t="s">
        <v>2420</v>
      </c>
    </row>
    <row r="76" spans="1:8" hidden="1">
      <c r="A76" s="246" t="s">
        <v>1551</v>
      </c>
      <c r="B76" s="246" t="s">
        <v>911</v>
      </c>
      <c r="C76" s="246">
        <v>79</v>
      </c>
      <c r="D76" s="250" t="s">
        <v>2472</v>
      </c>
      <c r="E76" s="248">
        <v>46239</v>
      </c>
      <c r="F76" s="248">
        <v>47347</v>
      </c>
      <c r="G76" s="248">
        <v>46280</v>
      </c>
      <c r="H76" s="250" t="s">
        <v>2419</v>
      </c>
    </row>
    <row r="77" spans="1:8">
      <c r="A77" s="246" t="s">
        <v>2352</v>
      </c>
      <c r="B77" s="246" t="s">
        <v>909</v>
      </c>
      <c r="C77" s="250">
        <v>14</v>
      </c>
      <c r="D77" s="246" t="s">
        <v>2430</v>
      </c>
      <c r="E77" s="249">
        <v>46246</v>
      </c>
      <c r="F77" s="246"/>
      <c r="G77" s="248">
        <v>46280</v>
      </c>
      <c r="H77" s="250" t="s">
        <v>2428</v>
      </c>
    </row>
    <row r="78" spans="1:8" hidden="1">
      <c r="A78" s="246" t="s">
        <v>2354</v>
      </c>
      <c r="B78" s="246" t="s">
        <v>909</v>
      </c>
      <c r="C78" s="246">
        <v>8</v>
      </c>
      <c r="D78" s="250"/>
      <c r="E78" s="248">
        <v>46252</v>
      </c>
      <c r="F78" s="246"/>
      <c r="G78" s="248">
        <v>46280</v>
      </c>
      <c r="H78" s="250" t="s">
        <v>2420</v>
      </c>
    </row>
    <row r="79" spans="1:8" hidden="1">
      <c r="A79" s="246" t="s">
        <v>2473</v>
      </c>
      <c r="B79" s="246" t="s">
        <v>2431</v>
      </c>
      <c r="C79" s="246">
        <v>19</v>
      </c>
      <c r="D79" s="250"/>
      <c r="E79" s="246"/>
      <c r="F79" s="246"/>
      <c r="G79" s="248">
        <v>46280</v>
      </c>
      <c r="H79" s="250" t="s">
        <v>2411</v>
      </c>
    </row>
    <row r="80" spans="1:8" hidden="1">
      <c r="A80" s="246" t="s">
        <v>2474</v>
      </c>
      <c r="B80" s="246" t="s">
        <v>2413</v>
      </c>
      <c r="C80" s="246">
        <v>14</v>
      </c>
      <c r="D80" s="250"/>
      <c r="E80" s="246"/>
      <c r="F80" s="246"/>
      <c r="G80" s="248">
        <v>46280</v>
      </c>
      <c r="H80" s="250" t="s">
        <v>2414</v>
      </c>
    </row>
    <row r="81" spans="1:8" hidden="1">
      <c r="A81" s="246" t="s">
        <v>2475</v>
      </c>
      <c r="B81" s="246" t="s">
        <v>2413</v>
      </c>
      <c r="C81" s="246">
        <v>3</v>
      </c>
      <c r="D81" s="250"/>
      <c r="E81" s="246"/>
      <c r="F81" s="246"/>
      <c r="G81" s="248">
        <v>46280</v>
      </c>
      <c r="H81" s="250" t="s">
        <v>2417</v>
      </c>
    </row>
    <row r="82" spans="1:8" hidden="1">
      <c r="A82" s="246" t="s">
        <v>2476</v>
      </c>
      <c r="B82" s="246" t="s">
        <v>911</v>
      </c>
      <c r="C82" s="246">
        <v>26</v>
      </c>
      <c r="D82" s="250"/>
      <c r="E82" s="248">
        <v>46240</v>
      </c>
      <c r="F82" s="248">
        <v>47347</v>
      </c>
      <c r="G82" s="248">
        <v>46280</v>
      </c>
      <c r="H82" s="250" t="s">
        <v>2419</v>
      </c>
    </row>
    <row r="83" spans="1:8">
      <c r="A83" s="246" t="s">
        <v>2477</v>
      </c>
      <c r="B83" s="246" t="s">
        <v>909</v>
      </c>
      <c r="C83" s="250">
        <v>45</v>
      </c>
      <c r="D83" s="246" t="s">
        <v>2478</v>
      </c>
      <c r="E83" s="246"/>
      <c r="F83" s="246"/>
      <c r="G83" s="248">
        <v>46280</v>
      </c>
      <c r="H83" s="250" t="s">
        <v>2428</v>
      </c>
    </row>
    <row r="84" spans="1:8" hidden="1">
      <c r="A84" s="246" t="s">
        <v>2375</v>
      </c>
      <c r="B84" s="246" t="s">
        <v>909</v>
      </c>
      <c r="C84" s="246">
        <v>7</v>
      </c>
      <c r="D84" s="250"/>
      <c r="E84" s="248">
        <v>46252</v>
      </c>
      <c r="F84" s="246"/>
      <c r="G84" s="248">
        <v>46280</v>
      </c>
      <c r="H84" s="250" t="s">
        <v>2420</v>
      </c>
    </row>
    <row r="85" spans="1:8" hidden="1">
      <c r="A85" s="246" t="s">
        <v>2377</v>
      </c>
      <c r="B85" s="246" t="s">
        <v>2431</v>
      </c>
      <c r="C85" s="246">
        <v>3</v>
      </c>
      <c r="D85" s="250"/>
      <c r="E85" s="246"/>
      <c r="F85" s="246"/>
      <c r="G85" s="248">
        <v>46280</v>
      </c>
      <c r="H85" s="250" t="s">
        <v>2411</v>
      </c>
    </row>
    <row r="86" spans="1:8" hidden="1">
      <c r="A86" s="246" t="s">
        <v>2479</v>
      </c>
      <c r="B86" s="246" t="s">
        <v>2413</v>
      </c>
      <c r="C86" s="246">
        <v>3</v>
      </c>
      <c r="D86" s="250"/>
      <c r="E86" s="246"/>
      <c r="F86" s="246"/>
      <c r="G86" s="248">
        <v>46280</v>
      </c>
      <c r="H86" s="250" t="s">
        <v>2414</v>
      </c>
    </row>
    <row r="87" spans="1:8" hidden="1">
      <c r="A87" s="246" t="s">
        <v>2480</v>
      </c>
      <c r="B87" s="246" t="s">
        <v>2413</v>
      </c>
      <c r="C87" s="246">
        <v>10</v>
      </c>
      <c r="D87" s="250"/>
      <c r="E87" s="246"/>
      <c r="F87" s="246"/>
      <c r="G87" s="248">
        <v>46280</v>
      </c>
      <c r="H87" s="250" t="s">
        <v>2417</v>
      </c>
    </row>
    <row r="88" spans="1:8" hidden="1">
      <c r="A88" s="246" t="s">
        <v>2481</v>
      </c>
      <c r="B88" s="246" t="s">
        <v>911</v>
      </c>
      <c r="C88" s="246">
        <v>33</v>
      </c>
      <c r="D88" s="250" t="s">
        <v>2482</v>
      </c>
      <c r="E88" s="248">
        <v>46240</v>
      </c>
      <c r="F88" s="248">
        <v>47347</v>
      </c>
      <c r="G88" s="248">
        <v>46280</v>
      </c>
      <c r="H88" s="250" t="s">
        <v>2419</v>
      </c>
    </row>
    <row r="89" spans="1:8">
      <c r="A89" s="246" t="s">
        <v>2483</v>
      </c>
      <c r="B89" s="246" t="s">
        <v>2413</v>
      </c>
      <c r="C89" s="246">
        <v>2</v>
      </c>
      <c r="D89" s="246" t="s">
        <v>2430</v>
      </c>
      <c r="E89" s="249">
        <v>46246</v>
      </c>
      <c r="F89" s="246"/>
      <c r="G89" s="248">
        <v>46280</v>
      </c>
      <c r="H89" s="250" t="s">
        <v>2428</v>
      </c>
    </row>
    <row r="90" spans="1:8" hidden="1">
      <c r="A90" s="246" t="s">
        <v>2393</v>
      </c>
      <c r="B90" s="246" t="s">
        <v>909</v>
      </c>
      <c r="C90" s="246">
        <v>10</v>
      </c>
      <c r="D90" s="246"/>
      <c r="E90" s="248">
        <v>46252</v>
      </c>
      <c r="F90" s="246"/>
      <c r="G90" s="248">
        <v>46280</v>
      </c>
      <c r="H90" s="250" t="s">
        <v>2420</v>
      </c>
    </row>
    <row r="91" spans="1:8" hidden="1">
      <c r="A91" s="246" t="s">
        <v>1639</v>
      </c>
      <c r="B91" s="246" t="s">
        <v>2431</v>
      </c>
      <c r="C91" s="246">
        <v>8</v>
      </c>
      <c r="D91" s="246"/>
      <c r="E91" s="246"/>
      <c r="F91" s="246"/>
      <c r="G91" s="248">
        <v>46280</v>
      </c>
      <c r="H91" s="250" t="s">
        <v>2411</v>
      </c>
    </row>
    <row r="92" spans="1:8" hidden="1">
      <c r="A92" s="246" t="s">
        <v>2484</v>
      </c>
      <c r="B92" s="246" t="s">
        <v>911</v>
      </c>
      <c r="C92" s="246">
        <v>3</v>
      </c>
      <c r="D92" s="246"/>
      <c r="E92" s="248">
        <v>46240</v>
      </c>
      <c r="F92" s="248">
        <v>47347</v>
      </c>
      <c r="G92" s="248">
        <v>46280</v>
      </c>
      <c r="H92" s="250" t="s">
        <v>2419</v>
      </c>
    </row>
    <row r="93" spans="1:8" hidden="1">
      <c r="A93" s="246" t="s">
        <v>2485</v>
      </c>
      <c r="B93" s="246" t="s">
        <v>911</v>
      </c>
      <c r="C93" s="246">
        <v>3</v>
      </c>
      <c r="D93" s="246"/>
      <c r="E93" s="248">
        <v>46240</v>
      </c>
      <c r="F93" s="248">
        <v>47347</v>
      </c>
      <c r="G93" s="248">
        <v>46280</v>
      </c>
      <c r="H93" s="250" t="s">
        <v>2419</v>
      </c>
    </row>
  </sheetData>
  <autoFilter ref="A1:H93" xr:uid="{CC7AF0A1-E77A-473D-8180-E9EE4CE028C0}">
    <filterColumn colId="7">
      <filters>
        <filter val="RREQUELM"/>
      </filters>
    </filterColumn>
  </autoFilter>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0758-5FC8-4DC3-A6F9-33DBACC9EA2A}">
  <sheetPr>
    <tabColor rgb="FF00B050"/>
  </sheetPr>
  <dimension ref="A1:R155"/>
  <sheetViews>
    <sheetView topLeftCell="B1" zoomScale="60" zoomScaleNormal="60" workbookViewId="0">
      <pane ySplit="1" topLeftCell="A128" activePane="bottomLeft" state="frozen"/>
      <selection pane="bottomLeft" activeCell="D167" sqref="D167"/>
      <selection activeCell="B1" sqref="B1"/>
    </sheetView>
  </sheetViews>
  <sheetFormatPr defaultColWidth="11.42578125" defaultRowHeight="15" outlineLevelRow="1"/>
  <cols>
    <col min="1" max="1" width="54.140625" style="1" hidden="1" customWidth="1"/>
    <col min="2" max="2" width="12.7109375" style="1" customWidth="1"/>
    <col min="3" max="3" width="51.140625" style="1" customWidth="1"/>
    <col min="4" max="4" width="122.7109375" style="143" customWidth="1"/>
    <col min="5" max="5" width="19" style="118" customWidth="1"/>
    <col min="6" max="6" width="16.140625" style="118" customWidth="1"/>
    <col min="7" max="7" width="17" style="1" customWidth="1"/>
    <col min="8" max="8" width="19.140625" style="1" hidden="1" customWidth="1"/>
    <col min="9" max="9" width="16.5703125" style="118" hidden="1" customWidth="1"/>
    <col min="10" max="10" width="25.7109375" style="1" hidden="1" customWidth="1"/>
    <col min="11" max="11" width="16.85546875" style="1" hidden="1" customWidth="1"/>
    <col min="12" max="12" width="24.28515625" style="1" customWidth="1"/>
    <col min="13" max="15" width="15" style="118" customWidth="1"/>
    <col min="16" max="16" width="18.140625" style="1" customWidth="1"/>
    <col min="17" max="17" width="13.5703125" style="1" customWidth="1"/>
    <col min="18" max="18" width="63" style="143" customWidth="1"/>
    <col min="19" max="16384" width="11.42578125" style="1"/>
  </cols>
  <sheetData>
    <row r="1" spans="1:18" ht="27">
      <c r="A1" s="215" t="s">
        <v>2</v>
      </c>
      <c r="B1" s="140" t="s">
        <v>305</v>
      </c>
      <c r="C1" s="140" t="s">
        <v>306</v>
      </c>
      <c r="D1" s="140" t="s">
        <v>4</v>
      </c>
      <c r="E1" s="140" t="s">
        <v>5</v>
      </c>
      <c r="F1" s="140" t="s">
        <v>307</v>
      </c>
      <c r="G1" s="140" t="s">
        <v>308</v>
      </c>
      <c r="H1" s="140" t="s">
        <v>309</v>
      </c>
      <c r="I1" s="140" t="s">
        <v>310</v>
      </c>
      <c r="J1" s="140" t="s">
        <v>8</v>
      </c>
      <c r="K1" s="140" t="s">
        <v>13</v>
      </c>
      <c r="L1" s="140" t="s">
        <v>14</v>
      </c>
      <c r="M1" s="140" t="s">
        <v>311</v>
      </c>
      <c r="N1" s="140" t="s">
        <v>312</v>
      </c>
      <c r="O1" s="140" t="s">
        <v>313</v>
      </c>
      <c r="P1" s="140" t="s">
        <v>314</v>
      </c>
      <c r="Q1" s="140" t="s">
        <v>315</v>
      </c>
      <c r="R1" s="140" t="s">
        <v>19</v>
      </c>
    </row>
    <row r="2" spans="1:18" ht="51">
      <c r="A2" s="216" t="s">
        <v>24</v>
      </c>
      <c r="B2" s="173">
        <v>2025</v>
      </c>
      <c r="C2" s="173"/>
      <c r="D2" s="160" t="s">
        <v>26</v>
      </c>
      <c r="E2" s="174" t="s">
        <v>2486</v>
      </c>
      <c r="F2" s="174" t="s">
        <v>329</v>
      </c>
      <c r="G2" s="174" t="s">
        <v>2487</v>
      </c>
      <c r="H2" s="174"/>
      <c r="I2" s="175" t="s">
        <v>27</v>
      </c>
      <c r="J2" s="175" t="s">
        <v>28</v>
      </c>
      <c r="K2" s="175" t="s">
        <v>2488</v>
      </c>
      <c r="L2" s="173" t="s">
        <v>31</v>
      </c>
      <c r="M2" s="176"/>
      <c r="N2" s="176"/>
      <c r="O2" s="176"/>
      <c r="P2" s="173"/>
      <c r="Q2" s="177">
        <v>1</v>
      </c>
      <c r="R2" s="173" t="s">
        <v>33</v>
      </c>
    </row>
    <row r="3" spans="1:18">
      <c r="A3" s="216" t="s">
        <v>34</v>
      </c>
      <c r="B3" s="162"/>
      <c r="C3" s="162"/>
      <c r="D3" s="161" t="s">
        <v>35</v>
      </c>
      <c r="E3" s="167" t="s">
        <v>2489</v>
      </c>
      <c r="F3" s="167"/>
      <c r="G3" s="167"/>
      <c r="H3" s="167"/>
      <c r="I3" s="163" t="s">
        <v>36</v>
      </c>
      <c r="J3" s="163" t="s">
        <v>28</v>
      </c>
      <c r="K3" s="163" t="s">
        <v>2488</v>
      </c>
      <c r="L3" s="162" t="s">
        <v>31</v>
      </c>
      <c r="M3" s="164"/>
      <c r="N3" s="164"/>
      <c r="O3" s="164"/>
      <c r="P3" s="162"/>
      <c r="Q3" s="165">
        <v>0.5</v>
      </c>
      <c r="R3" s="163" t="s">
        <v>38</v>
      </c>
    </row>
    <row r="4" spans="1:18">
      <c r="A4" s="216" t="s">
        <v>39</v>
      </c>
      <c r="B4" s="162"/>
      <c r="C4" s="162"/>
      <c r="D4" s="161" t="s">
        <v>46</v>
      </c>
      <c r="E4" s="167"/>
      <c r="F4" s="167"/>
      <c r="G4" s="167"/>
      <c r="H4" s="167"/>
      <c r="I4" s="163" t="s">
        <v>36</v>
      </c>
      <c r="J4" s="163" t="s">
        <v>28</v>
      </c>
      <c r="K4" s="163" t="s">
        <v>2488</v>
      </c>
      <c r="L4" s="162" t="s">
        <v>31</v>
      </c>
      <c r="M4" s="164"/>
      <c r="N4" s="164"/>
      <c r="O4" s="164"/>
      <c r="P4" s="162"/>
      <c r="Q4" s="165">
        <v>1</v>
      </c>
      <c r="R4" s="162" t="s">
        <v>47</v>
      </c>
    </row>
    <row r="5" spans="1:18">
      <c r="A5" s="216" t="s">
        <v>39</v>
      </c>
      <c r="B5" s="162"/>
      <c r="C5" s="162"/>
      <c r="D5" s="161" t="s">
        <v>48</v>
      </c>
      <c r="E5" s="167"/>
      <c r="F5" s="167"/>
      <c r="G5" s="167"/>
      <c r="H5" s="167"/>
      <c r="I5" s="163" t="s">
        <v>36</v>
      </c>
      <c r="J5" s="163" t="s">
        <v>28</v>
      </c>
      <c r="K5" s="163" t="s">
        <v>2488</v>
      </c>
      <c r="L5" s="162" t="s">
        <v>31</v>
      </c>
      <c r="M5" s="164"/>
      <c r="N5" s="164"/>
      <c r="O5" s="164"/>
      <c r="P5" s="162"/>
      <c r="Q5" s="165">
        <v>1</v>
      </c>
      <c r="R5" s="162" t="s">
        <v>49</v>
      </c>
    </row>
    <row r="6" spans="1:18">
      <c r="A6" s="216" t="s">
        <v>39</v>
      </c>
      <c r="B6" s="162"/>
      <c r="C6" s="162"/>
      <c r="D6" s="161" t="s">
        <v>50</v>
      </c>
      <c r="E6" s="167"/>
      <c r="F6" s="167"/>
      <c r="G6" s="167"/>
      <c r="H6" s="167"/>
      <c r="I6" s="163" t="s">
        <v>36</v>
      </c>
      <c r="J6" s="163" t="s">
        <v>28</v>
      </c>
      <c r="K6" s="163" t="s">
        <v>2488</v>
      </c>
      <c r="L6" s="162" t="s">
        <v>31</v>
      </c>
      <c r="M6" s="164"/>
      <c r="N6" s="164"/>
      <c r="O6" s="164"/>
      <c r="P6" s="162"/>
      <c r="Q6" s="165">
        <v>0.75</v>
      </c>
      <c r="R6" s="163" t="s">
        <v>51</v>
      </c>
    </row>
    <row r="7" spans="1:18" ht="27">
      <c r="A7" s="216" t="s">
        <v>52</v>
      </c>
      <c r="B7" s="162"/>
      <c r="C7" s="162"/>
      <c r="D7" s="161" t="s">
        <v>54</v>
      </c>
      <c r="E7" s="167"/>
      <c r="F7" s="167" t="s">
        <v>2490</v>
      </c>
      <c r="G7" s="167"/>
      <c r="H7" s="167"/>
      <c r="I7" s="163" t="s">
        <v>36</v>
      </c>
      <c r="J7" s="163" t="s">
        <v>28</v>
      </c>
      <c r="K7" s="163" t="s">
        <v>322</v>
      </c>
      <c r="L7" s="162" t="s">
        <v>55</v>
      </c>
      <c r="M7" s="164"/>
      <c r="N7" s="164"/>
      <c r="O7" s="164"/>
      <c r="P7" s="162"/>
      <c r="Q7" s="165">
        <v>0.75</v>
      </c>
      <c r="R7" s="170" t="s">
        <v>57</v>
      </c>
    </row>
    <row r="8" spans="1:18" s="29" customFormat="1">
      <c r="A8" s="217" t="s">
        <v>24</v>
      </c>
      <c r="B8" s="162"/>
      <c r="C8" s="162"/>
      <c r="D8" s="161" t="s">
        <v>58</v>
      </c>
      <c r="E8" s="162"/>
      <c r="F8" s="162" t="s">
        <v>329</v>
      </c>
      <c r="G8" s="162"/>
      <c r="H8" s="162"/>
      <c r="I8" s="163" t="s">
        <v>27</v>
      </c>
      <c r="J8" s="163"/>
      <c r="K8" s="163" t="s">
        <v>2488</v>
      </c>
      <c r="L8" s="162" t="s">
        <v>31</v>
      </c>
      <c r="M8" s="164"/>
      <c r="N8" s="164"/>
      <c r="O8" s="164"/>
      <c r="P8" s="162"/>
      <c r="Q8" s="165"/>
      <c r="R8" s="163" t="s">
        <v>59</v>
      </c>
    </row>
    <row r="9" spans="1:18" s="29" customFormat="1">
      <c r="A9" s="217" t="s">
        <v>24</v>
      </c>
      <c r="B9" s="162"/>
      <c r="C9" s="162"/>
      <c r="D9" s="166" t="s">
        <v>60</v>
      </c>
      <c r="E9" s="162" t="s">
        <v>2489</v>
      </c>
      <c r="F9" s="162" t="s">
        <v>329</v>
      </c>
      <c r="G9" s="162"/>
      <c r="H9" s="162"/>
      <c r="I9" s="162" t="s">
        <v>27</v>
      </c>
      <c r="J9" s="163"/>
      <c r="K9" s="163"/>
      <c r="L9" s="162"/>
      <c r="M9" s="164"/>
      <c r="N9" s="164"/>
      <c r="O9" s="164"/>
      <c r="P9" s="162"/>
      <c r="Q9" s="165"/>
      <c r="R9" s="163"/>
    </row>
    <row r="10" spans="1:18" s="29" customFormat="1" ht="27" outlineLevel="1">
      <c r="A10" s="217"/>
      <c r="B10" s="162"/>
      <c r="C10" s="162"/>
      <c r="D10" s="161" t="s">
        <v>61</v>
      </c>
      <c r="E10" s="162" t="s">
        <v>2489</v>
      </c>
      <c r="F10" s="162" t="s">
        <v>329</v>
      </c>
      <c r="G10" s="162"/>
      <c r="H10" s="162"/>
      <c r="I10" s="163" t="s">
        <v>27</v>
      </c>
      <c r="J10" s="163"/>
      <c r="K10" s="162" t="s">
        <v>322</v>
      </c>
      <c r="L10" s="162" t="s">
        <v>62</v>
      </c>
      <c r="M10" s="164"/>
      <c r="N10" s="164"/>
      <c r="O10" s="164"/>
      <c r="P10" s="162"/>
      <c r="Q10" s="165"/>
      <c r="R10" s="163"/>
    </row>
    <row r="11" spans="1:18" s="29" customFormat="1" ht="27" outlineLevel="1">
      <c r="A11" s="217"/>
      <c r="B11" s="162"/>
      <c r="C11" s="162"/>
      <c r="D11" s="161" t="s">
        <v>63</v>
      </c>
      <c r="E11" s="162" t="s">
        <v>2489</v>
      </c>
      <c r="F11" s="162" t="s">
        <v>329</v>
      </c>
      <c r="G11" s="162"/>
      <c r="H11" s="162"/>
      <c r="I11" s="163" t="s">
        <v>27</v>
      </c>
      <c r="J11" s="163"/>
      <c r="K11" s="162" t="s">
        <v>322</v>
      </c>
      <c r="L11" s="162" t="s">
        <v>62</v>
      </c>
      <c r="M11" s="164"/>
      <c r="N11" s="164"/>
      <c r="O11" s="164"/>
      <c r="P11" s="162"/>
      <c r="Q11" s="165"/>
      <c r="R11" s="163"/>
    </row>
    <row r="12" spans="1:18" s="29" customFormat="1" outlineLevel="1">
      <c r="A12" s="217"/>
      <c r="B12" s="162"/>
      <c r="C12" s="162"/>
      <c r="D12" s="161" t="s">
        <v>64</v>
      </c>
      <c r="E12" s="162" t="s">
        <v>2489</v>
      </c>
      <c r="F12" s="162" t="s">
        <v>329</v>
      </c>
      <c r="G12" s="162"/>
      <c r="H12" s="162"/>
      <c r="I12" s="163" t="s">
        <v>27</v>
      </c>
      <c r="J12" s="163"/>
      <c r="K12" s="162" t="s">
        <v>322</v>
      </c>
      <c r="L12" s="162" t="s">
        <v>65</v>
      </c>
      <c r="M12" s="164"/>
      <c r="N12" s="164"/>
      <c r="O12" s="164"/>
      <c r="P12" s="162"/>
      <c r="Q12" s="165"/>
      <c r="R12" s="163"/>
    </row>
    <row r="13" spans="1:18" s="29" customFormat="1" outlineLevel="1">
      <c r="A13" s="217"/>
      <c r="B13" s="162"/>
      <c r="C13" s="162" t="s">
        <v>436</v>
      </c>
      <c r="D13" s="161" t="s">
        <v>66</v>
      </c>
      <c r="E13" s="162" t="s">
        <v>2489</v>
      </c>
      <c r="F13" s="162" t="s">
        <v>329</v>
      </c>
      <c r="G13" s="162" t="s">
        <v>436</v>
      </c>
      <c r="H13" s="162"/>
      <c r="I13" s="163" t="s">
        <v>27</v>
      </c>
      <c r="J13" s="163"/>
      <c r="K13" s="162" t="s">
        <v>322</v>
      </c>
      <c r="L13" s="162" t="s">
        <v>67</v>
      </c>
      <c r="M13" s="164" t="s">
        <v>2491</v>
      </c>
      <c r="N13" s="164" t="s">
        <v>2491</v>
      </c>
      <c r="O13" s="164"/>
      <c r="P13" s="162" t="s">
        <v>2492</v>
      </c>
      <c r="Q13" s="165"/>
      <c r="R13" s="163" t="s">
        <v>2493</v>
      </c>
    </row>
    <row r="14" spans="1:18" s="29" customFormat="1" outlineLevel="1">
      <c r="A14" s="217"/>
      <c r="B14" s="162"/>
      <c r="C14" s="162"/>
      <c r="D14" s="161" t="s">
        <v>68</v>
      </c>
      <c r="E14" s="162" t="s">
        <v>2489</v>
      </c>
      <c r="F14" s="162" t="s">
        <v>329</v>
      </c>
      <c r="G14" s="162"/>
      <c r="H14" s="162"/>
      <c r="I14" s="163" t="s">
        <v>27</v>
      </c>
      <c r="J14" s="163"/>
      <c r="K14" s="162" t="s">
        <v>322</v>
      </c>
      <c r="L14" s="162" t="s">
        <v>37</v>
      </c>
      <c r="M14" s="164" t="s">
        <v>2491</v>
      </c>
      <c r="N14" s="164" t="s">
        <v>2491</v>
      </c>
      <c r="O14" s="164"/>
      <c r="P14" s="162"/>
      <c r="Q14" s="165"/>
      <c r="R14" s="163"/>
    </row>
    <row r="15" spans="1:18" s="29" customFormat="1" outlineLevel="1">
      <c r="A15" s="217"/>
      <c r="B15" s="162"/>
      <c r="C15" s="162"/>
      <c r="D15" s="161" t="s">
        <v>69</v>
      </c>
      <c r="E15" s="162" t="s">
        <v>2489</v>
      </c>
      <c r="F15" s="162" t="s">
        <v>337</v>
      </c>
      <c r="G15" s="162" t="s">
        <v>436</v>
      </c>
      <c r="H15" s="162"/>
      <c r="I15" s="163" t="s">
        <v>27</v>
      </c>
      <c r="J15" s="163"/>
      <c r="K15" s="162" t="s">
        <v>322</v>
      </c>
      <c r="L15" s="162" t="s">
        <v>70</v>
      </c>
      <c r="M15" s="164"/>
      <c r="N15" s="164"/>
      <c r="O15" s="164"/>
      <c r="P15" s="162"/>
      <c r="Q15" s="165"/>
      <c r="R15" s="163"/>
    </row>
    <row r="16" spans="1:18" s="29" customFormat="1" ht="27" outlineLevel="1">
      <c r="A16" s="217"/>
      <c r="B16" s="162"/>
      <c r="C16" s="162" t="s">
        <v>436</v>
      </c>
      <c r="D16" s="161" t="s">
        <v>71</v>
      </c>
      <c r="E16" s="162" t="s">
        <v>2489</v>
      </c>
      <c r="F16" s="162" t="s">
        <v>337</v>
      </c>
      <c r="G16" s="162" t="s">
        <v>436</v>
      </c>
      <c r="H16" s="162"/>
      <c r="I16" s="163" t="s">
        <v>27</v>
      </c>
      <c r="J16" s="163"/>
      <c r="K16" s="162" t="s">
        <v>322</v>
      </c>
      <c r="L16" s="162" t="s">
        <v>72</v>
      </c>
      <c r="M16" s="164" t="s">
        <v>2491</v>
      </c>
      <c r="N16" s="164" t="s">
        <v>2491</v>
      </c>
      <c r="O16" s="164"/>
      <c r="P16" s="162" t="s">
        <v>2492</v>
      </c>
      <c r="Q16" s="165"/>
      <c r="R16" s="163" t="s">
        <v>2493</v>
      </c>
    </row>
    <row r="17" spans="1:18" s="29" customFormat="1" outlineLevel="1">
      <c r="A17" s="217"/>
      <c r="B17" s="162"/>
      <c r="C17" s="162"/>
      <c r="D17" s="161" t="s">
        <v>73</v>
      </c>
      <c r="E17" s="162" t="s">
        <v>2489</v>
      </c>
      <c r="F17" s="162" t="s">
        <v>329</v>
      </c>
      <c r="G17" s="162"/>
      <c r="H17" s="162"/>
      <c r="I17" s="163" t="s">
        <v>27</v>
      </c>
      <c r="J17" s="163"/>
      <c r="K17" s="162" t="s">
        <v>322</v>
      </c>
      <c r="L17" s="162" t="s">
        <v>65</v>
      </c>
      <c r="M17" s="164"/>
      <c r="N17" s="164"/>
      <c r="O17" s="164"/>
      <c r="P17" s="162"/>
      <c r="Q17" s="165"/>
      <c r="R17" s="163"/>
    </row>
    <row r="18" spans="1:18" s="29" customFormat="1" outlineLevel="1">
      <c r="A18" s="217"/>
      <c r="B18" s="162"/>
      <c r="C18" s="162"/>
      <c r="D18" s="161" t="s">
        <v>74</v>
      </c>
      <c r="E18" s="162" t="s">
        <v>2489</v>
      </c>
      <c r="F18" s="162" t="s">
        <v>329</v>
      </c>
      <c r="G18" s="162"/>
      <c r="H18" s="162"/>
      <c r="I18" s="163" t="s">
        <v>27</v>
      </c>
      <c r="J18" s="163"/>
      <c r="K18" s="162" t="s">
        <v>322</v>
      </c>
      <c r="L18" s="162" t="s">
        <v>65</v>
      </c>
      <c r="M18" s="164"/>
      <c r="N18" s="164"/>
      <c r="O18" s="164"/>
      <c r="P18" s="162"/>
      <c r="Q18" s="165"/>
      <c r="R18" s="163"/>
    </row>
    <row r="19" spans="1:18" s="29" customFormat="1" outlineLevel="1">
      <c r="A19" s="217"/>
      <c r="B19" s="162"/>
      <c r="C19" s="162"/>
      <c r="D19" s="161" t="s">
        <v>75</v>
      </c>
      <c r="E19" s="162" t="s">
        <v>2489</v>
      </c>
      <c r="F19" s="162" t="s">
        <v>329</v>
      </c>
      <c r="G19" s="162"/>
      <c r="H19" s="162"/>
      <c r="I19" s="163" t="s">
        <v>27</v>
      </c>
      <c r="J19" s="163"/>
      <c r="K19" s="162" t="s">
        <v>322</v>
      </c>
      <c r="L19" s="162" t="s">
        <v>37</v>
      </c>
      <c r="M19" s="164"/>
      <c r="N19" s="164"/>
      <c r="O19" s="164"/>
      <c r="P19" s="162"/>
      <c r="Q19" s="165"/>
      <c r="R19" s="163"/>
    </row>
    <row r="20" spans="1:18" s="29" customFormat="1" outlineLevel="1">
      <c r="A20" s="217"/>
      <c r="B20" s="162"/>
      <c r="C20" s="162"/>
      <c r="D20" s="161" t="s">
        <v>76</v>
      </c>
      <c r="E20" s="162" t="s">
        <v>2489</v>
      </c>
      <c r="F20" s="162" t="s">
        <v>329</v>
      </c>
      <c r="G20" s="162"/>
      <c r="H20" s="162"/>
      <c r="I20" s="163" t="s">
        <v>27</v>
      </c>
      <c r="J20" s="163"/>
      <c r="K20" s="162" t="s">
        <v>322</v>
      </c>
      <c r="L20" s="162" t="s">
        <v>77</v>
      </c>
      <c r="M20" s="164"/>
      <c r="N20" s="164"/>
      <c r="O20" s="164"/>
      <c r="P20" s="162"/>
      <c r="Q20" s="165"/>
      <c r="R20" s="163"/>
    </row>
    <row r="21" spans="1:18" s="29" customFormat="1" outlineLevel="1">
      <c r="A21" s="217"/>
      <c r="B21" s="162"/>
      <c r="C21" s="162"/>
      <c r="D21" s="161" t="s">
        <v>78</v>
      </c>
      <c r="E21" s="162" t="s">
        <v>2489</v>
      </c>
      <c r="F21" s="162" t="s">
        <v>329</v>
      </c>
      <c r="G21" s="162"/>
      <c r="H21" s="162"/>
      <c r="I21" s="163" t="s">
        <v>27</v>
      </c>
      <c r="J21" s="163"/>
      <c r="K21" s="162" t="s">
        <v>322</v>
      </c>
      <c r="L21" s="162" t="s">
        <v>65</v>
      </c>
      <c r="M21" s="164"/>
      <c r="N21" s="164"/>
      <c r="O21" s="164"/>
      <c r="P21" s="162"/>
      <c r="Q21" s="165"/>
      <c r="R21" s="163"/>
    </row>
    <row r="22" spans="1:18" s="29" customFormat="1">
      <c r="A22" s="217" t="s">
        <v>24</v>
      </c>
      <c r="B22" s="162"/>
      <c r="C22" s="162"/>
      <c r="D22" s="166" t="s">
        <v>79</v>
      </c>
      <c r="E22" s="162"/>
      <c r="F22" s="167"/>
      <c r="G22" s="167"/>
      <c r="H22" s="167"/>
      <c r="I22" s="163"/>
      <c r="J22" s="163"/>
      <c r="K22" s="163" t="s">
        <v>2488</v>
      </c>
      <c r="L22" s="162" t="s">
        <v>31</v>
      </c>
      <c r="M22" s="164"/>
      <c r="N22" s="164"/>
      <c r="O22" s="164"/>
      <c r="P22" s="162"/>
      <c r="Q22" s="165"/>
      <c r="R22" s="163" t="s">
        <v>2494</v>
      </c>
    </row>
    <row r="23" spans="1:18" s="29" customFormat="1">
      <c r="A23" s="217"/>
      <c r="B23" s="162"/>
      <c r="C23" s="162"/>
      <c r="D23" s="161" t="s">
        <v>2495</v>
      </c>
      <c r="E23" s="162" t="s">
        <v>363</v>
      </c>
      <c r="F23" s="167" t="s">
        <v>2496</v>
      </c>
      <c r="G23" s="167"/>
      <c r="H23" s="167"/>
      <c r="I23" s="163" t="s">
        <v>27</v>
      </c>
      <c r="J23" s="163"/>
      <c r="K23" s="163"/>
      <c r="L23" s="162"/>
      <c r="M23" s="164"/>
      <c r="N23" s="164"/>
      <c r="O23" s="164"/>
      <c r="P23" s="162"/>
      <c r="Q23" s="165"/>
      <c r="R23" s="163" t="s">
        <v>2494</v>
      </c>
    </row>
    <row r="24" spans="1:18" s="29" customFormat="1">
      <c r="A24" s="217" t="s">
        <v>24</v>
      </c>
      <c r="B24" s="162"/>
      <c r="C24" s="162"/>
      <c r="D24" s="168" t="s">
        <v>80</v>
      </c>
      <c r="E24" s="162"/>
      <c r="F24" s="162"/>
      <c r="G24" s="163"/>
      <c r="H24" s="163"/>
      <c r="I24" s="163" t="s">
        <v>27</v>
      </c>
      <c r="J24" s="162"/>
      <c r="K24" s="163" t="s">
        <v>2488</v>
      </c>
      <c r="L24" s="162" t="s">
        <v>31</v>
      </c>
      <c r="M24" s="164"/>
      <c r="N24" s="164"/>
      <c r="O24" s="164"/>
      <c r="P24" s="162"/>
      <c r="Q24" s="165"/>
      <c r="R24" s="162"/>
    </row>
    <row r="25" spans="1:18" s="29" customFormat="1" outlineLevel="1">
      <c r="A25" s="217"/>
      <c r="B25" s="162"/>
      <c r="C25" s="162"/>
      <c r="D25" s="169" t="s">
        <v>81</v>
      </c>
      <c r="E25" s="162"/>
      <c r="F25" s="162"/>
      <c r="G25" s="162"/>
      <c r="H25" s="162"/>
      <c r="I25" s="163" t="s">
        <v>27</v>
      </c>
      <c r="J25" s="162"/>
      <c r="K25" s="163" t="s">
        <v>2488</v>
      </c>
      <c r="L25" s="162" t="s">
        <v>31</v>
      </c>
      <c r="M25" s="164"/>
      <c r="N25" s="164"/>
      <c r="O25" s="164"/>
      <c r="P25" s="162"/>
      <c r="Q25" s="165"/>
      <c r="R25" s="162"/>
    </row>
    <row r="26" spans="1:18" s="29" customFormat="1" outlineLevel="1">
      <c r="A26" s="217"/>
      <c r="B26" s="162"/>
      <c r="C26" s="162"/>
      <c r="D26" s="169" t="s">
        <v>82</v>
      </c>
      <c r="E26" s="162"/>
      <c r="F26" s="162"/>
      <c r="G26" s="163"/>
      <c r="H26" s="163"/>
      <c r="I26" s="163" t="s">
        <v>27</v>
      </c>
      <c r="J26" s="162"/>
      <c r="K26" s="163" t="s">
        <v>322</v>
      </c>
      <c r="L26" s="162" t="s">
        <v>37</v>
      </c>
      <c r="M26" s="164"/>
      <c r="N26" s="164"/>
      <c r="O26" s="164"/>
      <c r="P26" s="162"/>
      <c r="Q26" s="165"/>
      <c r="R26" s="162"/>
    </row>
    <row r="27" spans="1:18" s="29" customFormat="1">
      <c r="A27" s="217" t="s">
        <v>83</v>
      </c>
      <c r="B27" s="162"/>
      <c r="C27" s="162"/>
      <c r="D27" s="166" t="s">
        <v>84</v>
      </c>
      <c r="E27" s="162"/>
      <c r="F27" s="162"/>
      <c r="G27" s="162"/>
      <c r="H27" s="162"/>
      <c r="I27" s="163" t="s">
        <v>27</v>
      </c>
      <c r="J27" s="163"/>
      <c r="K27" s="163" t="s">
        <v>322</v>
      </c>
      <c r="L27" s="162" t="s">
        <v>37</v>
      </c>
      <c r="M27" s="164"/>
      <c r="N27" s="164"/>
      <c r="O27" s="164"/>
      <c r="P27" s="162"/>
      <c r="Q27" s="162"/>
      <c r="R27" s="162"/>
    </row>
    <row r="28" spans="1:18" s="29" customFormat="1">
      <c r="A28" s="217"/>
      <c r="B28" s="162"/>
      <c r="C28" s="162"/>
      <c r="D28" s="161" t="s">
        <v>85</v>
      </c>
      <c r="E28" s="162"/>
      <c r="F28" s="162"/>
      <c r="G28" s="162"/>
      <c r="H28" s="162"/>
      <c r="I28" s="163" t="s">
        <v>89</v>
      </c>
      <c r="J28" s="163"/>
      <c r="K28" s="163" t="s">
        <v>322</v>
      </c>
      <c r="L28" s="162" t="s">
        <v>37</v>
      </c>
      <c r="M28" s="164"/>
      <c r="N28" s="164"/>
      <c r="O28" s="164"/>
      <c r="P28" s="162"/>
      <c r="Q28" s="162"/>
      <c r="R28" s="162"/>
    </row>
    <row r="29" spans="1:18" s="29" customFormat="1">
      <c r="A29" s="217"/>
      <c r="B29" s="162"/>
      <c r="C29" s="162"/>
      <c r="D29" s="161" t="s">
        <v>2497</v>
      </c>
      <c r="E29" s="162"/>
      <c r="F29" s="162"/>
      <c r="G29" s="162"/>
      <c r="H29" s="162"/>
      <c r="I29" s="163" t="s">
        <v>89</v>
      </c>
      <c r="J29" s="163"/>
      <c r="K29" s="163" t="s">
        <v>322</v>
      </c>
      <c r="L29" s="162" t="s">
        <v>37</v>
      </c>
      <c r="M29" s="164"/>
      <c r="N29" s="164"/>
      <c r="O29" s="164"/>
      <c r="P29" s="162"/>
      <c r="Q29" s="162"/>
      <c r="R29" s="162"/>
    </row>
    <row r="30" spans="1:18" s="29" customFormat="1" ht="27">
      <c r="A30" s="217" t="s">
        <v>83</v>
      </c>
      <c r="B30" s="162"/>
      <c r="C30" s="162"/>
      <c r="D30" s="168" t="s">
        <v>87</v>
      </c>
      <c r="E30" s="162"/>
      <c r="F30" s="162"/>
      <c r="G30" s="162"/>
      <c r="H30" s="162"/>
      <c r="I30" s="163"/>
      <c r="J30" s="163"/>
      <c r="K30" s="163"/>
      <c r="L30" s="162"/>
      <c r="M30" s="164"/>
      <c r="N30" s="164"/>
      <c r="O30" s="164"/>
      <c r="P30" s="162"/>
      <c r="Q30" s="165"/>
      <c r="R30" s="163"/>
    </row>
    <row r="31" spans="1:18" s="29" customFormat="1" ht="40.5" outlineLevel="1">
      <c r="A31" s="218"/>
      <c r="B31" s="162"/>
      <c r="C31" s="162"/>
      <c r="D31" s="169" t="s">
        <v>88</v>
      </c>
      <c r="E31" s="162"/>
      <c r="F31" s="162" t="s">
        <v>2496</v>
      </c>
      <c r="G31" s="162"/>
      <c r="H31" s="162"/>
      <c r="I31" s="163" t="s">
        <v>89</v>
      </c>
      <c r="J31" s="163"/>
      <c r="K31" s="163" t="s">
        <v>322</v>
      </c>
      <c r="L31" s="162" t="s">
        <v>70</v>
      </c>
      <c r="M31" s="164"/>
      <c r="N31" s="164"/>
      <c r="O31" s="164"/>
      <c r="P31" s="162"/>
      <c r="Q31" s="165">
        <v>1</v>
      </c>
      <c r="R31" s="163"/>
    </row>
    <row r="32" spans="1:18" s="29" customFormat="1" outlineLevel="1">
      <c r="A32" s="218"/>
      <c r="B32" s="162"/>
      <c r="C32" s="162"/>
      <c r="D32" s="169" t="s">
        <v>91</v>
      </c>
      <c r="E32" s="162"/>
      <c r="F32" s="162" t="s">
        <v>2496</v>
      </c>
      <c r="G32" s="162"/>
      <c r="H32" s="162"/>
      <c r="I32" s="163" t="s">
        <v>89</v>
      </c>
      <c r="J32" s="163"/>
      <c r="K32" s="163" t="s">
        <v>322</v>
      </c>
      <c r="L32" s="162" t="s">
        <v>70</v>
      </c>
      <c r="M32" s="164"/>
      <c r="N32" s="164"/>
      <c r="O32" s="164"/>
      <c r="P32" s="162"/>
      <c r="Q32" s="165">
        <v>1</v>
      </c>
      <c r="R32" s="163"/>
    </row>
    <row r="33" spans="1:18" s="29" customFormat="1" ht="126" customHeight="1" outlineLevel="1">
      <c r="A33" s="218"/>
      <c r="B33" s="162"/>
      <c r="C33" s="162" t="s">
        <v>432</v>
      </c>
      <c r="D33" s="169" t="s">
        <v>2498</v>
      </c>
      <c r="E33" s="162" t="s">
        <v>2499</v>
      </c>
      <c r="F33" s="162" t="s">
        <v>329</v>
      </c>
      <c r="G33" s="162" t="s">
        <v>2500</v>
      </c>
      <c r="H33" s="162"/>
      <c r="I33" s="163" t="s">
        <v>27</v>
      </c>
      <c r="J33" s="163"/>
      <c r="K33" s="163" t="s">
        <v>322</v>
      </c>
      <c r="L33" s="162" t="s">
        <v>2501</v>
      </c>
      <c r="M33" s="164">
        <v>45792</v>
      </c>
      <c r="N33" s="164">
        <v>46371</v>
      </c>
      <c r="O33" s="164"/>
      <c r="P33" s="162" t="s">
        <v>2502</v>
      </c>
      <c r="Q33" s="165"/>
      <c r="R33" s="163"/>
    </row>
    <row r="34" spans="1:18" s="29" customFormat="1" ht="126" customHeight="1" outlineLevel="1">
      <c r="A34" s="218"/>
      <c r="B34" s="162"/>
      <c r="C34" s="162" t="s">
        <v>432</v>
      </c>
      <c r="D34" s="169" t="s">
        <v>2503</v>
      </c>
      <c r="E34" s="162" t="s">
        <v>2499</v>
      </c>
      <c r="F34" s="162" t="s">
        <v>329</v>
      </c>
      <c r="G34" s="162" t="s">
        <v>2500</v>
      </c>
      <c r="H34" s="162"/>
      <c r="I34" s="163" t="s">
        <v>27</v>
      </c>
      <c r="J34" s="163"/>
      <c r="K34" s="163" t="s">
        <v>322</v>
      </c>
      <c r="L34" s="162" t="s">
        <v>2501</v>
      </c>
      <c r="M34" s="164">
        <v>45792</v>
      </c>
      <c r="N34" s="164">
        <v>46371</v>
      </c>
      <c r="O34" s="164"/>
      <c r="P34" s="162" t="s">
        <v>2502</v>
      </c>
      <c r="Q34" s="165"/>
      <c r="R34" s="163"/>
    </row>
    <row r="35" spans="1:18" s="29" customFormat="1" outlineLevel="1">
      <c r="A35" s="218"/>
      <c r="B35" s="162"/>
      <c r="C35" s="162"/>
      <c r="D35" s="169" t="s">
        <v>95</v>
      </c>
      <c r="E35" s="162"/>
      <c r="F35" s="162"/>
      <c r="G35" s="162"/>
      <c r="H35" s="162"/>
      <c r="I35" s="163" t="s">
        <v>89</v>
      </c>
      <c r="J35" s="163"/>
      <c r="K35" s="163" t="s">
        <v>322</v>
      </c>
      <c r="L35" s="162" t="s">
        <v>70</v>
      </c>
      <c r="M35" s="164"/>
      <c r="N35" s="164"/>
      <c r="O35" s="164"/>
      <c r="P35" s="162"/>
      <c r="Q35" s="165">
        <v>1</v>
      </c>
      <c r="R35" s="163"/>
    </row>
    <row r="36" spans="1:18" s="29" customFormat="1" outlineLevel="1">
      <c r="A36" s="218"/>
      <c r="B36" s="162"/>
      <c r="C36" s="219" t="s">
        <v>2504</v>
      </c>
      <c r="D36" s="161" t="s">
        <v>97</v>
      </c>
      <c r="E36" s="162"/>
      <c r="F36" s="162" t="s">
        <v>2505</v>
      </c>
      <c r="G36" s="142" t="s">
        <v>321</v>
      </c>
      <c r="H36" s="162"/>
      <c r="I36" s="163" t="s">
        <v>89</v>
      </c>
      <c r="J36" s="162"/>
      <c r="K36" s="162" t="s">
        <v>322</v>
      </c>
      <c r="L36" s="162" t="s">
        <v>44</v>
      </c>
      <c r="M36" s="164"/>
      <c r="N36" s="164"/>
      <c r="O36" s="164"/>
      <c r="P36" s="162"/>
      <c r="Q36" s="165">
        <v>1</v>
      </c>
      <c r="R36" s="162" t="s">
        <v>2506</v>
      </c>
    </row>
    <row r="37" spans="1:18" s="29" customFormat="1" outlineLevel="1">
      <c r="A37" s="218"/>
      <c r="B37" s="162"/>
      <c r="C37" s="162"/>
      <c r="D37" s="169" t="s">
        <v>99</v>
      </c>
      <c r="E37" s="162"/>
      <c r="F37" s="162"/>
      <c r="G37" s="162"/>
      <c r="H37" s="162"/>
      <c r="I37" s="163" t="s">
        <v>89</v>
      </c>
      <c r="J37" s="162"/>
      <c r="K37" s="162" t="s">
        <v>322</v>
      </c>
      <c r="L37" s="162" t="s">
        <v>37</v>
      </c>
      <c r="M37" s="164"/>
      <c r="N37" s="164"/>
      <c r="O37" s="164"/>
      <c r="P37" s="162"/>
      <c r="Q37" s="165"/>
      <c r="R37" s="162"/>
    </row>
    <row r="38" spans="1:18" s="29" customFormat="1" ht="108" outlineLevel="1">
      <c r="A38" s="218"/>
      <c r="B38" s="162"/>
      <c r="C38" s="162"/>
      <c r="D38" s="169" t="s">
        <v>100</v>
      </c>
      <c r="E38" s="162"/>
      <c r="F38" s="162"/>
      <c r="G38" s="162"/>
      <c r="H38" s="162"/>
      <c r="I38" s="163" t="s">
        <v>89</v>
      </c>
      <c r="J38" s="163"/>
      <c r="K38" s="163" t="s">
        <v>322</v>
      </c>
      <c r="L38" s="162" t="s">
        <v>23</v>
      </c>
      <c r="M38" s="164"/>
      <c r="N38" s="164"/>
      <c r="O38" s="164"/>
      <c r="P38" s="162"/>
      <c r="Q38" s="165"/>
      <c r="R38" s="163"/>
    </row>
    <row r="39" spans="1:18" s="29" customFormat="1">
      <c r="A39" s="217" t="s">
        <v>83</v>
      </c>
      <c r="B39" s="162"/>
      <c r="C39" s="162"/>
      <c r="D39" s="168" t="s">
        <v>2507</v>
      </c>
      <c r="E39" s="162"/>
      <c r="F39" s="162"/>
      <c r="G39" s="163"/>
      <c r="H39" s="163"/>
      <c r="I39" s="162"/>
      <c r="J39" s="163"/>
      <c r="K39" s="162"/>
      <c r="L39" s="162"/>
      <c r="M39" s="164"/>
      <c r="N39" s="164"/>
      <c r="O39" s="164"/>
      <c r="P39" s="162"/>
      <c r="Q39" s="165"/>
      <c r="R39" s="162"/>
    </row>
    <row r="40" spans="1:18" s="29" customFormat="1">
      <c r="A40" s="217"/>
      <c r="B40" s="162"/>
      <c r="C40" s="162"/>
      <c r="D40" s="161" t="s">
        <v>2508</v>
      </c>
      <c r="E40" s="162" t="s">
        <v>363</v>
      </c>
      <c r="F40" s="162" t="s">
        <v>2496</v>
      </c>
      <c r="G40" s="163"/>
      <c r="H40" s="163"/>
      <c r="I40" s="162" t="s">
        <v>27</v>
      </c>
      <c r="J40" s="163"/>
      <c r="K40" s="162"/>
      <c r="L40" s="162"/>
      <c r="M40" s="164"/>
      <c r="N40" s="164"/>
      <c r="O40" s="164"/>
      <c r="P40" s="162"/>
      <c r="Q40" s="165"/>
      <c r="R40" s="162"/>
    </row>
    <row r="41" spans="1:18" s="29" customFormat="1">
      <c r="A41" s="217"/>
      <c r="B41" s="162"/>
      <c r="C41" s="162"/>
      <c r="D41" s="161" t="s">
        <v>2509</v>
      </c>
      <c r="E41" s="162" t="s">
        <v>363</v>
      </c>
      <c r="F41" s="162" t="s">
        <v>2496</v>
      </c>
      <c r="G41" s="163"/>
      <c r="H41" s="163"/>
      <c r="I41" s="162" t="s">
        <v>27</v>
      </c>
      <c r="J41" s="163"/>
      <c r="K41" s="162"/>
      <c r="L41" s="162"/>
      <c r="M41" s="164"/>
      <c r="N41" s="164"/>
      <c r="O41" s="164"/>
      <c r="P41" s="162"/>
      <c r="Q41" s="165"/>
      <c r="R41" s="162"/>
    </row>
    <row r="42" spans="1:18" s="29" customFormat="1">
      <c r="A42" s="217"/>
      <c r="B42" s="162"/>
      <c r="C42" s="162"/>
      <c r="D42" s="161" t="s">
        <v>2510</v>
      </c>
      <c r="E42" s="162" t="s">
        <v>363</v>
      </c>
      <c r="F42" s="162" t="s">
        <v>2496</v>
      </c>
      <c r="G42" s="163"/>
      <c r="H42" s="163"/>
      <c r="I42" s="162" t="s">
        <v>27</v>
      </c>
      <c r="J42" s="163"/>
      <c r="K42" s="162"/>
      <c r="L42" s="162"/>
      <c r="M42" s="164"/>
      <c r="N42" s="164"/>
      <c r="O42" s="164"/>
      <c r="P42" s="162"/>
      <c r="Q42" s="165"/>
      <c r="R42" s="162"/>
    </row>
    <row r="43" spans="1:18" s="29" customFormat="1">
      <c r="A43" s="217"/>
      <c r="B43" s="162"/>
      <c r="C43" s="162"/>
      <c r="D43" s="161" t="s">
        <v>2511</v>
      </c>
      <c r="E43" s="162" t="s">
        <v>363</v>
      </c>
      <c r="F43" s="162" t="s">
        <v>2496</v>
      </c>
      <c r="G43" s="163"/>
      <c r="H43" s="163"/>
      <c r="I43" s="162" t="s">
        <v>27</v>
      </c>
      <c r="J43" s="163"/>
      <c r="K43" s="162"/>
      <c r="L43" s="162"/>
      <c r="M43" s="164"/>
      <c r="N43" s="164"/>
      <c r="O43" s="164"/>
      <c r="P43" s="162"/>
      <c r="Q43" s="165"/>
      <c r="R43" s="162"/>
    </row>
    <row r="44" spans="1:18" s="29" customFormat="1">
      <c r="A44" s="217"/>
      <c r="B44" s="162"/>
      <c r="C44" s="162"/>
      <c r="D44" s="161" t="s">
        <v>2512</v>
      </c>
      <c r="E44" s="162" t="s">
        <v>363</v>
      </c>
      <c r="F44" s="162" t="s">
        <v>2496</v>
      </c>
      <c r="G44" s="163"/>
      <c r="H44" s="163"/>
      <c r="I44" s="162" t="s">
        <v>27</v>
      </c>
      <c r="J44" s="163"/>
      <c r="K44" s="162"/>
      <c r="L44" s="162"/>
      <c r="M44" s="164"/>
      <c r="N44" s="164"/>
      <c r="O44" s="164"/>
      <c r="P44" s="162"/>
      <c r="Q44" s="165"/>
      <c r="R44" s="162"/>
    </row>
    <row r="45" spans="1:18" s="29" customFormat="1">
      <c r="A45" s="217"/>
      <c r="B45" s="162"/>
      <c r="C45" s="162"/>
      <c r="D45" s="161" t="s">
        <v>2513</v>
      </c>
      <c r="E45" s="162" t="s">
        <v>363</v>
      </c>
      <c r="F45" s="162" t="s">
        <v>2496</v>
      </c>
      <c r="G45" s="163"/>
      <c r="H45" s="163"/>
      <c r="I45" s="162" t="s">
        <v>27</v>
      </c>
      <c r="J45" s="163"/>
      <c r="K45" s="162"/>
      <c r="L45" s="162"/>
      <c r="M45" s="164"/>
      <c r="N45" s="164"/>
      <c r="O45" s="164"/>
      <c r="P45" s="162"/>
      <c r="Q45" s="165"/>
      <c r="R45" s="162"/>
    </row>
    <row r="46" spans="1:18" s="29" customFormat="1">
      <c r="A46" s="217"/>
      <c r="B46" s="162"/>
      <c r="C46" s="162"/>
      <c r="D46" s="169" t="s">
        <v>2514</v>
      </c>
      <c r="E46" s="162" t="s">
        <v>363</v>
      </c>
      <c r="F46" s="162" t="s">
        <v>2496</v>
      </c>
      <c r="G46" s="163"/>
      <c r="H46" s="163"/>
      <c r="I46" s="162" t="s">
        <v>27</v>
      </c>
      <c r="J46" s="163"/>
      <c r="K46" s="162"/>
      <c r="L46" s="162"/>
      <c r="M46" s="164"/>
      <c r="N46" s="164"/>
      <c r="O46" s="164"/>
      <c r="P46" s="162"/>
      <c r="Q46" s="165"/>
      <c r="R46" s="162"/>
    </row>
    <row r="47" spans="1:18" s="29" customFormat="1">
      <c r="A47" s="217"/>
      <c r="B47" s="162"/>
      <c r="C47" s="162"/>
      <c r="D47" s="169" t="s">
        <v>2515</v>
      </c>
      <c r="E47" s="162" t="s">
        <v>363</v>
      </c>
      <c r="F47" s="162" t="s">
        <v>2496</v>
      </c>
      <c r="G47" s="163"/>
      <c r="H47" s="163"/>
      <c r="I47" s="162" t="s">
        <v>27</v>
      </c>
      <c r="J47" s="163"/>
      <c r="K47" s="162"/>
      <c r="L47" s="162"/>
      <c r="M47" s="164"/>
      <c r="N47" s="164"/>
      <c r="O47" s="164"/>
      <c r="P47" s="162"/>
      <c r="Q47" s="165"/>
      <c r="R47" s="162"/>
    </row>
    <row r="48" spans="1:18" s="29" customFormat="1">
      <c r="A48" s="217"/>
      <c r="B48" s="162"/>
      <c r="C48" s="162"/>
      <c r="D48" s="169" t="s">
        <v>2516</v>
      </c>
      <c r="E48" s="162" t="s">
        <v>363</v>
      </c>
      <c r="F48" s="162" t="s">
        <v>2496</v>
      </c>
      <c r="G48" s="163"/>
      <c r="H48" s="163"/>
      <c r="I48" s="162" t="s">
        <v>27</v>
      </c>
      <c r="J48" s="163"/>
      <c r="K48" s="162"/>
      <c r="L48" s="162"/>
      <c r="M48" s="164"/>
      <c r="N48" s="164"/>
      <c r="O48" s="164"/>
      <c r="P48" s="162"/>
      <c r="Q48" s="165"/>
      <c r="R48" s="162"/>
    </row>
    <row r="49" spans="1:18" s="29" customFormat="1">
      <c r="A49" s="217"/>
      <c r="B49" s="162"/>
      <c r="C49" s="162"/>
      <c r="D49" s="169" t="s">
        <v>2517</v>
      </c>
      <c r="E49" s="162" t="s">
        <v>363</v>
      </c>
      <c r="F49" s="162" t="s">
        <v>2496</v>
      </c>
      <c r="G49" s="163"/>
      <c r="H49" s="163"/>
      <c r="I49" s="162" t="s">
        <v>27</v>
      </c>
      <c r="J49" s="163"/>
      <c r="K49" s="162"/>
      <c r="L49" s="162"/>
      <c r="M49" s="164"/>
      <c r="N49" s="164"/>
      <c r="O49" s="164"/>
      <c r="P49" s="162"/>
      <c r="Q49" s="165"/>
      <c r="R49" s="162"/>
    </row>
    <row r="50" spans="1:18" s="29" customFormat="1">
      <c r="A50" s="217"/>
      <c r="B50" s="162"/>
      <c r="C50" s="162"/>
      <c r="D50" s="169" t="s">
        <v>2518</v>
      </c>
      <c r="E50" s="162" t="s">
        <v>363</v>
      </c>
      <c r="F50" s="162" t="s">
        <v>2496</v>
      </c>
      <c r="G50" s="163"/>
      <c r="H50" s="163"/>
      <c r="I50" s="162" t="s">
        <v>27</v>
      </c>
      <c r="J50" s="163"/>
      <c r="K50" s="162"/>
      <c r="L50" s="162"/>
      <c r="M50" s="164"/>
      <c r="N50" s="164"/>
      <c r="O50" s="164"/>
      <c r="P50" s="162"/>
      <c r="Q50" s="165"/>
      <c r="R50" s="162"/>
    </row>
    <row r="51" spans="1:18" s="29" customFormat="1">
      <c r="A51" s="217"/>
      <c r="B51" s="162"/>
      <c r="C51" s="162"/>
      <c r="D51" s="170" t="s">
        <v>2519</v>
      </c>
      <c r="E51" s="162" t="s">
        <v>363</v>
      </c>
      <c r="F51" s="162" t="s">
        <v>2496</v>
      </c>
      <c r="G51" s="163"/>
      <c r="H51" s="163"/>
      <c r="I51" s="162" t="s">
        <v>27</v>
      </c>
      <c r="J51" s="163"/>
      <c r="K51" s="162"/>
      <c r="L51" s="162"/>
      <c r="M51" s="164"/>
      <c r="N51" s="164"/>
      <c r="O51" s="164"/>
      <c r="P51" s="162"/>
      <c r="Q51" s="165"/>
      <c r="R51" s="162"/>
    </row>
    <row r="52" spans="1:18" ht="27" outlineLevel="1">
      <c r="A52" s="220"/>
      <c r="B52" s="162"/>
      <c r="C52" s="219" t="s">
        <v>2504</v>
      </c>
      <c r="D52" s="161" t="s">
        <v>2520</v>
      </c>
      <c r="E52" s="162"/>
      <c r="F52" s="162" t="s">
        <v>2505</v>
      </c>
      <c r="G52" s="142" t="s">
        <v>321</v>
      </c>
      <c r="H52" s="162"/>
      <c r="I52" s="163"/>
      <c r="J52" s="162"/>
      <c r="K52" s="163" t="s">
        <v>322</v>
      </c>
      <c r="L52" s="162" t="s">
        <v>44</v>
      </c>
      <c r="M52" s="164"/>
      <c r="N52" s="164"/>
      <c r="O52" s="164"/>
      <c r="P52" s="162"/>
      <c r="Q52" s="165">
        <v>1</v>
      </c>
      <c r="R52" s="162" t="s">
        <v>2521</v>
      </c>
    </row>
    <row r="53" spans="1:18" outlineLevel="1">
      <c r="A53" s="220"/>
      <c r="B53" s="162"/>
      <c r="C53" s="162"/>
      <c r="D53" s="169" t="s">
        <v>2522</v>
      </c>
      <c r="E53" s="162" t="s">
        <v>363</v>
      </c>
      <c r="F53" s="162" t="s">
        <v>2496</v>
      </c>
      <c r="G53" s="162"/>
      <c r="H53" s="162"/>
      <c r="I53" s="163" t="s">
        <v>27</v>
      </c>
      <c r="J53" s="162"/>
      <c r="K53" s="163" t="s">
        <v>322</v>
      </c>
      <c r="L53" s="162" t="s">
        <v>37</v>
      </c>
      <c r="M53" s="164"/>
      <c r="N53" s="164"/>
      <c r="O53" s="164"/>
      <c r="P53" s="162"/>
      <c r="Q53" s="165"/>
      <c r="R53" s="162"/>
    </row>
    <row r="54" spans="1:18" ht="27" outlineLevel="1">
      <c r="A54" s="220"/>
      <c r="B54" s="162"/>
      <c r="C54" s="219" t="s">
        <v>2504</v>
      </c>
      <c r="D54" s="169" t="s">
        <v>2523</v>
      </c>
      <c r="E54" s="162"/>
      <c r="F54" s="162" t="s">
        <v>2505</v>
      </c>
      <c r="G54" s="142" t="s">
        <v>321</v>
      </c>
      <c r="H54" s="162"/>
      <c r="I54" s="163" t="s">
        <v>27</v>
      </c>
      <c r="J54" s="162"/>
      <c r="K54" s="163" t="s">
        <v>322</v>
      </c>
      <c r="L54" s="162" t="s">
        <v>44</v>
      </c>
      <c r="M54" s="164"/>
      <c r="N54" s="164"/>
      <c r="O54" s="164"/>
      <c r="P54" s="162"/>
      <c r="Q54" s="171">
        <v>1</v>
      </c>
      <c r="R54" s="162" t="s">
        <v>2524</v>
      </c>
    </row>
    <row r="55" spans="1:18" outlineLevel="1">
      <c r="A55" s="221"/>
      <c r="B55" s="162"/>
      <c r="C55" s="162"/>
      <c r="D55" s="168" t="s">
        <v>2525</v>
      </c>
      <c r="E55" s="162"/>
      <c r="F55" s="162"/>
      <c r="G55" s="162"/>
      <c r="H55" s="162"/>
      <c r="I55" s="163"/>
      <c r="J55" s="163"/>
      <c r="K55" s="163"/>
      <c r="L55" s="162"/>
      <c r="M55" s="164"/>
      <c r="N55" s="164"/>
      <c r="O55" s="164"/>
      <c r="P55" s="162"/>
      <c r="Q55" s="162"/>
      <c r="R55" s="162"/>
    </row>
    <row r="56" spans="1:18" ht="40.5" outlineLevel="1">
      <c r="A56" s="220"/>
      <c r="B56" s="162"/>
      <c r="C56" s="162"/>
      <c r="D56" s="170" t="s">
        <v>2526</v>
      </c>
      <c r="E56" s="162" t="s">
        <v>363</v>
      </c>
      <c r="F56" s="162" t="s">
        <v>320</v>
      </c>
      <c r="G56" s="213" t="s">
        <v>363</v>
      </c>
      <c r="H56" s="162"/>
      <c r="I56" s="162"/>
      <c r="J56" s="162"/>
      <c r="K56" s="163" t="s">
        <v>322</v>
      </c>
      <c r="L56" s="162" t="s">
        <v>443</v>
      </c>
      <c r="M56" s="164"/>
      <c r="N56" s="164"/>
      <c r="O56" s="164"/>
      <c r="P56" s="162"/>
      <c r="Q56" s="162"/>
      <c r="R56" s="161" t="s">
        <v>2527</v>
      </c>
    </row>
    <row r="57" spans="1:18" s="29" customFormat="1">
      <c r="A57" s="217" t="s">
        <v>83</v>
      </c>
      <c r="B57" s="162"/>
      <c r="C57" s="162"/>
      <c r="D57" s="168" t="s">
        <v>119</v>
      </c>
      <c r="E57" s="162"/>
      <c r="F57" s="162"/>
      <c r="G57" s="162"/>
      <c r="H57" s="162"/>
      <c r="I57" s="162"/>
      <c r="J57" s="162"/>
      <c r="K57" s="162"/>
      <c r="L57" s="162"/>
      <c r="M57" s="164"/>
      <c r="N57" s="164"/>
      <c r="O57" s="164"/>
      <c r="P57" s="162"/>
      <c r="Q57" s="162"/>
      <c r="R57" s="162"/>
    </row>
    <row r="58" spans="1:18" s="29" customFormat="1" outlineLevel="1">
      <c r="A58" s="217"/>
      <c r="B58" s="162"/>
      <c r="C58" s="162"/>
      <c r="D58" s="169" t="s">
        <v>120</v>
      </c>
      <c r="E58" s="162"/>
      <c r="F58" s="162"/>
      <c r="G58" s="162"/>
      <c r="H58" s="162"/>
      <c r="I58" s="163" t="s">
        <v>27</v>
      </c>
      <c r="J58" s="163"/>
      <c r="K58" s="163" t="s">
        <v>322</v>
      </c>
      <c r="L58" s="162" t="s">
        <v>65</v>
      </c>
      <c r="M58" s="164"/>
      <c r="N58" s="164"/>
      <c r="O58" s="164"/>
      <c r="P58" s="162"/>
      <c r="Q58" s="162"/>
      <c r="R58" s="162"/>
    </row>
    <row r="59" spans="1:18" s="29" customFormat="1" outlineLevel="1">
      <c r="A59" s="217"/>
      <c r="B59" s="162"/>
      <c r="C59" s="162"/>
      <c r="D59" s="161" t="s">
        <v>121</v>
      </c>
      <c r="E59" s="162"/>
      <c r="F59" s="162"/>
      <c r="G59" s="162"/>
      <c r="H59" s="162"/>
      <c r="I59" s="163" t="s">
        <v>27</v>
      </c>
      <c r="J59" s="163"/>
      <c r="K59" s="163" t="s">
        <v>322</v>
      </c>
      <c r="L59" s="162" t="s">
        <v>65</v>
      </c>
      <c r="M59" s="164"/>
      <c r="N59" s="164"/>
      <c r="O59" s="164"/>
      <c r="P59" s="162"/>
      <c r="Q59" s="162"/>
      <c r="R59" s="162"/>
    </row>
    <row r="60" spans="1:18" s="29" customFormat="1" outlineLevel="1">
      <c r="A60" s="218"/>
      <c r="B60" s="162"/>
      <c r="C60" s="162"/>
      <c r="D60" s="169" t="s">
        <v>122</v>
      </c>
      <c r="E60" s="162"/>
      <c r="F60" s="162"/>
      <c r="G60" s="162"/>
      <c r="H60" s="162"/>
      <c r="I60" s="163" t="s">
        <v>27</v>
      </c>
      <c r="J60" s="163"/>
      <c r="K60" s="163" t="s">
        <v>322</v>
      </c>
      <c r="L60" s="162" t="s">
        <v>65</v>
      </c>
      <c r="M60" s="164"/>
      <c r="N60" s="164"/>
      <c r="O60" s="164"/>
      <c r="P60" s="162"/>
      <c r="Q60" s="162"/>
      <c r="R60" s="162"/>
    </row>
    <row r="61" spans="1:18" s="29" customFormat="1" outlineLevel="1">
      <c r="A61" s="218"/>
      <c r="B61" s="162"/>
      <c r="C61" s="162"/>
      <c r="D61" s="169" t="s">
        <v>123</v>
      </c>
      <c r="E61" s="162"/>
      <c r="F61" s="162"/>
      <c r="G61" s="162"/>
      <c r="H61" s="162"/>
      <c r="I61" s="163" t="s">
        <v>27</v>
      </c>
      <c r="J61" s="163"/>
      <c r="K61" s="163" t="s">
        <v>322</v>
      </c>
      <c r="L61" s="162" t="s">
        <v>65</v>
      </c>
      <c r="M61" s="164"/>
      <c r="N61" s="164"/>
      <c r="O61" s="164"/>
      <c r="P61" s="162"/>
      <c r="Q61" s="162"/>
      <c r="R61" s="162"/>
    </row>
    <row r="62" spans="1:18" s="29" customFormat="1" outlineLevel="1">
      <c r="A62" s="218"/>
      <c r="B62" s="162"/>
      <c r="C62" s="162"/>
      <c r="D62" s="161" t="s">
        <v>124</v>
      </c>
      <c r="E62" s="162"/>
      <c r="F62" s="162"/>
      <c r="G62" s="162"/>
      <c r="H62" s="162"/>
      <c r="I62" s="163" t="s">
        <v>27</v>
      </c>
      <c r="J62" s="163"/>
      <c r="K62" s="163" t="s">
        <v>322</v>
      </c>
      <c r="L62" s="162" t="s">
        <v>65</v>
      </c>
      <c r="M62" s="164"/>
      <c r="N62" s="164"/>
      <c r="O62" s="164"/>
      <c r="P62" s="162"/>
      <c r="Q62" s="162"/>
      <c r="R62" s="162"/>
    </row>
    <row r="63" spans="1:18" s="29" customFormat="1" outlineLevel="1">
      <c r="A63" s="218"/>
      <c r="B63" s="162"/>
      <c r="C63" s="162"/>
      <c r="D63" s="161" t="s">
        <v>125</v>
      </c>
      <c r="E63" s="162"/>
      <c r="F63" s="162"/>
      <c r="G63" s="162"/>
      <c r="H63" s="162"/>
      <c r="I63" s="163" t="s">
        <v>27</v>
      </c>
      <c r="J63" s="163"/>
      <c r="K63" s="163" t="s">
        <v>322</v>
      </c>
      <c r="L63" s="162" t="s">
        <v>65</v>
      </c>
      <c r="M63" s="164"/>
      <c r="N63" s="164"/>
      <c r="O63" s="164"/>
      <c r="P63" s="162"/>
      <c r="Q63" s="162"/>
      <c r="R63" s="162"/>
    </row>
    <row r="64" spans="1:18" s="29" customFormat="1" ht="27" outlineLevel="1">
      <c r="A64" s="218"/>
      <c r="B64" s="162"/>
      <c r="C64" s="162"/>
      <c r="D64" s="161" t="s">
        <v>126</v>
      </c>
      <c r="E64" s="162"/>
      <c r="F64" s="162"/>
      <c r="G64" s="162"/>
      <c r="H64" s="162"/>
      <c r="I64" s="163" t="s">
        <v>27</v>
      </c>
      <c r="J64" s="163"/>
      <c r="K64" s="163" t="s">
        <v>322</v>
      </c>
      <c r="L64" s="162" t="s">
        <v>65</v>
      </c>
      <c r="M64" s="164"/>
      <c r="N64" s="164"/>
      <c r="O64" s="164"/>
      <c r="P64" s="162"/>
      <c r="Q64" s="162"/>
      <c r="R64" s="162"/>
    </row>
    <row r="65" spans="1:18" s="29" customFormat="1">
      <c r="A65" s="217" t="s">
        <v>83</v>
      </c>
      <c r="B65" s="162"/>
      <c r="C65" s="162"/>
      <c r="D65" s="161" t="s">
        <v>127</v>
      </c>
      <c r="E65" s="162"/>
      <c r="F65" s="162"/>
      <c r="G65" s="162"/>
      <c r="H65" s="162"/>
      <c r="I65" s="163" t="s">
        <v>27</v>
      </c>
      <c r="J65" s="163"/>
      <c r="K65" s="163" t="s">
        <v>322</v>
      </c>
      <c r="L65" s="162" t="s">
        <v>65</v>
      </c>
      <c r="M65" s="164"/>
      <c r="N65" s="164"/>
      <c r="O65" s="164"/>
      <c r="P65" s="162"/>
      <c r="Q65" s="162"/>
      <c r="R65" s="162"/>
    </row>
    <row r="66" spans="1:18" s="29" customFormat="1">
      <c r="A66" s="217" t="s">
        <v>83</v>
      </c>
      <c r="B66" s="162"/>
      <c r="C66" s="162"/>
      <c r="D66" s="161" t="s">
        <v>128</v>
      </c>
      <c r="E66" s="162"/>
      <c r="F66" s="162"/>
      <c r="G66" s="162"/>
      <c r="H66" s="162"/>
      <c r="I66" s="163" t="s">
        <v>27</v>
      </c>
      <c r="J66" s="163"/>
      <c r="K66" s="163" t="s">
        <v>322</v>
      </c>
      <c r="L66" s="162" t="s">
        <v>65</v>
      </c>
      <c r="M66" s="164"/>
      <c r="N66" s="164"/>
      <c r="O66" s="164"/>
      <c r="P66" s="162"/>
      <c r="Q66" s="162"/>
      <c r="R66" s="162"/>
    </row>
    <row r="67" spans="1:18" s="54" customFormat="1">
      <c r="A67" s="217" t="s">
        <v>83</v>
      </c>
      <c r="B67" s="162"/>
      <c r="C67" s="162"/>
      <c r="D67" s="168" t="s">
        <v>129</v>
      </c>
      <c r="E67" s="162"/>
      <c r="F67" s="162"/>
      <c r="G67" s="162"/>
      <c r="H67" s="162"/>
      <c r="I67" s="162"/>
      <c r="J67" s="162"/>
      <c r="K67" s="162"/>
      <c r="L67" s="162"/>
      <c r="M67" s="164"/>
      <c r="N67" s="164"/>
      <c r="O67" s="164"/>
      <c r="P67" s="162"/>
      <c r="Q67" s="162"/>
      <c r="R67" s="162"/>
    </row>
    <row r="68" spans="1:18" s="29" customFormat="1" ht="27" outlineLevel="1">
      <c r="A68" s="218"/>
      <c r="B68" s="162"/>
      <c r="C68" s="162"/>
      <c r="D68" s="161" t="s">
        <v>131</v>
      </c>
      <c r="E68" s="162" t="s">
        <v>2528</v>
      </c>
      <c r="F68" s="162" t="s">
        <v>2496</v>
      </c>
      <c r="G68" s="162"/>
      <c r="H68" s="162"/>
      <c r="I68" s="163" t="s">
        <v>27</v>
      </c>
      <c r="J68" s="163"/>
      <c r="K68" s="163" t="s">
        <v>322</v>
      </c>
      <c r="L68" s="162" t="s">
        <v>132</v>
      </c>
      <c r="M68" s="164"/>
      <c r="N68" s="164"/>
      <c r="O68" s="164"/>
      <c r="P68" s="162"/>
      <c r="Q68" s="162"/>
      <c r="R68" s="162"/>
    </row>
    <row r="69" spans="1:18" s="38" customFormat="1">
      <c r="A69" s="217" t="s">
        <v>83</v>
      </c>
      <c r="B69" s="141">
        <v>2026</v>
      </c>
      <c r="C69" s="162"/>
      <c r="D69" s="168" t="s">
        <v>133</v>
      </c>
      <c r="E69" s="162" t="s">
        <v>363</v>
      </c>
      <c r="F69" s="162" t="s">
        <v>329</v>
      </c>
      <c r="G69" s="162" t="s">
        <v>363</v>
      </c>
      <c r="H69" s="162"/>
      <c r="I69" s="163" t="s">
        <v>134</v>
      </c>
      <c r="J69" s="163"/>
      <c r="K69" s="163" t="s">
        <v>322</v>
      </c>
      <c r="L69" s="162" t="s">
        <v>32</v>
      </c>
      <c r="M69" s="164">
        <v>46174</v>
      </c>
      <c r="N69" s="164">
        <v>46387</v>
      </c>
      <c r="O69" s="164">
        <v>46387</v>
      </c>
      <c r="P69" s="162"/>
      <c r="Q69" s="162"/>
      <c r="R69" s="161" t="s">
        <v>2529</v>
      </c>
    </row>
    <row r="70" spans="1:18" s="38" customFormat="1" outlineLevel="1">
      <c r="A70" s="217"/>
      <c r="B70" s="162"/>
      <c r="C70" s="162"/>
      <c r="D70" s="169" t="s">
        <v>135</v>
      </c>
      <c r="E70" s="162"/>
      <c r="F70" s="162"/>
      <c r="G70" s="162"/>
      <c r="H70" s="162"/>
      <c r="I70" s="163"/>
      <c r="J70" s="163"/>
      <c r="K70" s="163"/>
      <c r="L70" s="162"/>
      <c r="M70" s="164"/>
      <c r="N70" s="164"/>
      <c r="O70" s="164"/>
      <c r="P70" s="162"/>
      <c r="Q70" s="162"/>
      <c r="R70" s="162"/>
    </row>
    <row r="71" spans="1:18" s="29" customFormat="1" ht="54">
      <c r="A71" s="217" t="s">
        <v>83</v>
      </c>
      <c r="B71" s="162"/>
      <c r="C71" s="162"/>
      <c r="D71" s="168" t="s">
        <v>136</v>
      </c>
      <c r="E71" s="162"/>
      <c r="F71" s="162" t="s">
        <v>2496</v>
      </c>
      <c r="G71" s="162"/>
      <c r="H71" s="162"/>
      <c r="I71" s="163" t="s">
        <v>89</v>
      </c>
      <c r="J71" s="163"/>
      <c r="K71" s="163" t="s">
        <v>322</v>
      </c>
      <c r="L71" s="162" t="s">
        <v>137</v>
      </c>
      <c r="M71" s="164"/>
      <c r="N71" s="164"/>
      <c r="O71" s="164"/>
      <c r="P71" s="162"/>
      <c r="Q71" s="171">
        <v>1</v>
      </c>
      <c r="R71" s="162"/>
    </row>
    <row r="72" spans="1:18" outlineLevel="1">
      <c r="A72" s="220"/>
      <c r="B72" s="162"/>
      <c r="C72" s="162"/>
      <c r="D72" s="161" t="s">
        <v>138</v>
      </c>
      <c r="E72" s="162"/>
      <c r="F72" s="162"/>
      <c r="G72" s="162"/>
      <c r="H72" s="162"/>
      <c r="I72" s="162"/>
      <c r="J72" s="162"/>
      <c r="K72" s="162"/>
      <c r="L72" s="162"/>
      <c r="M72" s="164"/>
      <c r="N72" s="164"/>
      <c r="O72" s="164"/>
      <c r="P72" s="162"/>
      <c r="Q72" s="162"/>
      <c r="R72" s="162"/>
    </row>
    <row r="73" spans="1:18" outlineLevel="1">
      <c r="A73" s="220"/>
      <c r="B73" s="162"/>
      <c r="C73" s="162"/>
      <c r="D73" s="161" t="s">
        <v>139</v>
      </c>
      <c r="E73" s="162"/>
      <c r="F73" s="162"/>
      <c r="G73" s="162"/>
      <c r="H73" s="162"/>
      <c r="I73" s="162"/>
      <c r="J73" s="162"/>
      <c r="K73" s="162"/>
      <c r="L73" s="162"/>
      <c r="M73" s="164"/>
      <c r="N73" s="164"/>
      <c r="O73" s="164"/>
      <c r="P73" s="162"/>
      <c r="Q73" s="162"/>
      <c r="R73" s="162"/>
    </row>
    <row r="74" spans="1:18" outlineLevel="1">
      <c r="A74" s="220"/>
      <c r="B74" s="162"/>
      <c r="C74" s="162"/>
      <c r="D74" s="161" t="s">
        <v>140</v>
      </c>
      <c r="E74" s="162"/>
      <c r="F74" s="162"/>
      <c r="G74" s="162"/>
      <c r="H74" s="162"/>
      <c r="I74" s="162"/>
      <c r="J74" s="162"/>
      <c r="K74" s="162"/>
      <c r="L74" s="162"/>
      <c r="M74" s="164"/>
      <c r="N74" s="164"/>
      <c r="O74" s="164"/>
      <c r="P74" s="162"/>
      <c r="Q74" s="162"/>
      <c r="R74" s="162"/>
    </row>
    <row r="75" spans="1:18" outlineLevel="1">
      <c r="A75" s="220"/>
      <c r="B75" s="162"/>
      <c r="C75" s="162"/>
      <c r="D75" s="161" t="s">
        <v>141</v>
      </c>
      <c r="E75" s="162"/>
      <c r="F75" s="162"/>
      <c r="G75" s="162"/>
      <c r="H75" s="162"/>
      <c r="I75" s="162"/>
      <c r="J75" s="162"/>
      <c r="K75" s="162"/>
      <c r="L75" s="162"/>
      <c r="M75" s="164"/>
      <c r="N75" s="164"/>
      <c r="O75" s="164"/>
      <c r="P75" s="162"/>
      <c r="Q75" s="162"/>
      <c r="R75" s="162"/>
    </row>
    <row r="76" spans="1:18" s="29" customFormat="1">
      <c r="A76" s="217" t="s">
        <v>83</v>
      </c>
      <c r="B76" s="162"/>
      <c r="C76" s="162"/>
      <c r="D76" s="168" t="s">
        <v>142</v>
      </c>
      <c r="E76" s="162"/>
      <c r="F76" s="162"/>
      <c r="G76" s="162"/>
      <c r="H76" s="162"/>
      <c r="I76" s="163"/>
      <c r="J76" s="163"/>
      <c r="K76" s="163"/>
      <c r="L76" s="162"/>
      <c r="M76" s="164"/>
      <c r="N76" s="164"/>
      <c r="O76" s="164"/>
      <c r="P76" s="162"/>
      <c r="Q76" s="162"/>
      <c r="R76" s="162"/>
    </row>
    <row r="77" spans="1:18" s="29" customFormat="1" ht="27" outlineLevel="1">
      <c r="A77" s="218"/>
      <c r="B77" s="162"/>
      <c r="C77" s="162"/>
      <c r="D77" s="161" t="s">
        <v>143</v>
      </c>
      <c r="E77" s="162"/>
      <c r="F77" s="162"/>
      <c r="G77" s="162"/>
      <c r="H77" s="162"/>
      <c r="I77" s="163" t="s">
        <v>89</v>
      </c>
      <c r="J77" s="163"/>
      <c r="K77" s="163" t="s">
        <v>322</v>
      </c>
      <c r="L77" s="162" t="s">
        <v>62</v>
      </c>
      <c r="M77" s="164"/>
      <c r="N77" s="164"/>
      <c r="O77" s="164"/>
      <c r="P77" s="162"/>
      <c r="Q77" s="162"/>
      <c r="R77" s="162"/>
    </row>
    <row r="78" spans="1:18" s="29" customFormat="1" ht="27" outlineLevel="1">
      <c r="A78" s="218"/>
      <c r="B78" s="162"/>
      <c r="C78" s="162"/>
      <c r="D78" s="161" t="s">
        <v>139</v>
      </c>
      <c r="E78" s="162"/>
      <c r="F78" s="162"/>
      <c r="G78" s="162"/>
      <c r="H78" s="162"/>
      <c r="I78" s="163" t="s">
        <v>89</v>
      </c>
      <c r="J78" s="163"/>
      <c r="K78" s="163" t="s">
        <v>322</v>
      </c>
      <c r="L78" s="162" t="s">
        <v>62</v>
      </c>
      <c r="M78" s="164"/>
      <c r="N78" s="164"/>
      <c r="O78" s="164"/>
      <c r="P78" s="162"/>
      <c r="Q78" s="162"/>
      <c r="R78" s="162"/>
    </row>
    <row r="79" spans="1:18" s="29" customFormat="1" ht="27" outlineLevel="1">
      <c r="A79" s="218"/>
      <c r="B79" s="162"/>
      <c r="C79" s="162"/>
      <c r="D79" s="161" t="s">
        <v>144</v>
      </c>
      <c r="E79" s="162"/>
      <c r="F79" s="162"/>
      <c r="G79" s="162"/>
      <c r="H79" s="162"/>
      <c r="I79" s="163" t="s">
        <v>89</v>
      </c>
      <c r="J79" s="163"/>
      <c r="K79" s="163" t="s">
        <v>322</v>
      </c>
      <c r="L79" s="162" t="s">
        <v>62</v>
      </c>
      <c r="M79" s="164"/>
      <c r="N79" s="164"/>
      <c r="O79" s="164"/>
      <c r="P79" s="162"/>
      <c r="Q79" s="162"/>
      <c r="R79" s="162"/>
    </row>
    <row r="80" spans="1:18" s="29" customFormat="1" ht="27" outlineLevel="1">
      <c r="A80" s="218"/>
      <c r="B80" s="162"/>
      <c r="C80" s="162"/>
      <c r="D80" s="161" t="s">
        <v>145</v>
      </c>
      <c r="E80" s="162"/>
      <c r="F80" s="162"/>
      <c r="G80" s="162"/>
      <c r="H80" s="162"/>
      <c r="I80" s="163" t="s">
        <v>89</v>
      </c>
      <c r="J80" s="163"/>
      <c r="K80" s="163" t="s">
        <v>322</v>
      </c>
      <c r="L80" s="162" t="s">
        <v>62</v>
      </c>
      <c r="M80" s="164"/>
      <c r="N80" s="164"/>
      <c r="O80" s="164"/>
      <c r="P80" s="162"/>
      <c r="Q80" s="162"/>
      <c r="R80" s="162"/>
    </row>
    <row r="81" spans="1:18" s="29" customFormat="1" ht="27" outlineLevel="1">
      <c r="A81" s="218"/>
      <c r="B81" s="162"/>
      <c r="C81" s="162"/>
      <c r="D81" s="161" t="s">
        <v>146</v>
      </c>
      <c r="E81" s="162"/>
      <c r="F81" s="162"/>
      <c r="G81" s="162"/>
      <c r="H81" s="162"/>
      <c r="I81" s="163" t="s">
        <v>89</v>
      </c>
      <c r="J81" s="163"/>
      <c r="K81" s="163" t="s">
        <v>322</v>
      </c>
      <c r="L81" s="162" t="s">
        <v>62</v>
      </c>
      <c r="M81" s="164"/>
      <c r="N81" s="164"/>
      <c r="O81" s="164"/>
      <c r="P81" s="162"/>
      <c r="Q81" s="162"/>
      <c r="R81" s="162"/>
    </row>
    <row r="82" spans="1:18" s="5" customFormat="1" outlineLevel="1">
      <c r="A82" s="222"/>
      <c r="B82" s="162"/>
      <c r="C82" s="162"/>
      <c r="D82" s="161" t="s">
        <v>147</v>
      </c>
      <c r="E82" s="162"/>
      <c r="F82" s="162"/>
      <c r="G82" s="162"/>
      <c r="H82" s="162"/>
      <c r="I82" s="163" t="s">
        <v>89</v>
      </c>
      <c r="J82" s="163"/>
      <c r="K82" s="163" t="s">
        <v>322</v>
      </c>
      <c r="L82" s="162" t="s">
        <v>148</v>
      </c>
      <c r="M82" s="164"/>
      <c r="N82" s="164"/>
      <c r="O82" s="164"/>
      <c r="P82" s="162"/>
      <c r="Q82" s="162"/>
      <c r="R82" s="162"/>
    </row>
    <row r="83" spans="1:18" s="29" customFormat="1" outlineLevel="1">
      <c r="A83" s="218"/>
      <c r="B83" s="162"/>
      <c r="C83" s="162"/>
      <c r="D83" s="161" t="s">
        <v>149</v>
      </c>
      <c r="E83" s="162"/>
      <c r="F83" s="162"/>
      <c r="G83" s="162"/>
      <c r="H83" s="162"/>
      <c r="I83" s="163" t="s">
        <v>89</v>
      </c>
      <c r="J83" s="163"/>
      <c r="K83" s="163" t="s">
        <v>322</v>
      </c>
      <c r="L83" s="162" t="s">
        <v>77</v>
      </c>
      <c r="M83" s="164"/>
      <c r="N83" s="164"/>
      <c r="O83" s="164"/>
      <c r="P83" s="162"/>
      <c r="Q83" s="162"/>
      <c r="R83" s="162"/>
    </row>
    <row r="84" spans="1:18" s="29" customFormat="1" outlineLevel="1">
      <c r="A84" s="218"/>
      <c r="B84" s="162"/>
      <c r="C84" s="162"/>
      <c r="D84" s="161" t="s">
        <v>150</v>
      </c>
      <c r="E84" s="162"/>
      <c r="F84" s="162"/>
      <c r="G84" s="162"/>
      <c r="H84" s="162"/>
      <c r="I84" s="163" t="s">
        <v>89</v>
      </c>
      <c r="J84" s="163"/>
      <c r="K84" s="163" t="s">
        <v>322</v>
      </c>
      <c r="L84" s="162" t="s">
        <v>77</v>
      </c>
      <c r="M84" s="164"/>
      <c r="N84" s="164"/>
      <c r="O84" s="164"/>
      <c r="P84" s="162"/>
      <c r="Q84" s="162"/>
      <c r="R84" s="162"/>
    </row>
    <row r="85" spans="1:18" s="29" customFormat="1" outlineLevel="1">
      <c r="A85" s="218"/>
      <c r="B85" s="162"/>
      <c r="C85" s="162"/>
      <c r="D85" s="161" t="s">
        <v>151</v>
      </c>
      <c r="E85" s="162"/>
      <c r="F85" s="162"/>
      <c r="G85" s="162"/>
      <c r="H85" s="162"/>
      <c r="I85" s="163" t="s">
        <v>89</v>
      </c>
      <c r="J85" s="163"/>
      <c r="K85" s="163" t="s">
        <v>322</v>
      </c>
      <c r="L85" s="162" t="s">
        <v>77</v>
      </c>
      <c r="M85" s="164"/>
      <c r="N85" s="164"/>
      <c r="O85" s="164"/>
      <c r="P85" s="162"/>
      <c r="Q85" s="162"/>
      <c r="R85" s="162"/>
    </row>
    <row r="86" spans="1:18" s="29" customFormat="1" outlineLevel="1">
      <c r="A86" s="218"/>
      <c r="B86" s="162"/>
      <c r="C86" s="162"/>
      <c r="D86" s="161" t="s">
        <v>152</v>
      </c>
      <c r="E86" s="162"/>
      <c r="F86" s="162"/>
      <c r="G86" s="162"/>
      <c r="H86" s="162"/>
      <c r="I86" s="163" t="s">
        <v>89</v>
      </c>
      <c r="J86" s="163"/>
      <c r="K86" s="163" t="s">
        <v>322</v>
      </c>
      <c r="L86" s="162" t="s">
        <v>77</v>
      </c>
      <c r="M86" s="164"/>
      <c r="N86" s="164"/>
      <c r="O86" s="164"/>
      <c r="P86" s="162"/>
      <c r="Q86" s="162"/>
      <c r="R86" s="162"/>
    </row>
    <row r="87" spans="1:18" s="29" customFormat="1">
      <c r="A87" s="217" t="s">
        <v>83</v>
      </c>
      <c r="B87" s="162"/>
      <c r="C87" s="162"/>
      <c r="D87" s="168" t="s">
        <v>153</v>
      </c>
      <c r="E87" s="162"/>
      <c r="F87" s="162"/>
      <c r="G87" s="162"/>
      <c r="H87" s="162"/>
      <c r="I87" s="162"/>
      <c r="J87" s="162"/>
      <c r="K87" s="163"/>
      <c r="L87" s="163"/>
      <c r="M87" s="164"/>
      <c r="N87" s="164"/>
      <c r="O87" s="164"/>
      <c r="P87" s="162"/>
      <c r="Q87" s="162"/>
      <c r="R87" s="162"/>
    </row>
    <row r="88" spans="1:18" outlineLevel="1">
      <c r="A88" s="220"/>
      <c r="B88" s="162"/>
      <c r="C88" s="162"/>
      <c r="D88" s="169" t="s">
        <v>154</v>
      </c>
      <c r="E88" s="162" t="s">
        <v>617</v>
      </c>
      <c r="F88" s="162" t="s">
        <v>2496</v>
      </c>
      <c r="G88" s="162"/>
      <c r="H88" s="162"/>
      <c r="I88" s="163" t="s">
        <v>89</v>
      </c>
      <c r="J88" s="162"/>
      <c r="K88" s="163" t="s">
        <v>322</v>
      </c>
      <c r="L88" s="162" t="s">
        <v>70</v>
      </c>
      <c r="M88" s="164"/>
      <c r="N88" s="164"/>
      <c r="O88" s="164"/>
      <c r="P88" s="162"/>
      <c r="Q88" s="171">
        <v>1</v>
      </c>
      <c r="R88" s="162"/>
    </row>
    <row r="89" spans="1:18" outlineLevel="1">
      <c r="A89" s="220"/>
      <c r="B89" s="162"/>
      <c r="C89" s="162"/>
      <c r="D89" s="169" t="s">
        <v>156</v>
      </c>
      <c r="E89" s="162" t="s">
        <v>2489</v>
      </c>
      <c r="F89" s="162" t="s">
        <v>2496</v>
      </c>
      <c r="G89" s="162"/>
      <c r="H89" s="162"/>
      <c r="I89" s="163" t="s">
        <v>89</v>
      </c>
      <c r="J89" s="162"/>
      <c r="K89" s="163" t="s">
        <v>322</v>
      </c>
      <c r="L89" s="162" t="s">
        <v>70</v>
      </c>
      <c r="M89" s="164"/>
      <c r="N89" s="164"/>
      <c r="O89" s="164"/>
      <c r="P89" s="162"/>
      <c r="Q89" s="171">
        <v>1</v>
      </c>
      <c r="R89" s="162"/>
    </row>
    <row r="90" spans="1:18" outlineLevel="1">
      <c r="A90" s="220"/>
      <c r="B90" s="162"/>
      <c r="C90" s="162"/>
      <c r="D90" s="169" t="s">
        <v>157</v>
      </c>
      <c r="E90" s="162" t="s">
        <v>2489</v>
      </c>
      <c r="F90" s="162" t="s">
        <v>2496</v>
      </c>
      <c r="G90" s="162"/>
      <c r="H90" s="162"/>
      <c r="I90" s="163" t="s">
        <v>89</v>
      </c>
      <c r="J90" s="162"/>
      <c r="K90" s="163" t="s">
        <v>322</v>
      </c>
      <c r="L90" s="162" t="s">
        <v>70</v>
      </c>
      <c r="M90" s="164"/>
      <c r="N90" s="164"/>
      <c r="O90" s="164"/>
      <c r="P90" s="162"/>
      <c r="Q90" s="171">
        <v>1</v>
      </c>
      <c r="R90" s="162"/>
    </row>
    <row r="91" spans="1:18" outlineLevel="1">
      <c r="A91" s="220"/>
      <c r="B91" s="162"/>
      <c r="C91" s="162"/>
      <c r="D91" s="161" t="s">
        <v>2530</v>
      </c>
      <c r="E91" s="162" t="s">
        <v>2489</v>
      </c>
      <c r="F91" s="162" t="s">
        <v>2496</v>
      </c>
      <c r="G91" s="162"/>
      <c r="H91" s="162"/>
      <c r="I91" s="163" t="s">
        <v>89</v>
      </c>
      <c r="J91" s="162"/>
      <c r="K91" s="163" t="s">
        <v>322</v>
      </c>
      <c r="L91" s="162" t="s">
        <v>70</v>
      </c>
      <c r="M91" s="164"/>
      <c r="N91" s="164"/>
      <c r="O91" s="164"/>
      <c r="P91" s="162"/>
      <c r="Q91" s="171">
        <v>1</v>
      </c>
      <c r="R91" s="162"/>
    </row>
    <row r="92" spans="1:18" s="29" customFormat="1">
      <c r="A92" s="217" t="s">
        <v>24</v>
      </c>
      <c r="B92" s="162"/>
      <c r="C92" s="162"/>
      <c r="D92" s="161" t="s">
        <v>159</v>
      </c>
      <c r="E92" s="162" t="s">
        <v>2489</v>
      </c>
      <c r="F92" s="162" t="s">
        <v>329</v>
      </c>
      <c r="G92" s="162"/>
      <c r="H92" s="162"/>
      <c r="I92" s="163" t="s">
        <v>27</v>
      </c>
      <c r="J92" s="163"/>
      <c r="K92" s="163" t="s">
        <v>322</v>
      </c>
      <c r="L92" s="162" t="s">
        <v>70</v>
      </c>
      <c r="M92" s="164"/>
      <c r="N92" s="164"/>
      <c r="O92" s="164"/>
      <c r="P92" s="162"/>
      <c r="Q92" s="171">
        <v>1</v>
      </c>
      <c r="R92" s="162"/>
    </row>
    <row r="93" spans="1:18" s="29" customFormat="1" ht="30.75" customHeight="1">
      <c r="A93" s="217" t="s">
        <v>24</v>
      </c>
      <c r="B93" s="162"/>
      <c r="C93" s="162"/>
      <c r="D93" s="161" t="s">
        <v>160</v>
      </c>
      <c r="E93" s="162"/>
      <c r="F93" s="162"/>
      <c r="G93" s="162"/>
      <c r="H93" s="162"/>
      <c r="I93" s="163" t="s">
        <v>27</v>
      </c>
      <c r="J93" s="163"/>
      <c r="K93" s="163" t="s">
        <v>322</v>
      </c>
      <c r="L93" s="162" t="s">
        <v>161</v>
      </c>
      <c r="M93" s="164"/>
      <c r="N93" s="164"/>
      <c r="O93" s="164"/>
      <c r="P93" s="162"/>
      <c r="Q93" s="162"/>
      <c r="R93" s="161"/>
    </row>
    <row r="94" spans="1:18" s="29" customFormat="1">
      <c r="A94" s="217" t="s">
        <v>24</v>
      </c>
      <c r="B94" s="162"/>
      <c r="C94" s="162"/>
      <c r="D94" s="166" t="s">
        <v>162</v>
      </c>
      <c r="E94" s="162"/>
      <c r="F94" s="162"/>
      <c r="G94" s="162"/>
      <c r="H94" s="162"/>
      <c r="I94" s="162"/>
      <c r="J94" s="162"/>
      <c r="K94" s="162"/>
      <c r="L94" s="162"/>
      <c r="M94" s="164"/>
      <c r="N94" s="164"/>
      <c r="O94" s="164"/>
      <c r="P94" s="162"/>
      <c r="Q94" s="162"/>
      <c r="R94" s="162"/>
    </row>
    <row r="95" spans="1:18" outlineLevel="1">
      <c r="A95" s="221"/>
      <c r="B95" s="162"/>
      <c r="C95" s="162"/>
      <c r="D95" s="161" t="s">
        <v>163</v>
      </c>
      <c r="E95" s="162"/>
      <c r="F95" s="162"/>
      <c r="G95" s="162"/>
      <c r="H95" s="162"/>
      <c r="I95" s="163" t="s">
        <v>27</v>
      </c>
      <c r="J95" s="163"/>
      <c r="K95" s="163" t="s">
        <v>322</v>
      </c>
      <c r="L95" s="162" t="s">
        <v>32</v>
      </c>
      <c r="M95" s="164"/>
      <c r="N95" s="164"/>
      <c r="O95" s="164"/>
      <c r="P95" s="162"/>
      <c r="Q95" s="162"/>
      <c r="R95" s="161"/>
    </row>
    <row r="96" spans="1:18" outlineLevel="1">
      <c r="A96" s="220"/>
      <c r="B96" s="162"/>
      <c r="C96" s="162"/>
      <c r="D96" s="161" t="s">
        <v>164</v>
      </c>
      <c r="E96" s="162"/>
      <c r="F96" s="162"/>
      <c r="G96" s="162"/>
      <c r="H96" s="162"/>
      <c r="I96" s="163" t="s">
        <v>27</v>
      </c>
      <c r="J96" s="163"/>
      <c r="K96" s="163" t="s">
        <v>322</v>
      </c>
      <c r="L96" s="162" t="s">
        <v>32</v>
      </c>
      <c r="M96" s="164"/>
      <c r="N96" s="164"/>
      <c r="O96" s="164"/>
      <c r="P96" s="162"/>
      <c r="Q96" s="162"/>
      <c r="R96" s="161"/>
    </row>
    <row r="97" spans="1:18" ht="27" outlineLevel="1">
      <c r="A97" s="221"/>
      <c r="B97" s="162"/>
      <c r="C97" s="162"/>
      <c r="D97" s="161" t="s">
        <v>165</v>
      </c>
      <c r="E97" s="162"/>
      <c r="F97" s="162"/>
      <c r="G97" s="162"/>
      <c r="H97" s="162"/>
      <c r="I97" s="163" t="s">
        <v>89</v>
      </c>
      <c r="J97" s="163"/>
      <c r="K97" s="163" t="s">
        <v>322</v>
      </c>
      <c r="L97" s="162" t="s">
        <v>2531</v>
      </c>
      <c r="M97" s="164"/>
      <c r="N97" s="164"/>
      <c r="O97" s="164"/>
      <c r="P97" s="162"/>
      <c r="Q97" s="162"/>
      <c r="R97" s="161"/>
    </row>
    <row r="98" spans="1:18" outlineLevel="1">
      <c r="A98" s="221"/>
      <c r="B98" s="162"/>
      <c r="C98" s="162"/>
      <c r="D98" s="161" t="s">
        <v>166</v>
      </c>
      <c r="E98" s="162"/>
      <c r="F98" s="162" t="s">
        <v>329</v>
      </c>
      <c r="G98" s="162"/>
      <c r="H98" s="162"/>
      <c r="I98" s="163"/>
      <c r="J98" s="163"/>
      <c r="K98" s="163" t="s">
        <v>322</v>
      </c>
      <c r="L98" s="162" t="s">
        <v>70</v>
      </c>
      <c r="M98" s="164"/>
      <c r="N98" s="164"/>
      <c r="O98" s="164"/>
      <c r="P98" s="162"/>
      <c r="Q98" s="171">
        <v>0.5</v>
      </c>
      <c r="R98" s="162"/>
    </row>
    <row r="99" spans="1:18" outlineLevel="1">
      <c r="A99" s="221"/>
      <c r="B99" s="162"/>
      <c r="C99" s="162"/>
      <c r="D99" s="161" t="s">
        <v>167</v>
      </c>
      <c r="E99" s="162"/>
      <c r="F99" s="162"/>
      <c r="G99" s="162"/>
      <c r="H99" s="162"/>
      <c r="I99" s="163"/>
      <c r="J99" s="163"/>
      <c r="K99" s="163" t="s">
        <v>322</v>
      </c>
      <c r="L99" s="162" t="s">
        <v>32</v>
      </c>
      <c r="M99" s="164"/>
      <c r="N99" s="164"/>
      <c r="O99" s="164"/>
      <c r="P99" s="162"/>
      <c r="Q99" s="162"/>
      <c r="R99" s="161"/>
    </row>
    <row r="100" spans="1:18" outlineLevel="1">
      <c r="A100" s="221"/>
      <c r="B100" s="162"/>
      <c r="C100" s="162"/>
      <c r="D100" s="161" t="s">
        <v>168</v>
      </c>
      <c r="E100" s="162"/>
      <c r="F100" s="162"/>
      <c r="G100" s="162"/>
      <c r="H100" s="162"/>
      <c r="I100" s="163" t="s">
        <v>27</v>
      </c>
      <c r="J100" s="163"/>
      <c r="K100" s="163" t="s">
        <v>322</v>
      </c>
      <c r="L100" s="162" t="s">
        <v>32</v>
      </c>
      <c r="M100" s="164"/>
      <c r="N100" s="164"/>
      <c r="O100" s="164"/>
      <c r="P100" s="162"/>
      <c r="Q100" s="162"/>
      <c r="R100" s="161"/>
    </row>
    <row r="101" spans="1:18" s="29" customFormat="1">
      <c r="A101" s="217" t="s">
        <v>83</v>
      </c>
      <c r="B101" s="162"/>
      <c r="C101" s="162"/>
      <c r="D101" s="169" t="s">
        <v>169</v>
      </c>
      <c r="E101" s="162"/>
      <c r="F101" s="162"/>
      <c r="G101" s="162"/>
      <c r="H101" s="162"/>
      <c r="I101" s="163" t="s">
        <v>89</v>
      </c>
      <c r="J101" s="163"/>
      <c r="K101" s="163" t="s">
        <v>322</v>
      </c>
      <c r="L101" s="162" t="s">
        <v>77</v>
      </c>
      <c r="M101" s="164"/>
      <c r="N101" s="164"/>
      <c r="O101" s="164"/>
      <c r="P101" s="162"/>
      <c r="Q101" s="162"/>
      <c r="R101" s="162"/>
    </row>
    <row r="102" spans="1:18" s="29" customFormat="1">
      <c r="A102" s="217" t="s">
        <v>83</v>
      </c>
      <c r="B102" s="162"/>
      <c r="C102" s="162"/>
      <c r="D102" s="161" t="s">
        <v>170</v>
      </c>
      <c r="E102" s="162"/>
      <c r="F102" s="162"/>
      <c r="G102" s="162"/>
      <c r="H102" s="162"/>
      <c r="I102" s="163" t="s">
        <v>27</v>
      </c>
      <c r="J102" s="163"/>
      <c r="K102" s="163" t="s">
        <v>322</v>
      </c>
      <c r="L102" s="162" t="s">
        <v>65</v>
      </c>
      <c r="M102" s="164"/>
      <c r="N102" s="164"/>
      <c r="O102" s="164"/>
      <c r="P102" s="162"/>
      <c r="Q102" s="162"/>
      <c r="R102" s="162"/>
    </row>
    <row r="103" spans="1:18" s="29" customFormat="1">
      <c r="A103" s="217" t="s">
        <v>83</v>
      </c>
      <c r="B103" s="162"/>
      <c r="C103" s="162"/>
      <c r="D103" s="168" t="s">
        <v>171</v>
      </c>
      <c r="E103" s="162"/>
      <c r="F103" s="162"/>
      <c r="G103" s="162"/>
      <c r="H103" s="162"/>
      <c r="I103" s="162"/>
      <c r="J103" s="162"/>
      <c r="K103" s="162"/>
      <c r="L103" s="162"/>
      <c r="M103" s="164"/>
      <c r="N103" s="164"/>
      <c r="O103" s="164"/>
      <c r="P103" s="162"/>
      <c r="Q103" s="162"/>
      <c r="R103" s="162"/>
    </row>
    <row r="104" spans="1:18" s="29" customFormat="1" ht="27">
      <c r="A104" s="217"/>
      <c r="B104" s="162"/>
      <c r="C104" s="162" t="s">
        <v>269</v>
      </c>
      <c r="D104" s="161" t="s">
        <v>2532</v>
      </c>
      <c r="E104" s="162" t="s">
        <v>2489</v>
      </c>
      <c r="F104" s="162" t="s">
        <v>329</v>
      </c>
      <c r="G104" s="162" t="s">
        <v>269</v>
      </c>
      <c r="H104" s="162"/>
      <c r="I104" s="163" t="s">
        <v>89</v>
      </c>
      <c r="J104" s="162"/>
      <c r="K104" s="163" t="s">
        <v>322</v>
      </c>
      <c r="L104" s="163" t="s">
        <v>67</v>
      </c>
      <c r="M104" s="164" t="s">
        <v>2491</v>
      </c>
      <c r="N104" s="164" t="s">
        <v>2491</v>
      </c>
      <c r="O104" s="164"/>
      <c r="P104" s="162"/>
      <c r="Q104" s="162"/>
      <c r="R104" s="162"/>
    </row>
    <row r="105" spans="1:18" s="29" customFormat="1" outlineLevel="1">
      <c r="A105" s="218"/>
      <c r="B105" s="162"/>
      <c r="C105" s="162" t="s">
        <v>229</v>
      </c>
      <c r="D105" s="161" t="s">
        <v>172</v>
      </c>
      <c r="E105" s="162" t="s">
        <v>2489</v>
      </c>
      <c r="F105" s="162" t="s">
        <v>329</v>
      </c>
      <c r="G105" s="162" t="s">
        <v>229</v>
      </c>
      <c r="H105" s="162"/>
      <c r="I105" s="163" t="s">
        <v>89</v>
      </c>
      <c r="J105" s="163"/>
      <c r="K105" s="163" t="s">
        <v>322</v>
      </c>
      <c r="L105" s="163" t="s">
        <v>67</v>
      </c>
      <c r="M105" s="164" t="s">
        <v>2491</v>
      </c>
      <c r="N105" s="164" t="s">
        <v>2491</v>
      </c>
      <c r="O105" s="164"/>
      <c r="P105" s="162"/>
      <c r="Q105" s="162"/>
      <c r="R105" s="162"/>
    </row>
    <row r="106" spans="1:18" s="29" customFormat="1" outlineLevel="1">
      <c r="A106" s="218"/>
      <c r="B106" s="162"/>
      <c r="C106" s="162" t="s">
        <v>229</v>
      </c>
      <c r="D106" s="161" t="s">
        <v>173</v>
      </c>
      <c r="E106" s="162" t="s">
        <v>2489</v>
      </c>
      <c r="F106" s="162" t="s">
        <v>329</v>
      </c>
      <c r="G106" s="162" t="s">
        <v>229</v>
      </c>
      <c r="H106" s="162"/>
      <c r="I106" s="163" t="s">
        <v>89</v>
      </c>
      <c r="J106" s="163"/>
      <c r="K106" s="163" t="s">
        <v>322</v>
      </c>
      <c r="L106" s="163" t="s">
        <v>67</v>
      </c>
      <c r="M106" s="164" t="s">
        <v>2491</v>
      </c>
      <c r="N106" s="164" t="s">
        <v>2491</v>
      </c>
      <c r="O106" s="164"/>
      <c r="P106" s="162"/>
      <c r="Q106" s="162"/>
      <c r="R106" s="162"/>
    </row>
    <row r="107" spans="1:18" s="29" customFormat="1" outlineLevel="1">
      <c r="A107" s="218"/>
      <c r="B107" s="162"/>
      <c r="C107" s="162" t="s">
        <v>229</v>
      </c>
      <c r="D107" s="161" t="s">
        <v>174</v>
      </c>
      <c r="E107" s="162" t="s">
        <v>2489</v>
      </c>
      <c r="F107" s="162" t="s">
        <v>329</v>
      </c>
      <c r="G107" s="162" t="s">
        <v>229</v>
      </c>
      <c r="H107" s="162"/>
      <c r="I107" s="163" t="s">
        <v>89</v>
      </c>
      <c r="J107" s="163"/>
      <c r="K107" s="163" t="s">
        <v>322</v>
      </c>
      <c r="L107" s="163" t="s">
        <v>67</v>
      </c>
      <c r="M107" s="164" t="s">
        <v>2491</v>
      </c>
      <c r="N107" s="164" t="s">
        <v>2491</v>
      </c>
      <c r="O107" s="164"/>
      <c r="P107" s="162"/>
      <c r="Q107" s="162"/>
      <c r="R107" s="162"/>
    </row>
    <row r="108" spans="1:18" s="29" customFormat="1" outlineLevel="1">
      <c r="A108" s="218"/>
      <c r="B108" s="162"/>
      <c r="C108" s="162" t="s">
        <v>269</v>
      </c>
      <c r="D108" s="161" t="s">
        <v>502</v>
      </c>
      <c r="E108" s="162" t="s">
        <v>2489</v>
      </c>
      <c r="F108" s="162" t="s">
        <v>329</v>
      </c>
      <c r="G108" s="162" t="s">
        <v>269</v>
      </c>
      <c r="H108" s="162"/>
      <c r="I108" s="163" t="s">
        <v>89</v>
      </c>
      <c r="J108" s="163"/>
      <c r="K108" s="163" t="s">
        <v>322</v>
      </c>
      <c r="L108" s="163" t="s">
        <v>67</v>
      </c>
      <c r="M108" s="164" t="s">
        <v>2491</v>
      </c>
      <c r="N108" s="164" t="s">
        <v>2491</v>
      </c>
      <c r="O108" s="164"/>
      <c r="P108" s="162"/>
      <c r="Q108" s="162"/>
      <c r="R108" s="162"/>
    </row>
    <row r="109" spans="1:18" s="29" customFormat="1" outlineLevel="1">
      <c r="A109" s="218"/>
      <c r="B109" s="162"/>
      <c r="C109" s="162"/>
      <c r="D109" s="161" t="s">
        <v>177</v>
      </c>
      <c r="E109" s="162"/>
      <c r="F109" s="162"/>
      <c r="G109" s="162"/>
      <c r="H109" s="162"/>
      <c r="I109" s="163" t="s">
        <v>27</v>
      </c>
      <c r="J109" s="163"/>
      <c r="K109" s="163" t="s">
        <v>322</v>
      </c>
      <c r="L109" s="162" t="s">
        <v>65</v>
      </c>
      <c r="M109" s="164"/>
      <c r="N109" s="164"/>
      <c r="O109" s="164"/>
      <c r="P109" s="162"/>
      <c r="Q109" s="162"/>
      <c r="R109" s="162"/>
    </row>
    <row r="110" spans="1:18" s="29" customFormat="1" outlineLevel="1">
      <c r="A110" s="217"/>
      <c r="B110" s="162"/>
      <c r="C110" s="162"/>
      <c r="D110" s="161" t="s">
        <v>178</v>
      </c>
      <c r="E110" s="162"/>
      <c r="F110" s="162"/>
      <c r="G110" s="162"/>
      <c r="H110" s="162"/>
      <c r="I110" s="163" t="s">
        <v>89</v>
      </c>
      <c r="J110" s="163"/>
      <c r="K110" s="163" t="s">
        <v>322</v>
      </c>
      <c r="L110" s="162" t="s">
        <v>179</v>
      </c>
      <c r="M110" s="164"/>
      <c r="N110" s="164"/>
      <c r="O110" s="164"/>
      <c r="P110" s="162"/>
      <c r="Q110" s="162"/>
      <c r="R110" s="162"/>
    </row>
    <row r="111" spans="1:18" s="29" customFormat="1" ht="27">
      <c r="A111" s="217" t="s">
        <v>83</v>
      </c>
      <c r="B111" s="162"/>
      <c r="C111" s="162"/>
      <c r="D111" s="169" t="s">
        <v>180</v>
      </c>
      <c r="E111" s="162"/>
      <c r="F111" s="162" t="s">
        <v>320</v>
      </c>
      <c r="G111" s="162"/>
      <c r="H111" s="162"/>
      <c r="I111" s="163" t="s">
        <v>89</v>
      </c>
      <c r="J111" s="163"/>
      <c r="K111" s="163" t="s">
        <v>322</v>
      </c>
      <c r="L111" s="162" t="s">
        <v>72</v>
      </c>
      <c r="M111" s="164"/>
      <c r="N111" s="164"/>
      <c r="O111" s="164"/>
      <c r="P111" s="162"/>
      <c r="Q111" s="171">
        <v>1</v>
      </c>
      <c r="R111" s="162"/>
    </row>
    <row r="112" spans="1:18" s="29" customFormat="1">
      <c r="A112" s="217" t="s">
        <v>83</v>
      </c>
      <c r="B112" s="162"/>
      <c r="C112" s="162"/>
      <c r="D112" s="168" t="s">
        <v>181</v>
      </c>
      <c r="E112" s="162"/>
      <c r="F112" s="162"/>
      <c r="G112" s="162"/>
      <c r="H112" s="162"/>
      <c r="I112" s="162"/>
      <c r="J112" s="162"/>
      <c r="K112" s="162"/>
      <c r="L112" s="162"/>
      <c r="M112" s="164"/>
      <c r="N112" s="164"/>
      <c r="O112" s="164"/>
      <c r="P112" s="162"/>
      <c r="Q112" s="162"/>
      <c r="R112" s="162"/>
    </row>
    <row r="113" spans="1:18" s="30" customFormat="1" outlineLevel="1">
      <c r="A113" s="221"/>
      <c r="B113" s="162"/>
      <c r="C113" s="162"/>
      <c r="D113" s="169" t="s">
        <v>182</v>
      </c>
      <c r="E113" s="162"/>
      <c r="F113" s="162"/>
      <c r="G113" s="162"/>
      <c r="H113" s="162"/>
      <c r="I113" s="163" t="s">
        <v>89</v>
      </c>
      <c r="J113" s="163"/>
      <c r="K113" s="163" t="s">
        <v>322</v>
      </c>
      <c r="L113" s="162" t="s">
        <v>65</v>
      </c>
      <c r="M113" s="164"/>
      <c r="N113" s="164"/>
      <c r="O113" s="164"/>
      <c r="P113" s="162"/>
      <c r="Q113" s="162"/>
      <c r="R113" s="162"/>
    </row>
    <row r="114" spans="1:18" outlineLevel="1">
      <c r="A114" s="220"/>
      <c r="B114" s="162"/>
      <c r="C114" s="162"/>
      <c r="D114" s="161" t="s">
        <v>183</v>
      </c>
      <c r="E114" s="162"/>
      <c r="F114" s="162"/>
      <c r="G114" s="162"/>
      <c r="H114" s="162"/>
      <c r="I114" s="163" t="s">
        <v>89</v>
      </c>
      <c r="J114" s="162"/>
      <c r="K114" s="163" t="s">
        <v>322</v>
      </c>
      <c r="L114" s="162" t="s">
        <v>77</v>
      </c>
      <c r="M114" s="164"/>
      <c r="N114" s="164"/>
      <c r="O114" s="164"/>
      <c r="P114" s="162"/>
      <c r="Q114" s="162"/>
      <c r="R114" s="162"/>
    </row>
    <row r="115" spans="1:18" outlineLevel="1">
      <c r="A115" s="220"/>
      <c r="B115" s="162"/>
      <c r="C115" s="162"/>
      <c r="D115" s="161" t="s">
        <v>184</v>
      </c>
      <c r="E115" s="162"/>
      <c r="F115" s="162"/>
      <c r="G115" s="162"/>
      <c r="H115" s="162"/>
      <c r="I115" s="163" t="s">
        <v>89</v>
      </c>
      <c r="J115" s="163"/>
      <c r="K115" s="163" t="s">
        <v>322</v>
      </c>
      <c r="L115" s="162" t="s">
        <v>65</v>
      </c>
      <c r="M115" s="164"/>
      <c r="N115" s="164"/>
      <c r="O115" s="164"/>
      <c r="P115" s="162"/>
      <c r="Q115" s="162"/>
      <c r="R115" s="162"/>
    </row>
    <row r="116" spans="1:18" outlineLevel="1">
      <c r="A116" s="220"/>
      <c r="B116" s="162"/>
      <c r="C116" s="162"/>
      <c r="D116" s="161" t="s">
        <v>185</v>
      </c>
      <c r="E116" s="162"/>
      <c r="F116" s="162"/>
      <c r="G116" s="162"/>
      <c r="H116" s="162"/>
      <c r="I116" s="163" t="s">
        <v>89</v>
      </c>
      <c r="J116" s="163"/>
      <c r="K116" s="163" t="s">
        <v>322</v>
      </c>
      <c r="L116" s="162" t="s">
        <v>65</v>
      </c>
      <c r="M116" s="164"/>
      <c r="N116" s="164"/>
      <c r="O116" s="164"/>
      <c r="P116" s="162"/>
      <c r="Q116" s="162"/>
      <c r="R116" s="162"/>
    </row>
    <row r="117" spans="1:18" s="29" customFormat="1" outlineLevel="1">
      <c r="A117" s="218"/>
      <c r="B117" s="162"/>
      <c r="C117" s="162"/>
      <c r="D117" s="161" t="s">
        <v>186</v>
      </c>
      <c r="E117" s="162"/>
      <c r="F117" s="162"/>
      <c r="G117" s="162"/>
      <c r="H117" s="162"/>
      <c r="I117" s="162"/>
      <c r="J117" s="162"/>
      <c r="K117" s="163" t="s">
        <v>322</v>
      </c>
      <c r="L117" s="162" t="s">
        <v>65</v>
      </c>
      <c r="M117" s="164"/>
      <c r="N117" s="164"/>
      <c r="O117" s="164"/>
      <c r="P117" s="162"/>
      <c r="Q117" s="162"/>
      <c r="R117" s="162"/>
    </row>
    <row r="118" spans="1:18" s="29" customFormat="1" outlineLevel="1">
      <c r="A118" s="218"/>
      <c r="B118" s="162"/>
      <c r="C118" s="162"/>
      <c r="D118" s="161" t="s">
        <v>187</v>
      </c>
      <c r="E118" s="162"/>
      <c r="F118" s="162"/>
      <c r="G118" s="162"/>
      <c r="H118" s="162"/>
      <c r="I118" s="162"/>
      <c r="J118" s="162"/>
      <c r="K118" s="163" t="s">
        <v>322</v>
      </c>
      <c r="L118" s="162" t="s">
        <v>65</v>
      </c>
      <c r="M118" s="164"/>
      <c r="N118" s="164"/>
      <c r="O118" s="164"/>
      <c r="P118" s="162"/>
      <c r="Q118" s="162"/>
      <c r="R118" s="162"/>
    </row>
    <row r="119" spans="1:18" s="29" customFormat="1" ht="40.5" outlineLevel="1">
      <c r="A119" s="218"/>
      <c r="B119" s="162"/>
      <c r="C119" s="162"/>
      <c r="D119" s="161" t="s">
        <v>2533</v>
      </c>
      <c r="E119" s="162"/>
      <c r="F119" s="162" t="s">
        <v>2496</v>
      </c>
      <c r="G119" s="162"/>
      <c r="H119" s="162"/>
      <c r="I119" s="162"/>
      <c r="J119" s="162"/>
      <c r="K119" s="163" t="s">
        <v>322</v>
      </c>
      <c r="L119" s="162" t="s">
        <v>189</v>
      </c>
      <c r="M119" s="164"/>
      <c r="N119" s="164"/>
      <c r="O119" s="164"/>
      <c r="P119" s="162"/>
      <c r="Q119" s="171">
        <v>1</v>
      </c>
      <c r="R119" s="162"/>
    </row>
    <row r="120" spans="1:18" s="29" customFormat="1">
      <c r="A120" s="217" t="s">
        <v>83</v>
      </c>
      <c r="B120" s="162"/>
      <c r="C120" s="162"/>
      <c r="D120" s="161" t="s">
        <v>190</v>
      </c>
      <c r="E120" s="162"/>
      <c r="F120" s="162"/>
      <c r="G120" s="162"/>
      <c r="H120" s="162"/>
      <c r="I120" s="163" t="s">
        <v>27</v>
      </c>
      <c r="J120" s="163"/>
      <c r="K120" s="163" t="s">
        <v>322</v>
      </c>
      <c r="L120" s="162" t="s">
        <v>65</v>
      </c>
      <c r="M120" s="164"/>
      <c r="N120" s="164"/>
      <c r="O120" s="164"/>
      <c r="P120" s="162"/>
      <c r="Q120" s="162"/>
      <c r="R120" s="162"/>
    </row>
    <row r="121" spans="1:18" s="29" customFormat="1">
      <c r="A121" s="217" t="s">
        <v>83</v>
      </c>
      <c r="B121" s="162"/>
      <c r="C121" s="162"/>
      <c r="D121" s="161" t="s">
        <v>191</v>
      </c>
      <c r="E121" s="162"/>
      <c r="F121" s="162" t="s">
        <v>337</v>
      </c>
      <c r="G121" s="162"/>
      <c r="H121" s="162"/>
      <c r="I121" s="163" t="s">
        <v>27</v>
      </c>
      <c r="J121" s="163"/>
      <c r="K121" s="163" t="s">
        <v>322</v>
      </c>
      <c r="L121" s="162" t="s">
        <v>70</v>
      </c>
      <c r="M121" s="164"/>
      <c r="N121" s="164"/>
      <c r="O121" s="164"/>
      <c r="P121" s="162"/>
      <c r="Q121" s="171"/>
      <c r="R121" s="162"/>
    </row>
    <row r="122" spans="1:18" s="29" customFormat="1" outlineLevel="1">
      <c r="A122" s="217"/>
      <c r="B122" s="162"/>
      <c r="C122" s="162"/>
      <c r="D122" s="161" t="s">
        <v>192</v>
      </c>
      <c r="E122" s="162"/>
      <c r="F122" s="162"/>
      <c r="G122" s="162"/>
      <c r="H122" s="162"/>
      <c r="I122" s="163"/>
      <c r="J122" s="163"/>
      <c r="K122" s="163"/>
      <c r="L122" s="162"/>
      <c r="M122" s="164"/>
      <c r="N122" s="164"/>
      <c r="O122" s="164"/>
      <c r="P122" s="162"/>
      <c r="Q122" s="162"/>
      <c r="R122" s="162"/>
    </row>
    <row r="123" spans="1:18" s="29" customFormat="1" ht="27">
      <c r="A123" s="217" t="s">
        <v>83</v>
      </c>
      <c r="B123" s="162"/>
      <c r="C123" s="162"/>
      <c r="D123" s="161" t="s">
        <v>193</v>
      </c>
      <c r="E123" s="162"/>
      <c r="F123" s="162" t="s">
        <v>320</v>
      </c>
      <c r="G123" s="162"/>
      <c r="H123" s="162"/>
      <c r="I123" s="163" t="s">
        <v>89</v>
      </c>
      <c r="J123" s="163"/>
      <c r="K123" s="163" t="s">
        <v>322</v>
      </c>
      <c r="L123" s="162" t="s">
        <v>161</v>
      </c>
      <c r="M123" s="164"/>
      <c r="N123" s="164"/>
      <c r="O123" s="164"/>
      <c r="P123" s="162"/>
      <c r="Q123" s="162"/>
      <c r="R123" s="161"/>
    </row>
    <row r="124" spans="1:18" ht="40.5">
      <c r="A124" s="217" t="s">
        <v>83</v>
      </c>
      <c r="B124" s="162"/>
      <c r="C124" s="162"/>
      <c r="D124" s="161" t="s">
        <v>194</v>
      </c>
      <c r="E124" s="162"/>
      <c r="F124" s="162" t="s">
        <v>337</v>
      </c>
      <c r="G124" s="162"/>
      <c r="H124" s="162"/>
      <c r="I124" s="162" t="s">
        <v>89</v>
      </c>
      <c r="J124" s="162"/>
      <c r="K124" s="163" t="s">
        <v>322</v>
      </c>
      <c r="L124" s="162" t="s">
        <v>195</v>
      </c>
      <c r="M124" s="164"/>
      <c r="N124" s="164"/>
      <c r="O124" s="164"/>
      <c r="P124" s="162"/>
      <c r="Q124" s="162"/>
      <c r="R124" s="161"/>
    </row>
    <row r="125" spans="1:18" ht="40.5">
      <c r="A125" s="217" t="s">
        <v>83</v>
      </c>
      <c r="B125" s="162"/>
      <c r="C125" s="162"/>
      <c r="D125" s="161" t="s">
        <v>196</v>
      </c>
      <c r="E125" s="162"/>
      <c r="F125" s="162" t="s">
        <v>329</v>
      </c>
      <c r="G125" s="162"/>
      <c r="H125" s="162"/>
      <c r="I125" s="162" t="s">
        <v>89</v>
      </c>
      <c r="J125" s="162"/>
      <c r="K125" s="163" t="s">
        <v>322</v>
      </c>
      <c r="L125" s="162" t="s">
        <v>195</v>
      </c>
      <c r="M125" s="164"/>
      <c r="N125" s="164"/>
      <c r="O125" s="164"/>
      <c r="P125" s="162"/>
      <c r="Q125" s="162"/>
      <c r="R125" s="161"/>
    </row>
    <row r="126" spans="1:18">
      <c r="A126" s="217" t="s">
        <v>83</v>
      </c>
      <c r="B126" s="162"/>
      <c r="C126" s="162"/>
      <c r="D126" s="161" t="s">
        <v>197</v>
      </c>
      <c r="E126" s="162"/>
      <c r="F126" s="162"/>
      <c r="G126" s="162"/>
      <c r="H126" s="162"/>
      <c r="I126" s="162" t="s">
        <v>134</v>
      </c>
      <c r="J126" s="162"/>
      <c r="K126" s="163" t="s">
        <v>322</v>
      </c>
      <c r="L126" s="162" t="s">
        <v>23</v>
      </c>
      <c r="M126" s="164"/>
      <c r="N126" s="164"/>
      <c r="O126" s="164"/>
      <c r="P126" s="162"/>
      <c r="Q126" s="162"/>
      <c r="R126" s="162"/>
    </row>
    <row r="127" spans="1:18">
      <c r="A127" s="217" t="s">
        <v>83</v>
      </c>
      <c r="B127" s="162"/>
      <c r="C127" s="162"/>
      <c r="D127" s="161" t="s">
        <v>198</v>
      </c>
      <c r="E127" s="162"/>
      <c r="F127" s="162"/>
      <c r="G127" s="162"/>
      <c r="H127" s="162"/>
      <c r="I127" s="162" t="s">
        <v>89</v>
      </c>
      <c r="J127" s="162"/>
      <c r="K127" s="162" t="s">
        <v>322</v>
      </c>
      <c r="L127" s="162" t="s">
        <v>32</v>
      </c>
      <c r="M127" s="164"/>
      <c r="N127" s="164"/>
      <c r="O127" s="164"/>
      <c r="P127" s="162"/>
      <c r="Q127" s="162"/>
      <c r="R127" s="161"/>
    </row>
    <row r="128" spans="1:18">
      <c r="A128" s="217" t="s">
        <v>83</v>
      </c>
      <c r="B128" s="162"/>
      <c r="C128" s="162"/>
      <c r="D128" s="161" t="s">
        <v>199</v>
      </c>
      <c r="E128" s="162"/>
      <c r="F128" s="162" t="s">
        <v>2496</v>
      </c>
      <c r="G128" s="162"/>
      <c r="H128" s="162"/>
      <c r="I128" s="162" t="s">
        <v>89</v>
      </c>
      <c r="J128" s="162"/>
      <c r="K128" s="162" t="s">
        <v>322</v>
      </c>
      <c r="L128" s="162" t="s">
        <v>70</v>
      </c>
      <c r="M128" s="164"/>
      <c r="N128" s="164"/>
      <c r="O128" s="164"/>
      <c r="P128" s="162"/>
      <c r="Q128" s="171">
        <v>1</v>
      </c>
      <c r="R128" s="162"/>
    </row>
    <row r="129" spans="1:18" ht="27">
      <c r="A129" s="217" t="s">
        <v>83</v>
      </c>
      <c r="B129" s="162"/>
      <c r="C129" s="162"/>
      <c r="D129" s="169" t="s">
        <v>200</v>
      </c>
      <c r="E129" s="162"/>
      <c r="F129" s="162" t="s">
        <v>2496</v>
      </c>
      <c r="G129" s="162"/>
      <c r="H129" s="162"/>
      <c r="I129" s="162" t="s">
        <v>134</v>
      </c>
      <c r="J129" s="162"/>
      <c r="K129" s="162" t="s">
        <v>322</v>
      </c>
      <c r="L129" s="162" t="s">
        <v>201</v>
      </c>
      <c r="M129" s="164"/>
      <c r="N129" s="164"/>
      <c r="O129" s="164"/>
      <c r="P129" s="162"/>
      <c r="Q129" s="171">
        <v>1</v>
      </c>
      <c r="R129" s="162"/>
    </row>
    <row r="130" spans="1:18">
      <c r="A130" s="217" t="s">
        <v>83</v>
      </c>
      <c r="B130" s="162"/>
      <c r="C130" s="162"/>
      <c r="D130" s="169" t="s">
        <v>202</v>
      </c>
      <c r="E130" s="162"/>
      <c r="F130" s="162"/>
      <c r="G130" s="162"/>
      <c r="H130" s="162"/>
      <c r="I130" s="163" t="s">
        <v>27</v>
      </c>
      <c r="J130" s="163"/>
      <c r="K130" s="163" t="s">
        <v>322</v>
      </c>
      <c r="L130" s="162" t="s">
        <v>32</v>
      </c>
      <c r="M130" s="164"/>
      <c r="N130" s="164"/>
      <c r="O130" s="164"/>
      <c r="P130" s="162"/>
      <c r="Q130" s="162"/>
      <c r="R130" s="161"/>
    </row>
    <row r="131" spans="1:18">
      <c r="A131" s="217" t="s">
        <v>83</v>
      </c>
      <c r="B131" s="162"/>
      <c r="C131" s="162"/>
      <c r="D131" s="169" t="s">
        <v>203</v>
      </c>
      <c r="E131" s="162"/>
      <c r="F131" s="162"/>
      <c r="G131" s="162"/>
      <c r="H131" s="162"/>
      <c r="I131" s="163" t="s">
        <v>134</v>
      </c>
      <c r="J131" s="163"/>
      <c r="K131" s="163" t="s">
        <v>322</v>
      </c>
      <c r="L131" s="162" t="s">
        <v>32</v>
      </c>
      <c r="M131" s="164"/>
      <c r="N131" s="164"/>
      <c r="O131" s="164"/>
      <c r="P131" s="162"/>
      <c r="Q131" s="162"/>
      <c r="R131" s="161"/>
    </row>
    <row r="132" spans="1:18">
      <c r="A132" s="223"/>
      <c r="B132" s="162"/>
      <c r="C132" s="162"/>
      <c r="D132" s="169" t="s">
        <v>204</v>
      </c>
      <c r="E132" s="162"/>
      <c r="F132" s="162"/>
      <c r="G132" s="162"/>
      <c r="H132" s="162"/>
      <c r="I132" s="162"/>
      <c r="J132" s="162"/>
      <c r="K132" s="162"/>
      <c r="L132" s="162"/>
      <c r="M132" s="164"/>
      <c r="N132" s="164"/>
      <c r="O132" s="164"/>
      <c r="P132" s="162"/>
      <c r="Q132" s="162"/>
      <c r="R132" s="162"/>
    </row>
    <row r="133" spans="1:18">
      <c r="A133" s="217" t="s">
        <v>83</v>
      </c>
      <c r="B133" s="162"/>
      <c r="C133" s="162"/>
      <c r="D133" s="169" t="s">
        <v>205</v>
      </c>
      <c r="E133" s="162"/>
      <c r="F133" s="162" t="s">
        <v>2496</v>
      </c>
      <c r="G133" s="162"/>
      <c r="H133" s="162"/>
      <c r="I133" s="163" t="s">
        <v>27</v>
      </c>
      <c r="J133" s="163"/>
      <c r="K133" s="163" t="s">
        <v>322</v>
      </c>
      <c r="L133" s="162" t="s">
        <v>70</v>
      </c>
      <c r="M133" s="164"/>
      <c r="N133" s="164"/>
      <c r="O133" s="164"/>
      <c r="P133" s="162"/>
      <c r="Q133" s="171">
        <v>1</v>
      </c>
      <c r="R133" s="162"/>
    </row>
    <row r="134" spans="1:18">
      <c r="A134" s="223"/>
      <c r="B134" s="162"/>
      <c r="C134" s="162"/>
      <c r="D134" s="161" t="s">
        <v>206</v>
      </c>
      <c r="E134" s="162"/>
      <c r="F134" s="162"/>
      <c r="G134" s="162"/>
      <c r="H134" s="162"/>
      <c r="I134" s="162" t="s">
        <v>89</v>
      </c>
      <c r="J134" s="162"/>
      <c r="K134" s="163" t="s">
        <v>322</v>
      </c>
      <c r="L134" s="162" t="s">
        <v>37</v>
      </c>
      <c r="M134" s="164"/>
      <c r="N134" s="164"/>
      <c r="O134" s="164"/>
      <c r="P134" s="162"/>
      <c r="Q134" s="162"/>
      <c r="R134" s="162"/>
    </row>
    <row r="135" spans="1:18">
      <c r="A135" s="223"/>
      <c r="B135" s="162"/>
      <c r="C135" s="162"/>
      <c r="D135" s="161" t="s">
        <v>207</v>
      </c>
      <c r="E135" s="162"/>
      <c r="F135" s="162"/>
      <c r="G135" s="162"/>
      <c r="H135" s="162"/>
      <c r="I135" s="162"/>
      <c r="J135" s="162"/>
      <c r="K135" s="162"/>
      <c r="L135" s="162"/>
      <c r="M135" s="164"/>
      <c r="N135" s="164"/>
      <c r="O135" s="164"/>
      <c r="P135" s="162"/>
      <c r="Q135" s="162"/>
      <c r="R135" s="162"/>
    </row>
    <row r="136" spans="1:18">
      <c r="A136" s="223"/>
      <c r="B136" s="162"/>
      <c r="C136" s="162"/>
      <c r="D136" s="161" t="s">
        <v>208</v>
      </c>
      <c r="E136" s="162"/>
      <c r="F136" s="162"/>
      <c r="G136" s="162"/>
      <c r="H136" s="162"/>
      <c r="I136" s="162"/>
      <c r="J136" s="162"/>
      <c r="K136" s="162"/>
      <c r="L136" s="162"/>
      <c r="M136" s="164"/>
      <c r="N136" s="164"/>
      <c r="O136" s="164"/>
      <c r="P136" s="162"/>
      <c r="Q136" s="162"/>
      <c r="R136" s="162"/>
    </row>
    <row r="137" spans="1:18">
      <c r="A137" s="223"/>
      <c r="B137" s="162"/>
      <c r="C137" s="162"/>
      <c r="D137" s="161" t="s">
        <v>209</v>
      </c>
      <c r="E137" s="162"/>
      <c r="F137" s="162"/>
      <c r="G137" s="162"/>
      <c r="H137" s="162"/>
      <c r="I137" s="162"/>
      <c r="J137" s="162"/>
      <c r="K137" s="162"/>
      <c r="L137" s="162"/>
      <c r="M137" s="164"/>
      <c r="N137" s="164"/>
      <c r="O137" s="164"/>
      <c r="P137" s="162"/>
      <c r="Q137" s="162"/>
      <c r="R137" s="162"/>
    </row>
    <row r="138" spans="1:18" ht="27">
      <c r="A138" s="223"/>
      <c r="B138" s="162"/>
      <c r="C138" s="162"/>
      <c r="D138" s="161" t="s">
        <v>210</v>
      </c>
      <c r="E138" s="162"/>
      <c r="F138" s="162"/>
      <c r="G138" s="162"/>
      <c r="H138" s="162"/>
      <c r="I138" s="162"/>
      <c r="J138" s="162"/>
      <c r="K138" s="162"/>
      <c r="L138" s="162"/>
      <c r="M138" s="164"/>
      <c r="N138" s="164"/>
      <c r="O138" s="164"/>
      <c r="P138" s="162"/>
      <c r="Q138" s="162"/>
      <c r="R138" s="162"/>
    </row>
    <row r="139" spans="1:18">
      <c r="A139" s="223"/>
      <c r="B139" s="162"/>
      <c r="C139" s="162"/>
      <c r="D139" s="161" t="s">
        <v>211</v>
      </c>
      <c r="E139" s="162"/>
      <c r="F139" s="162"/>
      <c r="G139" s="162"/>
      <c r="H139" s="162"/>
      <c r="I139" s="162"/>
      <c r="J139" s="162"/>
      <c r="K139" s="162"/>
      <c r="L139" s="162"/>
      <c r="M139" s="164"/>
      <c r="N139" s="164"/>
      <c r="O139" s="164"/>
      <c r="P139" s="162"/>
      <c r="Q139" s="162"/>
      <c r="R139" s="162"/>
    </row>
    <row r="140" spans="1:18">
      <c r="A140" s="223"/>
      <c r="B140" s="162"/>
      <c r="C140" s="162"/>
      <c r="D140" s="161" t="s">
        <v>212</v>
      </c>
      <c r="E140" s="162"/>
      <c r="F140" s="162"/>
      <c r="G140" s="162"/>
      <c r="H140" s="162"/>
      <c r="I140" s="162"/>
      <c r="J140" s="162"/>
      <c r="K140" s="162"/>
      <c r="L140" s="162"/>
      <c r="M140" s="164"/>
      <c r="N140" s="164"/>
      <c r="O140" s="164"/>
      <c r="P140" s="162"/>
      <c r="Q140" s="162"/>
      <c r="R140" s="162"/>
    </row>
    <row r="141" spans="1:18">
      <c r="A141" s="223"/>
      <c r="B141" s="162"/>
      <c r="C141" s="162"/>
      <c r="D141" s="161" t="s">
        <v>213</v>
      </c>
      <c r="E141" s="162"/>
      <c r="F141" s="162"/>
      <c r="G141" s="162"/>
      <c r="H141" s="162"/>
      <c r="I141" s="162"/>
      <c r="J141" s="162"/>
      <c r="K141" s="162"/>
      <c r="L141" s="162"/>
      <c r="M141" s="164"/>
      <c r="N141" s="164"/>
      <c r="O141" s="164"/>
      <c r="P141" s="162"/>
      <c r="Q141" s="162"/>
      <c r="R141" s="162"/>
    </row>
    <row r="142" spans="1:18">
      <c r="A142" s="223"/>
      <c r="B142" s="162"/>
      <c r="C142" s="162"/>
      <c r="D142" s="161" t="s">
        <v>214</v>
      </c>
      <c r="E142" s="162"/>
      <c r="F142" s="162"/>
      <c r="G142" s="162"/>
      <c r="H142" s="162"/>
      <c r="I142" s="162"/>
      <c r="J142" s="162"/>
      <c r="K142" s="162"/>
      <c r="L142" s="162"/>
      <c r="M142" s="164"/>
      <c r="N142" s="164"/>
      <c r="O142" s="164"/>
      <c r="P142" s="162"/>
      <c r="Q142" s="162"/>
      <c r="R142" s="162"/>
    </row>
    <row r="143" spans="1:18" ht="27">
      <c r="A143" s="223"/>
      <c r="B143" s="162"/>
      <c r="C143" s="162"/>
      <c r="D143" s="161" t="s">
        <v>215</v>
      </c>
      <c r="E143" s="162"/>
      <c r="F143" s="162"/>
      <c r="G143" s="162"/>
      <c r="H143" s="162"/>
      <c r="I143" s="162"/>
      <c r="J143" s="162"/>
      <c r="K143" s="162"/>
      <c r="L143" s="162"/>
      <c r="M143" s="164"/>
      <c r="N143" s="164"/>
      <c r="O143" s="164"/>
      <c r="P143" s="162"/>
      <c r="Q143" s="162"/>
      <c r="R143" s="162"/>
    </row>
    <row r="144" spans="1:18">
      <c r="A144" s="223"/>
      <c r="B144" s="162"/>
      <c r="C144" s="162"/>
      <c r="D144" s="161" t="s">
        <v>216</v>
      </c>
      <c r="E144" s="162"/>
      <c r="F144" s="162"/>
      <c r="G144" s="162"/>
      <c r="H144" s="162"/>
      <c r="I144" s="162"/>
      <c r="J144" s="162"/>
      <c r="K144" s="162"/>
      <c r="L144" s="162"/>
      <c r="M144" s="164"/>
      <c r="N144" s="164"/>
      <c r="O144" s="164"/>
      <c r="P144" s="162"/>
      <c r="Q144" s="162"/>
      <c r="R144" s="162"/>
    </row>
    <row r="145" spans="1:18">
      <c r="A145" s="223"/>
      <c r="B145" s="162"/>
      <c r="C145" s="162"/>
      <c r="D145" s="161" t="s">
        <v>217</v>
      </c>
      <c r="E145" s="162"/>
      <c r="F145" s="162"/>
      <c r="G145" s="162"/>
      <c r="H145" s="162"/>
      <c r="I145" s="162"/>
      <c r="J145" s="162"/>
      <c r="K145" s="162"/>
      <c r="L145" s="162"/>
      <c r="M145" s="164"/>
      <c r="N145" s="164"/>
      <c r="O145" s="164"/>
      <c r="P145" s="162"/>
      <c r="Q145" s="162"/>
      <c r="R145" s="162"/>
    </row>
    <row r="146" spans="1:18" ht="27">
      <c r="A146" s="223"/>
      <c r="B146" s="162"/>
      <c r="C146" s="162"/>
      <c r="D146" s="161" t="s">
        <v>218</v>
      </c>
      <c r="E146" s="162"/>
      <c r="F146" s="162"/>
      <c r="G146" s="162"/>
      <c r="H146" s="162"/>
      <c r="I146" s="162"/>
      <c r="J146" s="162"/>
      <c r="K146" s="162"/>
      <c r="L146" s="162"/>
      <c r="M146" s="164"/>
      <c r="N146" s="164"/>
      <c r="O146" s="164"/>
      <c r="P146" s="162"/>
      <c r="Q146" s="162"/>
      <c r="R146" s="162"/>
    </row>
    <row r="147" spans="1:18">
      <c r="A147" s="223"/>
      <c r="B147" s="162"/>
      <c r="C147" s="162"/>
      <c r="D147" s="161" t="s">
        <v>219</v>
      </c>
      <c r="E147" s="162"/>
      <c r="F147" s="162"/>
      <c r="G147" s="162"/>
      <c r="H147" s="162"/>
      <c r="I147" s="162"/>
      <c r="J147" s="162"/>
      <c r="K147" s="162"/>
      <c r="L147" s="162"/>
      <c r="M147" s="164"/>
      <c r="N147" s="164"/>
      <c r="O147" s="164"/>
      <c r="P147" s="162"/>
      <c r="Q147" s="162"/>
      <c r="R147" s="162"/>
    </row>
    <row r="148" spans="1:18">
      <c r="A148" s="223"/>
      <c r="B148" s="162"/>
      <c r="C148" s="162"/>
      <c r="D148" s="161" t="s">
        <v>220</v>
      </c>
      <c r="E148" s="162"/>
      <c r="F148" s="162"/>
      <c r="G148" s="162"/>
      <c r="H148" s="162"/>
      <c r="I148" s="162"/>
      <c r="J148" s="162"/>
      <c r="K148" s="162"/>
      <c r="L148" s="162"/>
      <c r="M148" s="164"/>
      <c r="N148" s="164"/>
      <c r="O148" s="164"/>
      <c r="P148" s="162"/>
      <c r="Q148" s="162"/>
      <c r="R148" s="162"/>
    </row>
    <row r="149" spans="1:18">
      <c r="A149" s="217" t="s">
        <v>83</v>
      </c>
      <c r="B149" s="162"/>
      <c r="C149" s="162"/>
      <c r="D149" s="161" t="s">
        <v>2534</v>
      </c>
      <c r="E149" s="162"/>
      <c r="F149" s="162" t="s">
        <v>2496</v>
      </c>
      <c r="G149" s="162"/>
      <c r="H149" s="162"/>
      <c r="I149" s="162"/>
      <c r="J149" s="162"/>
      <c r="K149" s="162"/>
      <c r="L149" s="162"/>
      <c r="M149" s="164"/>
      <c r="N149" s="164"/>
      <c r="O149" s="164"/>
      <c r="P149" s="162"/>
      <c r="Q149" s="162"/>
      <c r="R149" s="162"/>
    </row>
    <row r="150" spans="1:18">
      <c r="A150" s="217" t="s">
        <v>83</v>
      </c>
      <c r="B150" s="162"/>
      <c r="C150" s="162"/>
      <c r="D150" s="161" t="s">
        <v>2535</v>
      </c>
      <c r="E150" s="162"/>
      <c r="F150" s="162"/>
      <c r="G150" s="162"/>
      <c r="H150" s="162"/>
      <c r="I150" s="162"/>
      <c r="J150" s="162"/>
      <c r="K150" s="162"/>
      <c r="L150" s="162"/>
      <c r="M150" s="164"/>
      <c r="N150" s="164"/>
      <c r="O150" s="164"/>
      <c r="P150" s="162"/>
      <c r="Q150" s="162"/>
      <c r="R150" s="162"/>
    </row>
    <row r="151" spans="1:18">
      <c r="A151" s="217" t="s">
        <v>83</v>
      </c>
      <c r="B151" s="162"/>
      <c r="C151" s="162"/>
      <c r="D151" s="161" t="s">
        <v>2536</v>
      </c>
      <c r="E151" s="162"/>
      <c r="F151" s="162"/>
      <c r="G151" s="162"/>
      <c r="H151" s="162"/>
      <c r="I151" s="162"/>
      <c r="J151" s="162"/>
      <c r="K151" s="162"/>
      <c r="L151" s="162"/>
      <c r="M151" s="164"/>
      <c r="N151" s="164"/>
      <c r="O151" s="164"/>
      <c r="P151" s="162"/>
      <c r="Q151" s="162"/>
      <c r="R151" s="162"/>
    </row>
    <row r="152" spans="1:18">
      <c r="A152" s="217" t="s">
        <v>83</v>
      </c>
      <c r="B152" s="162"/>
      <c r="C152" s="162"/>
      <c r="D152" s="161" t="s">
        <v>2537</v>
      </c>
      <c r="E152" s="162"/>
      <c r="F152" s="162"/>
      <c r="G152" s="162"/>
      <c r="H152" s="162"/>
      <c r="I152" s="162"/>
      <c r="J152" s="162"/>
      <c r="K152" s="162"/>
      <c r="L152" s="162"/>
      <c r="M152" s="164"/>
      <c r="N152" s="164"/>
      <c r="O152" s="164"/>
      <c r="P152" s="162"/>
      <c r="Q152" s="162"/>
      <c r="R152" s="162"/>
    </row>
    <row r="153" spans="1:18">
      <c r="A153" s="217" t="s">
        <v>83</v>
      </c>
      <c r="B153" s="172"/>
      <c r="C153" s="172"/>
      <c r="D153" s="178" t="s">
        <v>2538</v>
      </c>
      <c r="E153" s="172"/>
      <c r="F153" s="172"/>
      <c r="G153" s="172"/>
      <c r="H153" s="172"/>
      <c r="I153" s="172"/>
      <c r="J153" s="172"/>
      <c r="K153" s="172"/>
      <c r="L153" s="172"/>
      <c r="M153" s="179"/>
      <c r="N153" s="179"/>
      <c r="O153" s="179"/>
      <c r="P153" s="172"/>
      <c r="Q153" s="172"/>
      <c r="R153" s="172"/>
    </row>
    <row r="154" spans="1:18">
      <c r="B154" s="28"/>
    </row>
    <row r="155" spans="1:18">
      <c r="B155" s="28"/>
    </row>
  </sheetData>
  <autoFilter ref="A1:R155" xr:uid="{9CC3739B-32C0-4338-9257-6C8EB1340AED}"/>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05d40e-58be-4733-b8a8-ff709344ae8a" xsi:nil="true"/>
    <lcf76f155ced4ddcb4097134ff3c332f xmlns="9d7f0a9f-c604-40aa-a606-a5a5a8ebff5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743167F3CC75498FA39E604F7D83C7" ma:contentTypeVersion="15" ma:contentTypeDescription="Crear nuevo documento." ma:contentTypeScope="" ma:versionID="8f14f88fed96e8b059fc2fd43ed9cc0c">
  <xsd:schema xmlns:xsd="http://www.w3.org/2001/XMLSchema" xmlns:xs="http://www.w3.org/2001/XMLSchema" xmlns:p="http://schemas.microsoft.com/office/2006/metadata/properties" xmlns:ns2="9d7f0a9f-c604-40aa-a606-a5a5a8ebff5a" xmlns:ns3="b505d40e-58be-4733-b8a8-ff709344ae8a" targetNamespace="http://schemas.microsoft.com/office/2006/metadata/properties" ma:root="true" ma:fieldsID="163d2b3ebf7362fb345ab20b69bf5dba" ns2:_="" ns3:_="">
    <xsd:import namespace="9d7f0a9f-c604-40aa-a606-a5a5a8ebff5a"/>
    <xsd:import namespace="b505d40e-58be-4733-b8a8-ff709344ae8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f0a9f-c604-40aa-a606-a5a5a8ebff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05d40e-58be-4733-b8a8-ff709344ae8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e4a77e16-acb5-44be-8302-0ee99f7e47f7}" ma:internalName="TaxCatchAll" ma:showField="CatchAllData" ma:web="b505d40e-58be-4733-b8a8-ff709344ae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98AF04-77C5-4CB7-A2C3-83E78C1C5F47}"/>
</file>

<file path=customXml/itemProps2.xml><?xml version="1.0" encoding="utf-8"?>
<ds:datastoreItem xmlns:ds="http://schemas.openxmlformats.org/officeDocument/2006/customXml" ds:itemID="{10F959F1-5FE9-4237-A0BF-36D2D5494328}"/>
</file>

<file path=customXml/itemProps3.xml><?xml version="1.0" encoding="utf-8"?>
<ds:datastoreItem xmlns:ds="http://schemas.openxmlformats.org/officeDocument/2006/customXml" ds:itemID="{F9D0EA53-7323-43E5-9A32-8F0BB1D18730}"/>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Banco Pichincha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TRUJILLO GRANADOS HECTOR JOSE</dc:creator>
  <cp:keywords/>
  <dc:description/>
  <cp:lastModifiedBy/>
  <cp:revision/>
  <dcterms:created xsi:type="dcterms:W3CDTF">2025-07-14T14:17:03Z</dcterms:created>
  <dcterms:modified xsi:type="dcterms:W3CDTF">2026-08-28T06:26:54Z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0x010100AA743167F3CC75498FA39E604F7D83C7</vt:lpwstr>
  </op:property>
  <op:property fmtid="{D5CDD505-2E9C-101B-9397-08002B2CF9AE}" pid="3" name="MediaServiceImageTags">
    <vt:lpwstr/>
  </op:property>
  <op:property fmtid="{D5CDD505-2E9C-101B-9397-08002B2CF9AE}" pid="4" name="KriptosClassAi">
    <vt:lpwstr>1-Uso Interno</vt:lpwstr>
  </op:property>
</op:Properties>
</file>