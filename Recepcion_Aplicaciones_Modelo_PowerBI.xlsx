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8.xml" ContentType="application/vnd.openxmlformats-officedocument.spreadsheetml.table+xml"/>
  <Override PartName="/xl/tables/table10.xml" ContentType="application/vnd.openxmlformats-officedocument.spreadsheetml.table+xml"/>
  <Override PartName="/xl/tables/table3.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1.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eme" sheetId="1" state="visible" r:id="rId3"/>
    <sheet name="fAplicaciones" sheetId="2" state="visible" r:id="rId4"/>
    <sheet name="Validacion" sheetId="3" state="visible" r:id="rId5"/>
    <sheet name="Medidas_DAX" sheetId="4" state="visible" r:id="rId6"/>
    <sheet name="Textos_DAX" sheetId="5" state="visible" r:id="rId7"/>
    <sheet name="HTML_Content" sheetId="6" state="visible" r:id="rId8"/>
    <sheet name="Columnas_DAX" sheetId="7" state="visible" r:id="rId9"/>
    <sheet name="Visuales" sheetId="8" state="visible" r:id="rId10"/>
    <sheet name="PowerQuery_M" sheetId="9" state="visible" r:id="rId11"/>
    <sheet name="Tema_PowerBI" sheetId="10" state="visible" r:id="rId12"/>
    <sheet name="Parametros" sheetId="11" state="visible" r:id="rId13"/>
    <sheet name="dEtapa" sheetId="12" state="visible" r:id="rId14"/>
    <sheet name="dCriticidad" sheetId="13" state="visible" r:id="rId15"/>
    <sheet name="dConciliacion" sheetId="14" state="visible" r:id="rId16"/>
    <sheet name="dAlcance" sheetId="15" state="visible" r:id="rId17"/>
    <sheet name="dDuplicadosGI" sheetId="16" state="visible" r:id="rId18"/>
    <sheet name="dCalendario" sheetId="17" state="visible" r:id="rId19"/>
  </sheets>
  <definedNames>
    <definedName function="false" hidden="false" name="AlcanceActual" vbProcedure="false">Parametros!$B$8</definedName>
    <definedName function="false" hidden="false" name="AlcanceInicial" vbProcedure="false">Parametros!$B$7</definedName>
    <definedName function="false" hidden="false" name="DiasMes" vbProcedure="false">Parametros!$B$10</definedName>
    <definedName function="false" hidden="false" name="FechaCorte" vbProcedure="false">Parametros!$B$3</definedName>
    <definedName function="false" hidden="false" name="FechaInforme" vbProcedure="false">Parametros!$B$5</definedName>
    <definedName function="false" hidden="false" name="FinAnio" vbProcedure="false">Parametros!$B$4</definedName>
    <definedName function="false" hidden="false" name="GobernadasInforme" vbProcedure="false">Parametros!$B$9</definedName>
    <definedName function="false" hidden="false" name="Meta" vbProcedure="false">Parametros!$B$6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<sst xmlns="http://schemas.openxmlformats.org/spreadsheetml/2006/main" count="5705" uniqueCount="2197">
  <si>
    <t xml:space="preserve">Modelo Power BI · Recepción de aplicaciones 2026</t>
  </si>
  <si>
    <t xml:space="preserve">Especificación para replicar en Power BI el dashboard PDF de 4 páginas. Hito liderado por Jhonny Barreiro. Fuentes: Matriz de Aplicaciones GI (agosto 2026) e informe de conciliación CMDB (DatosSN, 11-ago-2026).</t>
  </si>
  <si>
    <t xml:space="preserve">Hojas</t>
  </si>
  <si>
    <t xml:space="preserve">Parametros</t>
  </si>
  <si>
    <t xml:space="preserve">Fecha de corte, meta, alcance, cifra del informe y responsable del hito. Celdas amarillas con texto azul: se editan.</t>
  </si>
  <si>
    <t xml:space="preserve">fAplicaciones</t>
  </si>
  <si>
    <t xml:space="preserve">Tabla de hechos: una fila por registro de la matriz. Columnas A–N son copia de la matriz; O en adelante son columnas calculadas (fórmula Excel; su DAX está en «Columnas_DAX»).</t>
  </si>
  <si>
    <t xml:space="preserve">Dimensiones</t>
  </si>
  <si>
    <t xml:space="preserve">dEtapa (etapa de recepción, orden y color), dCriticidad (A–E, orden, color, si es crítica), dConciliacion (cascada CMDB → universo, datos del informe), dAlcance (criterios que ampliaron el alcance), dDuplicadosGI (posibles duplicados ID GI vs. CMDB, editable), dCalendario.</t>
  </si>
  <si>
    <t xml:space="preserve">Validacion</t>
  </si>
  <si>
    <t xml:space="preserve">KPIs del dashboard calculados con fórmulas y el valor publicado en el PDF. Todo debe decir «OK».</t>
  </si>
  <si>
    <t xml:space="preserve">Medidas_DAX</t>
  </si>
  <si>
    <t xml:space="preserve">Medidas base (conteos, avance, ritmo, conciliación, criticidad).</t>
  </si>
  <si>
    <t xml:space="preserve">Textos_DAX</t>
  </si>
  <si>
    <t xml:space="preserve">Medidas de texto dinámico: subtítulos, etiquetas y notas, con el resultado esperado al corte.</t>
  </si>
  <si>
    <t xml:space="preserve">HTML_Content</t>
  </si>
  <si>
    <t xml:space="preserve">Medidas que devuelven HTML/SVG para el visual HTML Content: encabezados, KPIs, gráficos SVG (barra del universo, curva acumulada, cascada, barras apiladas) y tablas.</t>
  </si>
  <si>
    <t xml:space="preserve">Visuales</t>
  </si>
  <si>
    <t xml:space="preserve">Qué medida va en cada visual de cada página, con tamaño sugerido.</t>
  </si>
  <si>
    <t xml:space="preserve">PowerQuery_M</t>
  </si>
  <si>
    <t xml:space="preserve">Script para cargar la matriz original en Power BI.</t>
  </si>
  <si>
    <t xml:space="preserve">Tema_PowerBI</t>
  </si>
  <si>
    <t xml:space="preserve">JSON con la paleta Banco Pichincha.</t>
  </si>
  <si>
    <t xml:space="preserve">Archivo .txt</t>
  </si>
  <si>
    <t xml:space="preserve">Recepcion_Aplicaciones_DAX.txt trae todas las medidas listas para copiar (copiar desde celdas de Excel con saltos de línea agrega comillas).</t>
  </si>
  <si>
    <t xml:space="preserve">Modelo</t>
  </si>
  <si>
    <t xml:space="preserve">Relaciones</t>
  </si>
  <si>
    <t xml:space="preserve">dEtapa[Etapa] 1 → * fAplicaciones[Etapa]
dCriticidad[Letra] 1 → * fAplicaciones[CritLetra]
dCalendario[Fecha] 1 → * fAplicaciones[Fecha Recepcion]
Parametros, dConciliacion, dAlcance y dDuplicadosGI: tablas desconectadas.</t>
  </si>
  <si>
    <t xml:space="preserve">Orden de creación</t>
  </si>
  <si>
    <t xml:space="preserve">1) Tablas y relaciones · 2) Columnas calculadas (Columnas_DAX, en orden) · 3) Medidas_DAX · 4) Textos_DAX · 5) HTML_Content.</t>
  </si>
  <si>
    <t xml:space="preserve">Parámetros en DAX</t>
  </si>
  <si>
    <t xml:space="preserve">La tabla Parametros tiene columnas Valor (números y fechas, tipo Decimal) y Texto. Las medidas convierten las fechas con DATE(YEAR(),MONTH(),DAY()).</t>
  </si>
  <si>
    <t xml:space="preserve">Configuración regional</t>
  </si>
  <si>
    <t xml:space="preserve">Idioma del modelo Español (Ecuador) para que FORMAT use coma decimal. Los nombres de mes vienen de dCalendario[MesCorto]/[MesLargo].</t>
  </si>
  <si>
    <t xml:space="preserve">Reglas de negocio</t>
  </si>
  <si>
    <t xml:space="preserve">Aplicación única</t>
  </si>
  <si>
    <t xml:space="preserve">Se cuenta una vez cada combinación Nombre + Bp Id (columna Cuenta). La matriz tiene 3 filas repetidas exactas.</t>
  </si>
  <si>
    <t xml:space="preserve">Gobernada</t>
  </si>
  <si>
    <t xml:space="preserve">«Entregada Identidades» = Si (equivale a Priorización «N/A ENTREGADA»).</t>
  </si>
  <si>
    <t xml:space="preserve">Etapa</t>
  </si>
  <si>
    <t xml:space="preserve">Gobernada, Criterio 1, Criterio 2, Criterio 3 o Planificada 2027, según la columna Priorización.</t>
  </si>
  <si>
    <t xml:space="preserve">Universo</t>
  </si>
  <si>
    <t xml:space="preserve">CMDB + ajustes de conciliación (tabla dConciliacion): 331 + 35 + 16 + 23 + 12 = 417.</t>
  </si>
  <si>
    <t xml:space="preserve">Ritmo</t>
  </si>
  <si>
    <t xml:space="preserve">Recepciones del año de corte / meses transcurridos (días / 30,4). Ritmo requerido = brecha a la meta / meses restantes hasta FinAnio.</t>
  </si>
  <si>
    <t xml:space="preserve">Crítica</t>
  </si>
  <si>
    <t xml:space="preserve">Criticidad A, B o C (Prioridad de la matriz).</t>
  </si>
  <si>
    <t xml:space="preserve">ID propio GI</t>
  </si>
  <si>
    <t xml:space="preserve">Bp Id que empieza con GI0 o GA0: aplicación registrada por Identidades porque no existe en la CMDB.</t>
  </si>
  <si>
    <t xml:space="preserve">Posible duplicado GI</t>
  </si>
  <si>
    <t xml:space="preserve">Aplicación pendiente cuyo nombre normalizado coincide con una gobernada con ID GI (tabla dDuplicadosGI, validar caso a caso).</t>
  </si>
  <si>
    <t xml:space="preserve">Gobernadas sin fecha</t>
  </si>
  <si>
    <t xml:space="preserve">Hay 2 gobernadas sin Fecha Recepcion: se cuentan en el acumulado desde el inicio.</t>
  </si>
  <si>
    <t xml:space="preserve">ID</t>
  </si>
  <si>
    <t xml:space="preserve">Nombre</t>
  </si>
  <si>
    <t xml:space="preserve">Bp Id</t>
  </si>
  <si>
    <t xml:space="preserve">Descripcion</t>
  </si>
  <si>
    <t xml:space="preserve">Prioridad</t>
  </si>
  <si>
    <t xml:space="preserve">Ubicacion</t>
  </si>
  <si>
    <t xml:space="preserve">Equipo Administrado Por</t>
  </si>
  <si>
    <t xml:space="preserve">Dueno Aplicacion</t>
  </si>
  <si>
    <t xml:space="preserve">Dueno Negocio</t>
  </si>
  <si>
    <t xml:space="preserve">Administrado Por</t>
  </si>
  <si>
    <t xml:space="preserve">Categoria Identidades</t>
  </si>
  <si>
    <t xml:space="preserve">Entregada Identidades</t>
  </si>
  <si>
    <t xml:space="preserve">Fecha Recepcion</t>
  </si>
  <si>
    <t xml:space="preserve">Priorización</t>
  </si>
  <si>
    <t xml:space="preserve">Cuenta</t>
  </si>
  <si>
    <t xml:space="preserve">Priorizada2026</t>
  </si>
  <si>
    <t xml:space="preserve">CritLetra</t>
  </si>
  <si>
    <t xml:space="preserve">EsCritica</t>
  </si>
  <si>
    <t xml:space="preserve">IDPropioGI</t>
  </si>
  <si>
    <t xml:space="preserve">Equipo</t>
  </si>
  <si>
    <t xml:space="preserve">UbicacionN</t>
  </si>
  <si>
    <t xml:space="preserve">AnioRecepcion</t>
  </si>
  <si>
    <t xml:space="preserve">MesRecepcion</t>
  </si>
  <si>
    <t xml:space="preserve">PosibleDuplicadoGI</t>
  </si>
  <si>
    <t xml:space="preserve">Pendiente</t>
  </si>
  <si>
    <t xml:space="preserve">IBM WebSphere Portal</t>
  </si>
  <si>
    <t xml:space="preserve">CHL0017</t>
  </si>
  <si>
    <t xml:space="preserve">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</si>
  <si>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 xml:space="preserve">A - Apetito de Riesgo Disponibilidad</t>
  </si>
  <si>
    <t xml:space="preserve">On Premise</t>
  </si>
  <si>
    <t xml:space="preserve">TRIBU_CANALES</t>
  </si>
  <si>
    <t xml:space="preserve">MIGUEL ALEXANDER MEJIA BRONCANO</t>
  </si>
  <si>
    <t xml:space="preserve">JORGE HUMBERTO BRAVO YUNDA</t>
  </si>
  <si>
    <t xml:space="preserve">Luis Remigio Bayas Rea</t>
  </si>
  <si>
    <t xml:space="preserve">Aplicación del negocio</t>
  </si>
  <si>
    <t xml:space="preserve">Si</t>
  </si>
  <si>
    <t xml:space="preserve">N/A ENTREGADA</t>
  </si>
  <si>
    <t xml:space="preserve">ICEPanel</t>
  </si>
  <si>
    <t xml:space="preserve">ITM0068</t>
  </si>
  <si>
    <t xml:space="preserve">Modelado de Arquitectura de Soluciones</t>
  </si>
  <si>
    <t xml:space="preserve">D - BIA No Crítica</t>
  </si>
  <si>
    <t xml:space="preserve">Nube</t>
  </si>
  <si>
    <t xml:space="preserve">COE ARQUITECTURA</t>
  </si>
  <si>
    <t xml:space="preserve">MAURICIO BLADIMIR AUQUI MIRANDA</t>
  </si>
  <si>
    <t xml:space="preserve">LUIS MIGUEL ULLOA MOREIRA</t>
  </si>
  <si>
    <t xml:space="preserve">Aplicación complementaria</t>
  </si>
  <si>
    <t xml:space="preserve">No</t>
  </si>
  <si>
    <t xml:space="preserve">PRIORIZACIÓN CRITERIO 1</t>
  </si>
  <si>
    <t xml:space="preserve">Idera</t>
  </si>
  <si>
    <t xml:space="preserve">ITM0035</t>
  </si>
  <si>
    <t xml:space="preserve">Es una aplicación para administrar motores SQL, donde se visualiza eventos que ocurran en las bases de datos como en el servidor</t>
  </si>
  <si>
    <t xml:space="preserve">INFRAESTRUCTURA</t>
  </si>
  <si>
    <t xml:space="preserve">BYRON ORLANDO MELENDREZ CABRERA</t>
  </si>
  <si>
    <t xml:space="preserve">NELSON ANDRES POZO YEPEZ</t>
  </si>
  <si>
    <t xml:space="preserve">FELIX ALEXANDER MANJARRES QUEZADA</t>
  </si>
  <si>
    <t xml:space="preserve">Consolas de Administración TI</t>
  </si>
  <si>
    <t xml:space="preserve">PLANIFICADA 2027</t>
  </si>
  <si>
    <t xml:space="preserve">IGNITION</t>
  </si>
  <si>
    <t xml:space="preserve">ITM0069</t>
  </si>
  <si>
    <t xml:space="preserve">Monitoreo de las facilidades de los centros de datos, Sistemas Electricos, Enfriamiento, Electrogenos</t>
  </si>
  <si>
    <t xml:space="preserve">C - BIA Crítica</t>
  </si>
  <si>
    <t xml:space="preserve">DIEGO JAVIER SALAZAR MOLINA</t>
  </si>
  <si>
    <t xml:space="preserve">DIEGO PAUL BETANCOURT REYES</t>
  </si>
  <si>
    <t xml:space="preserve">ILMT</t>
  </si>
  <si>
    <t xml:space="preserve">ITM0036</t>
  </si>
  <si>
    <t xml:space="preserve">Monitoreo de Software IBM instalado en servidores licenciamiento</t>
  </si>
  <si>
    <t xml:space="preserve">E - No Crítica</t>
  </si>
  <si>
    <t xml:space="preserve">HORACIO LEONEL HOLGUIN ALCIVAR</t>
  </si>
  <si>
    <t xml:space="preserve">FREDDY VINICIO ESTRELLA HIDALGO</t>
  </si>
  <si>
    <t xml:space="preserve">Impacto 360</t>
  </si>
  <si>
    <t xml:space="preserve">DAT0015</t>
  </si>
  <si>
    <t xml:space="preserve">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</si>
  <si>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 xml:space="preserve">Negocios y Monetización</t>
  </si>
  <si>
    <t xml:space="preserve">ANTONIO ALEJANDRO CANAVERAL GIL</t>
  </si>
  <si>
    <t xml:space="preserve">SEBASTIAN MUNOZ ANDERSEN</t>
  </si>
  <si>
    <t xml:space="preserve">HEVER GONZALEZ GARCIA</t>
  </si>
  <si>
    <t xml:space="preserve">Impresion Documentos</t>
  </si>
  <si>
    <t xml:space="preserve">TIE0018</t>
  </si>
  <si>
    <t xml:space="preserve">Aplicación que permite levantar documentos de word ejecutando macros. Genera documentos entregados a los clientes, principalmente de solicitudes de crédito.</t>
  </si>
  <si>
    <t xml:space="preserve">ACTIVOS</t>
  </si>
  <si>
    <t xml:space="preserve">LAURA ELIZABETH CARRASCO UQUILLAS</t>
  </si>
  <si>
    <t xml:space="preserve">ANDREA FERNANDA ORTIZ CISNEROS</t>
  </si>
  <si>
    <t xml:space="preserve">ERISLAN MARTINEZ JERA</t>
  </si>
  <si>
    <t xml:space="preserve">informesCredito</t>
  </si>
  <si>
    <t xml:space="preserve">PRD0021</t>
  </si>
  <si>
    <t xml:space="preserve">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</si>
  <si>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 xml:space="preserve">Frente de Soluciones Empresariales</t>
  </si>
  <si>
    <t xml:space="preserve">FABRICIO ANTONIO PEREIRA GARCIA</t>
  </si>
  <si>
    <t xml:space="preserve">WILLIAM PATRICIO PANCHI SHUGULI</t>
  </si>
  <si>
    <t xml:space="preserve">Integration Bus Soporte</t>
  </si>
  <si>
    <t xml:space="preserve">INT0009</t>
  </si>
  <si>
    <t xml:space="preserve">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</si>
  <si>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 xml:space="preserve">B - Ecosistema Apetito de Riesgo</t>
  </si>
  <si>
    <t xml:space="preserve">Tribu_Integraciones_Apis</t>
  </si>
  <si>
    <t xml:space="preserve">DAVID RODRIGO REVELO RIVERA</t>
  </si>
  <si>
    <t xml:space="preserve">DIEGO VLADIMIR JAYA GUAMANZARA</t>
  </si>
  <si>
    <t xml:space="preserve">Interdin AS 400/ CAO</t>
  </si>
  <si>
    <t xml:space="preserve">PAY0010</t>
  </si>
  <si>
    <t xml:space="preserve">No existe descripción</t>
  </si>
  <si>
    <t xml:space="preserve">Terceros</t>
  </si>
  <si>
    <t xml:space="preserve">MEDIOS_DE_PAGO</t>
  </si>
  <si>
    <t xml:space="preserve">EDWIN GEOVANNY FLORES CASTRO</t>
  </si>
  <si>
    <t xml:space="preserve">KATHERINE FATIMA CJURO VERA</t>
  </si>
  <si>
    <t xml:space="preserve">JEAN ANEL PROANO FALCONES</t>
  </si>
  <si>
    <t xml:space="preserve">Inversiones</t>
  </si>
  <si>
    <t xml:space="preserve">PRD0060</t>
  </si>
  <si>
    <t xml:space="preserve">Aplicacion para venta y postventa de Inversiones.</t>
  </si>
  <si>
    <t xml:space="preserve">PASIVOS Y SEGUROS</t>
  </si>
  <si>
    <t xml:space="preserve">JONATHAN HERNAN ARIAS HERNANDEZ</t>
  </si>
  <si>
    <t xml:space="preserve">MANUEL ABELARDO HARO MONTERO</t>
  </si>
  <si>
    <t xml:space="preserve">IPS Intrusion Prevention System</t>
  </si>
  <si>
    <t xml:space="preserve">SEC0025</t>
  </si>
  <si>
    <t xml:space="preserve">Cisco Firepower Management Center 4600</t>
  </si>
  <si>
    <t xml:space="preserve">Ciberseguridad</t>
  </si>
  <si>
    <t xml:space="preserve">ERICK DAMIAN RISUENO BENITEZ</t>
  </si>
  <si>
    <t xml:space="preserve">MARCO FABRICIO FALCONI NORIEGA</t>
  </si>
  <si>
    <t xml:space="preserve">JORGE XAVIER LUCERO GALLEGOS</t>
  </si>
  <si>
    <t xml:space="preserve">Consolas de Administración Seguridad</t>
  </si>
  <si>
    <t xml:space="preserve">ISE</t>
  </si>
  <si>
    <t xml:space="preserve">SEC0026</t>
  </si>
  <si>
    <t xml:space="preserve">CONTROL DE ACCESO A LA RED</t>
  </si>
  <si>
    <t xml:space="preserve">ROBERT STALIN SOTO CORONEL</t>
  </si>
  <si>
    <t xml:space="preserve">Kafka</t>
  </si>
  <si>
    <t xml:space="preserve">OMN0004</t>
  </si>
  <si>
    <t xml:space="preserve">Basado en una transmisión de evetos,captura datos en tiempo real desde varias fuentes, enruta los flujos de datos a diferentes tecnologías de destino según sea necesario.</t>
  </si>
  <si>
    <t xml:space="preserve">PRIORIZACIÓN CRITERIO 2</t>
  </si>
  <si>
    <t xml:space="preserve">Keeper Security</t>
  </si>
  <si>
    <t xml:space="preserve">SEC0053</t>
  </si>
  <si>
    <t xml:space="preserve">Solución para la gestión de contraseñas de los usuarios</t>
  </si>
  <si>
    <t xml:space="preserve">lvtandaz@pichincha.com TANDAZO GALLEGOS</t>
  </si>
  <si>
    <t xml:space="preserve">ISRAEL SEBASTIAN DE LA TORRE TRUJILLO</t>
  </si>
  <si>
    <t xml:space="preserve">Kriptos</t>
  </si>
  <si>
    <t xml:space="preserve">SEC0055</t>
  </si>
  <si>
    <t xml:space="preserve">Solución basada en clasificación artificial que tiene la capacidad de identificar y clasificar los datos de la empresa.</t>
  </si>
  <si>
    <t xml:space="preserve">FERNANDO JAVIER PALADINES BUSTAMANTE</t>
  </si>
  <si>
    <t xml:space="preserve">MARIA DEL CARMEN PENAHERRERA PLUA</t>
  </si>
  <si>
    <t xml:space="preserve">PRIORIZACIÓN CRITERIO 3</t>
  </si>
  <si>
    <t xml:space="preserve">Fielweb</t>
  </si>
  <si>
    <t xml:space="preserve">SUP0011</t>
  </si>
  <si>
    <t xml:space="preserve">AREAS_DE_APOYO</t>
  </si>
  <si>
    <t xml:space="preserve">FABIAN GEOVANNI PAZMINO UBIDIA</t>
  </si>
  <si>
    <t xml:space="preserve">JOSE LUIS ZAPATA ROSERO</t>
  </si>
  <si>
    <t xml:space="preserve">FERNANDO JOSE ROLDAN CORREA</t>
  </si>
  <si>
    <t xml:space="preserve">LEXMARK CLOUD PRINT MANAGEMENT (CPM)</t>
  </si>
  <si>
    <t xml:space="preserve">ITM0038</t>
  </si>
  <si>
    <t xml:space="preserve">Administración  Multifunción Lexmark para Integración multifuncionales  con Talla  Impresión</t>
  </si>
  <si>
    <t xml:space="preserve">Gerencia Arquitectura Usuario Final</t>
  </si>
  <si>
    <t xml:space="preserve">AMPARO MARIANA CARDENAS HUILCA</t>
  </si>
  <si>
    <t xml:space="preserve">ABNER ANDY AREVALO BRACAMONTE</t>
  </si>
  <si>
    <t xml:space="preserve">ListaObservados</t>
  </si>
  <si>
    <t xml:space="preserve">GOB0013</t>
  </si>
  <si>
    <t xml:space="preserve">Es una aplicación que permite la validación de clientes en listas de validación utilizando componentes de terceros (Bridger).</t>
  </si>
  <si>
    <t xml:space="preserve">LogiFlow</t>
  </si>
  <si>
    <t xml:space="preserve">TIE0019</t>
  </si>
  <si>
    <t xml:space="preserve">Portal de aplicaciones para la gestión y administracion de procesos del Banco.</t>
  </si>
  <si>
    <t xml:space="preserve">LoginCentral</t>
  </si>
  <si>
    <t xml:space="preserve">SEC0028</t>
  </si>
  <si>
    <t xml:space="preserve">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</si>
  <si>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 xml:space="preserve">Tribu Ciberseguridad</t>
  </si>
  <si>
    <t xml:space="preserve">JUAN FELIPE GALLEGO COSSIO</t>
  </si>
  <si>
    <t xml:space="preserve">FRANCISCO DAVID CEVALLOS GRANJA</t>
  </si>
  <si>
    <t xml:space="preserve">ROBERTO CARLOS PINO CEDENO</t>
  </si>
  <si>
    <t xml:space="preserve">Logística de Efectivo</t>
  </si>
  <si>
    <t xml:space="preserve">CHL0001</t>
  </si>
  <si>
    <t xml:space="preserve">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</si>
  <si>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 xml:space="preserve">PRISCILA ALEXANDRA PARRA LEON</t>
  </si>
  <si>
    <t xml:space="preserve">Mail Control System</t>
  </si>
  <si>
    <t xml:space="preserve">SUP0012</t>
  </si>
  <si>
    <t xml:space="preserve">Aplicación utilizada por el área Administrativa para gestionar el proceso de entrega y recepción de correspondencia interna.</t>
  </si>
  <si>
    <t xml:space="preserve">LIZETH AURORA ENCALADA RAMON</t>
  </si>
  <si>
    <t xml:space="preserve">ABRAHAM JOSUE MOGOLLON VASQUEZ</t>
  </si>
  <si>
    <t xml:space="preserve">MatiBOT</t>
  </si>
  <si>
    <t xml:space="preserve">ITM0075</t>
  </si>
  <si>
    <t xml:space="preserve">Brindar a los usuarios la capacidad de realizar solicitudes a través de una interfaz de chat en diversos canales conversacionales, como Microsoft Teams, Web Chat o WhatsApp.</t>
  </si>
  <si>
    <t xml:space="preserve">FAYOL SMITH MONTANO MELENDEZ</t>
  </si>
  <si>
    <t xml:space="preserve">CARMEN ROCIO AGUILAR MAYANQUER</t>
  </si>
  <si>
    <t xml:space="preserve">Maze</t>
  </si>
  <si>
    <t xml:space="preserve">EDC0006</t>
  </si>
  <si>
    <t xml:space="preserve">Herramienta de pruebas con usuarios de prototipos  y encuestas masivas moderadas y no moderadas.</t>
  </si>
  <si>
    <t xml:space="preserve">COE Experiencia</t>
  </si>
  <si>
    <t xml:space="preserve">GABRIEL ANDRES PACHECO TELLO</t>
  </si>
  <si>
    <t xml:space="preserve">Utilitario</t>
  </si>
  <si>
    <t xml:space="preserve">Mi Portal (4u)</t>
  </si>
  <si>
    <t xml:space="preserve">SUP0013</t>
  </si>
  <si>
    <t xml:space="preserve">Es una aplicación web desarrollada en Angular y Node JS con base de datos postgres y se encuentra alojada en la nube de Google Cloud. En esta aplicación se disponibiliza para la autogestión del colaborador en temas internos</t>
  </si>
  <si>
    <t xml:space="preserve">ANDREA PAULINA PARDO ULLAGUARI</t>
  </si>
  <si>
    <t xml:space="preserve">FRANKLIN STALIN GARZON ANDRADE</t>
  </si>
  <si>
    <t xml:space="preserve">Microcrédito Digital</t>
  </si>
  <si>
    <t xml:space="preserve">PRD0053</t>
  </si>
  <si>
    <t xml:space="preserve">Aplicativo para Microcredito en Linea de Microfinanzas</t>
  </si>
  <si>
    <t xml:space="preserve">MICROFINANZAS</t>
  </si>
  <si>
    <t xml:space="preserve">EUDOCIA BEATRIZ VASQUEZ CASTILLO</t>
  </si>
  <si>
    <t xml:space="preserve">Microfinance Portal</t>
  </si>
  <si>
    <t xml:space="preserve">PRD0063</t>
  </si>
  <si>
    <t xml:space="preserve">Aplicativo para la aprobación, instrumentación y desembolso de créditos de la metodología Microfinanzas Individual y Grupal</t>
  </si>
  <si>
    <t xml:space="preserve">FREDDY NEY BASTIDAS CALERO</t>
  </si>
  <si>
    <t xml:space="preserve">Willam Marcel Ontaneda Yaguana</t>
  </si>
  <si>
    <t xml:space="preserve">Mis Riesgos</t>
  </si>
  <si>
    <t xml:space="preserve">RIS0008</t>
  </si>
  <si>
    <t xml:space="preserve">Agrupación lógica de las aplicaciones internas desarrolladas por Banco, que no cuentan con un ambiente controlado, Banco realiza cambios directos y sus actualizaciones no sigue el proceso de control de cambios.</t>
  </si>
  <si>
    <t xml:space="preserve">Tribu Administración de Créditos</t>
  </si>
  <si>
    <t xml:space="preserve">JORGE MARIO PULGARIN MAZO</t>
  </si>
  <si>
    <t xml:space="preserve">JOHANNA NATALIA RODRIGUEZ SANCHEZ</t>
  </si>
  <si>
    <t xml:space="preserve">CHRISTIAN PAUL ENRIQUEZ LOPEZ</t>
  </si>
  <si>
    <t xml:space="preserve">MODELO PREDICTIVO CIIU</t>
  </si>
  <si>
    <t xml:space="preserve">DAT0006</t>
  </si>
  <si>
    <t xml:space="preserve">Modelo de Sector y Actividad Económica</t>
  </si>
  <si>
    <t xml:space="preserve">COE DATOS&amp;ANALITICA</t>
  </si>
  <si>
    <t xml:space="preserve">ARNALDO UTRIA AZAN</t>
  </si>
  <si>
    <t xml:space="preserve">Moengage</t>
  </si>
  <si>
    <t xml:space="preserve">OMN0001</t>
  </si>
  <si>
    <t xml:space="preserve">Es una plataforma de compromiso del cliente y automatización de marketing que ayuda a las empresas a interactuar con sus usuarios a través de canales como notificaciones push, mensajes dentro de la aplicación, correos electrónicos, mensajes de texto (SMS) y más</t>
  </si>
  <si>
    <t xml:space="preserve">CESAR ALEJANDRO VELASCO TORO</t>
  </si>
  <si>
    <t xml:space="preserve">Monitor Plus</t>
  </si>
  <si>
    <t xml:space="preserve">GOB0005</t>
  </si>
  <si>
    <t xml:space="preserve">Aplicación que permite realizar el monitoreo de las transacciones de clientes para identificación de lavado de dinero y fraude, es de tercero (nombre proveedor plus Holding) implementado en datacenter de Banco.</t>
  </si>
  <si>
    <t xml:space="preserve">Híbrida</t>
  </si>
  <si>
    <t xml:space="preserve">CreditoDistribuidor</t>
  </si>
  <si>
    <t xml:space="preserve">PRD0014</t>
  </si>
  <si>
    <t xml:space="preserve">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</si>
  <si>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 xml:space="preserve">CreditosCOM</t>
  </si>
  <si>
    <t xml:space="preserve">PRD0015</t>
  </si>
  <si>
    <t xml:space="preserve">Aplicación que maneja el flujo de créditos para Crédito Distribuidor.</t>
  </si>
  <si>
    <t xml:space="preserve">CRM (salesforce - Financial services)</t>
  </si>
  <si>
    <t xml:space="preserve">CUS0007</t>
  </si>
  <si>
    <t xml:space="preserve">JULIEN LOUIS ADRIEN LEREBOULLET</t>
  </si>
  <si>
    <t xml:space="preserve">HECTOR EDUARDO JARAMILLO RUALES</t>
  </si>
  <si>
    <t xml:space="preserve">CRM (salesforce - Marketing Cloud)</t>
  </si>
  <si>
    <t xml:space="preserve">CUS0008</t>
  </si>
  <si>
    <t xml:space="preserve">Es una plataforma de automatización de marketing digital en la nube, parte del ecosistema CRM de Salesforce, diseñada para gestionar campañas multicanal (email, móvil, redes sociales, web).</t>
  </si>
  <si>
    <t xml:space="preserve">Crowdstrike</t>
  </si>
  <si>
    <t xml:space="preserve">SEC0009</t>
  </si>
  <si>
    <t xml:space="preserve">Ofrece una prevención de amenazas óptima, mediante el uso de inteligencia artificial (AI) y aprendizaje automático (ML) con detección y respuesta avanzada e información sobre amenazas, integrada a través de una consola de gestión altamente intuitiva.</t>
  </si>
  <si>
    <t xml:space="preserve">Cuadre Atms</t>
  </si>
  <si>
    <t xml:space="preserve">SUP0021</t>
  </si>
  <si>
    <t xml:space="preserve">Aplicación que dispone de procesos para cuadre de cajeros automáticos (cuadre físico vs reporte del Switch de Servicios ATMs) y conciliación de transacciones en ATMs propios (clientes BP y clientes de otras redes).</t>
  </si>
  <si>
    <t xml:space="preserve">MILTON PATRICIO MANTILLA CAYO</t>
  </si>
  <si>
    <t xml:space="preserve">JUAN FRANCISCO PROCEL MICHILENA</t>
  </si>
  <si>
    <t xml:space="preserve">Cuenta Digital Personas</t>
  </si>
  <si>
    <t xml:space="preserve">CHL0037</t>
  </si>
  <si>
    <t xml:space="preserve">APP ONBOARDING, aplicación movil de Banco Pichincha, en la que podrá crear clientes, activar cuentas, crear chequeras.</t>
  </si>
  <si>
    <t xml:space="preserve">Cuentas por pagar</t>
  </si>
  <si>
    <t xml:space="preserve">SUP0031</t>
  </si>
  <si>
    <t xml:space="preserve">Es un por portal donde se visualiza los diferentes documentos de proveedores de banco (facturas, retenciones). Está en un aks de azure</t>
  </si>
  <si>
    <t xml:space="preserve">CXP (Banca Web)</t>
  </si>
  <si>
    <t xml:space="preserve">CHL0014</t>
  </si>
  <si>
    <t xml:space="preserve">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</si>
  <si>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 xml:space="preserve">DIANA PATRICIA CAICEDO RODRIGUEZ</t>
  </si>
  <si>
    <t xml:space="preserve">CyberArk</t>
  </si>
  <si>
    <t xml:space="preserve">SEC0010</t>
  </si>
  <si>
    <t xml:space="preserve">Aplicación que permite el manejo de cuentas de usuarios privilegiados</t>
  </si>
  <si>
    <t xml:space="preserve">DarkTrace</t>
  </si>
  <si>
    <t xml:space="preserve">SEC0011</t>
  </si>
  <si>
    <t xml:space="preserve">Inspección de tráfico de Red para determinar amenazas de seguridad. Tecnología de inteligencia artificial cibernética de autoaprendizaje que detecta nuevos ataques y amenazas internas en una etapa temprana</t>
  </si>
  <si>
    <t xml:space="preserve">DataPower Externo</t>
  </si>
  <si>
    <t xml:space="preserve">INT0005</t>
  </si>
  <si>
    <t xml:space="preserve">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</si>
  <si>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 xml:space="preserve">CHRISTIAN DARIO PASQUEL PARRA</t>
  </si>
  <si>
    <t xml:space="preserve">Decisión Cloud</t>
  </si>
  <si>
    <t xml:space="preserve">ITM0001</t>
  </si>
  <si>
    <t xml:space="preserve">ANDY JOSE ANDRADE BRAVO</t>
  </si>
  <si>
    <t xml:space="preserve">CARLOS ANDRES MORALES MALDONADO</t>
  </si>
  <si>
    <t xml:space="preserve">Deep Security</t>
  </si>
  <si>
    <t xml:space="preserve">SEC0014</t>
  </si>
  <si>
    <t xml:space="preserve">Proporciona una protección completa, adaptable y extremadamente eficiente, con antimalware, detección y prevención de intrusiones, firewall, protección de aplicaciones Web, supervisión de la integridad e inspección de registros</t>
  </si>
  <si>
    <t xml:space="preserve">DESIGNSYSTEM</t>
  </si>
  <si>
    <t xml:space="preserve">CHL0044</t>
  </si>
  <si>
    <t xml:space="preserve">Sin descripción</t>
  </si>
  <si>
    <t xml:space="preserve">JUAN FELIPE DIAZ RESTREPO</t>
  </si>
  <si>
    <t xml:space="preserve">JORGE ALBERTO VILLAFUERTE GORDILLO</t>
  </si>
  <si>
    <t xml:space="preserve">PRICILA VANESSA QUICHIMBO ARMIJOS</t>
  </si>
  <si>
    <t xml:space="preserve">Detect ID</t>
  </si>
  <si>
    <t xml:space="preserve">SEC0015</t>
  </si>
  <si>
    <t xml:space="preserve">Aplicación para generación de softoken en lugar de OTP enviada por SMS.</t>
  </si>
  <si>
    <t xml:space="preserve">Vladimir Stalin Lamina Sanchez</t>
  </si>
  <si>
    <t xml:space="preserve">Deuna Microcomercios</t>
  </si>
  <si>
    <t xml:space="preserve">CHL0041</t>
  </si>
  <si>
    <t xml:space="preserve">Aplicacion para administracion de microcomercios</t>
  </si>
  <si>
    <t xml:space="preserve">TRIBU_DE_UNA</t>
  </si>
  <si>
    <t xml:space="preserve">LUIS JAVIER MARIDUENA NOVILLO</t>
  </si>
  <si>
    <t xml:space="preserve">DIEGO ALBERTO ORDONEZ BARRIOS</t>
  </si>
  <si>
    <t xml:space="preserve">Ansible</t>
  </si>
  <si>
    <t xml:space="preserve">TIE0024</t>
  </si>
  <si>
    <t xml:space="preserve">Ansible Automation platform para automatizar la configuracion de la infrastructura</t>
  </si>
  <si>
    <t xml:space="preserve">Gerencia SRE</t>
  </si>
  <si>
    <t xml:space="preserve">GONZALO TRANCILLO</t>
  </si>
  <si>
    <t xml:space="preserve">DIANA CRISTINA AVEIGA LOVATO</t>
  </si>
  <si>
    <t xml:space="preserve">AntiDDoS Radware</t>
  </si>
  <si>
    <t xml:space="preserve">SEC0052</t>
  </si>
  <si>
    <t xml:space="preserve">Es un servicio que bloquea ataques volumétricos de las 3 redes públicas / 24 que el banco tiene adquirido</t>
  </si>
  <si>
    <t xml:space="preserve">APEX</t>
  </si>
  <si>
    <t xml:space="preserve">SEC0064</t>
  </si>
  <si>
    <t xml:space="preserve">Sistema de gestión de eventos de ciberdefensa</t>
  </si>
  <si>
    <t xml:space="preserve">Apigee</t>
  </si>
  <si>
    <t xml:space="preserve">INT0004</t>
  </si>
  <si>
    <t xml:space="preserve">No existe dentro del portafolio</t>
  </si>
  <si>
    <t xml:space="preserve">MARICELA NATALY ACUNA GUANOLUISA</t>
  </si>
  <si>
    <t xml:space="preserve">PABLO SANTIAGO DELGADO MONCAYO</t>
  </si>
  <si>
    <t xml:space="preserve">ANDREA ESTEFANIA CHAVEZ ORDONEZ</t>
  </si>
  <si>
    <t xml:space="preserve">APIM</t>
  </si>
  <si>
    <t xml:space="preserve">INT0016</t>
  </si>
  <si>
    <t xml:space="preserve">Servicio de Microsoft Azure API Management. Mantiene la gestión de las APIs, autorización de consumo y analítica de los componentes.</t>
  </si>
  <si>
    <t xml:space="preserve">JUAN CARLOS CONTRERAS PAREDES</t>
  </si>
  <si>
    <t xml:space="preserve">Atalla</t>
  </si>
  <si>
    <t xml:space="preserve">SEC0004</t>
  </si>
  <si>
    <t xml:space="preserve">Herramienta de generación de llaves de cifrado para la encripción del tráfico usado por varios aplicativos</t>
  </si>
  <si>
    <t xml:space="preserve">Athento</t>
  </si>
  <si>
    <t xml:space="preserve">TIE0025</t>
  </si>
  <si>
    <t xml:space="preserve">ECM Athento, es una herramienta de gestión de contenido transversal a institución, que cuenta con capacidades de ocr,ia, clasificación entre otras con la finalidad de dar gestión y almacenamiento a documentos</t>
  </si>
  <si>
    <t xml:space="preserve">COE_TRANSFORMACION_PROCESOS</t>
  </si>
  <si>
    <t xml:space="preserve">JAVIER ENRIQUE RIOS CASTILLO</t>
  </si>
  <si>
    <t xml:space="preserve">FREDI ALEXANDER ELIZALDE RODRIGUEZ</t>
  </si>
  <si>
    <t xml:space="preserve">SANTIAGO POSADA ZULUAGA</t>
  </si>
  <si>
    <t xml:space="preserve">AURO SUITE</t>
  </si>
  <si>
    <t xml:space="preserve">COR0003</t>
  </si>
  <si>
    <t xml:space="preserve">Sistema que permite gestionar los depósitos a plazo generados en Banco Pichincha por los segmentos de  bancas privada, empresarial y preferencial</t>
  </si>
  <si>
    <t xml:space="preserve">Tribu_Cores_Transacciones</t>
  </si>
  <si>
    <t xml:space="preserve">EDITH SUSANA ACUNA GARCIA</t>
  </si>
  <si>
    <t xml:space="preserve">Auth0</t>
  </si>
  <si>
    <t xml:space="preserve">SEC0051</t>
  </si>
  <si>
    <t xml:space="preserve">Auth0, es la nueva aplicación de autenticación para los clientes de canales digitales</t>
  </si>
  <si>
    <t xml:space="preserve">AutorizadorPichincha</t>
  </si>
  <si>
    <t xml:space="preserve">SEC0005</t>
  </si>
  <si>
    <t xml:space="preserve">Aplicación para generar una OTP para que el asesor ejecute la transacción financiera solicitada.</t>
  </si>
  <si>
    <t xml:space="preserve">Azure AD</t>
  </si>
  <si>
    <t xml:space="preserve">SEC0048</t>
  </si>
  <si>
    <t xml:space="preserve">Sincronización Usuarios Office 365</t>
  </si>
  <si>
    <t xml:space="preserve">MARIO ALBERTO TOSCANO GUANIN</t>
  </si>
  <si>
    <t xml:space="preserve">RICHARD FABRICIO BRIONES LAICA</t>
  </si>
  <si>
    <t xml:space="preserve">Cheque Image Server (CIS Totem)</t>
  </si>
  <si>
    <t xml:space="preserve">CHL0010</t>
  </si>
  <si>
    <t xml:space="preserve">Componente que permite el envío de imágenes de cheques desde cada ATM de Depositario hacia la solución de Canje Digital (CheqScan).</t>
  </si>
  <si>
    <t xml:space="preserve">Cisco Collector</t>
  </si>
  <si>
    <t xml:space="preserve">ITM0004</t>
  </si>
  <si>
    <t xml:space="preserve">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</si>
  <si>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 xml:space="preserve">MAURICIO FERNANDO NAVAS GALLARDO</t>
  </si>
  <si>
    <t xml:space="preserve">HECTOR DAVID CANTOS CEDENO</t>
  </si>
  <si>
    <t xml:space="preserve">COBIS BANCA COMUNAL</t>
  </si>
  <si>
    <t xml:space="preserve">PRD0052</t>
  </si>
  <si>
    <t xml:space="preserve">Gestión de préstamos colectivos.</t>
  </si>
  <si>
    <t xml:space="preserve">MYRIAM ADRIANA YANGUICELA TIPAN</t>
  </si>
  <si>
    <t xml:space="preserve">Compass</t>
  </si>
  <si>
    <t xml:space="preserve">SEC0076</t>
  </si>
  <si>
    <t xml:space="preserve">Sistema de alarmas</t>
  </si>
  <si>
    <t xml:space="preserve">LUIS ENRIQUE ALVAREZ GARCIA</t>
  </si>
  <si>
    <t xml:space="preserve">Compensacion</t>
  </si>
  <si>
    <t xml:space="preserve">SUP0025</t>
  </si>
  <si>
    <t xml:space="preserve">Aplicativo encargado de la generación de los archivos para la compensación de empresas de recaudación en CNB's. Frontea la gestión integral y parametrización relacionada con el servicio de compensación general de Banco Pichincha.</t>
  </si>
  <si>
    <t xml:space="preserve">EMPRESAS</t>
  </si>
  <si>
    <t xml:space="preserve">MIRTHA CATHERINE ARCELA ESPINOZA</t>
  </si>
  <si>
    <t xml:space="preserve">GONZALO MARCELO NAZATI GONZALEZ</t>
  </si>
  <si>
    <t xml:space="preserve">FRANKLIN HAYBECK SERRANO GOMEZ</t>
  </si>
  <si>
    <t xml:space="preserve">Compra de Cartera</t>
  </si>
  <si>
    <t xml:space="preserve">PRD0013</t>
  </si>
  <si>
    <t xml:space="preserve">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</si>
  <si>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 xml:space="preserve">Carlos Ernesto Bolanos Abad</t>
  </si>
  <si>
    <t xml:space="preserve">Conexión Empresas Online</t>
  </si>
  <si>
    <t xml:space="preserve">PAY0005</t>
  </si>
  <si>
    <t xml:space="preserve">Front del Sitio Web que permite administrar tarjetas prepago.</t>
  </si>
  <si>
    <t xml:space="preserve">DAVID ALEJANDRO CHAVEZ PENAHERRERA</t>
  </si>
  <si>
    <t xml:space="preserve">HENRRY DANIEL MORETA IZA</t>
  </si>
  <si>
    <t xml:space="preserve">Conexión Personas Online</t>
  </si>
  <si>
    <t xml:space="preserve">PAY0006</t>
  </si>
  <si>
    <t xml:space="preserve">Configuración Centralizada</t>
  </si>
  <si>
    <t xml:space="preserve">SEC0008</t>
  </si>
  <si>
    <t xml:space="preserve">Aplicativo que permite la administración de las configuraciones de comunicación de las distintas aplicaciones: servidores, usuarios, cadenas de conexión, bases de datos, servicios.</t>
  </si>
  <si>
    <t xml:space="preserve">RODNEY XAVIER JACOME TERAN</t>
  </si>
  <si>
    <t xml:space="preserve">Confluent</t>
  </si>
  <si>
    <t xml:space="preserve">OMN0002</t>
  </si>
  <si>
    <t xml:space="preserve">JOHANNA ELIZABETH CARANGUI VIVAR</t>
  </si>
  <si>
    <t xml:space="preserve">Control-M</t>
  </si>
  <si>
    <t xml:space="preserve">ITM0008</t>
  </si>
  <si>
    <t xml:space="preserve">Herramienta Schedule (Calendarización y ejecución de Procesos Batch)</t>
  </si>
  <si>
    <t xml:space="preserve">Gerencia Servicios Producción Tecnológica</t>
  </si>
  <si>
    <t xml:space="preserve">MARIO SIXTO ZEGARRA OREZZOLI</t>
  </si>
  <si>
    <t xml:space="preserve">XAVIER ALEJANDRO JARAMILLO CEVALLOS</t>
  </si>
  <si>
    <t xml:space="preserve">Copy Services Manager</t>
  </si>
  <si>
    <t xml:space="preserve">ITM0009</t>
  </si>
  <si>
    <t xml:space="preserve">Software Administración de Replicas del Storage</t>
  </si>
  <si>
    <t xml:space="preserve">PABLO RAUL CAICEDO ARELLANO</t>
  </si>
  <si>
    <t xml:space="preserve">Coren WEB</t>
  </si>
  <si>
    <t xml:space="preserve">SEC0071</t>
  </si>
  <si>
    <t xml:space="preserve">Cerraduras electrónicas</t>
  </si>
  <si>
    <t xml:space="preserve">CreditLens</t>
  </si>
  <si>
    <t xml:space="preserve">RIS0004</t>
  </si>
  <si>
    <t xml:space="preserve">Motor de cálculo de banca para proyecciones, balances, representa el 1/3 de las funciones del Banco. para pymes y  empresas</t>
  </si>
  <si>
    <t xml:space="preserve">EDISON JAVIER RODRIGUEZ SIMBANA</t>
  </si>
  <si>
    <t xml:space="preserve">CREDITO EN LINEA</t>
  </si>
  <si>
    <t xml:space="preserve">PRD0046</t>
  </si>
  <si>
    <t xml:space="preserve">Aplicación para la generación, simulación y desembolso de créditos preciso preaprobados.</t>
  </si>
  <si>
    <t xml:space="preserve">TATIANA ISABEL ZAMORA VILLAVICENCIO</t>
  </si>
  <si>
    <t xml:space="preserve">Crédito Hipotecario</t>
  </si>
  <si>
    <t xml:space="preserve">PRD0047</t>
  </si>
  <si>
    <t xml:space="preserve">Portal para Autogestion de creditos hipotecarios</t>
  </si>
  <si>
    <t xml:space="preserve">SAMIRA ISABEL RABIE CABEZAS</t>
  </si>
  <si>
    <t xml:space="preserve">Azure Devops</t>
  </si>
  <si>
    <t xml:space="preserve">ITM0072</t>
  </si>
  <si>
    <t xml:space="preserve">Servicio CI/CD</t>
  </si>
  <si>
    <t xml:space="preserve">COE de Ingeniería</t>
  </si>
  <si>
    <t xml:space="preserve">GERMAN MARTIN GUTIERREZ</t>
  </si>
  <si>
    <t xml:space="preserve">Deuna Backoffice</t>
  </si>
  <si>
    <t xml:space="preserve">SUP0030</t>
  </si>
  <si>
    <t xml:space="preserve">Aplicacion micro Front end que permite autogestión del comercio para la configuración del negocio, consilización y ajustes contables</t>
  </si>
  <si>
    <t xml:space="preserve">Bactrader</t>
  </si>
  <si>
    <t xml:space="preserve">SUP0004</t>
  </si>
  <si>
    <t xml:space="preserve">Aplicación que permite el manejo de inversiones a nivel de clientes corporativos y Banca Privada (Clientes Naturales).</t>
  </si>
  <si>
    <t xml:space="preserve">MARIA ISABEL AYALA HIDALGO</t>
  </si>
  <si>
    <t xml:space="preserve">Bancs</t>
  </si>
  <si>
    <t xml:space="preserve">COR0004</t>
  </si>
  <si>
    <t xml:space="preserve">Core bancario del Banco Pichincha. Permite el manejo de funciones como: banca universal, banca central, pagos, administración de patrimonio, mercados de divisas y dinero, cumplimiento, seguros, procesamiento de valores, custodia, inclusión financiera. Contiene los módulos de Activos, Pasivos, Clientes, Parámetros.</t>
  </si>
  <si>
    <t xml:space="preserve">Switch Transaccional</t>
  </si>
  <si>
    <t xml:space="preserve">BancsLink</t>
  </si>
  <si>
    <t xml:space="preserve">COR0005</t>
  </si>
  <si>
    <t xml:space="preserve">Front del Core Bancario Bancs encargado de presentar una interfaz de  usuario para la ejecucion de diversas transacciones financieras y no financieras.</t>
  </si>
  <si>
    <t xml:space="preserve">Banner Campañas</t>
  </si>
  <si>
    <t xml:space="preserve">CUS0018</t>
  </si>
  <si>
    <t xml:space="preserve">Banner para campañas de marketing</t>
  </si>
  <si>
    <t xml:space="preserve">ESTEFANY CAROLINA GONGORA PAREDES</t>
  </si>
  <si>
    <t xml:space="preserve">Componente</t>
  </si>
  <si>
    <t xml:space="preserve">Banred ON2 (Pago directo)</t>
  </si>
  <si>
    <t xml:space="preserve">PRD0037</t>
  </si>
  <si>
    <t xml:space="preserve">WILLIAM RENATO CALDERON ROSERO</t>
  </si>
  <si>
    <t xml:space="preserve">JULIO CESAR VEGA GUZMAN</t>
  </si>
  <si>
    <t xml:space="preserve">Procesamiento Datos Onpremise</t>
  </si>
  <si>
    <t xml:space="preserve">DAT0002</t>
  </si>
  <si>
    <t xml:space="preserve">Bodega de datos centralizada para fines analíticos. Información de clientes, activos, pasivos, tarjeta de crédito, tesorería, recursos humanos, CNB's, ventanillas, Banca Digital, Banca Móvil, ATM's, sistema integrado de información - rentabilidad, costos -.</t>
  </si>
  <si>
    <t xml:space="preserve">CARLOS ALBERTO DURAN LOPEZ</t>
  </si>
  <si>
    <t xml:space="preserve">Datos</t>
  </si>
  <si>
    <t xml:space="preserve">BECLEVER</t>
  </si>
  <si>
    <t xml:space="preserve">RIS0003</t>
  </si>
  <si>
    <t xml:space="preserve">Motor de Decisión que realiza la calificación de créditos de un cliente.</t>
  </si>
  <si>
    <t xml:space="preserve">Billetera Pichincha</t>
  </si>
  <si>
    <t xml:space="preserve">CHL0033</t>
  </si>
  <si>
    <t xml:space="preserve">Aplicación móvil para realizar pagos entre personas y comercios.</t>
  </si>
  <si>
    <t xml:space="preserve">Biocatch</t>
  </si>
  <si>
    <t xml:space="preserve">SEC0006</t>
  </si>
  <si>
    <t xml:space="preserve">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</si>
  <si>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 xml:space="preserve">DAVID OCTAVIO CORDOVA COLLAHUAZO</t>
  </si>
  <si>
    <t xml:space="preserve">BMC TSSA</t>
  </si>
  <si>
    <t xml:space="preserve">ITM0076</t>
  </si>
  <si>
    <t xml:space="preserve">Agente para el control de Automatización</t>
  </si>
  <si>
    <t xml:space="preserve">Gerencia Ingeniería de Seguridad Tecnológica</t>
  </si>
  <si>
    <t xml:space="preserve">PABLO ALEJANDRO VERDESOTO AVILES</t>
  </si>
  <si>
    <t xml:space="preserve">MAURICIO JAVIER BALDEON GARZON</t>
  </si>
  <si>
    <t xml:space="preserve">BP-MOVIL</t>
  </si>
  <si>
    <t xml:space="preserve">CHL0007</t>
  </si>
  <si>
    <t xml:space="preserve">APP BP-MOVIL, aplicación móvil Banco Pichincha, en la que podrá consultar posicion consolidada, consultar últimos movimientos, realizar transferencias.</t>
  </si>
  <si>
    <t xml:space="preserve">BPOne</t>
  </si>
  <si>
    <t xml:space="preserve">CHL0045</t>
  </si>
  <si>
    <t xml:space="preserve">BPOne es el portal único para la atención de los clientes en los canales físicos (Agencias y Call Center).</t>
  </si>
  <si>
    <t xml:space="preserve">DIEGO ROBERTO GORDON UCHUARI</t>
  </si>
  <si>
    <t xml:space="preserve">LUIS FERNANDO CORDOVAS RODAS</t>
  </si>
  <si>
    <t xml:space="preserve">Bridger Insight XG Enterprise</t>
  </si>
  <si>
    <t xml:space="preserve">GOB0011</t>
  </si>
  <si>
    <t xml:space="preserve">Aplicación que administra la gestión de Lista de Observados, permite realizar las búsquedas de un cliente determinado en las listas que se configuren.</t>
  </si>
  <si>
    <t xml:space="preserve">CRISTIAN IVAN SOLORZANO MAYA</t>
  </si>
  <si>
    <t xml:space="preserve">Cadenas de Valor</t>
  </si>
  <si>
    <t xml:space="preserve">PRD0062</t>
  </si>
  <si>
    <t xml:space="preserve">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</si>
  <si>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 xml:space="preserve">CAFServer (TOTEM)</t>
  </si>
  <si>
    <t xml:space="preserve">PAY0003</t>
  </si>
  <si>
    <t xml:space="preserve">Aplicación que permite gestionar la seguridad, la validación, sincronización, consulta de datos de tarjetas de débito. Apalanca el funcionamiento del StandIn en Banred.</t>
  </si>
  <si>
    <t xml:space="preserve">Calificación Crediticia</t>
  </si>
  <si>
    <t xml:space="preserve">RIS0018</t>
  </si>
  <si>
    <t xml:space="preserve">La calificación crediticia es una funcionalidad que nos permite comunicar a nuestros clientes la importancia de tener una buena salud financiera, entendiendo los diferentes factores clave y productos que mantiene con nosotros.</t>
  </si>
  <si>
    <t xml:space="preserve">CapturadeFirmas</t>
  </si>
  <si>
    <t xml:space="preserve">TIE0004</t>
  </si>
  <si>
    <t xml:space="preserve">Aplicación que permite digitalizar las imágenes de las firmas, sellos y  sellos secos capturadas en las transacciones del Banco que requieren este tipo de autenticación. Es utilizado por el Front operativo de Banco y Operaciones TCS</t>
  </si>
  <si>
    <t xml:space="preserve">CAR Sectorial Digital</t>
  </si>
  <si>
    <t xml:space="preserve">PRD0010</t>
  </si>
  <si>
    <t xml:space="preserve">Aplicación usada por oficiales de Crédito para realizar el análisis de los clientes</t>
  </si>
  <si>
    <t xml:space="preserve">CardHolder</t>
  </si>
  <si>
    <t xml:space="preserve">PAY0004</t>
  </si>
  <si>
    <t xml:space="preserve">Aplicación utilizada por el Balcón de Servicios para ejecutar los  procesos de  registro, solicitud, emisión, entrega, activación, modificación, reposición y cancelación de tarjetas débito</t>
  </si>
  <si>
    <t xml:space="preserve">CARTERA_CASTIGADA</t>
  </si>
  <si>
    <t xml:space="preserve">RIS0020</t>
  </si>
  <si>
    <t xml:space="preserve">CashManagement</t>
  </si>
  <si>
    <t xml:space="preserve">PRD0012</t>
  </si>
  <si>
    <t xml:space="preserve">Componente front que expone la funcionalidad de CashManagement.</t>
  </si>
  <si>
    <t xml:space="preserve">MARIA GABRIELA GAVILANES BARRERA</t>
  </si>
  <si>
    <t xml:space="preserve">Celonis</t>
  </si>
  <si>
    <t xml:space="preserve">TIE0022</t>
  </si>
  <si>
    <t xml:space="preserve">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</si>
  <si>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 xml:space="preserve">JOHANNA PAOLA ZAPATTA CARTAGENA</t>
  </si>
  <si>
    <t xml:space="preserve">Cheqscan</t>
  </si>
  <si>
    <t xml:space="preserve">PAY0002</t>
  </si>
  <si>
    <t xml:space="preserve">Sistema actual de procesamiento de cheques</t>
  </si>
  <si>
    <t xml:space="preserve">JOHANNA GABRIELA GUERRERO SANTAMARIA</t>
  </si>
  <si>
    <t xml:space="preserve">ACL Robotics Enterprise</t>
  </si>
  <si>
    <t xml:space="preserve">GOB0010</t>
  </si>
  <si>
    <t xml:space="preserve">Aplicación para la automatización de flujos de auditoría, desde la extracción de los datos fuentes, hasta la gestión de notificaciones y excepciones</t>
  </si>
  <si>
    <t xml:space="preserve">Active Directory</t>
  </si>
  <si>
    <t xml:space="preserve">SEC0047</t>
  </si>
  <si>
    <t xml:space="preserve">Controladores de Dominio</t>
  </si>
  <si>
    <t xml:space="preserve">Administrador de Crédito</t>
  </si>
  <si>
    <t xml:space="preserve">RIS0001</t>
  </si>
  <si>
    <t xml:space="preserve">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</si>
  <si>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 xml:space="preserve">Administrador de Débitos Automáticos</t>
  </si>
  <si>
    <t xml:space="preserve">RIS0013</t>
  </si>
  <si>
    <t xml:space="preserve">El front de débitos es para parametrizar la priroización del cobro entre productos de acuerdo a su morosidad, tipos de cuentas, cartera vencida conforme la estrategia de recaudación establecida por la Gerencia de Recuperación y Cobranza.</t>
  </si>
  <si>
    <t xml:space="preserve">Administrador de Líneas de Crédito</t>
  </si>
  <si>
    <t xml:space="preserve">RIS0002</t>
  </si>
  <si>
    <t xml:space="preserve">Aplicación utilizada por las áreas de Riesgo y Comercial. Se utiliza para la creación y administración de líneas (e.g. cupo utilizado, tipo de crédito) y de cupos de crédito aprobados a clientes del Banco Pichincha</t>
  </si>
  <si>
    <t xml:space="preserve">Administrador de Parámetros</t>
  </si>
  <si>
    <t xml:space="preserve">PRD0034</t>
  </si>
  <si>
    <t xml:space="preserve">Aplicativo utilizado por Banco y Operaciones TCS, para la administración del proceso de remesas (envío de dinero desde y hacia el extranjero), estados y las operaciones realizados sobre las mismas. Permite también gestionar el proceso de referidos.</t>
  </si>
  <si>
    <t xml:space="preserve">EDISON GABRIEL VILLAMAR MARTINEZ</t>
  </si>
  <si>
    <t xml:space="preserve">PAUL ALEJANDRO AGUAYO ELDREDGE</t>
  </si>
  <si>
    <t xml:space="preserve">Administrador Omnicanal</t>
  </si>
  <si>
    <t xml:space="preserve">CHL0003</t>
  </si>
  <si>
    <t xml:space="preserve">Aplicación de administración de omnicanalidad que permite la parametrización para interactuar y llevar a cabo las transacciones por Banca Digital (CXP).</t>
  </si>
  <si>
    <t xml:space="preserve">Administrador Referencias</t>
  </si>
  <si>
    <t xml:space="preserve">PRD0001</t>
  </si>
  <si>
    <t xml:space="preserve">Aplicación que permite la administración y configuración de usuarios de las empresas  que contratan el servicio para visualizar los  Informes de Crédito (Referencias Bancarias) de los clientes del Banco del Pichincha.</t>
  </si>
  <si>
    <t xml:space="preserve">Fernando Ivan Flores Sanchez</t>
  </si>
  <si>
    <t xml:space="preserve">Operación de Estructuras Normativas UAFE / RML</t>
  </si>
  <si>
    <t xml:space="preserve">GOB0002</t>
  </si>
  <si>
    <t xml:space="preserve">Aplicación en Intranet que permite la carga y procesamiento de información para la generación de reportes para los entes de control como la Superintendencia de Bancos y SRI.</t>
  </si>
  <si>
    <t xml:space="preserve">Operación y Mantenimiento de Datos</t>
  </si>
  <si>
    <t xml:space="preserve">CESAR MAURICIO PANTOJA MIRANDA</t>
  </si>
  <si>
    <t xml:space="preserve">Adobe suite</t>
  </si>
  <si>
    <t xml:space="preserve">EDC0001</t>
  </si>
  <si>
    <t xml:space="preserve">Conjunto de programas para edicion de video fotografia e imagenes vectoriales.</t>
  </si>
  <si>
    <t xml:space="preserve">Akamai WAF</t>
  </si>
  <si>
    <t xml:space="preserve">SEC0002</t>
  </si>
  <si>
    <t xml:space="preserve">Alarmnet</t>
  </si>
  <si>
    <t xml:space="preserve">SEC0043</t>
  </si>
  <si>
    <t xml:space="preserve">Sistema de programación para comunicación de alarmas.</t>
  </si>
  <si>
    <t xml:space="preserve">Firemon</t>
  </si>
  <si>
    <t xml:space="preserve">SEC0021</t>
  </si>
  <si>
    <t xml:space="preserve">Herramienta de reportería y auditoría de reglas de Firewall. Permite administrar y controlar de manera centralizada los firewalls que funcionan en la red. Proporciona visibilidad, control y administración de las reglas de firewall.</t>
  </si>
  <si>
    <t xml:space="preserve">Forcepoint DLP</t>
  </si>
  <si>
    <t xml:space="preserve">SEC0022</t>
  </si>
  <si>
    <t xml:space="preserve">Forcepoint DLP Endpoint es una herramienta  diseñada para organizaciones preocupadas por la pérdida de datos que se origina en la máquina del punto final, ya sea de</t>
  </si>
  <si>
    <t xml:space="preserve">Frontify</t>
  </si>
  <si>
    <t xml:space="preserve">EDC0003</t>
  </si>
  <si>
    <t xml:space="preserve">Repositorio de documentacion de definiciones de diseño.</t>
  </si>
  <si>
    <t xml:space="preserve">FREDDY LEONARDO ABAD LEON</t>
  </si>
  <si>
    <t xml:space="preserve">GAF</t>
  </si>
  <si>
    <t xml:space="preserve">COR0007</t>
  </si>
  <si>
    <t xml:space="preserve">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</si>
  <si>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 xml:space="preserve">ANDREA ESTEFANIA ANGULO ALMEIDA</t>
  </si>
  <si>
    <t xml:space="preserve">GEENERA</t>
  </si>
  <si>
    <t xml:space="preserve">SUP0007</t>
  </si>
  <si>
    <t xml:space="preserve">Aplicación para el manejo de información relacionada con recursos humanos de Banco Pichincha.</t>
  </si>
  <si>
    <t xml:space="preserve">Genesys Cloud</t>
  </si>
  <si>
    <t xml:space="preserve">CHL0040</t>
  </si>
  <si>
    <t xml:space="preserve">Solución de contact center como servicio que permite la comunicación de los clientes en los distintos canales como voz, mensajería o correo</t>
  </si>
  <si>
    <t xml:space="preserve">JOSE LUIS MONTUFAR ZAMBRANO</t>
  </si>
  <si>
    <t xml:space="preserve">DANIEL PATRICIO PAZ ENRIQUEZ</t>
  </si>
  <si>
    <t xml:space="preserve">Gestión de Liquidez 2.0</t>
  </si>
  <si>
    <t xml:space="preserve">SUP0009</t>
  </si>
  <si>
    <t xml:space="preserve">Aplicación la cual controla y revisa la liquidez del banco tanto externa como interna</t>
  </si>
  <si>
    <t xml:space="preserve">Gestión del Efectivo</t>
  </si>
  <si>
    <t xml:space="preserve">SUP0032</t>
  </si>
  <si>
    <t xml:space="preserve">Aplicativo de manejo de masa monetaria del banco, agencias, centros de acopio, BCE</t>
  </si>
  <si>
    <t xml:space="preserve">Gestion Identidades-WSO2 Interna</t>
  </si>
  <si>
    <t xml:space="preserve">SEC0024</t>
  </si>
  <si>
    <t xml:space="preserve">Aplicativo Gestión Identidades</t>
  </si>
  <si>
    <t xml:space="preserve">Go Anywhere Gateway</t>
  </si>
  <si>
    <t xml:space="preserve">INT0002</t>
  </si>
  <si>
    <t xml:space="preserve">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</si>
  <si>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 xml:space="preserve">LUIS ERNESTO ALMEIDA ZAMBRANO</t>
  </si>
  <si>
    <t xml:space="preserve">Go Anywhere MFT</t>
  </si>
  <si>
    <t xml:space="preserve">INT0003</t>
  </si>
  <si>
    <t xml:space="preserve">Herramienta para la gestión centralizada de transferencia de archivos de MFT (Managment File Transfer) para Banco Pichincha, la cual reemplaza los actuales servicios FTP/SFTP de manera segura, confiable, con alta disponibilidad y de altas prestaciones.</t>
  </si>
  <si>
    <t xml:space="preserve">DAVID SEBASTIAN CHAGUARO VASCONEZ</t>
  </si>
  <si>
    <t xml:space="preserve">Golden Gate</t>
  </si>
  <si>
    <t xml:space="preserve">DAT0017</t>
  </si>
  <si>
    <t xml:space="preserve">Replicación de Datos, de uso primario en Banca Móvil</t>
  </si>
  <si>
    <t xml:space="preserve">JUAN FRANCISCO MALDONADO TORRES</t>
  </si>
  <si>
    <t xml:space="preserve">Google Analytics</t>
  </si>
  <si>
    <t xml:space="preserve">EDC0004</t>
  </si>
  <si>
    <t xml:space="preserve">EMMANUELLE SEGOLENE REPAIN DAPHNE</t>
  </si>
  <si>
    <t xml:space="preserve">Grafana</t>
  </si>
  <si>
    <t xml:space="preserve">ITM0023</t>
  </si>
  <si>
    <t xml:space="preserve">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</si>
  <si>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 xml:space="preserve">ERICK GABRIEL TORRES NEVAREZ</t>
  </si>
  <si>
    <t xml:space="preserve">HUGO ARIEL COSENTINO</t>
  </si>
  <si>
    <t xml:space="preserve">HCP Anywhere</t>
  </si>
  <si>
    <t xml:space="preserve">ITM0024</t>
  </si>
  <si>
    <t xml:space="preserve">Consola administración storage HCP Anywhere</t>
  </si>
  <si>
    <t xml:space="preserve">Hitachi Administrator</t>
  </si>
  <si>
    <t xml:space="preserve">ITM0025</t>
  </si>
  <si>
    <t xml:space="preserve">Herramienta de administración de los almacenamientos Hitachi G700 y G900</t>
  </si>
  <si>
    <t xml:space="preserve">Home Folder</t>
  </si>
  <si>
    <t xml:space="preserve">ITM0026</t>
  </si>
  <si>
    <t xml:space="preserve">Herramienta comparticion de carpetas y archivos</t>
  </si>
  <si>
    <t xml:space="preserve">JAIME NICOLAS FUSEAU AYALA</t>
  </si>
  <si>
    <t xml:space="preserve">Componentes Arquitectura</t>
  </si>
  <si>
    <t xml:space="preserve">ITM0027</t>
  </si>
  <si>
    <t xml:space="preserve">SILVIA GALLAGA MADRID</t>
  </si>
  <si>
    <t xml:space="preserve">CATALINA ALEXANDRA ALDAZ FLORES</t>
  </si>
  <si>
    <t xml:space="preserve">Horas extras</t>
  </si>
  <si>
    <t xml:space="preserve">SUP0010</t>
  </si>
  <si>
    <t xml:space="preserve">Aplicativo en donde los colaboradores registran las horas laborables adicionales a su jornada</t>
  </si>
  <si>
    <t xml:space="preserve">IAM- Gestion de Gobierno de identidades</t>
  </si>
  <si>
    <t xml:space="preserve">SEC0079</t>
  </si>
  <si>
    <t xml:space="preserve">Plataforma para gestionar el gobierno de identidades (personas, personal externo, cuentas de servicio) de Banco. Que permite automatizar ingresos, salidas, actualización de identidades así como la certificación de accesos y la obtención de reportes de identidad</t>
  </si>
  <si>
    <t xml:space="preserve">CARLOS ALBERTO RAMIREZ ESPINOSA</t>
  </si>
  <si>
    <t xml:space="preserve">HECTOR JOSE TRUJILLO GRANADOS</t>
  </si>
  <si>
    <t xml:space="preserve">IBM Business Process Manager</t>
  </si>
  <si>
    <t xml:space="preserve">TIE0006</t>
  </si>
  <si>
    <t xml:space="preserve">BPM presenta flujos para manejo de activos (créditos), pasivos (cámara y certificados de depósito), desembolso Credife, centro de autorización, oferta de créditos fabricalizados y tarjetas.</t>
  </si>
  <si>
    <t xml:space="preserve">PLATAFORMA</t>
  </si>
  <si>
    <t xml:space="preserve">Johanna Elizabeth Carangui Vivar</t>
  </si>
  <si>
    <t xml:space="preserve">IBM FileNet</t>
  </si>
  <si>
    <t xml:space="preserve">TIE0008</t>
  </si>
  <si>
    <t xml:space="preserve">Aplicación que permite administrar los documentos habilitantes para determinados trámites que realiza el cliente.</t>
  </si>
  <si>
    <t xml:space="preserve">IBM Operational Decision Manager (ODM)</t>
  </si>
  <si>
    <t xml:space="preserve">OMN0003</t>
  </si>
  <si>
    <t xml:space="preserve">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</si>
  <si>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 xml:space="preserve">PABLO VINICIO PONCE GONZALEZ</t>
  </si>
  <si>
    <t xml:space="preserve">IBM Spectrum Control</t>
  </si>
  <si>
    <t xml:space="preserve">ITM0034</t>
  </si>
  <si>
    <t xml:space="preserve">Herramienta de Monitore para Storage IBM</t>
  </si>
  <si>
    <t xml:space="preserve">Sonar Optimizer</t>
  </si>
  <si>
    <t xml:space="preserve">ITM0118</t>
  </si>
  <si>
    <t xml:space="preserve">Sonar Optimizer es una aplicación diseñada para optimizar el análisis de código estático 
realizado por SonarCloud. La solución centraliza los resultados en una base de datos 
institucional, evitando reprocesamientos y reduciendo costos operativos. Además, 
cuenta con una interfaz web que permite visualizar métricas clave, detalles del Quality 
Gate y tendencias de calidad, facilitando la toma de decisiones técnicas.</t>
  </si>
  <si>
    <t xml:space="preserve">GUILLERMO GABRIEL DEPRATI</t>
  </si>
  <si>
    <t xml:space="preserve">ALEJANDRO JAVIER USHCA FLORES</t>
  </si>
  <si>
    <t xml:space="preserve">Zendesk</t>
  </si>
  <si>
    <t xml:space="preserve">CUS0020</t>
  </si>
  <si>
    <t xml:space="preserve">Seguridad Perimetral Firewall Onpremise</t>
  </si>
  <si>
    <t xml:space="preserve">SEC0081</t>
  </si>
  <si>
    <t xml:space="preserve">Workvivo</t>
  </si>
  <si>
    <t xml:space="preserve">SUP0066</t>
  </si>
  <si>
    <t xml:space="preserve">WORKVIVO es una aplicación que habilita la comunicación organizacional interna para fomentar la cohesión, impulsar el compromiso de los colaboradores y reforzar los pilares de la institución en cualquier lugar de trabajo.</t>
  </si>
  <si>
    <t xml:space="preserve">MOTOR DECISIONAL</t>
  </si>
  <si>
    <t xml:space="preserve">RIS0021</t>
  </si>
  <si>
    <t xml:space="preserve">GINO LUCIANO VERA MIMBELA</t>
  </si>
  <si>
    <t xml:space="preserve">Swift Alliance Fullstack (ALLIANCE WEBPLATAFORM)</t>
  </si>
  <si>
    <t xml:space="preserve">GI0003</t>
  </si>
  <si>
    <t xml:space="preserve">Reporting Services Negocio Automotriz</t>
  </si>
  <si>
    <t xml:space="preserve">GI00001</t>
  </si>
  <si>
    <t xml:space="preserve">Reporting Services Negocio Automotriz - AMERAFIN</t>
  </si>
  <si>
    <t xml:space="preserve">Swift Alliance Fullstack (ALLIANCE GATEWAY)</t>
  </si>
  <si>
    <t xml:space="preserve">GI0002</t>
  </si>
  <si>
    <t xml:space="preserve">Seguridad Perimetral Firewall Onpremise (BPAC)</t>
  </si>
  <si>
    <t xml:space="preserve">GI0005</t>
  </si>
  <si>
    <t xml:space="preserve">Comunicaciones Unificadas</t>
  </si>
  <si>
    <t xml:space="preserve">ITM0104</t>
  </si>
  <si>
    <t xml:space="preserve">Comunicaciones Unificadas es una Plataforma AudioCodes para gestión de recursos 
telefónicos de banco que tiene integración nativa con MS Teams.</t>
  </si>
  <si>
    <t xml:space="preserve">ROSITA LORENA CHAVEZ CABRERA</t>
  </si>
  <si>
    <t xml:space="preserve">Intune - MAM</t>
  </si>
  <si>
    <t xml:space="preserve">GI0006</t>
  </si>
  <si>
    <t xml:space="preserve">Microsoft Intune es un servicio de gestión de dispositivos y aplicaciones (MAM) basado en la nube. Permite administrar, asegurar y cumplir políticas en dispositivos Windows, macOS, iOS y Android, protegiendo el acceso a datos corporativos.</t>
  </si>
  <si>
    <t xml:space="preserve">Microsoft Purview</t>
  </si>
  <si>
    <t xml:space="preserve">GI0007</t>
  </si>
  <si>
    <t xml:space="preserve">Microsoft Purview es una solución unificada de gobierno, cumplimiento y protección de datos de Microsoft. Permite clasificar, descubrir, proteger y cumplir regulaciones sobre datos y riesgos en Microsoft 365, Azure y entornos híbridos.</t>
  </si>
  <si>
    <t xml:space="preserve">Microsoft Defender Apps</t>
  </si>
  <si>
    <t xml:space="preserve">GI0008</t>
  </si>
  <si>
    <t xml:space="preserve">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</si>
  <si>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 xml:space="preserve">JP Morgan</t>
  </si>
  <si>
    <t xml:space="preserve">GI0010</t>
  </si>
  <si>
    <t xml:space="preserve">Aplicacion de Tesoreria</t>
  </si>
  <si>
    <t xml:space="preserve">Loginter</t>
  </si>
  <si>
    <t xml:space="preserve">GI0011</t>
  </si>
  <si>
    <t xml:space="preserve">Logistica</t>
  </si>
  <si>
    <t xml:space="preserve">Model Risk Hub</t>
  </si>
  <si>
    <t xml:space="preserve">GI0013</t>
  </si>
  <si>
    <t xml:space="preserve">Riesgos</t>
  </si>
  <si>
    <t xml:space="preserve">MISP</t>
  </si>
  <si>
    <t xml:space="preserve">SEC0092</t>
  </si>
  <si>
    <t xml:space="preserve">JAIME ERNESTO ESPINOSA CABEZAS</t>
  </si>
  <si>
    <t xml:space="preserve">FABRICIO ANDRES ZULES ACOSTA</t>
  </si>
  <si>
    <t xml:space="preserve">Swift O2M</t>
  </si>
  <si>
    <t xml:space="preserve">GI0019</t>
  </si>
  <si>
    <t xml:space="preserve">WELLSFARGO</t>
  </si>
  <si>
    <t xml:space="preserve">GI0021</t>
  </si>
  <si>
    <t xml:space="preserve">TESORERIA</t>
  </si>
  <si>
    <t xml:space="preserve">Deuna Personas V2</t>
  </si>
  <si>
    <t xml:space="preserve">CHL0039</t>
  </si>
  <si>
    <t xml:space="preserve">Aplicacion movil para realizar pagos entre personas y comercios</t>
  </si>
  <si>
    <t xml:space="preserve">Diferidos Consumo</t>
  </si>
  <si>
    <t xml:space="preserve">PAY0027</t>
  </si>
  <si>
    <t xml:space="preserve">Dieferir la Lista de consumos en el mes, seleccionar  y puede diferir a 3,6,9,12 meses.</t>
  </si>
  <si>
    <t xml:space="preserve">DLS5</t>
  </si>
  <si>
    <t xml:space="preserve">SEC0074</t>
  </si>
  <si>
    <t xml:space="preserve">DNA Center</t>
  </si>
  <si>
    <t xml:space="preserve">ITM0011</t>
  </si>
  <si>
    <t xml:space="preserve">Herramienta Gestión y monitoreo equipos SD-ACCESS</t>
  </si>
  <si>
    <t xml:space="preserve">Doka -Comex</t>
  </si>
  <si>
    <t xml:space="preserve">PRD0016</t>
  </si>
  <si>
    <t xml:space="preserve">LEONOR FABIOLA CORRAL GAONA</t>
  </si>
  <si>
    <t xml:space="preserve">Dynamic Codes</t>
  </si>
  <si>
    <t xml:space="preserve">SEC0070</t>
  </si>
  <si>
    <t xml:space="preserve">Dynatrace</t>
  </si>
  <si>
    <t xml:space="preserve">ITM0013</t>
  </si>
  <si>
    <t xml:space="preserve">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</si>
  <si>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 xml:space="preserve">EBS</t>
  </si>
  <si>
    <t xml:space="preserve">SUP0006</t>
  </si>
  <si>
    <t xml:space="preserve">Aplicación que permite manejar los procesos contables y administrativos de Banco Pichincha.</t>
  </si>
  <si>
    <t xml:space="preserve">EFT Enterprise SFTP</t>
  </si>
  <si>
    <t xml:space="preserve">ITM0014</t>
  </si>
  <si>
    <t xml:space="preserve">Herramienta de FTP Seguro para transferencia de archivos</t>
  </si>
  <si>
    <t xml:space="preserve">Elastic (ELK) Stack</t>
  </si>
  <si>
    <t xml:space="preserve">ITM0015</t>
  </si>
  <si>
    <t xml:space="preserve">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</si>
  <si>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 xml:space="preserve">Enforcive Enterprise Security</t>
  </si>
  <si>
    <t xml:space="preserve">SEC0017</t>
  </si>
  <si>
    <t xml:space="preserve">Solución de administración de seguridad y cumplimiento de TI</t>
  </si>
  <si>
    <t xml:space="preserve">TEC_INCIDENT_PRUEBA</t>
  </si>
  <si>
    <t xml:space="preserve">DANNY ALEXANDER BASTIDAS FLORES</t>
  </si>
  <si>
    <t xml:space="preserve">Marco Antonio PACHECO MARCO</t>
  </si>
  <si>
    <t xml:space="preserve">Entidad Certificadora INTERNA</t>
  </si>
  <si>
    <t xml:space="preserve">SEC0018</t>
  </si>
  <si>
    <t xml:space="preserve">Entidad de confianza, responsable de emitir y revocar los certificados digitales internos de Banco Pichincha</t>
  </si>
  <si>
    <t xml:space="preserve">Trellix</t>
  </si>
  <si>
    <t xml:space="preserve">SEC0019</t>
  </si>
  <si>
    <t xml:space="preserve">Herramienta de seguridad Punto final para ATMs NCR - C00013174</t>
  </si>
  <si>
    <t xml:space="preserve">Excepciones</t>
  </si>
  <si>
    <t xml:space="preserve">RIS0005</t>
  </si>
  <si>
    <t xml:space="preserve">Sistema que permite a la unidad de riesgos de BP gestionar las excepciones de un cliente.</t>
  </si>
  <si>
    <t xml:space="preserve">Exchange Server 2016</t>
  </si>
  <si>
    <t xml:space="preserve">ITM0017</t>
  </si>
  <si>
    <t xml:space="preserve">Aplicación para el envío de correos electrónicos / Servicio SMTP para notificaciones de correo electrónico para aplicaciones internas de BP</t>
  </si>
  <si>
    <t xml:space="preserve">Fabrica de Producto</t>
  </si>
  <si>
    <t xml:space="preserve">PRD0065</t>
  </si>
  <si>
    <t xml:space="preserve">Parametrización de productos que permite mantener la lógica de negocio desacoplada del core bancario</t>
  </si>
  <si>
    <t xml:space="preserve">ANA CAROLINA FLORES PAREDES</t>
  </si>
  <si>
    <t xml:space="preserve">Facephi</t>
  </si>
  <si>
    <t xml:space="preserve">SEC0020</t>
  </si>
  <si>
    <t xml:space="preserve">FACEPHI es una plataforma que orquesta procesos de verificación de identidad para 
empresas.</t>
  </si>
  <si>
    <t xml:space="preserve">Facturación Electrónica</t>
  </si>
  <si>
    <t xml:space="preserve">GOB0012</t>
  </si>
  <si>
    <t xml:space="preserve">Aplicación que permite la gestión de documentos tributarios en formato digital para el SRI y estados de cuenta. SIPECOM</t>
  </si>
  <si>
    <t xml:space="preserve">Figma</t>
  </si>
  <si>
    <t xml:space="preserve">EDC0002</t>
  </si>
  <si>
    <t xml:space="preserve">Herramienta de prototipado generacion de interfaces y handoff a dersarrollo.</t>
  </si>
  <si>
    <t xml:space="preserve">File server</t>
  </si>
  <si>
    <t xml:space="preserve">ITM0018</t>
  </si>
  <si>
    <t xml:space="preserve">FILE SERVER: Es un servidor centralizado dentro de una red que se encarga de almacenar, 
administrar y compartir archivos entre varios usuarios.</t>
  </si>
  <si>
    <t xml:space="preserve">FileUpdate (TOTEM)</t>
  </si>
  <si>
    <t xml:space="preserve">COR0001</t>
  </si>
  <si>
    <t xml:space="preserve">Aplicación Windows utilizada para la transmisión hacia Banred de números de cuenta y saldos, información utilizada para el StandIn de Banred</t>
  </si>
  <si>
    <t xml:space="preserve">Notificador Cloud</t>
  </si>
  <si>
    <t xml:space="preserve">TIE0021</t>
  </si>
  <si>
    <t xml:space="preserve">CARLOS ANDRES RIVERA ORMAZA</t>
  </si>
  <si>
    <t xml:space="preserve">Novoadmin</t>
  </si>
  <si>
    <t xml:space="preserve">PAY0013</t>
  </si>
  <si>
    <t xml:space="preserve">Colector de Eventos SOC (NXLog)</t>
  </si>
  <si>
    <t xml:space="preserve">SEC0050</t>
  </si>
  <si>
    <t xml:space="preserve">Solución de recolección de logs para envío a colector centralizado de todo el parque tecnológico de Banco Pichincha.</t>
  </si>
  <si>
    <t xml:space="preserve">VANESSA ELENA MOROCHO SAILEMA</t>
  </si>
  <si>
    <t xml:space="preserve">OCTOPUS</t>
  </si>
  <si>
    <t xml:space="preserve">SEC0072</t>
  </si>
  <si>
    <t xml:space="preserve">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</si>
  <si>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 xml:space="preserve">OEM Cloud Control</t>
  </si>
  <si>
    <t xml:space="preserve">ITM0044</t>
  </si>
  <si>
    <t xml:space="preserve">Es una aplicación para administrar motores Oracle, donde se visualiza eventos que ocurran en las bases de datos como en el servidor</t>
  </si>
  <si>
    <t xml:space="preserve">OFFICE365</t>
  </si>
  <si>
    <t xml:space="preserve">ITM0073</t>
  </si>
  <si>
    <t xml:space="preserve">registro de Office 365 en el portafolio de aplicaciones empresariales</t>
  </si>
  <si>
    <t xml:space="preserve">RENNE PATRICIO MERA MIRANDA</t>
  </si>
  <si>
    <t xml:space="preserve">Oracle Fusion ERP</t>
  </si>
  <si>
    <t xml:space="preserve">SUP0064</t>
  </si>
  <si>
    <t xml:space="preserve">Pagos + Cobros y Recaudos FCM</t>
  </si>
  <si>
    <t xml:space="preserve">PRD0061</t>
  </si>
  <si>
    <t xml:space="preserve">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</si>
  <si>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 xml:space="preserve">YESSENIA CRISTINA MENESES ZAMBRANO</t>
  </si>
  <si>
    <t xml:space="preserve">Seguridad Perimetral Firewall Nube</t>
  </si>
  <si>
    <t xml:space="preserve">SEC0049</t>
  </si>
  <si>
    <t xml:space="preserve">Gestor de Next Generation Firewall VM-Firewall -  gestor de firewalls en nube de la marca Palo Alto</t>
  </si>
  <si>
    <t xml:space="preserve">Payment Control</t>
  </si>
  <si>
    <t xml:space="preserve">PAY0024</t>
  </si>
  <si>
    <t xml:space="preserve">Componente SAS de la plataforma SWIFT que permite parametrizar reglas de negocio para control de envío de mensajeria SWIFT</t>
  </si>
  <si>
    <t xml:space="preserve">MAURO RENATO VINCENT CHONLONG</t>
  </si>
  <si>
    <t xml:space="preserve">Perfiles Transaccionales</t>
  </si>
  <si>
    <t xml:space="preserve">GOB0014</t>
  </si>
  <si>
    <t xml:space="preserve">Aplicación para el manejo de Información de clientes naturales y jurídicos para uso de la Unidad de Cumplimiento</t>
  </si>
  <si>
    <t xml:space="preserve">PFTR (prevención de fraude en tiempo real)</t>
  </si>
  <si>
    <t xml:space="preserve">SEC0065</t>
  </si>
  <si>
    <t xml:space="preserve">Aplicación para prevención de fraude en tiempo real</t>
  </si>
  <si>
    <t xml:space="preserve">ALFREDO LLOPI GUSTAVO</t>
  </si>
  <si>
    <t xml:space="preserve">RAFAEL ALEJANDRO SANCHEZ GUAYASAMIN</t>
  </si>
  <si>
    <t xml:space="preserve">Pichincha Empresas</t>
  </si>
  <si>
    <t xml:space="preserve">CHL0034</t>
  </si>
  <si>
    <t xml:space="preserve">Aplicativo Web que  permite el enrolamiento de clientes empresas y autogestion de usuarios empresas</t>
  </si>
  <si>
    <t xml:space="preserve">RiesgoGlobalCom</t>
  </si>
  <si>
    <t xml:space="preserve">RIS0011</t>
  </si>
  <si>
    <t xml:space="preserve">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</si>
  <si>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 xml:space="preserve">RPA - UIPath</t>
  </si>
  <si>
    <t xml:space="preserve">TIE0013</t>
  </si>
  <si>
    <t xml:space="preserve">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</si>
  <si>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 xml:space="preserve">LORENA JACQUELINE TARAMBIS ENRIQUEZ</t>
  </si>
  <si>
    <t xml:space="preserve">GUSTAVO ALEJANDRO VARGAS VARGAS</t>
  </si>
  <si>
    <t xml:space="preserve">Ruta de los Volcanes</t>
  </si>
  <si>
    <t xml:space="preserve">SUP0034</t>
  </si>
  <si>
    <t xml:space="preserve"> </t>
  </si>
  <si>
    <t xml:space="preserve">GABRIEL HUMBERTO RENGIFO TOSCANO</t>
  </si>
  <si>
    <t xml:space="preserve">SAP Finanzas SAC - PamPM</t>
  </si>
  <si>
    <t xml:space="preserve">SUP0036</t>
  </si>
  <si>
    <t xml:space="preserve">Aplicación SaaS como Solución Integral de Servicios Financieros para la implementación de un Modelo de Rentabilidad, Costos, FTP Funds Transfer Pricing, optimizando los procesos presupuestarios y proyecciones orquestadas dentro de un workflow guiado y cohesivo</t>
  </si>
  <si>
    <t xml:space="preserve">SAP SuccessFactors</t>
  </si>
  <si>
    <t xml:space="preserve">SUP0029</t>
  </si>
  <si>
    <t xml:space="preserve">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</si>
  <si>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 xml:space="preserve">SegUnixOranService</t>
  </si>
  <si>
    <t xml:space="preserve">SEC0032</t>
  </si>
  <si>
    <t xml:space="preserve">Servicio de autenticación y autorización. La autenticación te valida usuario y clave.  La autorización devuelve los recursos asociados al usuario para determinar su acceso dentro del aplicativo.</t>
  </si>
  <si>
    <t xml:space="preserve">Sentinel Compliance</t>
  </si>
  <si>
    <t xml:space="preserve">GOB0015</t>
  </si>
  <si>
    <t xml:space="preserve">Aplicación que permite realizar el monitoreo de las transacciones de clientes para identificación de fraude.
Genera alertas para prevención de lavados de activos y transacciones inusuales.</t>
  </si>
  <si>
    <t xml:space="preserve">Sentinel Informer Card</t>
  </si>
  <si>
    <t xml:space="preserve">GOB0017</t>
  </si>
  <si>
    <t xml:space="preserve">Sentinel Prevention</t>
  </si>
  <si>
    <t xml:space="preserve">GOB0018</t>
  </si>
  <si>
    <t xml:space="preserve">SERVER PUEX</t>
  </si>
  <si>
    <t xml:space="preserve">CHL0024</t>
  </si>
  <si>
    <t xml:space="preserve">Aplicación que permite la actualización de pantallas de los ATMs y la extracción de EDCs (logs) de los mismos.</t>
  </si>
  <si>
    <t xml:space="preserve">ServiceNow ITOM/ITAM</t>
  </si>
  <si>
    <t xml:space="preserve">ITM0064</t>
  </si>
  <si>
    <t xml:space="preserve">Herramienta de Operación de Servicios Tecnológicos ITOM.</t>
  </si>
  <si>
    <t xml:space="preserve">ESTEFANIA ESMERALDA OLIVO BARCIA</t>
  </si>
  <si>
    <t xml:space="preserve">SANTIAGO EUGENIO FABARA SALAZAR</t>
  </si>
  <si>
    <t xml:space="preserve">SGUC</t>
  </si>
  <si>
    <t xml:space="preserve">GOB0020</t>
  </si>
  <si>
    <t xml:space="preserve">Aplicativo para la gestión interna del área de Cumplimiento</t>
  </si>
  <si>
    <t xml:space="preserve">Siglo 21 Seguridad ¿ Acceso Web</t>
  </si>
  <si>
    <t xml:space="preserve">SEC0035</t>
  </si>
  <si>
    <t xml:space="preserve">Conjunto de componentes que son utilizados por otras aplicaciones para soportar y complementar su funcionalidad.</t>
  </si>
  <si>
    <t xml:space="preserve">Siglo21</t>
  </si>
  <si>
    <t xml:space="preserve">SEC0034</t>
  </si>
  <si>
    <t xml:space="preserve">Aplicación que consolida shells para procesos batch de extracción de información como segmentación de clientes y empleados.</t>
  </si>
  <si>
    <t xml:space="preserve">BYRON JAVIER ALBUJA ORLANDO</t>
  </si>
  <si>
    <t xml:space="preserve">SIMA_APP</t>
  </si>
  <si>
    <t xml:space="preserve">PRD0056</t>
  </si>
  <si>
    <t xml:space="preserve">Aplicación móvil que permite realizar la gestion en campo de los ejecutivos del segmento microfinanzas, tales como creditos, cobranzas y promociones.</t>
  </si>
  <si>
    <t xml:space="preserve">Siro</t>
  </si>
  <si>
    <t xml:space="preserve">RIS0017</t>
  </si>
  <si>
    <t xml:space="preserve">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
Esta aplicación reemplaza al sistema OpRisk encargada de la medición de evento de riesgo operativo.</t>
  </si>
  <si>
    <t xml:space="preserve">Sistema de Gestión Gerencial (SGG)</t>
  </si>
  <si>
    <t xml:space="preserve">CHL0025</t>
  </si>
  <si>
    <t xml:space="preserve">Sistema Financiero Integrado</t>
  </si>
  <si>
    <t xml:space="preserve">PRD0058</t>
  </si>
  <si>
    <t xml:space="preserve">Aplicación que permite la creación de solicitudes de crédito para microempresarios.</t>
  </si>
  <si>
    <t xml:space="preserve">Sistema Gestión de Cuentas</t>
  </si>
  <si>
    <t xml:space="preserve">COR0002</t>
  </si>
  <si>
    <t xml:space="preserve">Softguard</t>
  </si>
  <si>
    <t xml:space="preserve">SEC0044</t>
  </si>
  <si>
    <t xml:space="preserve">Software de monitoreo de espacios físicos a través de cámaras.</t>
  </si>
  <si>
    <t xml:space="preserve">Solicitud Digital - Tarjetas de Crédito</t>
  </si>
  <si>
    <t xml:space="preserve">PAY0015</t>
  </si>
  <si>
    <t xml:space="preserve">SOLICITUD DIGITAL - TARJETAS DE CRÉDITO es una aplicación donde los clientes se auto 
aprovisiona para la gestión de Tarjetas de Crédito.</t>
  </si>
  <si>
    <t xml:space="preserve">SPARTAN</t>
  </si>
  <si>
    <t xml:space="preserve">GOB0007</t>
  </si>
  <si>
    <t xml:space="preserve">Detección de Fraudes Transaccionales</t>
  </si>
  <si>
    <t xml:space="preserve">Correlacionador de Eventos SOC (SPLUNK)</t>
  </si>
  <si>
    <t xml:space="preserve">SEC0068</t>
  </si>
  <si>
    <t xml:space="preserve">Solución SIEM Gestión de eventos e información de seguridad) de Banco Pichincha</t>
  </si>
  <si>
    <t xml:space="preserve">StackHawk</t>
  </si>
  <si>
    <t xml:space="preserve">SEC0058</t>
  </si>
  <si>
    <t xml:space="preserve">Ejecucion de escaneos de vulnerabilidades DAST</t>
  </si>
  <si>
    <t xml:space="preserve">DAVID FERNANDO SILVA VIZCARRA</t>
  </si>
  <si>
    <t xml:space="preserve">Stealtwatch</t>
  </si>
  <si>
    <t xml:space="preserve">SEC0038</t>
  </si>
  <si>
    <t xml:space="preserve">Es una herramienta de seguridad informática que permite el análisis de flujos, detección de amenazas informáticas</t>
  </si>
  <si>
    <t xml:space="preserve">Supermetrics</t>
  </si>
  <si>
    <t xml:space="preserve">CUS0013</t>
  </si>
  <si>
    <t xml:space="preserve">Es una herramienta utilizada para recopilar datos de diferentes fuentes y plataformas de marketing digital, como Google Analytics, Facebook Ads, y otras, y luego analizar esos datos de manera centralizada</t>
  </si>
  <si>
    <t xml:space="preserve">IGNACIO JOSE ZALDUMBIDE WITHER</t>
  </si>
  <si>
    <t xml:space="preserve">Swift Alliance FullStack</t>
  </si>
  <si>
    <t xml:space="preserve">PRD0040</t>
  </si>
  <si>
    <t xml:space="preserve">Plataforma de mensajería financiera que interactuará con los aplicativos de Banco Pichincha para orquestar el envío y recepción de mensajes hacia y desde el exterior utilizando el estándar Swift.</t>
  </si>
  <si>
    <t xml:space="preserve">DIEGO ALBERTO PARRA ROMO</t>
  </si>
  <si>
    <t xml:space="preserve">JUAN ESTEBAN BALSECA PINTO</t>
  </si>
  <si>
    <t xml:space="preserve">Swift Alliance WareHouse</t>
  </si>
  <si>
    <t xml:space="preserve">PRD0041</t>
  </si>
  <si>
    <t xml:space="preserve">Swift Transaction Screening</t>
  </si>
  <si>
    <t xml:space="preserve">GOB0019</t>
  </si>
  <si>
    <t xml:space="preserve">Aplicación que usa el equipo del cumplimiento, Servicio para validar listas internacionales cuando el mesaje sale la red del swift</t>
  </si>
  <si>
    <t xml:space="preserve">Switch Transacciones Tarjetas</t>
  </si>
  <si>
    <t xml:space="preserve">PAY0016</t>
  </si>
  <si>
    <t xml:space="preserve">Switch Bayteq</t>
  </si>
  <si>
    <t xml:space="preserve">INT0001</t>
  </si>
  <si>
    <t xml:space="preserve">Aplicación de proveedor para efectuar la interacción con los proveedores: Yanbal y Banred. Permite realizar la transacción de EfectivoXpress. Manejan la convivencia entre BP y BGR.</t>
  </si>
  <si>
    <t xml:space="preserve">Switch NETManager CNB</t>
  </si>
  <si>
    <t xml:space="preserve">CHL0028</t>
  </si>
  <si>
    <t xml:space="preserve">Switch Netmanager contempla algunos Switch como es NetmanagerCNB Canal CNB, NetmanagerPagoDirecto y NetmanagerPostVentaClaro. Estos atienden las peticiones de los corresponsales no bancarios (CNB o proyecto mi vecino), almacena en una base propia todo el historial de las transacciones del canal CNB, y se conecta con otras aplicaciones o servicios del banco que son los encargados de realizar las transacciones. Es un Servicio de Windows que escucha por sockets.</t>
  </si>
  <si>
    <t xml:space="preserve">JUAN CARLOS ULLOA PADILLA</t>
  </si>
  <si>
    <t xml:space="preserve">Switch NETManager Pago Directo / IESS</t>
  </si>
  <si>
    <t xml:space="preserve">PRD0029</t>
  </si>
  <si>
    <t xml:space="preserve">PinPad</t>
  </si>
  <si>
    <t xml:space="preserve">CHL0020</t>
  </si>
  <si>
    <t xml:space="preserve">Sistema utilizado para gestionar y activar los dispositivos PinPad para ser usados en el Sistema de Ventanillas (WebTeller).</t>
  </si>
  <si>
    <t xml:space="preserve">Polaris Cloud</t>
  </si>
  <si>
    <t xml:space="preserve">CHL0021</t>
  </si>
  <si>
    <t xml:space="preserve">Portal de Gestión Formiik - Microfinanzas</t>
  </si>
  <si>
    <t xml:space="preserve">PRD0054</t>
  </si>
  <si>
    <t xml:space="preserve">Portal de Verificacion Microfinanzas</t>
  </si>
  <si>
    <t xml:space="preserve">PRD0055</t>
  </si>
  <si>
    <t xml:space="preserve">Aplicación que permite la verificacion y aprobación de las solicitudes de crédito gestionadas por los ejecutivos de Microfinanzas.</t>
  </si>
  <si>
    <t xml:space="preserve">Portal Informativo Pichincha</t>
  </si>
  <si>
    <t xml:space="preserve">CHL0022</t>
  </si>
  <si>
    <t xml:space="preserve">Portal accedido a través de la Internet, posee información principal de Banco así como los productos que oferta.</t>
  </si>
  <si>
    <t xml:space="preserve">POS_CNB</t>
  </si>
  <si>
    <t xml:space="preserve">CHL0023</t>
  </si>
  <si>
    <t xml:space="preserve">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</si>
  <si>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 xml:space="preserve">PPM Pichincha Miles</t>
  </si>
  <si>
    <t xml:space="preserve">CUS0016</t>
  </si>
  <si>
    <t xml:space="preserve">Portal web del programa de recompensas en el que el cliente gana millas por sus consumos con tarjeta de crédito, para ser canjeado por productos o viajes.</t>
  </si>
  <si>
    <t xml:space="preserve">JUAN ANDRES AMADOR PEREZ</t>
  </si>
  <si>
    <t xml:space="preserve">JEAN KARLO OBANDO RAMOS</t>
  </si>
  <si>
    <t xml:space="preserve">Preguntas de Validación</t>
  </si>
  <si>
    <t xml:space="preserve">SEC0077</t>
  </si>
  <si>
    <t xml:space="preserve">Factor de autenticación de Identidad del Cliente a usarse en Canales Fisicos.</t>
  </si>
  <si>
    <t xml:space="preserve">DIEGO PAUL TAMAYO BARRIGA</t>
  </si>
  <si>
    <t xml:space="preserve">Nutanix Prism Central</t>
  </si>
  <si>
    <t xml:space="preserve">ITM0045</t>
  </si>
  <si>
    <t xml:space="preserve">dashboard de Nutanix / Monitorea la salud de los componentes</t>
  </si>
  <si>
    <t xml:space="preserve">VICTOR ALFONSO SUNTAXI CHASI</t>
  </si>
  <si>
    <t xml:space="preserve">Prisma Cloud</t>
  </si>
  <si>
    <t xml:space="preserve">ITM0046</t>
  </si>
  <si>
    <t xml:space="preserve">FRANKLIN STEVEN ZAMBRANO SOLORZANO</t>
  </si>
  <si>
    <t xml:space="preserve">ARIEL EDUARDO VILLACIS DE LA CUEVA</t>
  </si>
  <si>
    <t xml:space="preserve">Proofpoint</t>
  </si>
  <si>
    <t xml:space="preserve">SEC0060</t>
  </si>
  <si>
    <t xml:space="preserve">Control de correo corporativo para filtrar Spam, archivos maliciosos, evitar fuga de información.</t>
  </si>
  <si>
    <t xml:space="preserve">Protección de datos personales - OneTrust</t>
  </si>
  <si>
    <t xml:space="preserve">DAT0014</t>
  </si>
  <si>
    <t xml:space="preserve">Aplicación para gestión del consentimiento, para el uso de datos personales en clientes personas naturales</t>
  </si>
  <si>
    <t xml:space="preserve">MARIANA ELIZABETH ANZULES DELGADO</t>
  </si>
  <si>
    <t xml:space="preserve">EDISON FERNANDO PANCHI HERRERA</t>
  </si>
  <si>
    <t xml:space="preserve">360 Brand Guardian</t>
  </si>
  <si>
    <t xml:space="preserve">SEC0061</t>
  </si>
  <si>
    <t xml:space="preserve">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</si>
  <si>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 xml:space="preserve">ProtegeGX</t>
  </si>
  <si>
    <t xml:space="preserve">SEC0075</t>
  </si>
  <si>
    <t xml:space="preserve">Sistema de control de accesos</t>
  </si>
  <si>
    <t xml:space="preserve">Qualtrics</t>
  </si>
  <si>
    <t xml:space="preserve">CUS0017</t>
  </si>
  <si>
    <t xml:space="preserve">Aplicación que permite realizar encuestas UX para evaluar satisfacción al cliente por oferta de valor</t>
  </si>
  <si>
    <t xml:space="preserve">LEONARDO BERMUDEZ CORREA</t>
  </si>
  <si>
    <t xml:space="preserve">Recovery Appliance</t>
  </si>
  <si>
    <t xml:space="preserve">ITM0047</t>
  </si>
  <si>
    <t xml:space="preserve">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</si>
  <si>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 xml:space="preserve">Red Hat Directory Server</t>
  </si>
  <si>
    <t xml:space="preserve">SEC0031</t>
  </si>
  <si>
    <t xml:space="preserve">Servidor LDAP de aprovisionamiento de usuarios administrado por IdentityMinder.</t>
  </si>
  <si>
    <t xml:space="preserve">XAVIER RAMIRO CAJAS DELGADO</t>
  </si>
  <si>
    <t xml:space="preserve">Red Hat OpenShift Container Platform</t>
  </si>
  <si>
    <t xml:space="preserve">ITM0048</t>
  </si>
  <si>
    <t xml:space="preserve">Plataforma de contenedores de Kubernetes empresarial con operaciones automatizadas integrales para gestionar implementaciones de nube híbrida y multicloud.</t>
  </si>
  <si>
    <t xml:space="preserve">Red Hat Satellite</t>
  </si>
  <si>
    <t xml:space="preserve">ITM0049</t>
  </si>
  <si>
    <t xml:space="preserve">Gestiona infraestructura Red Hat</t>
  </si>
  <si>
    <t xml:space="preserve">Remesas</t>
  </si>
  <si>
    <t xml:space="preserve">PAY0023</t>
  </si>
  <si>
    <t xml:space="preserve">Flujo transaccional para la recepción y pago de remesas.</t>
  </si>
  <si>
    <t xml:space="preserve">REN</t>
  </si>
  <si>
    <t xml:space="preserve">PAY0025</t>
  </si>
  <si>
    <t xml:space="preserve">Nueva plataforma para la emisión y procesamiento de tarjetas de débito y prepago</t>
  </si>
  <si>
    <t xml:space="preserve">JORGE LUIS ALVAREZ ALVAREZ</t>
  </si>
  <si>
    <t xml:space="preserve">ReporteBuroCredito</t>
  </si>
  <si>
    <t xml:space="preserve">RIS0010</t>
  </si>
  <si>
    <t xml:space="preserve">Reporte de Información Crediticia, el cual podrá ser utilizado a través del Portal Empresarial. Este nuevo reporte reemplazará al actual reporte de información crediticia, el cual es provisto por Banred/Equifax.</t>
  </si>
  <si>
    <t xml:space="preserve">ReportesGaf</t>
  </si>
  <si>
    <t xml:space="preserve">TIE0017</t>
  </si>
  <si>
    <t xml:space="preserve">Aplicación que permite la generación de los documentos habilitantes para los préstamos de clientes y reportes.</t>
  </si>
  <si>
    <t xml:space="preserve">MonitorCajeros</t>
  </si>
  <si>
    <t xml:space="preserve">CHL0038</t>
  </si>
  <si>
    <t xml:space="preserve">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</si>
  <si>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 xml:space="preserve">Monitoreo ATM SSTOB</t>
  </si>
  <si>
    <t xml:space="preserve">ITM0040</t>
  </si>
  <si>
    <t xml:space="preserve">Aplicación que permite realizar un monitoreo de los ATMs con sus respectivas transacciones en relación con el Switch de ATM  Banred, esta aplicación es de proveedor (BANRED), no tiene relación con servidores de banco, no entra en la categoría de obsoleta.</t>
  </si>
  <si>
    <t xml:space="preserve">MonitoreoEfectivo</t>
  </si>
  <si>
    <t xml:space="preserve">CHL0002</t>
  </si>
  <si>
    <t xml:space="preserve">Aplicación que permite realizar consultas de los diferentes rubros de efectivo que ingresan y salen de las agencias y ATM¿s del Banco Pichincha.</t>
  </si>
  <si>
    <t xml:space="preserve">Motor de pagos PTS</t>
  </si>
  <si>
    <t xml:space="preserve">SEC0062</t>
  </si>
  <si>
    <t xml:space="preserve">Gateway de pagos utilizado por Deuna para realizar los pagos internos y externos</t>
  </si>
  <si>
    <t xml:space="preserve">Motor de Tarjetas Transporte</t>
  </si>
  <si>
    <t xml:space="preserve">PAY0026</t>
  </si>
  <si>
    <t xml:space="preserve">Sistema de gestión Y procesamiento de tarjetas transporte (TCMS)</t>
  </si>
  <si>
    <t xml:space="preserve">DAVID RICARDO CHARRY DELGADILLO</t>
  </si>
  <si>
    <t xml:space="preserve">Motor de Transferencias</t>
  </si>
  <si>
    <t xml:space="preserve">PRD0039</t>
  </si>
  <si>
    <t xml:space="preserve">Implementar un nuevo Sistema Nacional de Pagos bajo el esquema de archivos para las transacciones enviadas tanto de Cobros como de Pagos, manteniendo convivencia con el antiguo SNP en Cash Management el cual administrará las transacciones recibidas.</t>
  </si>
  <si>
    <t xml:space="preserve">Murex</t>
  </si>
  <si>
    <t xml:space="preserve">SUP0014</t>
  </si>
  <si>
    <t xml:space="preserve">Sistema de Tesorería para gestión de divisas y portafolio de inversión. / El sistema Murex es el encargado de manejar la mesa de dinero de renta fija y renta variable de Tesoreria del Banco</t>
  </si>
  <si>
    <t xml:space="preserve">Entornos de respaldos y restauraciones</t>
  </si>
  <si>
    <t xml:space="preserve">ITM0041</t>
  </si>
  <si>
    <t xml:space="preserve">Software de respaldo empresarial. / Hereramienta utilizada para la administración de respaldos</t>
  </si>
  <si>
    <t xml:space="preserve">Netskope</t>
  </si>
  <si>
    <t xml:space="preserve">SEC0030</t>
  </si>
  <si>
    <t xml:space="preserve">Solución de seguridad informática para control de navegación por Proxy y  protección de acceso a nube pública (CASB) en todos los equipos de Banco Pichincha y sus filiales</t>
  </si>
  <si>
    <t xml:space="preserve">Nexo-Pin Tarjeta</t>
  </si>
  <si>
    <t xml:space="preserve">PAY0012</t>
  </si>
  <si>
    <t xml:space="preserve">Notificaciones SMS Anyway</t>
  </si>
  <si>
    <t xml:space="preserve">OMN0005</t>
  </si>
  <si>
    <t xml:space="preserve">Switch-SwitchV</t>
  </si>
  <si>
    <t xml:space="preserve">PRD0032</t>
  </si>
  <si>
    <t xml:space="preserve">Servidor RMI que recibe solicitudes de SwCell, se encarga de enviar a Bancs por medio del Middleware el débito a la cuenta del Cliente por transacciones de compra de minutos.</t>
  </si>
  <si>
    <t xml:space="preserve">Symantec Messaging Gateway</t>
  </si>
  <si>
    <t xml:space="preserve">ITM0054</t>
  </si>
  <si>
    <t xml:space="preserve">Mailprod soporta el servicio de correos solamente para el envío de correo de impresoras y aplicaciones internas de Banco Pichincha.</t>
  </si>
  <si>
    <t xml:space="preserve">System Center</t>
  </si>
  <si>
    <t xml:space="preserve">ITM0055</t>
  </si>
  <si>
    <t xml:space="preserve">Herramienta para despliegue de parches, software y aplicación usuarios</t>
  </si>
  <si>
    <t xml:space="preserve">Tango</t>
  </si>
  <si>
    <t xml:space="preserve">CHL0043</t>
  </si>
  <si>
    <t xml:space="preserve">JUAN CARLOS ORELLANA LOPEZ</t>
  </si>
  <si>
    <t xml:space="preserve">Tcs.Checklist (Digital Check)</t>
  </si>
  <si>
    <t xml:space="preserve">TIE0014</t>
  </si>
  <si>
    <t xml:space="preserve">Aplicación que permite la generación del checklist de trámites y la generación de carátulas para escanear documentos que entrega el cliente.</t>
  </si>
  <si>
    <t xml:space="preserve">Tenable</t>
  </si>
  <si>
    <t xml:space="preserve">SEC0069</t>
  </si>
  <si>
    <t xml:space="preserve">Escáner de vulnerabilidades que realiza pruebas para encontrar fallos de seguridad.</t>
  </si>
  <si>
    <t xml:space="preserve">TotemCCE</t>
  </si>
  <si>
    <t xml:space="preserve">PAY0021</t>
  </si>
  <si>
    <t xml:space="preserve">Componente que controla la emisión de tarjetas no personalizadas, la relación entra las tarjetas /número de kit que se empaca como el KIT de cuenta XPERTA.</t>
  </si>
  <si>
    <t xml:space="preserve">Turno Digital</t>
  </si>
  <si>
    <t xml:space="preserve">CHL0042</t>
  </si>
  <si>
    <t xml:space="preserve">Aplicaciòn que permite gestionar los turnos de los clientes en la Red de Agencias, asi tambien permite la gestion de los ejecutivos en las agencias.</t>
  </si>
  <si>
    <t xml:space="preserve">Plataforma que proporciona herramientas de comunicación programables para llamadas, mensajes de texto, etc.</t>
  </si>
  <si>
    <t xml:space="preserve">Validación de identidades (Facephi)</t>
  </si>
  <si>
    <t xml:space="preserve">SEC0073</t>
  </si>
  <si>
    <t xml:space="preserve">Plataforma de uso exclusivo en Deuna para realizar la validacion de identidad con el registro civil de ecuador</t>
  </si>
  <si>
    <t xml:space="preserve">BLSS</t>
  </si>
  <si>
    <t xml:space="preserve">ITM0070</t>
  </si>
  <si>
    <t xml:space="preserve">Monitoreo, Gestión y Digitalización de la Sala TI de los centros de datos</t>
  </si>
  <si>
    <t xml:space="preserve">Ventana Marco</t>
  </si>
  <si>
    <t xml:space="preserve">ITM0062</t>
  </si>
  <si>
    <t xml:space="preserve">Aplicación utilizada para parametrización de perfiles y recursos en las tablas de seguridad.</t>
  </si>
  <si>
    <t xml:space="preserve">Edgar Felipe Ruales Zambrano</t>
  </si>
  <si>
    <t xml:space="preserve">VinculacionIntegral</t>
  </si>
  <si>
    <t xml:space="preserve">CHL0030</t>
  </si>
  <si>
    <t xml:space="preserve">Aplicación que se encuentra publicada en la Intranet de BP, para el área de Asesores y Balcón de Servicios. Permite la creación de clientes, actualización de datos de clientes, con información resumida y creación de cuentas de ahorro, ahorro futuro.</t>
  </si>
  <si>
    <t xml:space="preserve">Visa Risk Manager</t>
  </si>
  <si>
    <t xml:space="preserve">GOB0008</t>
  </si>
  <si>
    <t xml:space="preserve">ALVARO FABIAN VILLACRES BARRERA</t>
  </si>
  <si>
    <t xml:space="preserve">RICARDO ALBERTO VINUEZA MOLINA</t>
  </si>
  <si>
    <t xml:space="preserve">WAS Notificador</t>
  </si>
  <si>
    <t xml:space="preserve">OMN0006</t>
  </si>
  <si>
    <t xml:space="preserve">Delay, mensajes correo y OTP</t>
  </si>
  <si>
    <t xml:space="preserve">WAS Omnicanalidad</t>
  </si>
  <si>
    <t xml:space="preserve">INT0012</t>
  </si>
  <si>
    <t xml:space="preserve">Banca Movil</t>
  </si>
  <si>
    <t xml:space="preserve">WAS Omnicanalidad BATCH</t>
  </si>
  <si>
    <t xml:space="preserve">INT0013</t>
  </si>
  <si>
    <t xml:space="preserve">Agrupación de componentes de capa media como Switches, Gateways, Integration Bus, WAS y DataPower.</t>
  </si>
  <si>
    <t xml:space="preserve">Web GAF</t>
  </si>
  <si>
    <t xml:space="preserve">COR0006</t>
  </si>
  <si>
    <t xml:space="preserve">Aplicación web que permite el manejo de la información  de la parte contable como son cuadres, cuentas, saldos por operaciones, y ciertos reportes. Consolidación de información contable de GAF, se mantenía información de un año atrás.</t>
  </si>
  <si>
    <t xml:space="preserve">Web Teller 3.0</t>
  </si>
  <si>
    <t xml:space="preserve">CHL0032</t>
  </si>
  <si>
    <t xml:space="preserve">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</si>
  <si>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 xml:space="preserve">WebAccionistas</t>
  </si>
  <si>
    <t xml:space="preserve">GOB0016</t>
  </si>
  <si>
    <t xml:space="preserve">Aplicación que permite realizar los pagos y distribución de las utilidades para  los accionistas, generando los comprobantes de retención correspondientes. Utiliza el componente Encriptador: (Microsoft.Practices.EnterpriseLibrary.Security.Cryptography).</t>
  </si>
  <si>
    <t xml:space="preserve">WEBBloqueo 2.0 --DCP/DCA</t>
  </si>
  <si>
    <t xml:space="preserve">PAY0022</t>
  </si>
  <si>
    <t xml:space="preserve">Aplicativo utilizado por el call center como contingencia de Cardholder para Bloquear/Cancelar tarjetas de débito. Esta nueva versión 2.0 es un upgrade del SW Base,  pero mantiene la misma funcionalidad</t>
  </si>
  <si>
    <t xml:space="preserve">Webdox</t>
  </si>
  <si>
    <t xml:space="preserve">SUP0035</t>
  </si>
  <si>
    <t xml:space="preserve">La herramienta WEBDOX es un CLM para la gestión del ciclo de vida del contrato es la gestión proactiva y metódica de un contrato desde su inicio hasta su adjudicación, cumplimiento y renovación</t>
  </si>
  <si>
    <t xml:space="preserve">WebSecurityOfficeSystem</t>
  </si>
  <si>
    <t xml:space="preserve">SEC0041</t>
  </si>
  <si>
    <t xml:space="preserve">Administración de acceso a aplicativos, genera usuarios para diferentes aplicativos por parte de administración de claves según políticas establecidas por el área.</t>
  </si>
  <si>
    <t xml:space="preserve">XACTClearstream</t>
  </si>
  <si>
    <t xml:space="preserve">SUP0018</t>
  </si>
  <si>
    <t xml:space="preserve">Sistema del exterior de negociación de bonos utilizada por el área de tesorería</t>
  </si>
  <si>
    <t xml:space="preserve">Zabbix</t>
  </si>
  <si>
    <t xml:space="preserve">ITM0074</t>
  </si>
  <si>
    <t xml:space="preserve">Aplicación para el monitoreo de componentes de red y seguridad.</t>
  </si>
  <si>
    <t xml:space="preserve">Zendesk, es una aplicación SaaS, hosteada en AWS, entra a reemplazar la herramienta actual de R&amp;R y con el objetivo de ser un CRM de servicios para el banco.</t>
  </si>
  <si>
    <t xml:space="preserve">Qlik Negocio Automotriz</t>
  </si>
  <si>
    <t xml:space="preserve">PRD0070</t>
  </si>
  <si>
    <t xml:space="preserve">KARINA ALEXANDRA FLORES VELASQUEZ</t>
  </si>
  <si>
    <t xml:space="preserve">DAVID JOEL REVELO BORJA</t>
  </si>
  <si>
    <t xml:space="preserve">LogiTRX</t>
  </si>
  <si>
    <t xml:space="preserve">RIS0006</t>
  </si>
  <si>
    <t xml:space="preserve">Sistema de calificación de cartera del productos del activo de banco.</t>
  </si>
  <si>
    <t xml:space="preserve">VMware vSphere Replication</t>
  </si>
  <si>
    <t xml:space="preserve">ITM0080</t>
  </si>
  <si>
    <t xml:space="preserve">Plataforma VMware vSphere Replication replica la data de los servidores hacia el sitio de recuperación de la plataforma VMware, versión 8.7.0 16345</t>
  </si>
  <si>
    <t xml:space="preserve">RUBEN FERNANDO SARANSIG TIXICURO</t>
  </si>
  <si>
    <t xml:space="preserve">BankDevX</t>
  </si>
  <si>
    <t xml:space="preserve">ITM0120</t>
  </si>
  <si>
    <t xml:space="preserve">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</si>
  <si>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 xml:space="preserve">VERONICA MISHELL LANDI ENRIQUEZ</t>
  </si>
  <si>
    <t xml:space="preserve">MAURICIO DAVID ALDAZ YEPEZ</t>
  </si>
  <si>
    <t xml:space="preserve">Mentor</t>
  </si>
  <si>
    <t xml:space="preserve">PRD0073</t>
  </si>
  <si>
    <t xml:space="preserve">MANUEL JOSE PRIETO SOUS</t>
  </si>
  <si>
    <t xml:space="preserve">Optimizador de Eventos SOC (ORXLog)</t>
  </si>
  <si>
    <t xml:space="preserve">SEC0085</t>
  </si>
  <si>
    <t xml:space="preserve">ORXLOG es una aplicación parte de una iniciativa que permite el monitoreo de eventos en el SOC.</t>
  </si>
  <si>
    <t xml:space="preserve">Solución de Gestión de Incidentes de Ciberseguridad</t>
  </si>
  <si>
    <t xml:space="preserve">SEC0087</t>
  </si>
  <si>
    <t xml:space="preserve">SANTIAGO DAVID SILVA PROANO</t>
  </si>
  <si>
    <t xml:space="preserve">SANDRA PATRICIA GOMEZ PRADO</t>
  </si>
  <si>
    <t xml:space="preserve">GI0034</t>
  </si>
  <si>
    <t xml:space="preserve">SIGLO21</t>
  </si>
  <si>
    <t xml:space="preserve">Security Scorecard</t>
  </si>
  <si>
    <t xml:space="preserve">SEC0078</t>
  </si>
  <si>
    <t xml:space="preserve">Sistema Custodia</t>
  </si>
  <si>
    <t xml:space="preserve">GI0015</t>
  </si>
  <si>
    <t xml:space="preserve">BPM - Bizagi</t>
  </si>
  <si>
    <t xml:space="preserve">SUP0063</t>
  </si>
  <si>
    <t xml:space="preserve">Delivery Servicios a Domiciliio</t>
  </si>
  <si>
    <t xml:space="preserve">GI0029</t>
  </si>
  <si>
    <t xml:space="preserve">DOCKCERO</t>
  </si>
  <si>
    <t xml:space="preserve">GI0030</t>
  </si>
  <si>
    <t xml:space="preserve">Garantias</t>
  </si>
  <si>
    <t xml:space="preserve">GI0031</t>
  </si>
  <si>
    <t xml:space="preserve">Gestión de Liquidez</t>
  </si>
  <si>
    <t xml:space="preserve">SUP0008</t>
  </si>
  <si>
    <t xml:space="preserve">CHRISTIAN JAVIER HERRERA NARVAEZ</t>
  </si>
  <si>
    <t xml:space="preserve">Gestor Tributario Credife</t>
  </si>
  <si>
    <t xml:space="preserve">GI0032</t>
  </si>
  <si>
    <t xml:space="preserve">Lista Observados</t>
  </si>
  <si>
    <t xml:space="preserve">GI0033</t>
  </si>
  <si>
    <t xml:space="preserve">MALLA FILIALES</t>
  </si>
  <si>
    <t xml:space="preserve">GI0035</t>
  </si>
  <si>
    <t xml:space="preserve">SILGO21</t>
  </si>
  <si>
    <t xml:space="preserve">Modelo PES</t>
  </si>
  <si>
    <t xml:space="preserve">GI0036</t>
  </si>
  <si>
    <t xml:space="preserve">SIO</t>
  </si>
  <si>
    <t xml:space="preserve">PRD0068</t>
  </si>
  <si>
    <t xml:space="preserve">Sistema de Providencias Judiciales</t>
  </si>
  <si>
    <t xml:space="preserve">SUP0065</t>
  </si>
  <si>
    <t xml:space="preserve">Sylvia Katherine Vega Paillacho</t>
  </si>
  <si>
    <t xml:space="preserve">Snyk</t>
  </si>
  <si>
    <t xml:space="preserve">SEC0059</t>
  </si>
  <si>
    <t xml:space="preserve">Tarjetas de CreditoCOM</t>
  </si>
  <si>
    <t xml:space="preserve">PAY0020</t>
  </si>
  <si>
    <t xml:space="preserve">DIEGO MANUEL CARRERA BENAVIDES</t>
  </si>
  <si>
    <t xml:space="preserve">Transaccion Motivo</t>
  </si>
  <si>
    <t xml:space="preserve">GI0016</t>
  </si>
  <si>
    <t xml:space="preserve">VMware vCenter</t>
  </si>
  <si>
    <t xml:space="preserve">ITM0060</t>
  </si>
  <si>
    <t xml:space="preserve">Citibank</t>
  </si>
  <si>
    <t xml:space="preserve">GI0017</t>
  </si>
  <si>
    <t xml:space="preserve">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</si>
  <si>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 xml:space="preserve">BENAVIDES ESPINOZA SOFIA</t>
  </si>
  <si>
    <t xml:space="preserve">TeamMatePlus (Auditoría Interna)</t>
  </si>
  <si>
    <t xml:space="preserve">RIS0019</t>
  </si>
  <si>
    <t xml:space="preserve">GPOADmin</t>
  </si>
  <si>
    <t xml:space="preserve">ITM0114</t>
  </si>
  <si>
    <t xml:space="preserve">Plataforma para gestionar de forma centralizada las políticas de grupo en el directorio activo, control de versionamiento de políticas, supervisión de políticas, flujos de aprobaciónes para desplegar políticas.</t>
  </si>
  <si>
    <t xml:space="preserve">MIGUEL ANGEL LOZANO CARRIEL</t>
  </si>
  <si>
    <t xml:space="preserve">Portal de Negocio Automotriz</t>
  </si>
  <si>
    <t xml:space="preserve">PRD0069</t>
  </si>
  <si>
    <t xml:space="preserve">Portal de Negocio Automotriz, sistema compuesto por frontend y backend que facilita la consulta de solicitudes de crédito históricas, administración de filas de trabajo para áreas operativas del negocio automotriz, y automatización de procesos manuales.</t>
  </si>
  <si>
    <t xml:space="preserve">Abonos Anticipados</t>
  </si>
  <si>
    <t xml:space="preserve">GI0009</t>
  </si>
  <si>
    <t xml:space="preserve">Administracion de cupos y lineas de credito</t>
  </si>
  <si>
    <t xml:space="preserve">GI0012</t>
  </si>
  <si>
    <t xml:space="preserve">Administrador ATMS</t>
  </si>
  <si>
    <t xml:space="preserve">GI0014</t>
  </si>
  <si>
    <t xml:space="preserve">AM-Menu Accionistas</t>
  </si>
  <si>
    <t xml:space="preserve">GI0022</t>
  </si>
  <si>
    <t xml:space="preserve">Aplicativo Captura de Firmas</t>
  </si>
  <si>
    <t xml:space="preserve">GI0023</t>
  </si>
  <si>
    <t xml:space="preserve">Aplicativo de Remesas</t>
  </si>
  <si>
    <t xml:space="preserve">GI0024</t>
  </si>
  <si>
    <t xml:space="preserve">ATM CAjeros Automaticos</t>
  </si>
  <si>
    <t xml:space="preserve">GI0025</t>
  </si>
  <si>
    <t xml:space="preserve">Calculadora de Cupos para Creditos</t>
  </si>
  <si>
    <t xml:space="preserve">GI0026</t>
  </si>
  <si>
    <t xml:space="preserve">Clientes Juridicos</t>
  </si>
  <si>
    <t xml:space="preserve">GI0027</t>
  </si>
  <si>
    <t xml:space="preserve">Constructores.com</t>
  </si>
  <si>
    <t xml:space="preserve">GI0028</t>
  </si>
  <si>
    <t xml:space="preserve">MTS</t>
  </si>
  <si>
    <t xml:space="preserve">GI0037</t>
  </si>
  <si>
    <t xml:space="preserve">Notificaciones</t>
  </si>
  <si>
    <t xml:space="preserve">GI0038</t>
  </si>
  <si>
    <t xml:space="preserve">OPERACIONES.COM</t>
  </si>
  <si>
    <t xml:space="preserve">GI0039</t>
  </si>
  <si>
    <t xml:space="preserve">Organismo de Control</t>
  </si>
  <si>
    <t xml:space="preserve">GI0040</t>
  </si>
  <si>
    <t xml:space="preserve">Pague Ya</t>
  </si>
  <si>
    <t xml:space="preserve">GI0041</t>
  </si>
  <si>
    <t xml:space="preserve">Preevaluacion</t>
  </si>
  <si>
    <t xml:space="preserve">RIS0009</t>
  </si>
  <si>
    <t xml:space="preserve">Javier Patricio Molina Asmal</t>
  </si>
  <si>
    <t xml:space="preserve">HP SAN Network Advisor</t>
  </si>
  <si>
    <t xml:space="preserve">ITM0029</t>
  </si>
  <si>
    <t xml:space="preserve">JOSE LUIS GOYES LARA</t>
  </si>
  <si>
    <t xml:space="preserve">FIREWALL PALO ALTO ONPREMISE PARA LA ZONA DE FILIALES Y TERCEROS</t>
  </si>
  <si>
    <t xml:space="preserve">GI0004</t>
  </si>
  <si>
    <t xml:space="preserve">LUCERO GALLEGOS JORGE XAVIER</t>
  </si>
  <si>
    <t xml:space="preserve">FALCONI NORIEGA MARCO FABRICIO</t>
  </si>
  <si>
    <t xml:space="preserve">PENAHERRERA PLUA MARIA DEL CARMEN</t>
  </si>
  <si>
    <t xml:space="preserve">PANORAMA</t>
  </si>
  <si>
    <t xml:space="preserve">GI0018</t>
  </si>
  <si>
    <t xml:space="preserve">Es un sistema centralizado de gestión diseñado para administrar múltiples firewalls de próxima generación (NGFW) desde una sola consola. Permite a los equipos de TI y seguridad escalar sus operaciones, aplicar políticas uniformes y visualizar amenazas en toda la red.</t>
  </si>
  <si>
    <t xml:space="preserve">NOGALES LEON LUIS GUSTAVO</t>
  </si>
  <si>
    <t xml:space="preserve">DataPower Interno</t>
  </si>
  <si>
    <t xml:space="preserve">INT0006</t>
  </si>
  <si>
    <t xml:space="preserve">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</si>
  <si>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 xml:space="preserve">Integration Bus Omnicanal</t>
  </si>
  <si>
    <t xml:space="preserve">INT0008</t>
  </si>
  <si>
    <t xml:space="preserve">BPCompliance</t>
  </si>
  <si>
    <t xml:space="preserve">ITM0126</t>
  </si>
  <si>
    <t xml:space="preserve">GABRIEL ERNESTO BUSTILLOS RAMOS</t>
  </si>
  <si>
    <t xml:space="preserve">JORGE VINICIO AGUILAR YAURE</t>
  </si>
  <si>
    <t xml:space="preserve">Entra ID</t>
  </si>
  <si>
    <t xml:space="preserve">ITM0130</t>
  </si>
  <si>
    <t xml:space="preserve">CHRISTIAN PAUL FLORES TERREROS</t>
  </si>
  <si>
    <t xml:space="preserve">Nutanix File Server</t>
  </si>
  <si>
    <t xml:space="preserve">ITM0107</t>
  </si>
  <si>
    <t xml:space="preserve">Staffing </t>
  </si>
  <si>
    <t xml:space="preserve">ITM0105</t>
  </si>
  <si>
    <t xml:space="preserve">Capital Credife</t>
  </si>
  <si>
    <t xml:space="preserve">PRD0051</t>
  </si>
  <si>
    <t xml:space="preserve">Sistema de Gestión de Video DSS</t>
  </si>
  <si>
    <t xml:space="preserve">SEC0096</t>
  </si>
  <si>
    <t xml:space="preserve">CHRISTIAN ROBERTO CAJAMARCA LLIVE</t>
  </si>
  <si>
    <t xml:space="preserve">SANTIAGO FERNANDO RODRIGUEZ VENEGAS</t>
  </si>
  <si>
    <t xml:space="preserve">HP Servicios Gestionados</t>
  </si>
  <si>
    <t xml:space="preserve">ITM0087</t>
  </si>
  <si>
    <t xml:space="preserve">Feature Flags Transversal</t>
  </si>
  <si>
    <t xml:space="preserve">ITM0111</t>
  </si>
  <si>
    <t xml:space="preserve">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</si>
  <si>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 xml:space="preserve">DIEGO PAUL AREVALO COSTALES</t>
  </si>
  <si>
    <t xml:space="preserve">FERNANDO VINICIO OCHOA CARRION</t>
  </si>
  <si>
    <t xml:space="preserve">HARDWARE SECURITY MODULE - HSM</t>
  </si>
  <si>
    <t xml:space="preserve">GA0020</t>
  </si>
  <si>
    <t xml:space="preserve">HSM (Hardware Security Module): Plataforma de seguridad utilizada para generar,  custodiar y administrar claves criptográficas de forma segura, asegurando la confidencialidad, integridad y protección de la información y de las transacciones que dependen de dichas claves.</t>
  </si>
  <si>
    <t xml:space="preserve">VEGA GUZMAN JULIO CESAR</t>
  </si>
  <si>
    <t xml:space="preserve">ANGOS QUILACHAMIN FREDY VINICIO</t>
  </si>
  <si>
    <t xml:space="preserve">Redis Enterprise</t>
  </si>
  <si>
    <t xml:space="preserve">ITM0142</t>
  </si>
  <si>
    <t xml:space="preserve">JHONNY LENIN GUAMAN RIVERA</t>
  </si>
  <si>
    <t xml:space="preserve">Sistema Nacional de Pagos</t>
  </si>
  <si>
    <t xml:space="preserve">PRD0028</t>
  </si>
  <si>
    <t xml:space="preserve">DANIEL ARMANDO AGUIRRE ALCIVAR</t>
  </si>
  <si>
    <t xml:space="preserve">Onboarding</t>
  </si>
  <si>
    <t xml:space="preserve">CUS0021</t>
  </si>
  <si>
    <t xml:space="preserve">Clientes y Segmentos</t>
  </si>
  <si>
    <t xml:space="preserve">CAROLINA ROCIO CAMPUZANO PAEZ</t>
  </si>
  <si>
    <t xml:space="preserve">SDWAN CISCO</t>
  </si>
  <si>
    <t xml:space="preserve">ITM0090</t>
  </si>
  <si>
    <t xml:space="preserve">MSAL Seguridad de Aplicaciones Legadas</t>
  </si>
  <si>
    <t xml:space="preserve">ITM0145</t>
  </si>
  <si>
    <t xml:space="preserve">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</si>
  <si>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 xml:space="preserve">Gestión de Litigios</t>
  </si>
  <si>
    <t xml:space="preserve">ITM0144</t>
  </si>
  <si>
    <t xml:space="preserve">El software GESTION DE LITIOS permite registrar, consultar y dar seguimiento de casos legales en donde el banco pichincha es el demandado.</t>
  </si>
  <si>
    <t xml:space="preserve">ALEXANDRA ISABEL VELOZ VELASTEGUI</t>
  </si>
  <si>
    <t xml:space="preserve">ZDLRA</t>
  </si>
  <si>
    <t xml:space="preserve">ITM0067</t>
  </si>
  <si>
    <t xml:space="preserve">BMC Helix</t>
  </si>
  <si>
    <t xml:space="preserve">ITM0139</t>
  </si>
  <si>
    <t xml:space="preserve">IBM Guardium Key Lifecycle Manager</t>
  </si>
  <si>
    <t xml:space="preserve">ITM0116</t>
  </si>
  <si>
    <t xml:space="preserve">Diego Hernan Villegas Tocache</t>
  </si>
  <si>
    <t xml:space="preserve">Servicenow ITSM</t>
  </si>
  <si>
    <t xml:space="preserve">ITM0101</t>
  </si>
  <si>
    <t xml:space="preserve">VICTOR ERNESTO BENITES CHUMPITAZ</t>
  </si>
  <si>
    <t xml:space="preserve">Automatizaciones BDD</t>
  </si>
  <si>
    <t xml:space="preserve">ITM0091</t>
  </si>
  <si>
    <t xml:space="preserve">VMware Site Recovery Manager</t>
  </si>
  <si>
    <t xml:space="preserve">ITM0079</t>
  </si>
  <si>
    <t xml:space="preserve">VMware Skyline</t>
  </si>
  <si>
    <t xml:space="preserve">ITM0081</t>
  </si>
  <si>
    <t xml:space="preserve">Visa Direct Portal</t>
  </si>
  <si>
    <t xml:space="preserve">ITM0140</t>
  </si>
  <si>
    <t xml:space="preserve">MAURICIO XAVIER FLORES GAVELA</t>
  </si>
  <si>
    <t xml:space="preserve">IPAM AWS</t>
  </si>
  <si>
    <t xml:space="preserve">ITM0128</t>
  </si>
  <si>
    <t xml:space="preserve">JESUS EDUARDO DAUTANT COTUA</t>
  </si>
  <si>
    <t xml:space="preserve">CIS CAT Pro</t>
  </si>
  <si>
    <t xml:space="preserve">ITM0119</t>
  </si>
  <si>
    <t xml:space="preserve">DIEGO MIGUEL VASCONEZ PALIZ</t>
  </si>
  <si>
    <t xml:space="preserve">Notificador Transversal</t>
  </si>
  <si>
    <t xml:space="preserve">TIE0023</t>
  </si>
  <si>
    <t xml:space="preserve">DANNY GABRIEL QUISHPE PALOMEQUE</t>
  </si>
  <si>
    <t xml:space="preserve">Microsoft Azure</t>
  </si>
  <si>
    <t xml:space="preserve">ITM0138</t>
  </si>
  <si>
    <t xml:space="preserve">Appdome</t>
  </si>
  <si>
    <t xml:space="preserve">ITM0146</t>
  </si>
  <si>
    <t xml:space="preserve">Parametrizador Legados</t>
  </si>
  <si>
    <t xml:space="preserve">ITM0110</t>
  </si>
  <si>
    <t xml:space="preserve">PEDRO ANDRES GUERRERO POZO</t>
  </si>
  <si>
    <t xml:space="preserve">IBM Rational Perfomance Tester</t>
  </si>
  <si>
    <t xml:space="preserve">ITM0103</t>
  </si>
  <si>
    <t xml:space="preserve">JUAN IGNACIO ORTIZ GONZALEZ</t>
  </si>
  <si>
    <t xml:space="preserve">Tokenización de Tarjetas</t>
  </si>
  <si>
    <t xml:space="preserve">ITM0149</t>
  </si>
  <si>
    <t xml:space="preserve">HECTOR ANDRES FLORES CERVANTES</t>
  </si>
  <si>
    <t xml:space="preserve">Estados de Cuenta</t>
  </si>
  <si>
    <t xml:space="preserve">PRD0066</t>
  </si>
  <si>
    <t xml:space="preserve">JESSICA PAOLA ERAZO JACOME</t>
  </si>
  <si>
    <t xml:space="preserve">PagerDuty</t>
  </si>
  <si>
    <t xml:space="preserve">ITM0150</t>
  </si>
  <si>
    <t xml:space="preserve">Elastic Kubernetes Services</t>
  </si>
  <si>
    <t xml:space="preserve">ITM0124</t>
  </si>
  <si>
    <t xml:space="preserve">Segmentación de Clientes</t>
  </si>
  <si>
    <t xml:space="preserve">CUS0023</t>
  </si>
  <si>
    <t xml:space="preserve">DANIEL ALEXANDER GARZON CASTILLO</t>
  </si>
  <si>
    <t xml:space="preserve">Stratio</t>
  </si>
  <si>
    <t xml:space="preserve">DAT0013</t>
  </si>
  <si>
    <t xml:space="preserve">WILLIAM PATRICIO ESPINOSA ORTUNO</t>
  </si>
  <si>
    <t xml:space="preserve">Steadybit</t>
  </si>
  <si>
    <t xml:space="preserve">ITM0117</t>
  </si>
  <si>
    <t xml:space="preserve">SHORI</t>
  </si>
  <si>
    <t xml:space="preserve">SUP0070</t>
  </si>
  <si>
    <t xml:space="preserve">Nutanix File Analytics</t>
  </si>
  <si>
    <t xml:space="preserve">ITM0085</t>
  </si>
  <si>
    <t xml:space="preserve">Uanataca</t>
  </si>
  <si>
    <t xml:space="preserve">ITM0121</t>
  </si>
  <si>
    <t xml:space="preserve">ROSEMBERTH SEBASTIAN BONE ROSSI</t>
  </si>
  <si>
    <t xml:space="preserve">Azure Container Registry</t>
  </si>
  <si>
    <t xml:space="preserve">ITM0137</t>
  </si>
  <si>
    <t xml:space="preserve">Sistema de Cuadres y Conciliaciones (SCC)</t>
  </si>
  <si>
    <t xml:space="preserve">SUP0037</t>
  </si>
  <si>
    <t xml:space="preserve">EVELYN PAMELA ESPINOZA CHINCHIN</t>
  </si>
  <si>
    <t xml:space="preserve">INT0018</t>
  </si>
  <si>
    <t xml:space="preserve">CHRISTIAN FABIAN VILLACRES BOTTA</t>
  </si>
  <si>
    <t xml:space="preserve">Financiamiento Empresas</t>
  </si>
  <si>
    <t xml:space="preserve">PRD0072</t>
  </si>
  <si>
    <t xml:space="preserve">Hub Seguros</t>
  </si>
  <si>
    <t xml:space="preserve">PRD0067</t>
  </si>
  <si>
    <t xml:space="preserve">XAVIER SANTIAGO CABRERA RIVADENEIRA</t>
  </si>
  <si>
    <t xml:space="preserve">IrusRisk</t>
  </si>
  <si>
    <t xml:space="preserve">ITM0147</t>
  </si>
  <si>
    <t xml:space="preserve">MARCELO VINICIO BURGOS SHUGULI</t>
  </si>
  <si>
    <t xml:space="preserve">Educación Financiera</t>
  </si>
  <si>
    <t xml:space="preserve">CUS0022</t>
  </si>
  <si>
    <t xml:space="preserve">PAULA QUINONES GOMEZ DE LA TORRE</t>
  </si>
  <si>
    <t xml:space="preserve">Amazon Web Services</t>
  </si>
  <si>
    <t xml:space="preserve">ITM0113</t>
  </si>
  <si>
    <t xml:space="preserve">PIA Agente Virtual</t>
  </si>
  <si>
    <t xml:space="preserve">DAT0018</t>
  </si>
  <si>
    <t xml:space="preserve">Tribu Inteligencia Artificial</t>
  </si>
  <si>
    <t xml:space="preserve">ANDRES BURBANO DE LARA BARRERA</t>
  </si>
  <si>
    <t xml:space="preserve">YOLANDA XIMENA RUBIO TAIPE</t>
  </si>
  <si>
    <t xml:space="preserve">Identity BP</t>
  </si>
  <si>
    <t xml:space="preserve">ITM0152</t>
  </si>
  <si>
    <t xml:space="preserve">Windsurf</t>
  </si>
  <si>
    <t xml:space="preserve">ITM0134</t>
  </si>
  <si>
    <t xml:space="preserve">VICTOR HENRY SALINAS AGUIRRE</t>
  </si>
  <si>
    <t xml:space="preserve">Portal autogestión UAC</t>
  </si>
  <si>
    <t xml:space="preserve">SUP0068</t>
  </si>
  <si>
    <t xml:space="preserve">Bloomberg</t>
  </si>
  <si>
    <t xml:space="preserve">ITM0129</t>
  </si>
  <si>
    <t xml:space="preserve">Elastic Container Registry</t>
  </si>
  <si>
    <t xml:space="preserve">ITM0136</t>
  </si>
  <si>
    <t xml:space="preserve">Solución de Gestión de Certificados Digitales</t>
  </si>
  <si>
    <t xml:space="preserve">SEC0097</t>
  </si>
  <si>
    <t xml:space="preserve">Almacenamiento NetApp - TieBreaker</t>
  </si>
  <si>
    <t xml:space="preserve">ITM0108</t>
  </si>
  <si>
    <t xml:space="preserve">VMware Aria Operations</t>
  </si>
  <si>
    <t xml:space="preserve">ITM0082</t>
  </si>
  <si>
    <t xml:space="preserve">Twilio</t>
  </si>
  <si>
    <t xml:space="preserve">CUS0019</t>
  </si>
  <si>
    <t xml:space="preserve">Engineering Metrics</t>
  </si>
  <si>
    <t xml:space="preserve">ITM0132</t>
  </si>
  <si>
    <t xml:space="preserve">EDWIN DANIEL JACOME AMORES</t>
  </si>
  <si>
    <t xml:space="preserve">EDUARDO DAMIAN ALBUJA TORRES</t>
  </si>
  <si>
    <t xml:space="preserve">CPM</t>
  </si>
  <si>
    <t xml:space="preserve">CARLOS ANDRES FLOR CEVALLOS</t>
  </si>
  <si>
    <t xml:space="preserve">THALIA ALEJANDRA LOZADA ARELLANO</t>
  </si>
  <si>
    <t xml:space="preserve">On Rut</t>
  </si>
  <si>
    <t xml:space="preserve">PRD0071</t>
  </si>
  <si>
    <t xml:space="preserve">Microsoft Collector Assessment</t>
  </si>
  <si>
    <t xml:space="preserve">ITM0078</t>
  </si>
  <si>
    <t xml:space="preserve">Google Kubernetes Engine</t>
  </si>
  <si>
    <t xml:space="preserve">ITM0143</t>
  </si>
  <si>
    <t xml:space="preserve">NeoCash</t>
  </si>
  <si>
    <t xml:space="preserve">ITM0153</t>
  </si>
  <si>
    <t xml:space="preserve">FELIPE ALEJANDRO BOLDT AUBEL</t>
  </si>
  <si>
    <t xml:space="preserve">MAXIMILIANO ALEJANDRO ARISTIQUI</t>
  </si>
  <si>
    <t xml:space="preserve">EUC Cloud</t>
  </si>
  <si>
    <t xml:space="preserve">ITM0115</t>
  </si>
  <si>
    <t xml:space="preserve">Singular</t>
  </si>
  <si>
    <t xml:space="preserve">CUS0025</t>
  </si>
  <si>
    <t xml:space="preserve">ENRIQUE JAVIER VELEZ BRAVO</t>
  </si>
  <si>
    <t xml:space="preserve">Oracle Far Sync</t>
  </si>
  <si>
    <t xml:space="preserve">ITM0092</t>
  </si>
  <si>
    <t xml:space="preserve">CAPA_COMUN</t>
  </si>
  <si>
    <t xml:space="preserve">INT0017</t>
  </si>
  <si>
    <t xml:space="preserve">JAIME JAVIER LUCERO CAJAS</t>
  </si>
  <si>
    <t xml:space="preserve">Midot</t>
  </si>
  <si>
    <t xml:space="preserve">SUP0072</t>
  </si>
  <si>
    <t xml:space="preserve">SonarCloud</t>
  </si>
  <si>
    <t xml:space="preserve">ITM0122</t>
  </si>
  <si>
    <t xml:space="preserve">JOSE MIGUEL GRANDA CASTRO</t>
  </si>
  <si>
    <t xml:space="preserve">Adycto</t>
  </si>
  <si>
    <t xml:space="preserve">ITM0109</t>
  </si>
  <si>
    <t xml:space="preserve">CESAR EDUARDO GARCIA ROMERO</t>
  </si>
  <si>
    <t xml:space="preserve">Reportes regulatorios y normativos</t>
  </si>
  <si>
    <t xml:space="preserve">ITM0151</t>
  </si>
  <si>
    <t xml:space="preserve">Kudert</t>
  </si>
  <si>
    <t xml:space="preserve">SUP0071</t>
  </si>
  <si>
    <t xml:space="preserve">Azure Kubernetes Services</t>
  </si>
  <si>
    <t xml:space="preserve">ITM0125</t>
  </si>
  <si>
    <t xml:space="preserve">Gestión de Capacidad TI</t>
  </si>
  <si>
    <t xml:space="preserve">ITM0112</t>
  </si>
  <si>
    <t xml:space="preserve">FREDDY HUGO VITERI FARIAS</t>
  </si>
  <si>
    <t xml:space="preserve">ATM Agent Processor</t>
  </si>
  <si>
    <t xml:space="preserve">ITM0135</t>
  </si>
  <si>
    <t xml:space="preserve">ESTEBAN DAVID ROSERO PEREZ</t>
  </si>
  <si>
    <t xml:space="preserve">HPE Alletra</t>
  </si>
  <si>
    <t xml:space="preserve">ITM0123</t>
  </si>
  <si>
    <t xml:space="preserve">Gravity</t>
  </si>
  <si>
    <t xml:space="preserve">VECTR</t>
  </si>
  <si>
    <t xml:space="preserve">SEC0090</t>
  </si>
  <si>
    <t xml:space="preserve">CHRISTIAN ERNESTO ALVEAR PACHECO</t>
  </si>
  <si>
    <t xml:space="preserve">Validación: KPIs con fórmulas vs. valor publicado en el PDF (corte 17-sep-2026)</t>
  </si>
  <si>
    <t xml:space="preserve">Si cambia la matriz o los parámetros, la diferencia deja de ser 0 y es lo esperado.</t>
  </si>
  <si>
    <t xml:space="preserve">Métrica</t>
  </si>
  <si>
    <t xml:space="preserve">Valor (fórmula)</t>
  </si>
  <si>
    <t xml:space="preserve">Valor PDF</t>
  </si>
  <si>
    <t xml:space="preserve">Control</t>
  </si>
  <si>
    <t xml:space="preserve">Medida DAX</t>
  </si>
  <si>
    <t xml:space="preserve">Página</t>
  </si>
  <si>
    <t xml:space="preserve">Universo (CMDB + ajustes)</t>
  </si>
  <si>
    <t xml:space="preserve">[Universo]</t>
  </si>
  <si>
    <t xml:space="preserve">CMDB</t>
  </si>
  <si>
    <t xml:space="preserve">[CMDB]</t>
  </si>
  <si>
    <t xml:space="preserve">Filas en la matriz</t>
  </si>
  <si>
    <t xml:space="preserve">[Filas Matriz]</t>
  </si>
  <si>
    <t xml:space="preserve">Aplicaciones únicas</t>
  </si>
  <si>
    <t xml:space="preserve">[Aplicaciones Unicas]</t>
  </si>
  <si>
    <t xml:space="preserve">Sin fila en la matriz</t>
  </si>
  <si>
    <t xml:space="preserve">[Sin Fila en Matriz]</t>
  </si>
  <si>
    <t xml:space="preserve">Gobernadas</t>
  </si>
  <si>
    <t xml:space="preserve">[Gobernadas]</t>
  </si>
  <si>
    <t xml:space="preserve">% gobernadas sobre universo</t>
  </si>
  <si>
    <t xml:space="preserve">[% Gobernadas Universo]</t>
  </si>
  <si>
    <t xml:space="preserve">Brecha a la meta</t>
  </si>
  <si>
    <t xml:space="preserve">[Brecha Meta]</t>
  </si>
  <si>
    <t xml:space="preserve">Criterio 1</t>
  </si>
  <si>
    <t xml:space="preserve">[Criterio 1]</t>
  </si>
  <si>
    <t xml:space="preserve">Criterio 2</t>
  </si>
  <si>
    <t xml:space="preserve">[Criterio 2]</t>
  </si>
  <si>
    <t xml:space="preserve">Criterio 3</t>
  </si>
  <si>
    <t xml:space="preserve">[Criterio 3]</t>
  </si>
  <si>
    <t xml:space="preserve">Planificadas 2027</t>
  </si>
  <si>
    <t xml:space="preserve">[Planificadas 2027]</t>
  </si>
  <si>
    <t xml:space="preserve">Recibidas en el año de corte</t>
  </si>
  <si>
    <t xml:space="preserve">[Recibidas Anio]</t>
  </si>
  <si>
    <t xml:space="preserve">Ritmo mensual</t>
  </si>
  <si>
    <t xml:space="preserve">[Ritmo Mensual]</t>
  </si>
  <si>
    <t xml:space="preserve">Meses restantes</t>
  </si>
  <si>
    <t xml:space="preserve">[Meses Restantes]</t>
  </si>
  <si>
    <t xml:space="preserve">Ritmo requerido</t>
  </si>
  <si>
    <t xml:space="preserve">[Ritmo Requerido]</t>
  </si>
  <si>
    <t xml:space="preserve">Multiplicador de ritmo</t>
  </si>
  <si>
    <t xml:space="preserve">[Multiplicador Ritmo]</t>
  </si>
  <si>
    <t xml:space="preserve">Proyección a fin de año</t>
  </si>
  <si>
    <t xml:space="preserve">[Proyeccion Fin Anio]</t>
  </si>
  <si>
    <t xml:space="preserve">% gobernadas sobre CMDB</t>
  </si>
  <si>
    <t xml:space="preserve">[% Gobernadas sobre CMDB]</t>
  </si>
  <si>
    <t xml:space="preserve">% informe sobre CMDB</t>
  </si>
  <si>
    <t xml:space="preserve">[% Informe sobre CMDB]</t>
  </si>
  <si>
    <t xml:space="preserve">% informe sobre universo</t>
  </si>
  <si>
    <t xml:space="preserve">[% Informe sobre Universo]</t>
  </si>
  <si>
    <t xml:space="preserve">Gobernadas con ID GI</t>
  </si>
  <si>
    <t xml:space="preserve">[Gobernadas ID GI]</t>
  </si>
  <si>
    <t xml:space="preserve">Críticas (A, B, C)</t>
  </si>
  <si>
    <t xml:space="preserve">[Criticas]</t>
  </si>
  <si>
    <t xml:space="preserve">Críticas gobernadas</t>
  </si>
  <si>
    <t xml:space="preserve">[Criticas Gobernadas]</t>
  </si>
  <si>
    <t xml:space="preserve">Críticas planificadas 2027</t>
  </si>
  <si>
    <t xml:space="preserve">[Criticas 2027]</t>
  </si>
  <si>
    <t xml:space="preserve">Criterio 1 de baja criticidad (D, E)</t>
  </si>
  <si>
    <t xml:space="preserve">[Criterio 1 Baja Criticidad]</t>
  </si>
  <si>
    <t xml:space="preserve">Criterio 2 críticas</t>
  </si>
  <si>
    <t xml:space="preserve">[Criterio 2 Criticas]</t>
  </si>
  <si>
    <t xml:space="preserve">Posibles duplicados GI</t>
  </si>
  <si>
    <t xml:space="preserve">[Posibles Duplicados GI]</t>
  </si>
  <si>
    <t xml:space="preserve">Etapa por criticidad (página 3)</t>
  </si>
  <si>
    <t xml:space="preserve">Criticidad</t>
  </si>
  <si>
    <t xml:space="preserve">Planificada 2027</t>
  </si>
  <si>
    <t xml:space="preserve">Total</t>
  </si>
  <si>
    <t xml:space="preserve">% gobernadas</t>
  </si>
  <si>
    <t xml:space="preserve">A</t>
  </si>
  <si>
    <t xml:space="preserve">B</t>
  </si>
  <si>
    <t xml:space="preserve">C</t>
  </si>
  <si>
    <t xml:space="preserve">D</t>
  </si>
  <si>
    <t xml:space="preserve">E</t>
  </si>
  <si>
    <t xml:space="preserve">Sin dato</t>
  </si>
  <si>
    <t xml:space="preserve">Medidas base · crear primero (carpetas sugeridas en la columna A)</t>
  </si>
  <si>
    <t xml:space="preserve">Carpeta</t>
  </si>
  <si>
    <t xml:space="preserve">Medida</t>
  </si>
  <si>
    <t xml:space="preserve">Expresión DAX</t>
  </si>
  <si>
    <t xml:space="preserve">Formato</t>
  </si>
  <si>
    <t xml:space="preserve">Descripción</t>
  </si>
  <si>
    <t xml:space="preserve">Valor esperado al corte</t>
  </si>
  <si>
    <t xml:space="preserve">0 Parámetros</t>
  </si>
  <si>
    <t xml:space="preserve">Fecha Corte</t>
  </si>
  <si>
    <t xml:space="preserve">VAR x0 = CALCULATE ( MAX ( Parametros[Valor] ), Parametros[Parámetro] = "FechaCorte" )
VAR x = DATE ( YEAR ( x0 ), MONTH ( x0 ), DAY ( x0 ) )
RETURN x</t>
  </si>
  <si>
    <t xml:space="preserve">dd/mm/yyyy</t>
  </si>
  <si>
    <t xml:space="preserve">Fecha de corte de la matriz.</t>
  </si>
  <si>
    <t xml:space="preserve">17/09/2026</t>
  </si>
  <si>
    <t xml:space="preserve">Fecha Fin Anio</t>
  </si>
  <si>
    <t xml:space="preserve">VAR x0 = CALCULATE ( MAX ( Parametros[Valor] ), Parametros[Parámetro] = "FinAnio" )
VAR x = DATE ( YEAR ( x0 ), MONTH ( x0 ), DAY ( x0 ) )
RETURN x</t>
  </si>
  <si>
    <t xml:space="preserve">Fecha objetivo de la meta.</t>
  </si>
  <si>
    <t xml:space="preserve">31/12/2026</t>
  </si>
  <si>
    <t xml:space="preserve">Fecha Informe</t>
  </si>
  <si>
    <t xml:space="preserve">VAR x0 = CALCULATE ( MAX ( Parametros[Valor] ), Parametros[Parámetro] = "FechaInforme" )
VAR x = DATE ( YEAR ( x0 ), MONTH ( x0 ), DAY ( x0 ) )
RETURN x</t>
  </si>
  <si>
    <t xml:space="preserve">Fecha del informe de conciliación (Word).</t>
  </si>
  <si>
    <t xml:space="preserve">11/08/2026</t>
  </si>
  <si>
    <t xml:space="preserve">Meta</t>
  </si>
  <si>
    <t xml:space="preserve">CALCULATE ( MAX ( Parametros[Valor] ), Parametros[Parámetro] = "Meta" )</t>
  </si>
  <si>
    <t xml:space="preserve">0</t>
  </si>
  <si>
    <t xml:space="preserve">Aplicaciones gobernadas objetivo a fin de año.</t>
  </si>
  <si>
    <t xml:space="preserve">232</t>
  </si>
  <si>
    <t xml:space="preserve">Alcance Inicial</t>
  </si>
  <si>
    <t xml:space="preserve">CALCULATE ( MAX ( Parametros[Valor] ), Parametros[Parámetro] = "AlcanceInicial" )</t>
  </si>
  <si>
    <t xml:space="preserve">Alcance de recepción antes de ampliar criterios.</t>
  </si>
  <si>
    <t xml:space="preserve">Alcance Actual</t>
  </si>
  <si>
    <t xml:space="preserve">CALCULATE ( MAX ( Parametros[Valor] ), Parametros[Parámetro] = "AlcanceActual" )</t>
  </si>
  <si>
    <t xml:space="preserve">Alcance de recepción con los nuevos criterios.</t>
  </si>
  <si>
    <t xml:space="preserve">395</t>
  </si>
  <si>
    <t xml:space="preserve">Gobernadas Informe</t>
  </si>
  <si>
    <t xml:space="preserve">CALCULATE ( MAX ( Parametros[Valor] ), Parametros[Parámetro] = "GobernadasInforme" )</t>
  </si>
  <si>
    <t xml:space="preserve">Gobernadas según el informe de conciliación.</t>
  </si>
  <si>
    <t xml:space="preserve">176</t>
  </si>
  <si>
    <t xml:space="preserve">Dias Mes</t>
  </si>
  <si>
    <t xml:space="preserve">CALCULATE ( MAX ( Parametros[Valor] ), Parametros[Parámetro] = "DiasMes" )</t>
  </si>
  <si>
    <t xml:space="preserve">0.0</t>
  </si>
  <si>
    <t xml:space="preserve">Días promedio por mes.</t>
  </si>
  <si>
    <t xml:space="preserve">30,4</t>
  </si>
  <si>
    <t xml:space="preserve">1 Universo</t>
  </si>
  <si>
    <t xml:space="preserve">CALCULATE ( SUM ( dConciliacion[Valor] ), dConciliacion[Tipo] = "Base" )</t>
  </si>
  <si>
    <t xml:space="preserve">Aplicaciones registradas en la CMDB.</t>
  </si>
  <si>
    <t xml:space="preserve">331</t>
  </si>
  <si>
    <t xml:space="preserve">Ajustes CMDB</t>
  </si>
  <si>
    <t xml:space="preserve">CALCULATE ( SUM ( dConciliacion[Valor] ), dConciliacion[Tipo] = "Ajuste" )</t>
  </si>
  <si>
    <t xml:space="preserve">Suma de ajustes de conciliación.</t>
  </si>
  <si>
    <t xml:space="preserve">86</t>
  </si>
  <si>
    <t xml:space="preserve">[CMDB] + [Ajustes CMDB]</t>
  </si>
  <si>
    <t xml:space="preserve">Universo conciliado de aplicaciones.</t>
  </si>
  <si>
    <t xml:space="preserve">417</t>
  </si>
  <si>
    <t xml:space="preserve">Filas Matriz</t>
  </si>
  <si>
    <t xml:space="preserve">COUNTROWS ( fAplicaciones )</t>
  </si>
  <si>
    <t xml:space="preserve">Filas de la matriz, con duplicados.</t>
  </si>
  <si>
    <t xml:space="preserve">413</t>
  </si>
  <si>
    <t xml:space="preserve">Aplicaciones Unicas</t>
  </si>
  <si>
    <t xml:space="preserve">CALCULATE ( COUNTROWS ( fAplicaciones ), fAplicaciones[Cuenta] = 1 )</t>
  </si>
  <si>
    <t xml:space="preserve">Aplicaciones sin duplicados exactos (Nombre + Bp Id). Base de todos los conteos.</t>
  </si>
  <si>
    <t xml:space="preserve">410</t>
  </si>
  <si>
    <t xml:space="preserve">Duplicados Exactos</t>
  </si>
  <si>
    <t xml:space="preserve">[Filas Matriz] - [Aplicaciones Unicas]</t>
  </si>
  <si>
    <t xml:space="preserve">Filas repetidas en la matriz.</t>
  </si>
  <si>
    <t xml:space="preserve">3</t>
  </si>
  <si>
    <t xml:space="preserve">Sin Fila en Matriz</t>
  </si>
  <si>
    <t xml:space="preserve">MAX ( 0, [Universo] - [Aplicaciones Unicas] )</t>
  </si>
  <si>
    <t xml:space="preserve">Aplicaciones del universo que no están en la matriz.</t>
  </si>
  <si>
    <t xml:space="preserve">7</t>
  </si>
  <si>
    <t xml:space="preserve">2 Avance</t>
  </si>
  <si>
    <t xml:space="preserve">CALCULATE ( [Aplicaciones Unicas], fAplicaciones[Gobernada] = 1 )</t>
  </si>
  <si>
    <t xml:space="preserve">Aplicaciones entregadas a Identidades.</t>
  </si>
  <si>
    <t xml:space="preserve">188</t>
  </si>
  <si>
    <t xml:space="preserve">Pendientes</t>
  </si>
  <si>
    <t xml:space="preserve">CALCULATE ( [Aplicaciones Unicas], fAplicaciones[Gobernada] = 0 )</t>
  </si>
  <si>
    <t xml:space="preserve">Aplicaciones aún no recibidas.</t>
  </si>
  <si>
    <t xml:space="preserve">222</t>
  </si>
  <si>
    <t xml:space="preserve">% Gobernadas Universo</t>
  </si>
  <si>
    <t xml:space="preserve">DIVIDE ( CALCULATE ( [Gobernadas], REMOVEFILTERS ( dEtapa ) ), [Universo] )</t>
  </si>
  <si>
    <t xml:space="preserve">0%</t>
  </si>
  <si>
    <t xml:space="preserve">Avance sobre el universo conciliado.</t>
  </si>
  <si>
    <t xml:space="preserve">45%</t>
  </si>
  <si>
    <t xml:space="preserve">% Gobernadas Segmento</t>
  </si>
  <si>
    <t xml:space="preserve">DIVIDE ( [Gobernadas], [Aplicaciones Unicas] )</t>
  </si>
  <si>
    <t xml:space="preserve">Cobertura dentro de un segmento (criticidad, equipo, ubicación).</t>
  </si>
  <si>
    <t xml:space="preserve">% Meta Universo</t>
  </si>
  <si>
    <t xml:space="preserve">DIVIDE ( [Meta], [Universo] )</t>
  </si>
  <si>
    <t xml:space="preserve">56%</t>
  </si>
  <si>
    <t xml:space="preserve">% Meta Cumplida</t>
  </si>
  <si>
    <t xml:space="preserve">DIVIDE ( [Gobernadas], [Meta] )</t>
  </si>
  <si>
    <t xml:space="preserve">81%</t>
  </si>
  <si>
    <t xml:space="preserve">Brecha Meta</t>
  </si>
  <si>
    <t xml:space="preserve">MAX ( 0, [Meta] - [Gobernadas] )</t>
  </si>
  <si>
    <t xml:space="preserve">Recepciones que faltan para la meta.</t>
  </si>
  <si>
    <t xml:space="preserve">44</t>
  </si>
  <si>
    <t xml:space="preserve">CALCULATE ( [Aplicaciones Unicas], fAplicaciones[Etapa] = "Criterio 1" )</t>
  </si>
  <si>
    <t xml:space="preserve">22</t>
  </si>
  <si>
    <t xml:space="preserve">CALCULATE ( [Aplicaciones Unicas], fAplicaciones[Etapa] = "Criterio 2" )</t>
  </si>
  <si>
    <t xml:space="preserve">27</t>
  </si>
  <si>
    <t xml:space="preserve">CALCULATE ( [Aplicaciones Unicas], fAplicaciones[Etapa] = "Criterio 3" )</t>
  </si>
  <si>
    <t xml:space="preserve">14</t>
  </si>
  <si>
    <t xml:space="preserve">CALCULATE ( [Aplicaciones Unicas], fAplicaciones[Etapa] = "Planificada 2027" )</t>
  </si>
  <si>
    <t xml:space="preserve">159</t>
  </si>
  <si>
    <t xml:space="preserve">Priorizadas 2026</t>
  </si>
  <si>
    <t xml:space="preserve">[Criterio 1] + [Criterio 2] + [Criterio 3]</t>
  </si>
  <si>
    <t xml:space="preserve">Cartera priorizada para el año.</t>
  </si>
  <si>
    <t xml:space="preserve">63</t>
  </si>
  <si>
    <t xml:space="preserve">Con Criterio 1</t>
  </si>
  <si>
    <t xml:space="preserve">[Gobernadas] + [Criterio 1]</t>
  </si>
  <si>
    <t xml:space="preserve">Gobernadas si se recibe todo el criterio 1.</t>
  </si>
  <si>
    <t xml:space="preserve">210</t>
  </si>
  <si>
    <t xml:space="preserve">Necesarias Criterio 2</t>
  </si>
  <si>
    <t xml:space="preserve">MAX ( 0, [Meta] - [Gobernadas] - [Criterio 1] )</t>
  </si>
  <si>
    <t xml:space="preserve">Del criterio 2 necesarias para la meta.</t>
  </si>
  <si>
    <t xml:space="preserve">3 Ritmo</t>
  </si>
  <si>
    <t xml:space="preserve">Recibidas Anio</t>
  </si>
  <si>
    <t xml:space="preserve">VAR c = [Fecha Corte]
RETURN
CALCULATE ( [Gobernadas], REMOVEFILTERS ( dCalendario ),
    fAplicaciones[Fecha Recepcion] &gt;= DATE ( YEAR ( c ), 1, 1 ),
    fAplicaciones[Fecha Recepcion] &lt;= c )</t>
  </si>
  <si>
    <t xml:space="preserve">Recepciones del año de corte.</t>
  </si>
  <si>
    <t xml:space="preserve">42</t>
  </si>
  <si>
    <t xml:space="preserve">Meses Transcurridos</t>
  </si>
  <si>
    <t xml:space="preserve">VAR c = [Fecha Corte]
RETURN DIVIDE ( c - DATE ( YEAR ( c ), 1, 1 ), [Dias Mes] )</t>
  </si>
  <si>
    <t xml:space="preserve">8,5</t>
  </si>
  <si>
    <t xml:space="preserve">Ritmo Mensual</t>
  </si>
  <si>
    <t xml:space="preserve">DIVIDE ( [Recibidas Anio], [Meses Transcurridos] )</t>
  </si>
  <si>
    <t xml:space="preserve">Recepciones por mes en el año.</t>
  </si>
  <si>
    <t xml:space="preserve">4,9</t>
  </si>
  <si>
    <t xml:space="preserve">Meses Restantes</t>
  </si>
  <si>
    <t xml:space="preserve">DIVIDE ( [Fecha Fin Anio] - [Fecha Corte], [Dias Mes] )</t>
  </si>
  <si>
    <t xml:space="preserve">3,5</t>
  </si>
  <si>
    <t xml:space="preserve">Ritmo Requerido</t>
  </si>
  <si>
    <t xml:space="preserve">DIVIDE ( [Brecha Meta], [Meses Restantes] )</t>
  </si>
  <si>
    <t xml:space="preserve">Recepciones por mes necesarias.</t>
  </si>
  <si>
    <t xml:space="preserve">12,7</t>
  </si>
  <si>
    <t xml:space="preserve">Multiplicador Ritmo</t>
  </si>
  <si>
    <t xml:space="preserve">DIVIDE ( [Ritmo Requerido], [Ritmo Mensual] )</t>
  </si>
  <si>
    <t xml:space="preserve">2,6</t>
  </si>
  <si>
    <t xml:space="preserve">Proyeccion Fin Anio</t>
  </si>
  <si>
    <t xml:space="preserve">[Gobernadas] + [Ritmo Mensual] * [Meses Restantes]</t>
  </si>
  <si>
    <t xml:space="preserve">Gobernadas a fin de año al ritmo actual.</t>
  </si>
  <si>
    <t xml:space="preserve">205</t>
  </si>
  <si>
    <t xml:space="preserve">% Proyeccion Universo</t>
  </si>
  <si>
    <t xml:space="preserve">DIVIDE ( [Proyeccion Fin Anio], [Universo] )</t>
  </si>
  <si>
    <t xml:space="preserve">49%</t>
  </si>
  <si>
    <t xml:space="preserve">Gobernadas Acumuladas</t>
  </si>
  <si>
    <t xml:space="preserve">VAR c = [Fecha Corte]
VAR f = MAX ( dCalendario[Fecha] )
VAR lim = MIN ( f, c )
RETURN
IF ( MIN ( dCalendario[Fecha] ) &gt; c, BLANK (),
    CALCULATE ( [Gobernadas], REMOVEFILTERS ( dCalendario ),
        FILTER ( ALL ( fAplicaciones[Fecha Recepcion] ),
            fAplicaciones[Fecha Recepcion] &lt;= lim || ISBLANK ( fAplicaciones[Fecha Recepcion] ) ) ) )</t>
  </si>
  <si>
    <t xml:space="preserve">Acumulado al final de cada periodo (para un gráfico de líneas con dCalendario[InicioMes]). Incluye las gobernadas sin fecha.</t>
  </si>
  <si>
    <t xml:space="preserve">4 Conciliación</t>
  </si>
  <si>
    <t xml:space="preserve">% Informe sobre CMDB</t>
  </si>
  <si>
    <t xml:space="preserve">DIVIDE ( [Gobernadas Informe], [CMDB] )</t>
  </si>
  <si>
    <t xml:space="preserve">53%</t>
  </si>
  <si>
    <t xml:space="preserve">% Informe sobre Universo</t>
  </si>
  <si>
    <t xml:space="preserve">DIVIDE ( [Gobernadas Informe], [Universo] )</t>
  </si>
  <si>
    <t xml:space="preserve">42%</t>
  </si>
  <si>
    <t xml:space="preserve">% Gobernadas sobre CMDB</t>
  </si>
  <si>
    <t xml:space="preserve">DIVIDE ( CALCULATE ( [Gobernadas], REMOVEFILTERS ( dEtapa ) ), [CMDB] )</t>
  </si>
  <si>
    <t xml:space="preserve">57%</t>
  </si>
  <si>
    <t xml:space="preserve">Sobrestimacion Puntos</t>
  </si>
  <si>
    <t xml:space="preserve">( [% Gobernadas sobre CMDB] - [% Gobernadas Universo] ) * 100</t>
  </si>
  <si>
    <t xml:space="preserve">Puntos de más al reportar sobre la CMDB.</t>
  </si>
  <si>
    <t xml:space="preserve">12</t>
  </si>
  <si>
    <t xml:space="preserve">Gobernadas ID GI</t>
  </si>
  <si>
    <t xml:space="preserve">CALCULATE ( [Gobernadas], fAplicaciones[IDPropioGI] = 1 )</t>
  </si>
  <si>
    <t xml:space="preserve">Gobernadas con ID propio de Identidades (sin ficha CMDB).</t>
  </si>
  <si>
    <t xml:space="preserve">41</t>
  </si>
  <si>
    <t xml:space="preserve">% Gobernadas ID GI</t>
  </si>
  <si>
    <t xml:space="preserve">DIVIDE ( [Gobernadas ID GI], [Gobernadas] )</t>
  </si>
  <si>
    <t xml:space="preserve">22%</t>
  </si>
  <si>
    <t xml:space="preserve">Posibles Duplicados GI</t>
  </si>
  <si>
    <t xml:space="preserve">CALCULATE ( [Aplicaciones Unicas], fAplicaciones[PosibleDuplicadoGI] = 1 )</t>
  </si>
  <si>
    <t xml:space="preserve">Pendientes que ya figuran gobernadas con ID GI.</t>
  </si>
  <si>
    <t xml:space="preserve">4</t>
  </si>
  <si>
    <t xml:space="preserve">5 Criticidad</t>
  </si>
  <si>
    <t xml:space="preserve">Criticas</t>
  </si>
  <si>
    <t xml:space="preserve">CALCULATE ( [Aplicaciones Unicas], dCriticidad[EsCritica] = 1 )</t>
  </si>
  <si>
    <t xml:space="preserve">Criticidad A, B o C.</t>
  </si>
  <si>
    <t xml:space="preserve">136</t>
  </si>
  <si>
    <t xml:space="preserve">Criticas Gobernadas</t>
  </si>
  <si>
    <t xml:space="preserve">CALCULATE ( [Gobernadas], dCriticidad[EsCritica] = 1 )</t>
  </si>
  <si>
    <t xml:space="preserve">83</t>
  </si>
  <si>
    <t xml:space="preserve">% Criticas Gobernadas</t>
  </si>
  <si>
    <t xml:space="preserve">DIVIDE ( [Criticas Gobernadas], [Criticas] )</t>
  </si>
  <si>
    <t xml:space="preserve">61%</t>
  </si>
  <si>
    <t xml:space="preserve">Criticas 2027</t>
  </si>
  <si>
    <t xml:space="preserve">CALCULATE ( [Criticas], fAplicaciones[Etapa] = "Planificada 2027" )</t>
  </si>
  <si>
    <t xml:space="preserve">Críticas diferidas al año siguiente.</t>
  </si>
  <si>
    <t xml:space="preserve">21</t>
  </si>
  <si>
    <t xml:space="preserve">Criticas A 2027</t>
  </si>
  <si>
    <t xml:space="preserve">CALCULATE ( [Aplicaciones Unicas], dCriticidad[Letra] = "A", fAplicaciones[Etapa] = "Planificada 2027" )</t>
  </si>
  <si>
    <t xml:space="preserve">Criterio 1 Baja Criticidad</t>
  </si>
  <si>
    <t xml:space="preserve">CALCULATE ( [Criterio 1], dCriticidad[Letra] IN { "D", "E" } )</t>
  </si>
  <si>
    <t xml:space="preserve">15</t>
  </si>
  <si>
    <t xml:space="preserve">Criterio 2 Criticas</t>
  </si>
  <si>
    <t xml:space="preserve">CALCULATE ( [Criterio 2], dCriticidad[EsCritica] = 1 )</t>
  </si>
  <si>
    <t xml:space="preserve">25</t>
  </si>
  <si>
    <t xml:space="preserve">Textos dinámicos · carpeta sugerida «7 Textos»</t>
  </si>
  <si>
    <t xml:space="preserve">Dónde aparece</t>
  </si>
  <si>
    <t xml:space="preserve">Resultado esperado al corte</t>
  </si>
  <si>
    <t xml:space="preserve">Todas</t>
  </si>
  <si>
    <t xml:space="preserve">Recuadro de corte</t>
  </si>
  <si>
    <t xml:space="preserve">Texto Corte</t>
  </si>
  <si>
    <t xml:space="preserve">VAR c = [Fecha Corte]
RETURN DAY ( c ) &amp; " " &amp; LOOKUPVALUE ( dCalendario[MesCorto], dCalendario[Fecha], c ) &amp; " " &amp; YEAR ( c )</t>
  </si>
  <si>
    <t xml:space="preserve">17 sep 2026</t>
  </si>
  <si>
    <t xml:space="preserve">Pie de página</t>
  </si>
  <si>
    <t xml:space="preserve">Texto Fuente</t>
  </si>
  <si>
    <t xml:space="preserve">VAR c = [Fecha Corte]
VAR i = [Fecha Informe]
RETURN "Fuentes: Matriz de Aplicaciones GI (última recepción registrada " &amp; DAY ( c ) &amp; " " &amp; LOOKUPVALUE ( dCalendario[MesCorto], dCalendario[Fecha], c ) &amp; " " &amp; YEAR ( c ) &amp; ") y revisión CMDB vs. Gestión de Identidades al " &amp; DAY ( i ) &amp; " de " &amp; LOOKUPVALUE ( dCalendario[MesLargo], dCalendario[Fecha], i ) &amp; "."</t>
  </si>
  <si>
    <t xml:space="preserve">Fuentes: Matriz de Aplicaciones GI (última recepción registrada 17 sep 2026) y revisión CMDB vs. Gestión de Identidades al 11 de agosto.</t>
  </si>
  <si>
    <t xml:space="preserve">1</t>
  </si>
  <si>
    <t xml:space="preserve">KPI Universo · subtítulo</t>
  </si>
  <si>
    <t xml:space="preserve">Sub KPI Universo</t>
  </si>
  <si>
    <t xml:space="preserve">"CMDB " &amp; [CMDB] &amp; " + " &amp; [Ajustes CMDB] &amp; " ajustes"</t>
  </si>
  <si>
    <t xml:space="preserve">CMDB 331 + 86 ajustes</t>
  </si>
  <si>
    <t xml:space="preserve">KPI Gobernadas · subtítulo</t>
  </si>
  <si>
    <t xml:space="preserve">Sub KPI Gobernadas</t>
  </si>
  <si>
    <t xml:space="preserve">FORMAT ( [% Gobernadas Universo], "0%" ) &amp; " del universo"</t>
  </si>
  <si>
    <t xml:space="preserve">45% del universo</t>
  </si>
  <si>
    <t xml:space="preserve">KPI Gobernadas · chip</t>
  </si>
  <si>
    <t xml:space="preserve">Chip KPI Gobernadas</t>
  </si>
  <si>
    <t xml:space="preserve">"+" &amp; [Recibidas Anio] &amp; " en " &amp; YEAR ( [Fecha Corte] )</t>
  </si>
  <si>
    <t xml:space="preserve">+42 en 2026</t>
  </si>
  <si>
    <t xml:space="preserve">KPI Meta · etiqueta</t>
  </si>
  <si>
    <t xml:space="preserve">Label KPI Meta</t>
  </si>
  <si>
    <t xml:space="preserve">"Meta a diciembre " &amp; YEAR ( [Fecha Fin Anio] )</t>
  </si>
  <si>
    <t xml:space="preserve">Meta a diciembre 2026</t>
  </si>
  <si>
    <t xml:space="preserve">KPI Meta · subtítulo</t>
  </si>
  <si>
    <t xml:space="preserve">Sub KPI Meta</t>
  </si>
  <si>
    <t xml:space="preserve">FORMAT ( [% Meta Universo], "0%" ) &amp; " del universo"</t>
  </si>
  <si>
    <t xml:space="preserve">56% del universo</t>
  </si>
  <si>
    <t xml:space="preserve">KPI Brecha · subtítulo</t>
  </si>
  <si>
    <t xml:space="preserve">Sub KPI Brecha</t>
  </si>
  <si>
    <t xml:space="preserve">IF ( [Brecha Meta] = 0, "Meta alcanzada", FORMAT ( [% Meta Cumplida], "0%" ) &amp; " de la meta cumplida" )</t>
  </si>
  <si>
    <t xml:space="preserve">81% de la meta cumplida</t>
  </si>
  <si>
    <t xml:space="preserve">KPI Ritmo · subtítulo</t>
  </si>
  <si>
    <t xml:space="preserve">Sub KPI Ritmo</t>
  </si>
  <si>
    <t xml:space="preserve">"Ritmo " &amp; YEAR ( [Fecha Corte] ) &amp; ": " &amp; FORMAT ( [Ritmo Mensual], "0.0" ) &amp; "/mes (" &amp; FORMAT ( [Multiplicador Ritmo], "0.0" ) &amp; "× más)"</t>
  </si>
  <si>
    <t xml:space="preserve">Ritmo 2026: 4,9/mes (2,6× más)</t>
  </si>
  <si>
    <t xml:space="preserve">Barra del universo · subtítulo</t>
  </si>
  <si>
    <t xml:space="preserve">Sub Barra Universo</t>
  </si>
  <si>
    <t xml:space="preserve">"Las " &amp; [Universo] &amp; " aplicaciones del universo según su etapa en la matriz de Gestión de Identidades."</t>
  </si>
  <si>
    <t xml:space="preserve">Las 417 aplicaciones del universo según su etapa en la matriz de Gestión de Identidades.</t>
  </si>
  <si>
    <t xml:space="preserve">Barra del universo · marca meta</t>
  </si>
  <si>
    <t xml:space="preserve">Etiqueta Meta Barra</t>
  </si>
  <si>
    <t xml:space="preserve">VAR f = [Fecha Fin Anio]
RETURN "Meta " &amp; LOOKUPVALUE ( dCalendario[MesCorto], dCalendario[Fecha], f ) &amp; "-" &amp; YEAR ( f ) &amp; ": " &amp; [Meta] &amp; " (" &amp; FORMAT ( [% Meta Universo], "0%" ) &amp; " del universo)"</t>
  </si>
  <si>
    <t xml:space="preserve">Meta dic-2026: 232 (56% del universo)</t>
  </si>
  <si>
    <t xml:space="preserve">Barra del universo · marca informe</t>
  </si>
  <si>
    <t xml:space="preserve">Etiqueta Informe</t>
  </si>
  <si>
    <t xml:space="preserve">VAR i = [Fecha Informe]
RETURN DAY ( i ) &amp; "-" &amp; LOOKUPVALUE ( dCalendario[MesCorto], dCalendario[Fecha], i ) &amp; ": " &amp; [Gobernadas Informe]</t>
  </si>
  <si>
    <t xml:space="preserve">11-ago: 176</t>
  </si>
  <si>
    <t xml:space="preserve">Ruta a la meta · subtítulo</t>
  </si>
  <si>
    <t xml:space="preserve">Sub Ruta Meta</t>
  </si>
  <si>
    <t xml:space="preserve">"Cuánto de la cartera priorizada hay que recibir para llegar a " &amp; [Meta] &amp; "."</t>
  </si>
  <si>
    <t xml:space="preserve">Cuánto de la cartera priorizada hay que recibir para llegar a 232.</t>
  </si>
  <si>
    <t xml:space="preserve">Ruta a la meta · paso final</t>
  </si>
  <si>
    <t xml:space="preserve">Texto Ruta Paso Final</t>
  </si>
  <si>
    <t xml:space="preserve">VAR g = [Gobernadas]
VAR c1 = [Criterio 1]
VAR c2 = [Criterio 2]
VAR m = [Meta]
RETURN
    SWITCH ( TRUE (),
        g &gt;= m, "Meta ya alcanzada",
        g + c1 &gt;= m, "Meta, con " &amp; ( m - g ) &amp; " de las " &amp; c1 &amp; " del criterio 1",
        g + c1 + c2 &gt;= m, "Meta, con " &amp; ( m - g - c1 ) &amp; " de las " &amp; c2 &amp; " del criterio 2",
        "Meta, con todo el criterio 2 y " &amp; ( m - g - c1 - c2 ) &amp; " del criterio 3" )</t>
  </si>
  <si>
    <t xml:space="preserve">Meta, con 22 de las 27 del criterio 2</t>
  </si>
  <si>
    <t xml:space="preserve">Ruta a la meta · nota</t>
  </si>
  <si>
    <t xml:space="preserve">Nota Ruta Meta</t>
  </si>
  <si>
    <t xml:space="preserve">VAR pri = [Priorizadas 2026]
VAR br = [Brecha Meta]
RETURN
    SWITCH ( TRUE (),
        br = 0, "La meta del año ya está cumplida.",
        pri &lt; br, "La cartera priorizada (" &amp; pri &amp; ") no alcanza para cubrir las " &amp; br &amp; " que faltan: hay que priorizar más aplicaciones.",
        [Multiplicador Ritmo] &lt;= 1, "La cartera priorizada suma " &amp; pri &amp; " aplicaciones y el ritmo actual alcanza para llegar a la meta.",
        "La cartera priorizada para " &amp; YEAR ( [Fecha Corte] ) &amp; " suma " &amp; pri &amp; " aplicaciones, más que las " &amp; br
            &amp; " que faltan. El problema no es de alcance sino de ritmo: al paso de " &amp; FORMAT ( [Ritmo Mensual], "0.0" )
            &amp; " por mes se cerraría el año con ~" &amp; FORMAT ( [Proyeccion Fin Anio], "0" ) &amp; " (" &amp; FORMAT ( [% Proyeccion Universo], "0%" ) &amp; ")." )</t>
  </si>
  <si>
    <t xml:space="preserve">La cartera priorizada para 2026 suma 63 aplicaciones, más que las 44 que faltan. El problema no es de alcance sino de ritmo: al paso de 4,9 por mes se cerraría el año con ~205 (49%).</t>
  </si>
  <si>
    <t xml:space="preserve">Curva · etiqueta proyección</t>
  </si>
  <si>
    <t xml:space="preserve">Etiqueta Proyeccion</t>
  </si>
  <si>
    <t xml:space="preserve">"al ritmo " &amp; YEAR ( [Fecha Corte] ) &amp; ": " &amp; FORMAT ( [Proyeccion Fin Anio], "0" )</t>
  </si>
  <si>
    <t xml:space="preserve">al ritmo 2026: 205</t>
  </si>
  <si>
    <t xml:space="preserve">2</t>
  </si>
  <si>
    <t xml:space="preserve">Encabezado · subtítulo</t>
  </si>
  <si>
    <t xml:space="preserve">Sub Encabezado P2</t>
  </si>
  <si>
    <t xml:space="preserve">"Por qué la CMDB muestra " &amp; [CMDB] &amp; " aplicaciones cuando Gestión de Identidades administra un universo de " &amp; [Universo] &amp; "."</t>
  </si>
  <si>
    <t xml:space="preserve">Por qué la CMDB muestra 331 aplicaciones cuando Gestión de Identidades administra un universo de 417.</t>
  </si>
  <si>
    <t xml:space="preserve">Cascada · título</t>
  </si>
  <si>
    <t xml:space="preserve">Titulo Cascada</t>
  </si>
  <si>
    <t xml:space="preserve">"De " &amp; [CMDB] &amp; " a " &amp; [Universo] &amp; " aplicaciones"</t>
  </si>
  <si>
    <t xml:space="preserve">De 331 a 417 aplicaciones</t>
  </si>
  <si>
    <t xml:space="preserve">Cascada · subtítulo</t>
  </si>
  <si>
    <t xml:space="preserve">Sub Cascada</t>
  </si>
  <si>
    <t xml:space="preserve">VAR i = [Fecha Informe]
RETURN "Ajustes identificados en la revisión de la CMDB frente al inventario de Gestión de Identidades (" &amp; DAY ( i ) &amp; " de " &amp; LOOKUPVALUE ( dCalendario[MesLargo], dCalendario[Fecha], i ) &amp; ")."</t>
  </si>
  <si>
    <t xml:space="preserve">Ajustes identificados en la revisión de la CMDB frente al inventario de Gestión de Identidades (11 de agosto).</t>
  </si>
  <si>
    <t xml:space="preserve">Doble base · etiqueta informe</t>
  </si>
  <si>
    <t xml:space="preserve">Etiqueta Base Informe</t>
  </si>
  <si>
    <t xml:space="preserve">VAR i = [Fecha Informe]
RETURN "Al " &amp; DAY ( i ) &amp; " de " &amp; LOOKUPVALUE ( dCalendario[MesLargo], dCalendario[Fecha], i ) &amp; " (" &amp; [Gobernadas Informe] &amp; " gobernadas)"</t>
  </si>
  <si>
    <t xml:space="preserve">Al 11 de agosto (176 gobernadas)</t>
  </si>
  <si>
    <t xml:space="preserve">Doble base · etiqueta corte</t>
  </si>
  <si>
    <t xml:space="preserve">Etiqueta Base Corte</t>
  </si>
  <si>
    <t xml:space="preserve">"Al corte de la matriz (" &amp; [Gobernadas] &amp; " gobernadas)"</t>
  </si>
  <si>
    <t xml:space="preserve">Al corte de la matriz (188 gobernadas)</t>
  </si>
  <si>
    <t xml:space="preserve">Doble base · nota</t>
  </si>
  <si>
    <t xml:space="preserve">Nota Doble Base</t>
  </si>
  <si>
    <t xml:space="preserve">IF ( [Sobrestimacion Puntos] &gt; 0.5, "Reportar sobre la CMDB sin conciliar sobrestima el avance en " &amp; FORMAT ( [Sobrestimacion Puntos], "0" ) &amp; " puntos.", "La base usada no cambia materialmente el avance." )</t>
  </si>
  <si>
    <t xml:space="preserve">Reportar sobre la CMDB sin conciliar sobrestima el avance en 12 puntos.</t>
  </si>
  <si>
    <t xml:space="preserve">Matriz vs universo · nota</t>
  </si>
  <si>
    <t xml:space="preserve">Nota IDs GI</t>
  </si>
  <si>
    <t xml:space="preserve">[Gobernadas ID GI] &amp; " aplicaciones gobernadas tienen un ID propio de Identidades (GI/GA) porque no existen en la CMDB: son el " &amp; FORMAT ( [% Gobernadas ID GI], "0%" ) &amp; " de las gobernadas y no pueden pasar por los controles de depuración que dependen de la CMDB."</t>
  </si>
  <si>
    <t xml:space="preserve">41 aplicaciones gobernadas tienen un ID propio de Identidades (GI/GA) porque no existen en la CMDB: son el 22% de las gobernadas y no pueden pasar por los controles de depuración que dependen de la CMDB.</t>
  </si>
  <si>
    <t xml:space="preserve">Alcance · título</t>
  </si>
  <si>
    <t xml:space="preserve">Titulo Alcance</t>
  </si>
  <si>
    <t xml:space="preserve">"De " &amp; [Alcance Inicial] &amp; " a " &amp; [Alcance Actual] &amp; " aplicaciones a recibir."</t>
  </si>
  <si>
    <t xml:space="preserve">De 232 a 395 aplicaciones a recibir.</t>
  </si>
  <si>
    <t xml:space="preserve">Alcance · texto</t>
  </si>
  <si>
    <t xml:space="preserve">Texto Alcance</t>
  </si>
  <si>
    <t xml:space="preserve">"Antes solo se recibían aplicaciones con módulo de seguridad propio (usuarios y roles). Además del inventario regularizado, el alcance creció en " &amp; ( [Alcance Actual] - [Alcance Inicial] ) &amp; " aplicaciones por nuevos criterios de incorporación."</t>
  </si>
  <si>
    <t xml:space="preserve">Antes solo se recibían aplicaciones con módulo de seguridad propio (usuarios y roles). Además del inventario regularizado, el alcance creció en 163 aplicaciones por nuevos criterios de incorporación.</t>
  </si>
  <si>
    <t xml:space="preserve">KPI críticas · subtítulo</t>
  </si>
  <si>
    <t xml:space="preserve">Sub KPI Criticas</t>
  </si>
  <si>
    <t xml:space="preserve">[Criticas Gobernadas] &amp; " de " &amp; [Criticas] &amp; " aplicaciones con criticidad A, B o C"</t>
  </si>
  <si>
    <t xml:space="preserve">83 de 136 aplicaciones con criticidad A, B o C</t>
  </si>
  <si>
    <t xml:space="preserve">KPI críticas 2027 · subtítulo</t>
  </si>
  <si>
    <t xml:space="preserve">Sub KPI Criticas 2027</t>
  </si>
  <si>
    <t xml:space="preserve">[Criticas A 2027] &amp; " de ellas" &amp; " con apetito de riesgo de disponibilidad (A)"</t>
  </si>
  <si>
    <t xml:space="preserve">7 de ellas con apetito de riesgo de disponibilidad (A)</t>
  </si>
  <si>
    <t xml:space="preserve">KPI criterio 1 · valor</t>
  </si>
  <si>
    <t xml:space="preserve">Valor KPI C1 Baja</t>
  </si>
  <si>
    <t xml:space="preserve">[Criterio 1 Baja Criticidad] &amp; " de " &amp; [Criterio 1]</t>
  </si>
  <si>
    <t xml:space="preserve">15 de 22</t>
  </si>
  <si>
    <t xml:space="preserve">KPI criterio 2 · valor</t>
  </si>
  <si>
    <t xml:space="preserve">Valor KPI C2 Criticas</t>
  </si>
  <si>
    <t xml:space="preserve">[Criterio 2 Criticas] &amp; " de " &amp; [Criterio 2]</t>
  </si>
  <si>
    <t xml:space="preserve">25 de 27</t>
  </si>
  <si>
    <t xml:space="preserve">KPI cobertura · subtítulo</t>
  </si>
  <si>
    <t xml:space="preserve">Sub KPI Cobertura</t>
  </si>
  <si>
    <t xml:space="preserve">[Gobernadas] &amp; " de " &amp; [Universo] &amp; " aplicaciones"</t>
  </si>
  <si>
    <t xml:space="preserve">188 de 417 aplicaciones</t>
  </si>
  <si>
    <t xml:space="preserve">Nota de criticidad</t>
  </si>
  <si>
    <t xml:space="preserve">Nota Criticidad</t>
  </si>
  <si>
    <t xml:space="preserve">VAR c1 = [Criterio 1]
VAR c1b = [Criterio 1 Baja Criticidad]
VAR c2 = [Criterio 2]
VAR c2c = [Criterio 2 Criticas]
VAR c27 = [Criticas 2027]
VAR listaA =
    CONCATENATEX (
        CALCULATETABLE ( VALUES ( fAplicaciones[Nombre] ), dCriticidad[Letra] = "A", fAplicaciones[Etapa] = "Planificada 2027", fAplicaciones[Cuenta] = 1 ),
        fAplicaciones[Nombre], ", ", fAplicaciones[Nombre], ASC )
VAR orden =
    IF ( c1b &gt; c1 / 2 &amp;&amp; c2c &gt; c2 / 2,
        "El criterio 1 completa la meta con aplicaciones mayormente no críticas, mientras " &amp; c2c &amp; " de las " &amp; c2
            &amp; " del criterio 2 son críticas y " &amp; c27 &amp; " críticas quedan para el próximo año. Si la meta busca reducir riesgo, conviene revisar el orden de los criterios.",
        c27 &amp; " aplicaciones críticas quedan para el próximo año." )
RETURN orden &amp; IF ( listaA &lt;&gt; "", " Pendientes A diferidas: " &amp; listaA &amp; ".", "" )</t>
  </si>
  <si>
    <t xml:space="preserve">El criterio 1 completa la meta con aplicaciones mayormente no críticas, mientras 25 de las 27 del criterio 2 son críticas y 21 críticas quedan para el próximo año. Si la meta busca reducir riesgo, conviene revisar el orden de los criterios. Pendientes A diferidas: BP-MOVIL, CXP (Banca Web), Deuna Personas V2, Identity BP, NeoCash, Pichincha Empresas, Switch NETManager CNB.</t>
  </si>
  <si>
    <t xml:space="preserve">Sub Encabezado P4</t>
  </si>
  <si>
    <t xml:space="preserve">"Las " &amp; [Priorizadas 2026] &amp; " aplicaciones priorizadas para " &amp; YEAR ( [Fecha Corte] ) &amp; ", ordenadas por criticidad. Se necesitan " &amp; [Brecha Meta] &amp; " recepciones para llegar a la meta."</t>
  </si>
  <si>
    <t xml:space="preserve">Las 63 aplicaciones priorizadas para 2026, ordenadas por criticidad. Se necesitan 44 recepciones para llegar a la meta.</t>
  </si>
  <si>
    <t xml:space="preserve">Tabla criterio 1 · etiqueta</t>
  </si>
  <si>
    <t xml:space="preserve">Pill Criterio 1</t>
  </si>
  <si>
    <t xml:space="preserve">"Con todas: " &amp; [Con Criterio 1] &amp; " gobernadas"</t>
  </si>
  <si>
    <t xml:space="preserve">Con todas: 210 gobernadas</t>
  </si>
  <si>
    <t xml:space="preserve">Tabla criterio 2 · etiqueta</t>
  </si>
  <si>
    <t xml:space="preserve">Pill Criterio 2</t>
  </si>
  <si>
    <t xml:space="preserve">IF ( [Necesarias Criterio 2] = 0, "No se necesitan para la meta", "Se necesitan " &amp; MIN ( [Necesarias Criterio 2], [Criterio 2] ) &amp; " para la meta" )</t>
  </si>
  <si>
    <t xml:space="preserve">Se necesitan 22 para la meta</t>
  </si>
  <si>
    <t xml:space="preserve">Nota criterio 3</t>
  </si>
  <si>
    <t xml:space="preserve">Nota Criterio 3</t>
  </si>
  <si>
    <t xml:space="preserve">VAR t = CALCULATETABLE ( fAplicaciones, fAplicaciones[Etapa] = "Criterio 3", fAplicaciones[Cuenta] = 1 )
VAR n = COUNTROWS ( t )
VAR letras = COUNTROWS ( DISTINCT ( SELECTCOLUMNS ( t, "L", fAplicaciones[CritLetra] ) ) )
VAR l1 = CONCATENATEX ( DISTINCT ( SELECTCOLUMNS ( t, "L", fAplicaciones[CritLetra] ) ), [L], ", " )
VAR lista = CONCATENATEX ( t, fAplicaciones[Nombre], ", ", fAplicaciones[Nombre], ASC )
RETURN
    "Criterio 3 · " &amp; n &amp; " aplicaciones" &amp; IF ( letras = 1, ", todas de criticidad " &amp; l1, "" ) &amp; ": " &amp; lista &amp; "."</t>
  </si>
  <si>
    <t xml:space="preserve">Criterio 3 · 14 aplicaciones, todas de criticidad E: Alarmnet, AutorizadorPichincha, CIS CAT Pro, DarkTrace, Enforcive Enterprise Security, Entra ID, Kriptos, Optimizador de Eventos SOC (ORXLog), Preguntas de Validación, Sistema de Gestión de Video DSS, Solución de Gestión de Certificados Digitales, Solución de Gestión de Incidentes de Ciberseguridad, Staffing , VECTR.</t>
  </si>
  <si>
    <t xml:space="preserve">Nota posibles duplicados</t>
  </si>
  <si>
    <t xml:space="preserve">Nota Duplicados</t>
  </si>
  <si>
    <t xml:space="preserve">VAR t = CALCULATETABLE ( fAplicaciones, fAplicaciones[PosibleDuplicadoGI] = 1, fAplicaciones[Cuenta] = 1 )
VAR n = COUNTROWS ( t )
VAR lista =
    CONCATENATEX ( t, fAplicaciones[Nombre] &amp; " (" &amp; LOWER ( fAplicaciones[Etapa] ) &amp; ")", ", ",
        LOOKUPVALUE ( dEtapa[Orden], dEtapa[Etapa], fAplicaciones[Etapa] ), ASC, fAplicaciones[Nombre], ASC )
RETURN
    IF ( n = 0, "No se detectan aplicaciones pendientes que ya figuren gobernadas con ID de Identidades.",
        n &amp; IF ( n = 1, " posible duplicado. ", " posibles duplicados. " ) &amp; lista
            &amp; IF ( n = 1, " ya figura", " ya figuran" ) &amp; " como gobernadas con un ID de Identidades. Si son la misma aplicación, basta con conciliar el ID para darlas por recibidas, y la cartera real es menor." )</t>
  </si>
  <si>
    <t xml:space="preserve">4 posibles duplicados. Mail Control System (criterio 1), CapturadeFirmas (criterio 2), ListaObservados (criterio 2), Remesas (criterio 2) ya figuran como gobernadas con un ID de Identidades. Si son la misma aplicación, basta con conciliar el ID para darlas por recibidas, y la cartera real es menor.</t>
  </si>
  <si>
    <t xml:space="preserve">Medidas para el visual HTML Content (AppSource) · carpeta sugerida «8 HTML» · Values = medida, Granularity vacío, sin título/fondo/borde del visual</t>
  </si>
  <si>
    <t xml:space="preserve">Visual del dashboard</t>
  </si>
  <si>
    <t xml:space="preserve">Tamaño sugerido</t>
  </si>
  <si>
    <t xml:space="preserve">Encabezado de página</t>
  </si>
  <si>
    <t xml:space="preserve">HTML Apps Encabezado P1</t>
  </si>
  <si>
    <t xml:space="preserve">1600 × 92 px</t>
  </si>
  <si>
    <t xml:space="preserve">"&lt;div style='font-family:Poppins,Segoe UI,Arial,sans-serif;position:relative;display:flex;align-items:center;height:92px;background:#FFFFFF;border-bottom:1px solid #E2E6EF;padding:0 30px 0 70px;box-sizing:border-box'&gt;"
    &amp; "&lt;div style='position:absolute;left:0;top:0;width:0;height:0;border-top:46px solid transparent;border-bottom:46px solid transparent;border-left:40px solid #FFDD00'&gt;&lt;/div&gt;"
    &amp; "&lt;div&gt;&lt;div style='font-size:30px;font-weight:700;color:#0F265C;line-height:1.15'&gt;" &amp; "Recepción de aplicaciones " &amp; YEAR ( [Fecha Corte] ) &amp; "&lt;/div&gt;"
    &amp; "&lt;div style='font-size:14px;color:#6B7390;margin-top:4px'&gt;" &amp; "Cuántas aplicaciones del universo ya gobierna Gestión de Identidades y qué falta para llegar a la meta de fin de año." &amp; "&lt;/div&gt;&lt;/div&gt;"
    &amp; "&lt;div style='margin-left:auto;display:flex;align-items:center;gap:20px'&gt;"
    &amp; "&lt;div style='text-align:right;font-size:12px;color:#6B7390;line-height:1.45'&gt;&lt;b style='display:block;color:#0F265C;font-size:16px'&gt;Banco Pichincha&lt;/b&gt;Gestión de Identidades · Hito liderado por " &amp; CALCULATE ( MAX ( Parametros[Texto] ), Parametros[Parámetro] = "ResponsableHito" ) &amp; "&lt;/div&gt;"
    &amp; "&lt;div style='background:#0F265C;color:#FFFFFF;border-radius:12px;padding:9px 16px;font-size:11.5px;line-height:1.35'&gt;Corte matriz&lt;br&gt;&lt;b style='font-size:15px;color:#FFDD00'&gt;" &amp; [Texto Corte] &amp; "&lt;/b&gt;&lt;/div&gt;"
    &amp; "&lt;/div&gt;&lt;/div&gt;"</t>
  </si>
  <si>
    <t xml:space="preserve">HTML Apps Encabezado P2</t>
  </si>
  <si>
    <t xml:space="preserve">"&lt;div style='font-family:Poppins,Segoe UI,Arial,sans-serif;position:relative;display:flex;align-items:center;height:92px;background:#FFFFFF;border-bottom:1px solid #E2E6EF;padding:0 30px 0 70px;box-sizing:border-box'&gt;"
    &amp; "&lt;div style='position:absolute;left:0;top:0;width:0;height:0;border-top:46px solid transparent;border-bottom:46px solid transparent;border-left:40px solid #FFDD00'&gt;&lt;/div&gt;"
    &amp; "&lt;div&gt;&lt;div style='font-size:30px;font-weight:700;color:#0F265C;line-height:1.15'&gt;" &amp; "Conciliación del universo de aplicaciones" &amp; "&lt;/div&gt;"
    &amp; "&lt;div style='font-size:14px;color:#6B7390;margin-top:4px'&gt;" &amp; [Sub Encabezado P2] &amp; "&lt;/div&gt;&lt;/div&gt;"
    &amp; "&lt;div style='margin-left:auto;display:flex;align-items:center;gap:20px'&gt;"
    &amp; "&lt;div style='text-align:right;font-size:12px;color:#6B7390;line-height:1.45'&gt;&lt;b style='display:block;color:#0F265C;font-size:16px'&gt;Banco Pichincha&lt;/b&gt;Gestión de Identidades · Hito liderado por " &amp; CALCULATE ( MAX ( Parametros[Texto] ), Parametros[Parámetro] = "ResponsableHito" ) &amp; "&lt;/div&gt;"
    &amp; "&lt;div style='background:#0F265C;color:#FFFFFF;border-radius:12px;padding:9px 16px;font-size:11.5px;line-height:1.35'&gt;Corte matriz&lt;br&gt;&lt;b style='font-size:15px;color:#FFDD00'&gt;" &amp; [Texto Corte] &amp; "&lt;/b&gt;&lt;/div&gt;"
    &amp; "&lt;/div&gt;&lt;/div&gt;"</t>
  </si>
  <si>
    <t xml:space="preserve">HTML Apps Encabezado P3</t>
  </si>
  <si>
    <t xml:space="preserve">"&lt;div style='font-family:Poppins,Segoe UI,Arial,sans-serif;position:relative;display:flex;align-items:center;height:92px;background:#FFFFFF;border-bottom:1px solid #E2E6EF;padding:0 30px 0 70px;box-sizing:border-box'&gt;"
    &amp; "&lt;div style='position:absolute;left:0;top:0;width:0;height:0;border-top:46px solid transparent;border-bottom:46px solid transparent;border-left:40px solid #FFDD00'&gt;&lt;/div&gt;"
    &amp; "&lt;div&gt;&lt;div style='font-size:30px;font-weight:700;color:#0F265C;line-height:1.15'&gt;" &amp; "Cobertura por criticidad y por equipo" &amp; "&lt;/div&gt;"
    &amp; "&lt;div style='font-size:14px;color:#6B7390;margin-top:4px'&gt;" &amp; "Qué tan gobernadas están las aplicaciones más críticas y dónde se concentra lo pendiente." &amp; "&lt;/div&gt;&lt;/div&gt;"
    &amp; "&lt;div style='margin-left:auto;display:flex;align-items:center;gap:20px'&gt;"
    &amp; "&lt;div style='text-align:right;font-size:12px;color:#6B7390;line-height:1.45'&gt;&lt;b style='display:block;color:#0F265C;font-size:16px'&gt;Banco Pichincha&lt;/b&gt;Gestión de Identidades · Hito liderado por " &amp; CALCULATE ( MAX ( Parametros[Texto] ), Parametros[Parámetro] = "ResponsableHito" ) &amp; "&lt;/div&gt;"
    &amp; "&lt;div style='background:#0F265C;color:#FFFFFF;border-radius:12px;padding:9px 16px;font-size:11.5px;line-height:1.35'&gt;Corte matriz&lt;br&gt;&lt;b style='font-size:15px;color:#FFDD00'&gt;" &amp; [Texto Corte] &amp; "&lt;/b&gt;&lt;/div&gt;"
    &amp; "&lt;/div&gt;&lt;/div&gt;"</t>
  </si>
  <si>
    <t xml:space="preserve">HTML Apps Encabezado P4</t>
  </si>
  <si>
    <t xml:space="preserve">"&lt;div style='font-family:Poppins,Segoe UI,Arial,sans-serif;position:relative;display:flex;align-items:center;height:92px;background:#FFFFFF;border-bottom:1px solid #E2E6EF;padding:0 30px 0 70px;box-sizing:border-box'&gt;"
    &amp; "&lt;div style='position:absolute;left:0;top:0;width:0;height:0;border-top:46px solid transparent;border-bottom:46px solid transparent;border-left:40px solid #FFDD00'&gt;&lt;/div&gt;"
    &amp; "&lt;div&gt;&lt;div style='font-size:30px;font-weight:700;color:#0F265C;line-height:1.15'&gt;" &amp; "Cartera priorizada para cerrar la brecha" &amp; "&lt;/div&gt;"
    &amp; "&lt;div style='font-size:14px;color:#6B7390;margin-top:4px'&gt;" &amp; [Sub Encabezado P4] &amp; "&lt;/div&gt;&lt;/div&gt;"
    &amp; "&lt;div style='margin-left:auto;display:flex;align-items:center;gap:20px'&gt;"
    &amp; "&lt;div style='text-align:right;font-size:12px;color:#6B7390;line-height:1.45'&gt;&lt;b style='display:block;color:#0F265C;font-size:16px'&gt;Banco Pichincha&lt;/b&gt;Gestión de Identidades · Hito liderado por " &amp; CALCULATE ( MAX ( Parametros[Texto] ), Parametros[Parámetro] = "ResponsableHito" ) &amp; "&lt;/div&gt;"
    &amp; "&lt;div style='background:#0F265C;color:#FFFFFF;border-radius:12px;padding:9px 16px;font-size:11.5px;line-height:1.35'&gt;Corte matriz&lt;br&gt;&lt;b style='font-size:15px;color:#FFDD00'&gt;" &amp; [Texto Corte] &amp; "&lt;/b&gt;&lt;/div&gt;"
    &amp; "&lt;/div&gt;&lt;/div&gt;"</t>
  </si>
  <si>
    <t xml:space="preserve">HTML Apps Pie</t>
  </si>
  <si>
    <t xml:space="preserve">1520 × 30 px</t>
  </si>
  <si>
    <t xml:space="preserve">"&lt;div style='font-family:Poppins,Segoe UI,Arial,sans-serif;font-size:10.5px;color:#6B7390'&gt;" &amp; [Texto Fuente] &amp; "&lt;/div&gt;"</t>
  </si>
  <si>
    <t xml:space="preserve">Tarjeta KPI</t>
  </si>
  <si>
    <t xml:space="preserve">HTML Apps KPI Universo</t>
  </si>
  <si>
    <t xml:space="preserve">290 × 100 px</t>
  </si>
  <si>
    <t xml:space="preserve">"&lt;div style='font-family:Poppins,Segoe UI,Arial,sans-serif;background:#FFFFFF;border:1px solid #E2E6EF;border-left:4px solid #0F265C;border-radius:14px;padding:12px 18px;box-sizing:border-box;height:100%'&gt;"
    &amp; "&lt;div style='font-size:30px;font-weight:700;color:#0F265C;line-height:1.1'&gt;" &amp; [Universo] &amp; "&lt;/div&gt;"
    &amp; "&lt;div style='font-size:14px;font-weight:500;color:#1B2340;margin-top:3px'&gt;" &amp; "Universo de aplicaciones" &amp; "&lt;/div&gt;"
    &amp; "&lt;div style='font-size:12px;color:#6B7390;margin-top:2px'&gt;" &amp; [Sub KPI Universo] &amp; "&lt;/div&gt;&lt;/div&gt;"</t>
  </si>
  <si>
    <t xml:space="preserve">HTML Apps KPI Gobernadas</t>
  </si>
  <si>
    <t xml:space="preserve">"&lt;div style='font-family:Poppins,Segoe UI,Arial,sans-serif;background:#FFFFFF;border:1px solid #E2E6EF;border-left:4px solid #0F265C;border-radius:14px;padding:12px 18px;box-sizing:border-box;height:100%'&gt;"
    &amp; "&lt;div style='font-size:30px;font-weight:700;color:#0F265C;line-height:1.1'&gt;" &amp; [Gobernadas] &amp; " &lt;span style='font-size:11.5px;font-weight:600;padding:3px 9px;border-radius:99px;background:#E4EAF7;color:#0F265C;vertical-align:middle'&gt;" &amp; [Chip KPI Gobernadas] &amp; "&lt;/span&gt;" &amp; "&lt;/div&gt;"
    &amp; "&lt;div style='font-size:14px;font-weight:500;color:#1B2340;margin-top:3px'&gt;" &amp; "Aplicaciones gobernadas" &amp; "&lt;/div&gt;"
    &amp; "&lt;div style='font-size:12px;color:#6B7390;margin-top:2px'&gt;" &amp; [Sub KPI Gobernadas] &amp; "&lt;/div&gt;&lt;/div&gt;"</t>
  </si>
  <si>
    <t xml:space="preserve">HTML Apps KPI Meta</t>
  </si>
  <si>
    <t xml:space="preserve">"&lt;div style='font-family:Poppins,Segoe UI,Arial,sans-serif;background:#FFFFFF;border:1px solid #E2E6EF;border-left:4px solid #0F265C;border-radius:14px;padding:12px 18px;box-sizing:border-box;height:100%'&gt;"
    &amp; "&lt;div style='font-size:30px;font-weight:700;color:#0F265C;line-height:1.1'&gt;" &amp; [Meta] &amp; "&lt;/div&gt;"
    &amp; "&lt;div style='font-size:14px;font-weight:500;color:#1B2340;margin-top:3px'&gt;" &amp; [Label KPI Meta] &amp; "&lt;/div&gt;"
    &amp; "&lt;div style='font-size:12px;color:#6B7390;margin-top:2px'&gt;" &amp; [Sub KPI Meta] &amp; "&lt;/div&gt;&lt;/div&gt;"</t>
  </si>
  <si>
    <t xml:space="preserve">HTML Apps KPI Brecha</t>
  </si>
  <si>
    <t xml:space="preserve">"&lt;div style='font-family:Poppins,Segoe UI,Arial,sans-serif;background:#FFFFFF;border:1px solid #E2E6EF;border-left:4px solid #F5B800;border-radius:14px;padding:12px 18px;box-sizing:border-box;height:100%'&gt;"
    &amp; "&lt;div style='font-size:30px;font-weight:700;color:#0F265C;line-height:1.1'&gt;" &amp; [Brecha Meta] &amp; "&lt;/div&gt;"
    &amp; "&lt;div style='font-size:14px;font-weight:500;color:#1B2340;margin-top:3px'&gt;" &amp; "Faltan para la meta" &amp; "&lt;/div&gt;"
    &amp; "&lt;div style='font-size:12px;color:#6B7390;margin-top:2px'&gt;" &amp; [Sub KPI Brecha] &amp; "&lt;/div&gt;&lt;/div&gt;"</t>
  </si>
  <si>
    <t xml:space="preserve">HTML Apps KPI Ritmo</t>
  </si>
  <si>
    <t xml:space="preserve">"&lt;div style='font-family:Poppins,Segoe UI,Arial,sans-serif;background:#FFFFFF;border:1px solid #E2E6EF;border-left:4px solid #D64545;border-radius:14px;padding:12px 18px;box-sizing:border-box;height:100%'&gt;"
    &amp; "&lt;div style='font-size:30px;font-weight:700;color:#0F265C;line-height:1.1'&gt;" &amp; FORMAT ( [Ritmo Requerido], "0.0" ) &amp; "&lt;/div&gt;"
    &amp; "&lt;div style='font-size:14px;font-weight:500;color:#1B2340;margin-top:3px'&gt;" &amp; "Recepciones por mes necesarias" &amp; "&lt;/div&gt;"
    &amp; "&lt;div style='font-size:12px;color:#6B7390;margin-top:2px'&gt;" &amp; [Sub KPI Ritmo] &amp; "&lt;/div&gt;&lt;/div&gt;"</t>
  </si>
  <si>
    <t xml:space="preserve">HTML Apps KPI Criticas</t>
  </si>
  <si>
    <t xml:space="preserve">"&lt;div style='font-family:Poppins,Segoe UI,Arial,sans-serif;background:#FFFFFF;border:1px solid #E2E6EF;border-left:4px solid #0F265C;border-radius:14px;padding:12px 18px;box-sizing:border-box;height:100%'&gt;"
    &amp; "&lt;div style='font-size:30px;font-weight:700;color:#0F265C;line-height:1.1'&gt;" &amp; FORMAT ( [% Criticas Gobernadas], "0%" ) &amp; "&lt;/div&gt;"
    &amp; "&lt;div style='font-size:14px;font-weight:500;color:#1B2340;margin-top:3px'&gt;" &amp; "Críticas gobernadas (A, B y C)" &amp; "&lt;/div&gt;"
    &amp; "&lt;div style='font-size:12px;color:#6B7390;margin-top:2px'&gt;" &amp; [Sub KPI Criticas] &amp; "&lt;/div&gt;&lt;/div&gt;"</t>
  </si>
  <si>
    <t xml:space="preserve">HTML Apps KPI Criticas 2027</t>
  </si>
  <si>
    <t xml:space="preserve">"&lt;div style='font-family:Poppins,Segoe UI,Arial,sans-serif;background:#FFFFFF;border:1px solid #E2E6EF;border-left:4px solid #D64545;border-radius:14px;padding:12px 18px;box-sizing:border-box;height:100%'&gt;"
    &amp; "&lt;div style='font-size:30px;font-weight:700;color:#0F265C;line-height:1.1'&gt;" &amp; [Criticas 2027] + 0 &amp; "&lt;/div&gt;"
    &amp; "&lt;div style='font-size:14px;font-weight:500;color:#1B2340;margin-top:3px'&gt;" &amp; "Críticas diferidas a " &amp; ( YEAR ( [Fecha Corte] ) + 1 ) &amp; "&lt;/div&gt;"
    &amp; "&lt;div style='font-size:12px;color:#6B7390;margin-top:2px'&gt;" &amp; [Sub KPI Criticas 2027] &amp; "&lt;/div&gt;&lt;/div&gt;"</t>
  </si>
  <si>
    <t xml:space="preserve">HTML Apps KPI C1 Baja</t>
  </si>
  <si>
    <t xml:space="preserve">"&lt;div style='font-family:Poppins,Segoe UI,Arial,sans-serif;background:#FFFFFF;border:1px solid #E2E6EF;border-left:4px solid #F5B800;border-radius:14px;padding:12px 18px;box-sizing:border-box;height:100%'&gt;"
    &amp; "&lt;div style='font-size:30px;font-weight:700;color:#0F265C;line-height:1.1'&gt;" &amp; [Valor KPI C1 Baja] &amp; "&lt;/div&gt;"
    &amp; "&lt;div style='font-size:14px;font-weight:500;color:#1B2340;margin-top:3px'&gt;" &amp; "Criterio 1 de baja criticidad" &amp; "&lt;/div&gt;"
    &amp; "&lt;div style='font-size:12px;color:#6B7390;margin-top:2px'&gt;" &amp; "Aplicaciones D o E en la primera prioridad" &amp; "&lt;/div&gt;&lt;/div&gt;"</t>
  </si>
  <si>
    <t xml:space="preserve">HTML Apps KPI C2 Criticas</t>
  </si>
  <si>
    <t xml:space="preserve">"&lt;div style='font-family:Poppins,Segoe UI,Arial,sans-serif;background:#FFFFFF;border:1px solid #E2E6EF;border-left:4px solid #F5B800;border-radius:14px;padding:12px 18px;box-sizing:border-box;height:100%'&gt;"
    &amp; "&lt;div style='font-size:30px;font-weight:700;color:#0F265C;line-height:1.1'&gt;" &amp; [Valor KPI C2 Criticas] &amp; "&lt;/div&gt;"
    &amp; "&lt;div style='font-size:14px;font-weight:500;color:#1B2340;margin-top:3px'&gt;" &amp; "Criterio 2 críticas" &amp; "&lt;/div&gt;"
    &amp; "&lt;div style='font-size:12px;color:#6B7390;margin-top:2px'&gt;" &amp; "Aplicaciones A, B o C en la segunda prioridad" &amp; "&lt;/div&gt;&lt;/div&gt;"</t>
  </si>
  <si>
    <t xml:space="preserve">HTML Apps KPI Cobertura</t>
  </si>
  <si>
    <t xml:space="preserve">"&lt;div style='font-family:Poppins,Segoe UI,Arial,sans-serif;background:#FFFFFF;border:1px solid #E2E6EF;border-left:4px solid #0F265C;border-radius:14px;padding:12px 18px;box-sizing:border-box;height:100%'&gt;"
    &amp; "&lt;div style='font-size:30px;font-weight:700;color:#0F265C;line-height:1.1'&gt;" &amp; FORMAT ( [% Gobernadas Universo], "0%" ) &amp; "&lt;/div&gt;"
    &amp; "&lt;div style='font-size:14px;font-weight:500;color:#1B2340;margin-top:3px'&gt;" &amp; "Cobertura del universo" &amp; "&lt;/div&gt;"
    &amp; "&lt;div style='font-size:12px;color:#6B7390;margin-top:2px'&gt;" &amp; [Sub KPI Cobertura] &amp; "&lt;/div&gt;&lt;/div&gt;"</t>
  </si>
  <si>
    <t xml:space="preserve">Del universo a la meta (barra SVG)</t>
  </si>
  <si>
    <t xml:space="preserve">HTML Apps Barra Universo</t>
  </si>
  <si>
    <t xml:space="preserve">1520 × 270 px</t>
  </si>
  <si>
    <t xml:space="preserve">VAR _W = 1440
VAR _U = [Universo]
VAR _by = 52
VAR _bh = 46
VAR _t0 = ADDCOLUMNS ( ALL ( dEtapa[Etapa], dEtapa[Orden], dEtapa[ColorHex], dEtapa[TextoColor], dEtapa[Leyenda] ), "@n", CALCULATE ( [Aplicaciones Unicas] ) + 0 )
VAR _t = ADDCOLUMNS ( _t0, "@cum", VAR o = dEtapa[Orden] RETURN SUMX ( FILTER ( _t0, dEtapa[Orden] &lt; o ), [@n] ) + 0 )
VAR _nr = [Sin Fila en Matriz]
VAR _un = [Aplicaciones Unicas]
VAR _segs =
    CONCATENATEX (
        FILTER ( _t, [@n] &gt; 0 ),
        VAR x = _W * [@cum] / _U
        VAR w = _W * [@n] / _U
        RETURN
            "&lt;rect x='" &amp; FORMAT ( x, "0.##", "en-US" ) &amp; "' y='" &amp; _by &amp; "' width='" &amp; FORMAT ( MAX ( w - 2, 1 ), "0.##", "en-US" ) &amp; "' height='" &amp; _bh &amp; "' rx='6' fill='" &amp; dEtapa[ColorHex] &amp; "'/&gt;"
            &amp; IF ( w &gt; 34, "&lt;text x='" &amp; FORMAT ( x + w / 2, "0.##", "en-US" ) &amp; "' y='" &amp; _by + 29 &amp; "' text-anchor='middle' style='font-size:12px;font-weight:600;fill:" &amp; dEtapa[TextoColor] &amp; "'&gt;" &amp; [@n] &amp; "&lt;/text&gt;", "" ),
        "", dEtapa[Orden], ASC )
VAR _nrSeg = IF ( _nr &gt; 0, "&lt;rect x='" &amp; FORMAT ( _W * _un / _U, "0.##", "en-US" ) &amp; "' y='" &amp; _by &amp; "' width='" &amp; FORMAT ( MAX ( _W * _nr / _U - 2, 1 ), "0.##", "en-US" ) &amp; "' height='" &amp; _bh &amp; "' rx='6' fill='#FFFFFF' stroke='#B4BBCB' stroke-dasharray='4 3'/&gt;", "" )
VAR _xI = _W * [Gobernadas Informe] / _U
VAR _xG = _W * [Gobernadas] / _U
VAR _xM = _W * [Meta] / _U
VAR _marks =
    "&lt;line x1='" &amp; FORMAT ( _xI, "0.##", "en-US" ) &amp; "' x2='" &amp; FORMAT ( _xI, "0.##", "en-US" ) &amp; "' y1='" &amp; _by - 14 &amp; "' y2='" &amp; _by + _bh &amp; "' stroke='#6B7390' stroke-width='2'/&gt;"
    &amp; "&lt;text x='" &amp; FORMAT ( _xI - 4, "0.##", "en-US" ) &amp; "' y='" &amp; _by - 20 &amp; "' text-anchor='end' style='font-size:11.5px;font-weight:600;fill:#6B7390'&gt;" &amp; [Etiqueta Informe] &amp; "&lt;/text&gt;"
    &amp; "&lt;line x1='" &amp; FORMAT ( _xG, "0.##", "en-US" ) &amp; "' x2='" &amp; FORMAT ( _xG, "0.##", "en-US" ) &amp; "' y1='" &amp; _by - 14 &amp; "' y2='" &amp; _by + _bh &amp; "' stroke='#0F265C' stroke-width='2'/&gt;"
    &amp; "&lt;text x='" &amp; FORMAT ( _xG + 4, "0.##", "en-US" ) &amp; "' y='" &amp; _by - 20 &amp; "' style='font-size:11.5px;font-weight:600;fill:#0F265C'&gt;Hoy: " &amp; [Gobernadas] &amp; "&lt;/text&gt;"
    &amp; "&lt;line x1='" &amp; FORMAT ( _xM, "0.##", "en-US" ) &amp; "' x2='" &amp; FORMAT ( _xM, "0.##", "en-US" ) &amp; "' y1='" &amp; _by &amp; "' y2='" &amp; _by + _bh + 16 &amp; "' stroke='#D64545' stroke-width='2.5'/&gt;"
    &amp; "&lt;text x='" &amp; FORMAT ( _xM + 6, "0.##", "en-US" ) &amp; "' y='" &amp; _by + _bh + 28 &amp; "' style='font-size:11.5px;font-weight:600;fill:#D64545'&gt;" &amp; [Etiqueta Meta Barra] &amp; "&lt;/text&gt;"
    &amp; "&lt;text x='" &amp; _W &amp; "' y='" &amp; _by - 20 &amp; "' text-anchor='end' style='font-size:11.5px;font-weight:600;fill:#0F265C'&gt;Universo: " &amp; _U &amp; "&lt;/text&gt;"
VAR _leg =
    CONCATENATEX ( _t, "&lt;span style='margin-right:18px'&gt;&lt;i style='display:inline-block;width:10px;height:10px;border-radius:3px;margin-right:6px;background:" &amp; dEtapa[ColorHex] &amp; "'&gt;&lt;/i&gt;" &amp; dEtapa[Leyenda] &amp; " (" &amp; [@n] &amp; ")&lt;/span&gt;", "", dEtapa[Orden], ASC )
    &amp; IF ( _nr &gt; 0, "&lt;span&gt;&lt;i style='display:inline-block;width:9px;height:9px;border-radius:3px;margin-right:6px;border:1px dashed #B4BBCB'&gt;&lt;/i&gt;Del universo sin fila en la matriz (" &amp; _nr &amp; ")&lt;/span&gt;", "" )
RETURN
"&lt;div style='font-family:Poppins,Segoe UI,Arial,sans-serif;background:#FFFFFF;border:1px solid #E2E6EF;border-radius:16px;padding:16px 20px;box-sizing:border-box;height:100%;color:#1B2340;'&gt;&lt;div style='font-size:17px;font-weight:700;color:#0F265C;margin:0;'&gt;" &amp; "Del universo a la meta" &amp; "&lt;/div&gt;" &amp; "&lt;div style='font-size:12px;color:#6B7390;margin:2px 0 12px 0;'&gt;" &amp; [Sub Barra Universo] &amp; "&lt;/div&gt;"
    &amp; "&lt;svg width='100%' viewBox='0 -4 " &amp; _W &amp; " 150'&gt;" &amp; _segs &amp; _nrSeg &amp; _marks &amp; "&lt;/svg&gt;" &amp; "&lt;div style='font-size:11.5px;color:#6B7390;margin-top:8px'&gt;" &amp; _leg &amp; "&lt;/div&gt;" &amp; "&lt;/div&gt;"</t>
  </si>
  <si>
    <t xml:space="preserve">Aplicaciones gobernadas acumuladas (línea SVG)</t>
  </si>
  <si>
    <t xml:space="preserve">HTML Apps Curva Acumulada</t>
  </si>
  <si>
    <t xml:space="preserve">960 × 340 px</t>
  </si>
  <si>
    <t xml:space="preserve">VAR _c = [Fecha Corte]
VAR _y0 = YEAR ( _c ) - 1
VAR _CW = 900
VAR _CH = 215
VAR _cl = 44
VAR _cb = 28
VAR _ct = 16
VAR _gob = [Gobernadas]
VAR _meta = [Meta]
VAR _proj = [Proyeccion Fin Anio]
VAR _m0 = FILTER ( SUMMARIZE ( ALL ( dCalendario ), dCalendario[InicioMes], dCalendario[MesCorto] ), YEAR ( dCalendario[InicioMes] ) &gt;= _y0 &amp;&amp; YEAR ( dCalendario[InicioMes] ) &lt;= _y0 + 1 )
VAR _m =
    ADDCOLUMNS ( _m0,
        "@i", ( YEAR ( dCalendario[InicioMes] ) - _y0 ) * 12 + MONTH ( dCalendario[InicioMes] ) - 1,
        "@x", IF ( EOMONTH ( dCalendario[InicioMes], 0 ) &lt;= _c,
                ( YEAR ( dCalendario[InicioMes] ) - _y0 ) * 12 + MONTH ( dCalendario[InicioMes] ) - 1,
                ( YEAR ( dCalendario[InicioMes] ) - _y0 ) * 12 + MONTH ( dCalendario[InicioMes] ) - 2 + DAY ( _c ) / DAY ( EOMONTH ( _c, 0 ) ) ),
        "@v",
            VAR lim = MIN ( EOMONTH ( dCalendario[InicioMes], 0 ), _c )
            RETURN IF ( dCalendario[InicioMes] &gt; _c, BLANK (),
                CALCULATE ( [Gobernadas], REMOVEFILTERS ( dCalendario ), REMOVEFILTERS ( dEtapa ),
                    FILTER ( ALL ( fAplicaciones[Fecha Recepcion] ), fAplicaciones[Fecha Recepcion] &lt;= lim || ISBLANK ( fAplicaciones[Fecha Recepcion] ) ) ) ) )
VAR _pts = FILTER ( _m, NOT ISBLANK ( [@v] ) )
VAR _ymin = FLOOR ( MINX ( _pts, [@v] ) - 5, 50 )
VAR _ymax = CEILING ( MAX ( _meta, MAXX ( _pts, [@v] ) ) + 10, 50 )
VAR _sx = ( _CW - _cl - 20 ) / 23
VAR _ky = ( _CH - _cb - _ct ) / ( _ymax - _ymin )
VAR _poly = CONCATENATEX ( _pts, FORMAT ( _cl + [@x] * _sx, "0.#", "en-US" ) &amp; "," &amp; FORMAT ( _CH - _cb - ( [@v] - _ymin ) * _ky, "0.#", "en-US" ), " ", [@i], ASC )
VAR _xc = _cl + MAXX ( _pts, [@x] ) * _sx
VAR _xe = _cl + 23 * _sx
VAR _yG = _CH - _cb - ( _gob - _ymin ) * _ky
VAR _yM = _CH - _cb - ( _meta - _ymin ) * _ky
VAR _yP = _CH - _cb - ( _proj - _ymin ) * _ky
VAR _yB = _CH - _cb
VAR _grid =
    CONCATENATEX ( GENERATESERIES ( _ymin, _ymax, 50 ),
        VAR yy = _CH - _cb - ( [Value] - _ymin ) * _ky
        RETURN "&lt;line x1='" &amp; _cl &amp; "' x2='" &amp; _CW - 20 &amp; "' y1='" &amp; FORMAT ( yy, "0.#", "en-US" ) &amp; "' y2='" &amp; FORMAT ( yy, "0.#", "en-US" ) &amp; "' stroke='#E2E6EF'/&gt;&lt;text x='" &amp; _cl - 8 &amp; "' y='" &amp; FORMAT ( yy + 4, "0.#", "en-US" ) &amp; "' text-anchor='end' style='font-size:11px;fill:#6B7390'&gt;" &amp; [Value] &amp; "&lt;/text&gt;", "" )
VAR _ax =
    CONCATENATEX ( FILTER ( _m, MOD ( [@i], 3 ) = 0 ),
        "&lt;text x='" &amp; FORMAT ( _cl + [@i] * _sx, "0.#", "en-US" ) &amp; "' y='" &amp; _CH - 10 &amp; "' text-anchor='middle' style='font-size:12px;fill:#6B7390'&gt;"
            &amp; UPPER ( LEFT ( dCalendario[MesCorto], 1 ) ) &amp; MID ( dCalendario[MesCorto], 2, 2 ) &amp; IF ( MONTH ( dCalendario[InicioMes] ) = 1, " " &amp; RIGHT ( YEAR ( dCalendario[InicioMes] ), 2 ), "" ) &amp; "&lt;/text&gt;", "", [@i], ASC )
VAR _svg =
    "&lt;svg width='100%' viewBox='0 0 " &amp; _CW &amp; " " &amp; _CH &amp; "'&gt;" &amp; _grid &amp; _ax
    &amp; "&lt;polygon points='" &amp; FORMAT ( _cl + MINX ( _pts, [@x] ) * _sx, "0.#", "en-US" ) &amp; "," &amp; _yB &amp; " " &amp; _poly &amp; " " &amp; FORMAT ( _xc, "0.#", "en-US" ) &amp; "," &amp; _yB &amp; "' fill='#C9D5EE' opacity='0.45'/&gt;"
    &amp; "&lt;polyline points='" &amp; _poly &amp; "' fill='none' stroke='#0F265C' stroke-width='3'/&gt;"
    &amp; "&lt;line x1='" &amp; _cl &amp; "' x2='" &amp; FORMAT ( _xe, "0.#", "en-US" ) &amp; "' y1='" &amp; FORMAT ( _yM, "0.#", "en-US" ) &amp; "' y2='" &amp; FORMAT ( _yM, "0.#", "en-US" ) &amp; "' stroke='#FFDD00' stroke-width='3'/&gt;"
    &amp; "&lt;text x='" &amp; _cl + 4 &amp; "' y='" &amp; FORMAT ( _yM - 8, "0.#", "en-US" ) &amp; "' style='font-size:11.5px;font-weight:600;fill:#0F265C'&gt;Meta " &amp; _meta &amp; "&lt;/text&gt;"
    &amp; "&lt;line x1='" &amp; FORMAT ( _xc, "0.#", "en-US" ) &amp; "' x2='" &amp; FORMAT ( _xe, "0.#", "en-US" ) &amp; "' y1='" &amp; FORMAT ( _yG, "0.#", "en-US" ) &amp; "' y2='" &amp; FORMAT ( _yM, "0.#", "en-US" ) &amp; "' stroke='#D64545' stroke-width='2' stroke-dasharray='6 4'/&gt;"
    &amp; "&lt;line x1='" &amp; FORMAT ( _xc, "0.#", "en-US" ) &amp; "' x2='" &amp; FORMAT ( _xe, "0.#", "en-US" ) &amp; "' y1='" &amp; FORMAT ( _yG, "0.#", "en-US" ) &amp; "' y2='" &amp; FORMAT ( _yP, "0.#", "en-US" ) &amp; "' stroke='#3A5BA9' stroke-width='2' stroke-dasharray='3 4'/&gt;"
    &amp; "&lt;circle cx='" &amp; FORMAT ( _xc, "0.#", "en-US" ) &amp; "' cy='" &amp; FORMAT ( _yG, "0.#", "en-US" ) &amp; "' r='6' fill='#0F265C'/&gt;"
    &amp; "&lt;text x='" &amp; FORMAT ( _xc - 8, "0.#", "en-US" ) &amp; "' y='" &amp; FORMAT ( _yG - 12, "0.#", "en-US" ) &amp; "' text-anchor='end' style='font-size:11.5px;font-weight:600;fill:#0F265C'&gt;" &amp; _gob &amp; " hoy&lt;/text&gt;"
    &amp; "&lt;circle cx='" &amp; FORMAT ( _xe, "0.#", "en-US" ) &amp; "' cy='" &amp; FORMAT ( _yP, "0.#", "en-US" ) &amp; "' r='5' fill='#3A5BA9'/&gt;"
    &amp; "&lt;text x='" &amp; FORMAT ( _xe, "0.#", "en-US" ) &amp; "' y='" &amp; FORMAT ( _yP + 30, "0.#", "en-US" ) &amp; "' text-anchor='end' style='font-size:11.5px;font-weight:600;fill:#3A5BA9'&gt;" &amp; [Etiqueta Proyeccion] &amp; "&lt;/text&gt;"
    &amp; "&lt;/svg&gt;"
RETURN
"&lt;div style='font-family:Poppins,Segoe UI,Arial,sans-serif;background:#FFFFFF;border:1px solid #E2E6EF;border-radius:16px;padding:16px 20px;box-sizing:border-box;height:100%;color:#1B2340;'&gt;&lt;div style='font-size:17px;font-weight:700;color:#0F265C;margin:0;'&gt;" &amp; "Aplicaciones gobernadas acumuladas" &amp; "&lt;/div&gt;" &amp; "&lt;div style='font-size:12px;color:#6B7390;margin:2px 0 12px 0;'&gt;" &amp; "Según la fecha de recepción de la matriz. Línea roja: ritmo necesario para la meta. Línea azul: proyección al ritmo del año." &amp; "&lt;/div&gt;"
    &amp; _svg &amp; "&lt;/div&gt;"</t>
  </si>
  <si>
    <t xml:space="preserve">Ruta a la meta (pasos + nota)</t>
  </si>
  <si>
    <t xml:space="preserve">HTML Apps Ruta Meta</t>
  </si>
  <si>
    <t xml:space="preserve">520 × 340 px</t>
  </si>
  <si>
    <t xml:space="preserve">VAR _b = "&lt;b style='display:block;font-size:34px;font-weight:700;color:#0F265C;line-height:1.1'&gt;"
VAR _s = "&lt;span style='font-size:12px;color:#6B7390;line-height:1.35;display:block;margin-top:4px'&gt;"
VAR _arr = "&lt;div style='font-size:15px;font-weight:700;color:#3A5BA9;white-space:nowrap'&gt;+"
VAR _p2 = MIN ( [Necesarias Criterio 2], [Criterio 2] )
RETURN
"&lt;div style='font-family:Poppins,Segoe UI,Arial,sans-serif;background:#FFFFFF;border:1px solid #E2E6EF;border-radius:16px;padding:16px 20px;box-sizing:border-box;height:100%;color:#1B2340;'&gt;&lt;div style='font-size:17px;font-weight:700;color:#0F265C;margin:0;'&gt;" &amp; "Ruta a la meta" &amp; "&lt;/div&gt;" &amp; "&lt;div style='font-size:12px;color:#6B7390;margin:2px 0 12px 0;'&gt;" &amp; [Sub Ruta Meta] &amp; "&lt;/div&gt;"
    &amp; "&lt;div style='display:flex;align-items:center;gap:10px;margin:18px 0 8px'&gt;"
    &amp; "&lt;div style='flex:1;background:#F3F5FA;border-radius:14px;padding:16px 12px;text-align:center'&gt;" &amp; _b &amp; [Gobernadas] &amp; "&lt;/b&gt;" &amp; _s &amp; "Gobernadas hoy&lt;/span&gt;&lt;/div&gt;"
    &amp; _arr &amp; [Criterio 1] &amp; "&lt;/div&gt;"
    &amp; "&lt;div style='flex:1;background:#F3F5FA;border-radius:14px;padding:16px 12px;text-align:center'&gt;" &amp; _b &amp; [Con Criterio 1] &amp; "&lt;/b&gt;" &amp; _s &amp; "Con todo el criterio 1&lt;/span&gt;&lt;/div&gt;"
    &amp; _arr &amp; _p2 &amp; "&lt;/div&gt;"
    &amp; "&lt;div style='flex:1;background:#0F265C;border-radius:14px;padding:16px 12px;text-align:center'&gt;&lt;b style='display:block;font-size:34px;font-weight:700;color:#FFDD00;line-height:1.1'&gt;" &amp; [Meta] &amp; "&lt;/b&gt;&lt;span style='font-size:12px;color:#DCE3F4;line-height:1.35;display:block;margin-top:4px'&gt;" &amp; [Texto Ruta Paso Final] &amp; "&lt;/span&gt;&lt;/div&gt;&lt;/div&gt;"
    &amp; "&lt;div style='margin-top:14px;background:#F3F5FA;border-left:3px solid #FFDD00;border-radius:0 10px 10px 0;padding:11px 14px;font-size:12.5px;line-height:1.5'&gt;" &amp; [Nota Ruta Meta] &amp; "&lt;/div&gt;" &amp; "&lt;/div&gt;"</t>
  </si>
  <si>
    <t xml:space="preserve">De CMDB a universo (cascada SVG + ajustes)</t>
  </si>
  <si>
    <t xml:space="preserve">HTML Apps Cascada</t>
  </si>
  <si>
    <t xml:space="preserve">940 × 610 px</t>
  </si>
  <si>
    <t xml:space="preserve">VAR _WW = 900
VAR _WH = 330
VAR _wl = 40
VAR _wb = 60
VAR _top = 30
VAR _t0 = ALL ( dConciliacion )
VAR _n = COUNTROWS ( _t0 )
VAR _mx = CEILING ( MAXX ( _t0, dConciliacion[Valor] ) * 1.08, 50 )
VAR _k = ( _WH - _wb - _top ) / _mx
VAR _stp = ( _WW - _wl - 20 ) / _n
VAR _bw = _stp * 0.62
VAR _t =
    ADDCOLUMNS ( _t0,
        "@y0", VAR o = dConciliacion[Orden] RETURN IF ( dConciliacion[Tipo] = "Ajuste", SUMX ( FILTER ( _t0, dConciliacion[Orden] &lt; o &amp;&amp; dConciliacion[Tipo] &lt;&gt; "Total" ), dConciliacion[Valor] ), 0 ),
        "@i", dConciliacion[Orden] - 1 )
VAR _grid =
    CONCATENATEX ( GENERATESERIES ( 0, _mx, 100 ),
        VAR yy = _WH - _wb - [Value] * _k
        RETURN "&lt;line x1='" &amp; _wl &amp; "' x2='" &amp; _WW - 10 &amp; "' y1='" &amp; FORMAT ( yy, "0.#", "en-US" ) &amp; "' y2='" &amp; FORMAT ( yy, "0.#", "en-US" ) &amp; "' stroke='#E2E6EF'/&gt;&lt;text x='" &amp; _wl - 8 &amp; "' y='" &amp; FORMAT ( yy + 4, "0.#", "en-US" ) &amp; "' text-anchor='end' style='font-size:11px;fill:#6B7390'&gt;" &amp; [Value] &amp; "&lt;/text&gt;", "" )
VAR _bars =
    CONCATENATEX ( _t,
        VAR x0 = _wl + [@i] * _stp + ( _stp - _bw ) / 2
        VAR y1 = [@y0] + dConciliacion[Valor]
        VAR yt = _WH - _wb - y1 * _k
        VAR col = SWITCH ( dConciliacion[Tipo], "Base", "#B4BBCB", "Ajuste", "#FFDD00", "#0F265C" )
        RETURN
            "&lt;rect x='" &amp; FORMAT ( x0, "0.#", "en-US" ) &amp; "' y='" &amp; FORMAT ( yt, "0.#", "en-US" ) &amp; "' width='" &amp; FORMAT ( _bw, "0.#", "en-US" ) &amp; "' height='" &amp; FORMAT ( dConciliacion[Valor] * _k, "0.#", "en-US" ) &amp; "' rx='5' fill='" &amp; col &amp; "'/&gt;"
            &amp; "&lt;text x='" &amp; FORMAT ( x0 + _bw / 2, "0.#", "en-US" ) &amp; "' y='" &amp; FORMAT ( yt - 8, "0.#", "en-US" ) &amp; "' text-anchor='middle' style='font-size:14px;font-weight:600;fill:#1B2340'&gt;" &amp; IF ( dConciliacion[Tipo] = "Ajuste", "+", "" ) &amp; dConciliacion[Valor] &amp; "&lt;/text&gt;"
            &amp; IF ( [@i] &lt; _n - 1, "&lt;line x1='" &amp; FORMAT ( x0 + _bw, "0.#", "en-US" ) &amp; "' x2='" &amp; FORMAT ( x0 + _stp, "0.#", "en-US" ) &amp; "' y1='" &amp; FORMAT ( yt, "0.#", "en-US" ) &amp; "' y2='" &amp; FORMAT ( yt, "0.#", "en-US" ) &amp; "' stroke='#6B7390' stroke-dasharray='3 3'/&gt;", "" )
            &amp; "&lt;text x='" &amp; FORMAT ( x0 + _bw / 2, "0.#", "en-US" ) &amp; "' y='" &amp; _WH - _wb + 20 &amp; "' text-anchor='middle' style='font-size:12px;fill:#1B2340'&gt;" &amp; SUBSTITUTE ( SUBSTITUTE ( SUBSTITUTE ( dConciliacion[EtiquetaL1], "&amp;", "&amp;amp;" ), "&lt;", "&amp;lt;" ), "&gt;", "&amp;gt;" ) &amp; "&lt;/text&gt;"
            &amp; "&lt;text x='" &amp; FORMAT ( x0 + _bw / 2, "0.#", "en-US" ) &amp; "' y='" &amp; _WH - _wb + 36 &amp; "' text-anchor='middle' style='font-size:12px;fill:#1B2340'&gt;" &amp; SUBSTITUTE ( SUBSTITUTE ( SUBSTITUTE ( dConciliacion[EtiquetaL2], "&amp;", "&amp;amp;" ), "&lt;", "&amp;lt;" ), "&gt;", "&amp;gt;" ) &amp; "&lt;/text&gt;",
        "", dConciliacion[Orden], ASC )
VAR _adj =
    CONCATENATEX ( FILTER ( _t0, dConciliacion[Tipo] = "Ajuste" ),
        "&lt;div style='display:flex;gap:12px;padding:8px 0;border-top:1px solid #F3F5FA'&gt;&lt;b style='font-size:22px;font-weight:700;color:#0F265C;min-width:48px'&gt;+" &amp; dConciliacion[Valor] &amp; "&lt;/b&gt;"
            &amp; "&lt;div&gt;&lt;div style='font-size:13px;font-weight:600'&gt;" &amp; SUBSTITUTE ( SUBSTITUTE ( SUBSTITUTE ( dConciliacion[Paso], "&amp;", "&amp;amp;" ), "&lt;", "&amp;lt;" ), "&gt;", "&amp;gt;" ) &amp; "&lt;/div&gt;&lt;div style='font-size:11.5px;color:#6B7390;line-height:1.45'&gt;" &amp; SUBSTITUTE ( SUBSTITUTE ( SUBSTITUTE ( dConciliacion[Descripcion], "&amp;", "&amp;amp;" ), "&lt;", "&amp;lt;" ), "&gt;", "&amp;gt;" ) &amp; "&lt;/div&gt;&lt;/div&gt;&lt;/div&gt;",
        "", dConciliacion[Orden], ASC )
RETURN
"&lt;div style='font-family:Poppins,Segoe UI,Arial,sans-serif;background:#FFFFFF;border:1px solid #E2E6EF;border-radius:16px;padding:16px 20px;box-sizing:border-box;height:100%;color:#1B2340;'&gt;&lt;div style='font-size:17px;font-weight:700;color:#0F265C;margin:0;'&gt;" &amp; [Titulo Cascada] &amp; "&lt;/div&gt;" &amp; "&lt;div style='font-size:12px;color:#6B7390;margin:2px 0 12px 0;'&gt;" &amp; [Sub Cascada] &amp; "&lt;/div&gt;"
    &amp; "&lt;svg width='100%' viewBox='0 0 " &amp; _WW &amp; " " &amp; _WH &amp; "'&gt;" &amp; _grid &amp; _bars &amp; "&lt;/svg&gt;" &amp; "&lt;div style='display:grid;grid-template-columns:1fr 1fr;gap:6px 22px;margin-top:8px'&gt;" &amp; _adj &amp; "&lt;/div&gt;" &amp; "&lt;/div&gt;"</t>
  </si>
  <si>
    <t xml:space="preserve">El mismo avance se lee distinto (barras)</t>
  </si>
  <si>
    <t xml:space="preserve">HTML Apps Doble Base</t>
  </si>
  <si>
    <t xml:space="preserve">560 × 300 px</t>
  </si>
  <si>
    <t xml:space="preserve">"&lt;div style='font-family:Poppins,Segoe UI,Arial,sans-serif;background:#FFFFFF;border:1px solid #E2E6EF;border-radius:16px;padding:16px 20px;box-sizing:border-box;height:100%;color:#1B2340;'&gt;&lt;div style='font-size:17px;font-weight:700;color:#0F265C;margin:0;'&gt;" &amp; "El mismo avance se lee distinto" &amp; "&lt;/div&gt;" &amp; "&lt;div style='font-size:12px;color:#6B7390;margin:2px 0 12px 0;'&gt;" &amp; "Porcentaje gobernado según el universo que se use como base." &amp; "&lt;/div&gt;"
    &amp; "&lt;div style='font-size:12.5px;font-weight:600;color:#0F265C;margin:6px 0 4px'&gt;" &amp; [Etiqueta Base Informe] &amp; "&lt;/div&gt;"
    &amp; "&lt;div style='display:flex;align-items:center;gap:12px;font-size:12.5px;padding:4px 0'&gt;&lt;span style='width:170px'&gt;Sobre CMDB (" &amp; [CMDB] &amp; ")&lt;/span&gt;&lt;div style='flex:1;height:14px;background:#F3F5FA;border-radius:99px'&gt;&lt;div style='height:14px;border-radius:99px;width:" &amp; FORMAT ( [% Informe sobre CMDB] * 100, "0.##", "en-US" ) &amp; "%;background:#B4BBCB'&gt;&lt;/div&gt;&lt;/div&gt;&lt;b style='width:46px;text-align:right;font-size:15px;color:#0F265C'&gt;" &amp; FORMAT ( [% Informe sobre CMDB], "0%" ) &amp; "&lt;/b&gt;&lt;/div&gt;"
    &amp; "&lt;div style='display:flex;align-items:center;gap:12px;font-size:12.5px;padding:4px 0'&gt;&lt;span style='width:170px'&gt;Sobre universo GI (" &amp; [Universo] &amp; ")&lt;/span&gt;&lt;div style='flex:1;height:14px;background:#F3F5FA;border-radius:99px'&gt;&lt;div style='height:14px;border-radius:99px;width:" &amp; FORMAT ( [% Informe sobre Universo] * 100, "0.##", "en-US" ) &amp; "%;background:#0F265C'&gt;&lt;/div&gt;&lt;/div&gt;&lt;b style='width:46px;text-align:right;font-size:15px;color:#0F265C'&gt;" &amp; FORMAT ( [% Informe sobre Universo], "0%" ) &amp; "&lt;/b&gt;&lt;/div&gt;"
    &amp; "&lt;div style='font-size:12.5px;font-weight:600;color:#0F265C;margin:6px 0 4px'&gt;" &amp; [Etiqueta Base Corte] &amp; "&lt;/div&gt;"
    &amp; "&lt;div style='display:flex;align-items:center;gap:12px;font-size:12.5px;padding:4px 0'&gt;&lt;span style='width:170px'&gt;Sobre CMDB (" &amp; [CMDB] &amp; ")&lt;/span&gt;&lt;div style='flex:1;height:14px;background:#F3F5FA;border-radius:99px'&gt;&lt;div style='height:14px;border-radius:99px;width:" &amp; FORMAT ( [% Gobernadas sobre CMDB] * 100, "0.##", "en-US" ) &amp; "%;background:#B4BBCB'&gt;&lt;/div&gt;&lt;/div&gt;&lt;b style='width:46px;text-align:right;font-size:15px;color:#0F265C'&gt;" &amp; FORMAT ( [% Gobernadas sobre CMDB], "0%" ) &amp; "&lt;/b&gt;&lt;/div&gt;"
    &amp; "&lt;div style='display:flex;align-items:center;gap:12px;font-size:12.5px;padding:4px 0'&gt;&lt;span style='width:170px'&gt;Sobre universo GI (" &amp; [Universo] &amp; ")&lt;/span&gt;&lt;div style='flex:1;height:14px;background:#F3F5FA;border-radius:99px'&gt;&lt;div style='height:14px;border-radius:99px;width:" &amp; FORMAT ( [% Gobernadas Universo] * 100, "0.##", "en-US" ) &amp; "%;background:#0F265C'&gt;&lt;/div&gt;&lt;/div&gt;&lt;b style='width:46px;text-align:right;font-size:15px;color:#0F265C'&gt;" &amp; FORMAT ( [% Gobernadas Universo], "0%" ) &amp; "&lt;/b&gt;&lt;/div&gt;"
    &amp; "&lt;div style='margin-top:12px;background:#F3F5FA;border-left:3px solid #FFDD00;border-radius:0 10px 10px 0;padding:10px 14px;font-size:12.5px'&gt;" &amp; [Nota Doble Base] &amp; "&lt;/div&gt;" &amp; "&lt;/div&gt;"</t>
  </si>
  <si>
    <t xml:space="preserve">La matriz frente al universo (cifras + nota)</t>
  </si>
  <si>
    <t xml:space="preserve">HTML Apps Matriz Universo</t>
  </si>
  <si>
    <t xml:space="preserve">560 × 290 px</t>
  </si>
  <si>
    <t xml:space="preserve">"&lt;div style='font-family:Poppins,Segoe UI,Arial,sans-serif;background:#FFFFFF;border:1px solid #E2E6EF;border-radius:16px;padding:16px 20px;box-sizing:border-box;height:100%;color:#1B2340;'&gt;&lt;div style='font-size:17px;font-weight:700;color:#0F265C;margin:0;'&gt;" &amp; "La matriz frente al universo" &amp; "&lt;/div&gt;" &amp; "&lt;div style='font-size:12px;color:#6B7390;margin:2px 0 12px 0;'&gt;" &amp; "Qué tan completo está el inventario de Identidades." &amp; "&lt;/div&gt;"
    &amp; "&lt;div style='display:grid;grid-template-columns:repeat(4,1fr);gap:8px'&gt;"
    &amp; "&lt;div style='background:#F3F5FA;border-radius:12px;padding:10px 12px'&gt;&lt;b style='display:block;font-size:24px;font-weight:700;color:#0F265C'&gt;" &amp; [Filas Matriz] &amp; "&lt;/b&gt;&lt;span style='font-size:11.5px;color:#6B7390;line-height:1.3;display:block'&gt;filas en la matriz&lt;/span&gt;&lt;/div&gt;"
    &amp; "&lt;div style='background:#F3F5FA;border-radius:12px;padding:10px 12px'&gt;&lt;b style='display:block;font-size:24px;font-weight:700;color:#0F265C'&gt;−" &amp; [Duplicados Exactos] &amp; "&lt;/b&gt;&lt;span style='font-size:11.5px;color:#6B7390;line-height:1.3;display:block'&gt;filas duplicadas&lt;/span&gt;&lt;/div&gt;"
    &amp; "&lt;div style='background:#F3F5FA;border-radius:12px;padding:10px 12px'&gt;&lt;b style='display:block;font-size:24px;font-weight:700;color:#0F265C'&gt;" &amp; [Aplicaciones Unicas] &amp; "&lt;/b&gt;&lt;span style='font-size:11.5px;color:#6B7390;line-height:1.3;display:block'&gt;aplicaciones únicas&lt;/span&gt;&lt;/div&gt;"
    &amp; "&lt;div style='background:#FFF3C2;border-radius:12px;padding:10px 12px'&gt;&lt;b style='display:block;font-size:24px;font-weight:700;color:#0F265C'&gt;" &amp; [Sin Fila en Matriz] &amp; "&lt;/b&gt;&lt;span style='font-size:11.5px;color:#6B7390;line-height:1.3;display:block'&gt;del universo sin fila en la matriz&lt;/span&gt;&lt;/div&gt;&lt;/div&gt;"
    &amp; "&lt;div style='margin-top:12px;background:#F3F5FA;border-left:3px solid #FFDD00;border-radius:0 10px 10px 0;padding:10px 14px;font-size:12.5px;line-height:1.5'&gt;" &amp; [Nota IDs GI] &amp; "&lt;/div&gt;" &amp; "&lt;/div&gt;"</t>
  </si>
  <si>
    <t xml:space="preserve">Por qué creció el alcance (bloque de lectura)</t>
  </si>
  <si>
    <t xml:space="preserve">HTML Apps Alcance</t>
  </si>
  <si>
    <t xml:space="preserve">1520 × 124 px</t>
  </si>
  <si>
    <t xml:space="preserve">VAR _p = "&lt;div style='flex:1;font-size:12.5px;line-height:1.5;color:#DCE3F4'&gt;&lt;b style='display:block;color:#FFFFFF;font-weight:600;font-size:13.5px;margin-bottom:3px'&gt;"
VAR _crit = CONCATENATEX ( dAlcance, _p &amp; SUBSTITUTE ( SUBSTITUTE ( SUBSTITUTE ( dAlcance[Titulo], "&amp;", "&amp;amp;" ), "&lt;", "&amp;lt;" ), "&gt;", "&amp;gt;" ) &amp; "&lt;/b&gt;" &amp; SUBSTITUTE ( SUBSTITUTE ( SUBSTITUTE ( dAlcance[Texto], "&amp;", "&amp;amp;" ), "&lt;", "&amp;lt;" ), "&gt;", "&amp;gt;" ) &amp; "&lt;/div&gt;", "", dAlcance[Orden], ASC )
RETURN
"&lt;div style='font-family:Poppins,Segoe UI,Arial,sans-serif;background:#0F265C;border-radius:16px;padding:14px 24px;display:flex;gap:26px;align-items:flex-start;box-sizing:border-box;height:100%'&gt;"
    &amp; "&lt;div style='font-size:17px;font-weight:700;color:#FFDD00;width:150px;flex:none;line-height:1.25'&gt;Por qué creció el alcance&lt;/div&gt;"
    &amp; _p &amp; [Titulo Alcance] &amp; "&lt;/b&gt;" &amp; [Texto Alcance] &amp; "&lt;/div&gt;" &amp; _crit &amp; "&lt;/div&gt;"</t>
  </si>
  <si>
    <t xml:space="preserve">Etapa de recepción por criticidad (barras apiladas + nota)</t>
  </si>
  <si>
    <t xml:space="preserve">HTML Apps Criticidad Etapas</t>
  </si>
  <si>
    <t xml:space="preserve">880 × 610 px</t>
  </si>
  <si>
    <t xml:space="preserve">VAR _rows =
    CONCATENATEX (
        FILTER ( ADDCOLUMNS ( ALL ( dCriticidad[Letra], dCriticidad[Prioridad], dCriticidad[Orden] ), "@t", CALCULATE ( [Aplicaciones Unicas] ) + 0, "@g", CALCULATE ( [Gobernadas] ) + 0 ), [@t] &gt; 0 ),
        VAR tot = [@t]
        VAR segs =
            CONCATENATEX ( ALL ( dEtapa[Etapa], dEtapa[Orden], dEtapa[ColorHex], dEtapa[TextoColor] ),
                VAR n = CALCULATE ( [Aplicaciones Unicas] ) + 0
                RETURN IF ( n = 0, "",
                    "&lt;div style='width:" &amp; FORMAT ( n / tot * 100, "0.##", "en-US" ) &amp; "%;background:" &amp; dEtapa[ColorHex] &amp; ";color:" &amp; dEtapa[TextoColor] &amp; ";display:flex;align-items:center;justify-content:center;font-size:11.5px;font-weight:600'&gt;" &amp; IF ( n / tot &gt; 0.06, n, "" ) &amp; "&lt;/div&gt;" ),
                "", dEtapa[Orden], ASC )
        RETURN
            "&lt;div style='display:flex;align-items:center;gap:16px;padding:7px 0;border-bottom:1px solid #F3F5FA'&gt;"
                &amp; "&lt;div style='width:250px;flex:none'&gt;&lt;b style='display:block;font-size:13px;font-weight:600'&gt;" &amp; dCriticidad[Prioridad] &amp; "&lt;/b&gt;"
                &amp; "&lt;span style='font-size:11.5px;color:#6B7390'&gt;" &amp; tot &amp; " aplicaciones · " &amp; FORMAT ( DIVIDE ( [@g], tot ), "0%" ) &amp; " gobernadas&lt;/span&gt;&lt;/div&gt;"
                &amp; "&lt;div style='flex:1;display:flex;gap:2px;height:26px;border-radius:8px;overflow:hidden'&gt;" &amp; segs &amp; "&lt;/div&gt;&lt;/div&gt;",
        "", dCriticidad[Orden], ASC )
VAR _leg = CONCATENATEX ( ALL ( dEtapa[Etapa], dEtapa[Orden], dEtapa[ColorHex], dEtapa[Leyenda] ), "&lt;span style='margin-right:16px'&gt;&lt;i style='display:inline-block;width:10px;height:10px;border-radius:3px;margin-right:6px;background:" &amp; dEtapa[ColorHex] &amp; "'&gt;&lt;/i&gt;" &amp; dEtapa[Leyenda] &amp; "&lt;/span&gt;", "", dEtapa[Orden], ASC )
RETURN
"&lt;div style='font-family:Poppins,Segoe UI,Arial,sans-serif;background:#FFFFFF;border:1px solid #E2E6EF;border-radius:16px;padding:16px 20px;box-sizing:border-box;height:100%;color:#1B2340;'&gt;&lt;div style='font-size:17px;font-weight:700;color:#0F265C;margin:0;'&gt;" &amp; "Etapa de recepción por criticidad" &amp; "&lt;/div&gt;" &amp; "&lt;div style='font-size:12px;color:#6B7390;margin:2px 0 12px 0;'&gt;" &amp; "Proporción de cada nivel de criticidad según su etapa en la matriz." &amp; "&lt;/div&gt;"
    &amp; _rows &amp; "&lt;div style='font-size:11.5px;color:#6B7390;margin-top:8px'&gt;" &amp; _leg &amp; "&lt;/div&gt;"
    &amp; "&lt;div style='margin-top:14px;background:#F3F5FA;border-left:3px solid #FFDD00;border-radius:0 10px 10px 0;padding:11px 14px;font-size:12.5px;line-height:1.5'&gt;" &amp; [Nota Criticidad] &amp; "&lt;/div&gt;" &amp; "&lt;/div&gt;"</t>
  </si>
  <si>
    <t xml:space="preserve">Equipos con más pendientes y cobertura por ubicación</t>
  </si>
  <si>
    <t xml:space="preserve">HTML Apps Equipos Ubicacion</t>
  </si>
  <si>
    <t xml:space="preserve">640 × 610 px</t>
  </si>
  <si>
    <t xml:space="preserve">VAR _t = TOPN ( 10, FILTER ( ADDCOLUMNS ( VALUES ( fAplicaciones[Equipo] ), "@p", [Pendientes] + 0, "@t", [Aplicaciones Unicas] + 0, "@g", [Gobernadas] + 0 ), [@p] &gt; 0 ), [@p], DESC, fAplicaciones[Equipo], ASC )
VAR _mx = MAXX ( _t, [@t] )
VAR _rows =
    CONCATENATEX ( _t,
        VAR segs =
            CONCATENATEX ( ALL ( dEtapa[Etapa], dEtapa[Orden], dEtapa[ColorHex] ),
                VAR n = CALCULATE ( [Aplicaciones Unicas] ) + 0
                RETURN IF ( n = 0, "", "&lt;div style='width:" &amp; FORMAT ( n / _mx * 100, "0.##", "en-US" ) &amp; "%;height:14px;background:" &amp; dEtapa[ColorHex] &amp; "'&gt;&lt;/div&gt;" ),
                "", dEtapa[Orden], ASC )
        RETURN
            "&lt;div style='display:grid;grid-template-columns:230px 1fr 44px 46px;align-items:center;font-size:12.5px;padding:3px 0'&gt;"
                &amp; "&lt;span style='white-space:nowrap;overflow:hidden;text-overflow:ellipsis;padding-right:10px'&gt;" &amp; SUBSTITUTE ( SUBSTITUTE ( SUBSTITUTE ( fAplicaciones[Equipo], "&amp;", "&amp;amp;" ), "&lt;", "&amp;lt;" ), "&gt;", "&amp;gt;" ) &amp; "&lt;/span&gt;"
                &amp; "&lt;div style='display:flex;gap:2px'&gt;" &amp; segs &amp; "&lt;/div&gt;"
                &amp; "&lt;b style='text-align:right;color:#0F265C'&gt;" &amp; [@p] &amp; "&lt;/b&gt;&lt;span style='text-align:right;color:#6B7390;font-size:11.5px'&gt;" &amp; FORMAT ( DIVIDE ( [@g], [@t] ), "0%" ) &amp; "&lt;/span&gt;&lt;/div&gt;",
        "", [@p], DESC, fAplicaciones[Equipo], ASC )
VAR _ub =
    CONCATENATEX ( ADDCOLUMNS ( VALUES ( fAplicaciones[UbicacionN] ), "@t", [Aplicaciones Unicas] + 0, "@g", [Gobernadas] + 0 ),
        "&lt;div style='background:#F3F5FA;border-radius:10px;padding:8px 10px'&gt;&lt;span style='display:block;font-size:11.5px;color:#6B7390'&gt;" &amp; SUBSTITUTE ( SUBSTITUTE ( SUBSTITUTE ( fAplicaciones[UbicacionN], "&amp;", "&amp;amp;" ), "&lt;", "&amp;lt;" ), "&gt;", "&amp;gt;" ) &amp; "&lt;/span&gt;"
            &amp; "&lt;b style='font-size:20px;color:#0F265C;display:block'&gt;" &amp; FORMAT ( DIVIDE ( [@g], [@t] ), "0%" ) &amp; "&lt;/b&gt;"
            &amp; "&lt;span style='font-size:11px;color:#6B7390'&gt;" &amp; [@g] &amp; " de " &amp; [@t] &amp; "&lt;/span&gt;&lt;/div&gt;",
        "", [@t], DESC )
RETURN
"&lt;div style='font-family:Poppins,Segoe UI,Arial,sans-serif;background:#FFFFFF;border:1px solid #E2E6EF;border-radius:16px;padding:16px 20px;box-sizing:border-box;height:100%;color:#1B2340;'&gt;&lt;div style='font-size:17px;font-weight:700;color:#0F265C;margin:0;'&gt;" &amp; "Equipos con más aplicaciones pendientes" &amp; "&lt;/div&gt;" &amp; "&lt;div style='font-size:12px;color:#6B7390;margin:2px 0 12px 0;'&gt;" &amp; "Barra: aplicaciones del equipo por etapa. Número: pendientes. Porcentaje: gobernadas." &amp; "&lt;/div&gt;"
    &amp; "&lt;div style='display:grid;grid-template-columns:230px 1fr 44px 46px;font-size:11px;color:#6B7390;padding-bottom:4px'&gt;&lt;span&gt;Equipo administrador&lt;/span&gt;&lt;span&gt;&lt;/span&gt;&lt;span style='text-align:right'&gt;Pend.&lt;/span&gt;&lt;span style='text-align:right'&gt;Gob.&lt;/span&gt;&lt;/div&gt;"
    &amp; _rows
    &amp; "&lt;div style='font-size:17px;font-weight:700;color:#0F265C;margin:0;margin-top:14px'&gt;Cobertura por ubicación&lt;/div&gt;"
    &amp; "&lt;div style='display:grid;grid-template-columns:repeat(5,1fr);gap:8px;margin-top:10px'&gt;" &amp; _ub &amp; "&lt;/div&gt;" &amp; "&lt;/div&gt;"</t>
  </si>
  <si>
    <t xml:space="preserve">Tabla criterio 1 (cartera priorizada)</t>
  </si>
  <si>
    <t xml:space="preserve">HTML Apps Tabla Criterio 1</t>
  </si>
  <si>
    <t xml:space="preserve">600 × 750 px</t>
  </si>
  <si>
    <t xml:space="preserve">VAR _t = CALCULATETABLE ( fAplicaciones, fAplicaciones[Etapa] = "Criterio 1", fAplicaciones[Cuenta] = 1 )
VAR _n = COUNTROWS ( _t )
VAR _rows =
    CONCATENATEX ( _t,
        VAR L = fAplicaciones[CritLetra]
        VAR bg = LOOKUPVALUE ( dCriticidad[ColorHex], dCriticidad[Letra], L )
        VAR fg = LOOKUPVALUE ( dCriticidad[TextoColor], dCriticidad[Letra], L )
        VAR eq = IF ( ISBLANK ( fAplicaciones[Equipo Administrado Por] ), "—", fAplicaciones[Equipo Administrado Por] )
        RETURN
            "&lt;tr&gt;&lt;td style='padding:2.5px 8px;border-bottom:1px solid #F3F5FA'&gt;&lt;span style='display:inline-block;width:17px;height:17px;line-height:17px;text-align:center;border-radius:6px;font-size:10px;font-weight:700;background:" &amp; bg &amp; ";color:" &amp; fg &amp; "'&gt;" &amp; IF ( L = "Sin dato", "–", L ) &amp; "&lt;/span&gt;&lt;/td&gt;"
                &amp; "&lt;td style='padding:2.5px 8px;border-bottom:1px solid #F3F5FA;font-size:11.5px;font-weight:600'&gt;" &amp; SUBSTITUTE ( SUBSTITUTE ( SUBSTITUTE ( fAplicaciones[Nombre], "&amp;", "&amp;amp;" ), "&lt;", "&amp;lt;" ), "&gt;", "&amp;gt;" )
                &amp; IF ( fAplicaciones[PosibleDuplicadoGI] = 1, " &lt;span style='font-size:10px;font-weight:500;background:#FBE3E3;color:#A42A2A;padding:1px 7px;border-radius:99px;white-space:nowrap'&gt;ya gobernada con ID GI&lt;/span&gt;", "" ) &amp; "&lt;/td&gt;"
                &amp; "&lt;td style='padding:2.5px 8px;border-bottom:1px solid #F3F5FA;font-size:11.5px;color:#6B7390;max-width:210px;white-space:nowrap;overflow:hidden;text-overflow:ellipsis'&gt;" &amp; SUBSTITUTE ( SUBSTITUTE ( SUBSTITUTE ( eq, "&amp;", "&amp;amp;" ), "&lt;", "&amp;lt;" ), "&gt;", "&amp;gt;" ) &amp; "&lt;/td&gt;&lt;/tr&gt;",
        "", LOOKUPVALUE ( dCriticidad[Orden], dCriticidad[Letra], fAplicaciones[CritLetra] ), ASC, fAplicaciones[Nombre], ASC )
RETURN
"&lt;div style='font-family:Poppins,Segoe UI,Arial,sans-serif;background:#FFFFFF;border:1px solid #E2E6EF;border-radius:16px;padding:16px 20px;box-sizing:border-box;height:100%;color:#1B2340;'&gt;&lt;div style='display:flex;align-items:center;justify-content:space-between;margin-bottom:12px'&gt;"
    &amp; "&lt;div style='font-size:17px;font-weight:700;color:#0F265C;margin:0;'&gt;Criterio 1 · " &amp; _n &amp; " aplicaciones&lt;/div&gt;"
    &amp; "&lt;span style='background:#0F265C;color:#FFDD00;font-size:12px;font-weight:600;padding:5px 12px;border-radius:99px'&gt;" &amp; [Pill Criterio 1] &amp; "&lt;/span&gt;&lt;/div&gt;"
    &amp; "&lt;table style='width:100%;border-collapse:collapse'&gt;&lt;thead&gt;&lt;tr&gt;&lt;th style='text-align:left;font-weight:500;font-size:11.5px;color:#6B7390;background:#F3F5FA;padding:7px 10px;width:24px'&gt;&lt;/th&gt;&lt;th style='text-align:left;font-weight:500;font-size:11.5px;color:#6B7390;background:#F3F5FA;padding:7px 10px;'&gt;Aplicación&lt;/th&gt;&lt;th style='text-align:left;font-weight:500;font-size:11.5px;color:#6B7390;background:#F3F5FA;padding:7px 10px;'&gt;Equipo administrador&lt;/th&gt;&lt;/tr&gt;&lt;/thead&gt;&lt;tbody&gt;"
    &amp; IF ( _n = 0, "&lt;tr&gt;&lt;td colspan='3' style='padding:6px 10px;border-bottom:1px solid #F3F5FA;vertical-align:middle;color:#6B7390'&gt;Sin aplicaciones en esta etapa.&lt;/td&gt;&lt;/tr&gt;", _rows ) &amp; "&lt;/tbody&gt;&lt;/table&gt;&lt;/div&gt;"</t>
  </si>
  <si>
    <t xml:space="preserve">Tabla criterio 2 (cartera priorizada)</t>
  </si>
  <si>
    <t xml:space="preserve">HTML Apps Tabla Criterio 2</t>
  </si>
  <si>
    <t xml:space="preserve">VAR _t = CALCULATETABLE ( fAplicaciones, fAplicaciones[Etapa] = "Criterio 2", fAplicaciones[Cuenta] = 1 )
VAR _n = COUNTROWS ( _t )
VAR _rows =
    CONCATENATEX ( _t,
        VAR L = fAplicaciones[CritLetra]
        VAR bg = LOOKUPVALUE ( dCriticidad[ColorHex], dCriticidad[Letra], L )
        VAR fg = LOOKUPVALUE ( dCriticidad[TextoColor], dCriticidad[Letra], L )
        VAR eq = IF ( ISBLANK ( fAplicaciones[Equipo Administrado Por] ), "—", fAplicaciones[Equipo Administrado Por] )
        RETURN
            "&lt;tr&gt;&lt;td style='padding:2.5px 8px;border-bottom:1px solid #F3F5FA'&gt;&lt;span style='display:inline-block;width:17px;height:17px;line-height:17px;text-align:center;border-radius:6px;font-size:10px;font-weight:700;background:" &amp; bg &amp; ";color:" &amp; fg &amp; "'&gt;" &amp; IF ( L = "Sin dato", "–", L ) &amp; "&lt;/span&gt;&lt;/td&gt;"
                &amp; "&lt;td style='padding:2.5px 8px;border-bottom:1px solid #F3F5FA;font-size:11.5px;font-weight:600'&gt;" &amp; SUBSTITUTE ( SUBSTITUTE ( SUBSTITUTE ( fAplicaciones[Nombre], "&amp;", "&amp;amp;" ), "&lt;", "&amp;lt;" ), "&gt;", "&amp;gt;" )
                &amp; IF ( fAplicaciones[PosibleDuplicadoGI] = 1, " &lt;span style='font-size:10px;font-weight:500;background:#FBE3E3;color:#A42A2A;padding:1px 7px;border-radius:99px;white-space:nowrap'&gt;ya gobernada con ID GI&lt;/span&gt;", "" ) &amp; "&lt;/td&gt;"
                &amp; "&lt;td style='padding:2.5px 8px;border-bottom:1px solid #F3F5FA;font-size:11.5px;color:#6B7390;max-width:210px;white-space:nowrap;overflow:hidden;text-overflow:ellipsis'&gt;" &amp; SUBSTITUTE ( SUBSTITUTE ( SUBSTITUTE ( eq, "&amp;", "&amp;amp;" ), "&lt;", "&amp;lt;" ), "&gt;", "&amp;gt;" ) &amp; "&lt;/td&gt;&lt;/tr&gt;",
        "", LOOKUPVALUE ( dCriticidad[Orden], dCriticidad[Letra], fAplicaciones[CritLetra] ), ASC, fAplicaciones[Nombre], ASC )
RETURN
"&lt;div style='font-family:Poppins,Segoe UI,Arial,sans-serif;background:#FFFFFF;border:1px solid #E2E6EF;border-radius:16px;padding:16px 20px;box-sizing:border-box;height:100%;color:#1B2340;'&gt;&lt;div style='display:flex;align-items:center;justify-content:space-between;margin-bottom:12px'&gt;"
    &amp; "&lt;div style='font-size:17px;font-weight:700;color:#0F265C;margin:0;'&gt;Criterio 2 · " &amp; _n &amp; " aplicaciones&lt;/div&gt;"
    &amp; "&lt;span style='background:#0F265C;color:#FFDD00;font-size:12px;font-weight:600;padding:5px 12px;border-radius:99px'&gt;" &amp; [Pill Criterio 2] &amp; "&lt;/span&gt;&lt;/div&gt;"
    &amp; "&lt;table style='width:100%;border-collapse:collapse'&gt;&lt;thead&gt;&lt;tr&gt;&lt;th style='text-align:left;font-weight:500;font-size:11.5px;color:#6B7390;background:#F3F5FA;padding:7px 10px;width:24px'&gt;&lt;/th&gt;&lt;th style='text-align:left;font-weight:500;font-size:11.5px;color:#6B7390;background:#F3F5FA;padding:7px 10px;'&gt;Aplicación&lt;/th&gt;&lt;th style='text-align:left;font-weight:500;font-size:11.5px;color:#6B7390;background:#F3F5FA;padding:7px 10px;'&gt;Equipo administrador&lt;/th&gt;&lt;/tr&gt;&lt;/thead&gt;&lt;tbody&gt;"
    &amp; IF ( _n = 0, "&lt;tr&gt;&lt;td colspan='3' style='padding:6px 10px;border-bottom:1px solid #F3F5FA;vertical-align:middle;color:#6B7390'&gt;Sin aplicaciones en esta etapa.&lt;/td&gt;&lt;/tr&gt;", _rows ) &amp; "&lt;/tbody&gt;&lt;/table&gt;&lt;/div&gt;"</t>
  </si>
  <si>
    <t xml:space="preserve">HTML Apps Nota Criterio 3</t>
  </si>
  <si>
    <t xml:space="preserve">330 × 210 px</t>
  </si>
  <si>
    <t xml:space="preserve">"&lt;div style='font-family:Poppins,Segoe UI,Arial,sans-serif;background:#F3F5FA;border-left:3px solid #FFDD00;border-radius:0 10px 10px 0;padding:11px 14px;font-size:12.5px;line-height:1.5;color:#1B2340'&gt;" &amp; [Nota Criterio 3] &amp; "&lt;/div&gt;"</t>
  </si>
  <si>
    <t xml:space="preserve">HTML Apps Nota Duplicados</t>
  </si>
  <si>
    <t xml:space="preserve">330 × 200 px</t>
  </si>
  <si>
    <t xml:space="preserve">"&lt;div style='font-family:Poppins,Segoe UI,Arial,sans-serif;background:#F3F5FA;border-left:3px solid #D64545;border-radius:0 10px 10px 0;padding:11px 14px;font-size:12.5px;line-height:1.5;color:#1B2340'&gt;" &amp; [Nota Duplicados] &amp; "&lt;/div&gt;"</t>
  </si>
  <si>
    <t xml:space="preserve">Leyenda de criticidad</t>
  </si>
  <si>
    <t xml:space="preserve">HTML Apps Leyenda Criticidad</t>
  </si>
  <si>
    <t xml:space="preserve">330 × 170 px</t>
  </si>
  <si>
    <t xml:space="preserve">"&lt;div style='font-family:Poppins,Segoe UI,Arial,sans-serif;font-size:11.5px;color:#6B7390;background:#FFFFFF;border:1px solid #E2E6EF;border-radius:14px;padding:12px 14px'&gt;&lt;b style='color:#0F265C;display:block;margin-bottom:6px'&gt;Criticidad&lt;/b&gt;"
    &amp; CONCATENATEX ( FILTER ( ALL ( dCriticidad ), dCriticidad[Letra] &lt;&gt; "Sin dato" ),
        "&lt;div style='padding:2px 0'&gt;&lt;span style='display:inline-block;width:20px;height:20px;line-height:20px;text-align:center;border-radius:6px;font-size:11px;font-weight:700;margin-right:8px;background:" &amp; dCriticidad[ColorHex] &amp; ";color:" &amp; dCriticidad[TextoColor] &amp; "'&gt;" &amp; dCriticidad[Letra] &amp; "&lt;/span&gt;" &amp; dCriticidad[Nombre] &amp; "&lt;/div&gt;",
        "", dCriticidad[Orden], ASC )
    &amp; "&lt;/div&gt;"</t>
  </si>
  <si>
    <t xml:space="preserve">Columnas calculadas · crear en este orden</t>
  </si>
  <si>
    <t xml:space="preserve">Tabla</t>
  </si>
  <si>
    <t xml:space="preserve">Columna</t>
  </si>
  <si>
    <t xml:space="preserve">Tipo</t>
  </si>
  <si>
    <t xml:space="preserve">Columna Excel equivalente</t>
  </si>
  <si>
    <t xml:space="preserve">Se crea en Power Query (columna de índice desde 1).</t>
  </si>
  <si>
    <t xml:space="preserve">Entero</t>
  </si>
  <si>
    <t xml:space="preserve">VAR n = fAplicaciones[Nombre]
VAR b = fAplicaciones[Bp Id]
VAR i = fAplicaciones[ID]
RETURN IF ( COUNTROWS ( FILTER ( fAplicaciones, fAplicaciones[Nombre] = n &amp;&amp; fAplicaciones[Bp Id] = b &amp;&amp; fAplicaciones[ID] &lt; i ) ) = 0, 1, 0 )</t>
  </si>
  <si>
    <t xml:space="preserve">O</t>
  </si>
  <si>
    <t xml:space="preserve">LOOKUPVALUE ( dEtapa[Etapa], dEtapa[ValorMatriz], fAplicaciones[Priorización], "Sin etapa" )</t>
  </si>
  <si>
    <t xml:space="preserve">Texto</t>
  </si>
  <si>
    <t xml:space="preserve">P</t>
  </si>
  <si>
    <t xml:space="preserve">IF ( fAplicaciones[Entregada Identidades] = "Si", 1, 0 )</t>
  </si>
  <si>
    <t xml:space="preserve">Q</t>
  </si>
  <si>
    <t xml:space="preserve">IF ( CONTAINSSTRING ( fAplicaciones[Priorización], "CRITERIO" ), 1, 0 )</t>
  </si>
  <si>
    <t xml:space="preserve">R</t>
  </si>
  <si>
    <t xml:space="preserve">IF ( ISBLANK ( fAplicaciones[Prioridad] ) || fAplicaciones[Prioridad] = "", "Sin dato", LEFT ( fAplicaciones[Prioridad], 1 ) )</t>
  </si>
  <si>
    <t xml:space="preserve">S</t>
  </si>
  <si>
    <t xml:space="preserve">RELATED ( dCriticidad[EsCritica] )</t>
  </si>
  <si>
    <t xml:space="preserve">T</t>
  </si>
  <si>
    <t xml:space="preserve">IF ( LEFT ( fAplicaciones[Bp Id], 3 ) IN { "GI0", "GA0" }, 1, 0 )</t>
  </si>
  <si>
    <t xml:space="preserve">U</t>
  </si>
  <si>
    <t xml:space="preserve">IF ( ISBLANK ( fAplicaciones[Equipo Administrado Por] ) || fAplicaciones[Equipo Administrado Por] = "", "Sin dato (ID GI)", TRIM ( fAplicaciones[Equipo Administrado Por] ) )</t>
  </si>
  <si>
    <t xml:space="preserve">V</t>
  </si>
  <si>
    <t xml:space="preserve">IF ( ISBLANK ( fAplicaciones[Ubicacion] ) || fAplicaciones[Ubicacion] = "", "Sin dato", fAplicaciones[Ubicacion] )</t>
  </si>
  <si>
    <t xml:space="preserve">W</t>
  </si>
  <si>
    <t xml:space="preserve">IF ( NOT ISBLANK ( fAplicaciones[Fecha Recepcion] ), YEAR ( fAplicaciones[Fecha Recepcion] ) )</t>
  </si>
  <si>
    <t xml:space="preserve">X</t>
  </si>
  <si>
    <t xml:space="preserve">IF ( NOT ISBLANK ( fAplicaciones[Fecha Recepcion] ), DATE ( YEAR ( fAplicaciones[Fecha Recepcion] ), MONTH ( fAplicaciones[Fecha Recepcion] ), 1 ) )</t>
  </si>
  <si>
    <t xml:space="preserve">Fecha</t>
  </si>
  <si>
    <t xml:space="preserve">Y</t>
  </si>
  <si>
    <t xml:space="preserve">IF ( fAplicaciones[Gobernada] = 0 &amp;&amp; fAplicaciones[Bp Id] IN VALUES ( dDuplicadosGI[BpIdPendiente] ), 1, 0 )</t>
  </si>
  <si>
    <t xml:space="preserve">Z</t>
  </si>
  <si>
    <t xml:space="preserve">1 - fAplicaciones[Gobernada]</t>
  </si>
  <si>
    <t xml:space="preserve">AA</t>
  </si>
  <si>
    <t xml:space="preserve">dCalendario</t>
  </si>
  <si>
    <t xml:space="preserve">Tabla (alternativa DAX)</t>
  </si>
  <si>
    <t xml:space="preserve">dCalendario =
ADDCOLUMNS ( CALENDAR ( DATE ( 2023, 1, 1 ), DATE ( 2026, 12, 31 ) ),
    "Anio", YEAR ( [Date] ), "Mes", MONTH ( [Date] ),
    "InicioMes", DATE ( YEAR ( [Date] ), MONTH ( [Date] ), 1 ),
    "MesCorto", SWITCH ( MONTH ( [Date] ), 1, "ene", 2, "feb", 3, "mar", 4, "abr", 5, "may", 6, "jun", 7, "jul", 8, "ago", 9, "sep", 10, "oct", 11, "nov", 12, "dic" ),
    "MesLargo", SWITCH ( MONTH ( [Date] ), 1, "enero", 2, "febrero", 3, "marzo", 4, "abril", 5, "mayo", 6, "junio", 7, "julio", 8, "agosto", 9, "septiembre", 10, "octubre", 11, "noviembre", 12, "diciembre" ) )
-- renombrar [Date] a [Fecha] y marcar como tabla de fechas</t>
  </si>
  <si>
    <t xml:space="preserve">Visual</t>
  </si>
  <si>
    <t xml:space="preserve">Medida(s)</t>
  </si>
  <si>
    <t xml:space="preserve">Tamaño sugerido (px)</t>
  </si>
  <si>
    <t xml:space="preserve">Encabezado</t>
  </si>
  <si>
    <t xml:space="preserve">HTML Apps Encabezado P1…P4</t>
  </si>
  <si>
    <t xml:space="preserve">1600 × 92</t>
  </si>
  <si>
    <t xml:space="preserve">1520 × 30</t>
  </si>
  <si>
    <t xml:space="preserve">5 tarjetas KPI</t>
  </si>
  <si>
    <t xml:space="preserve">HTML Apps KPI Universo / Gobernadas / Meta / Brecha / Ritmo</t>
  </si>
  <si>
    <t xml:space="preserve">290 × 100 c/u</t>
  </si>
  <si>
    <t xml:space="preserve">Del universo a la meta</t>
  </si>
  <si>
    <t xml:space="preserve">1520 × 270</t>
  </si>
  <si>
    <t xml:space="preserve">Curva acumulada</t>
  </si>
  <si>
    <t xml:space="preserve">HTML Apps Curva Acumulada (alternativa nativa: gráfico de líneas con dCalendario[InicioMes] y [Gobernadas Acumuladas] + línea constante [Meta])</t>
  </si>
  <si>
    <t xml:space="preserve">960 × 340</t>
  </si>
  <si>
    <t xml:space="preserve">Ruta a la meta</t>
  </si>
  <si>
    <t xml:space="preserve">520 × 340</t>
  </si>
  <si>
    <t xml:space="preserve">Cascada CMDB → universo</t>
  </si>
  <si>
    <t xml:space="preserve">HTML Apps Cascada (alternativa nativa: gráfico de cascada con dConciliacion[Paso] y SUM(dConciliacion[Valor]) filtrando Tipo ≠ Total)</t>
  </si>
  <si>
    <t xml:space="preserve">940 × 610</t>
  </si>
  <si>
    <t xml:space="preserve">El mismo avance se lee distinto</t>
  </si>
  <si>
    <t xml:space="preserve">560 × 300</t>
  </si>
  <si>
    <t xml:space="preserve">La matriz frente al universo</t>
  </si>
  <si>
    <t xml:space="preserve">560 × 290</t>
  </si>
  <si>
    <t xml:space="preserve">Por qué creció el alcance</t>
  </si>
  <si>
    <t xml:space="preserve">1520 × 124</t>
  </si>
  <si>
    <t xml:space="preserve">HTML Apps KPI Criticas / Criticas 2027 / C1 Baja / C2 Criticas / Cobertura</t>
  </si>
  <si>
    <t xml:space="preserve">Etapa por criticidad</t>
  </si>
  <si>
    <t xml:space="preserve">HTML Apps Criticidad Etapas (alternativa nativa: barras 100% apiladas, eje dCriticidad[Prioridad], leyenda dEtapa[Etapa], valor [Aplicaciones Unicas])</t>
  </si>
  <si>
    <t xml:space="preserve">880 × 610</t>
  </si>
  <si>
    <t xml:space="preserve">Equipos y ubicación</t>
  </si>
  <si>
    <t xml:space="preserve">640 × 610</t>
  </si>
  <si>
    <t xml:space="preserve">Tabla criterio 1</t>
  </si>
  <si>
    <t xml:space="preserve">600 × 750</t>
  </si>
  <si>
    <t xml:space="preserve">Tabla criterio 2</t>
  </si>
  <si>
    <t xml:space="preserve">Notas y leyenda</t>
  </si>
  <si>
    <t xml:space="preserve">HTML Apps Nota Criterio 3 · HTML Apps Nota Duplicados · HTML Apps Leyenda Criticidad</t>
  </si>
  <si>
    <t xml:space="preserve">330 de ancho</t>
  </si>
  <si>
    <t xml:space="preserve">Fondo de página #F3F5FA. Lienzo 1600 × 900. Visual HTML Content: desactivar título, fondo, borde y sombra.</t>
  </si>
  <si>
    <t xml:space="preserve">Consulta fAplicaciones (Editor avanzado)</t>
  </si>
  <si>
    <t xml:space="preserve">let</t>
  </si>
  <si>
    <t xml:space="preserve">    Origen = Excel.Workbook(File.Contents("C:\Ruta\Matriz_de_Aplicaciones_GI_-_Agosto_2026.xlsx"), null, true),</t>
  </si>
  <si>
    <t xml:space="preserve">    Hoja = Origen{[Item = "Hoja1", Kind = "Sheet"]}[Data],</t>
  </si>
  <si>
    <t xml:space="preserve">    Encabezados = Table.PromoteHeaders(Hoja, [PromoteAllScalars = true]),</t>
  </si>
  <si>
    <t xml:space="preserve">    Nombres = Table.TransformColumnNames(Encabezados, Text.Trim),</t>
  </si>
  <si>
    <t xml:space="preserve">    SinVacias = Table.SelectRows(Nombres, each [Nombre] &lt;&gt; null and [Nombre] &lt;&gt; ""),</t>
  </si>
  <si>
    <t xml:space="preserve">    ConID = Table.AddIndexColumn(SinVacias, "ID", 1, 1, Int64.Type),</t>
  </si>
  <si>
    <t xml:space="preserve">    Tipos = Table.TransformColumnTypes(ConID, {</t>
  </si>
  <si>
    <t xml:space="preserve">        {"Nombre", type text}, {"Bp Id", type text}, {"Descripcion", type text}, {"Prioridad", type text},</t>
  </si>
  <si>
    <t xml:space="preserve">        {"Ubicacion", type text}, {"Equipo Administrado Por", type text}, {"Dueno Aplicacion", type text},</t>
  </si>
  <si>
    <t xml:space="preserve">        {"Dueno Negocio", type text}, {"Administrado Por", type text}, {"Categoria Identidades", type text},</t>
  </si>
  <si>
    <t xml:space="preserve">        {"Entregada Identidades", type text}, {"Fecha Recepcion", type date}, {"Priorización", type text}}),</t>
  </si>
  <si>
    <t xml:space="preserve">    Limpio = Table.TransformColumns(Tipos, {{"Nombre", Text.Trim, type text}, {"Bp Id", Text.Trim, type text}, {"Priorización", Text.Trim, type text}})</t>
  </si>
  <si>
    <t xml:space="preserve">in</t>
  </si>
  <si>
    <t xml:space="preserve">    Limpio</t>
  </si>
  <si>
    <t xml:space="preserve">1. Las dimensiones (dEtapa, dCriticidad, dConciliacion, dAlcance, dDuplicadosGI, Parametros) se importan de este libro: Obtener datos &gt; Excel &gt; seleccionar las tablas.</t>
  </si>
  <si>
    <t xml:space="preserve">2. En Parametros, cambiar el tipo de la columna Valor a Número decimal (las fechas quedan como número serial).</t>
  </si>
  <si>
    <t xml:space="preserve">3. Marcar dCalendario como tabla de fechas.</t>
  </si>
  <si>
    <t xml:space="preserve">Guardar como tema_pichincha.json e importar en Vista &gt; Temas &gt; Examinar temas.</t>
  </si>
  <si>
    <t xml:space="preserve">{</t>
  </si>
  <si>
    <t xml:space="preserve">  "name": "Banco Pichincha · Recepción de aplicaciones",</t>
  </si>
  <si>
    <t xml:space="preserve">  "dataColors": [</t>
  </si>
  <si>
    <t xml:space="preserve">    "#0F265C",</t>
  </si>
  <si>
    <t xml:space="preserve">    "#3A5BA9",</t>
  </si>
  <si>
    <t xml:space="preserve">    "#7C97D6",</t>
  </si>
  <si>
    <t xml:space="preserve">    "#C9D5EE",</t>
  </si>
  <si>
    <t xml:space="preserve">    "#FFDD00",</t>
  </si>
  <si>
    <t xml:space="preserve">    "#F5B800",</t>
  </si>
  <si>
    <t xml:space="preserve">    "#D64545",</t>
  </si>
  <si>
    <t xml:space="preserve">    "#B4BBCB"</t>
  </si>
  <si>
    <t xml:space="preserve">  ],</t>
  </si>
  <si>
    <t xml:space="preserve">  "background": "#FFFFFF",</t>
  </si>
  <si>
    <t xml:space="preserve">  "foreground": "#1B2340",</t>
  </si>
  <si>
    <t xml:space="preserve">  "tableAccent": "#0F265C",</t>
  </si>
  <si>
    <t xml:space="preserve">  "good": "#0F265C",</t>
  </si>
  <si>
    <t xml:space="preserve">  "neutral": "#F5B800",</t>
  </si>
  <si>
    <t xml:space="preserve">  "bad": "#D64545",</t>
  </si>
  <si>
    <t xml:space="preserve">  "textClasses": {</t>
  </si>
  <si>
    <t xml:space="preserve">    "title": {</t>
  </si>
  <si>
    <t xml:space="preserve">      "fontFace": "Poppins, Segoe UI",</t>
  </si>
  <si>
    <t xml:space="preserve">      "fontSize": 13,</t>
  </si>
  <si>
    <t xml:space="preserve">      "color": "#0F265C"</t>
  </si>
  <si>
    <t xml:space="preserve">    },</t>
  </si>
  <si>
    <t xml:space="preserve">    "label": {</t>
  </si>
  <si>
    <t xml:space="preserve">      "fontSize": 10,</t>
  </si>
  <si>
    <t xml:space="preserve">      "color": "#1B2340"</t>
  </si>
  <si>
    <t xml:space="preserve">    "callout": {</t>
  </si>
  <si>
    <t xml:space="preserve">      "fontSize": 28,</t>
  </si>
  <si>
    <t xml:space="preserve">    }</t>
  </si>
  <si>
    <t xml:space="preserve">  },</t>
  </si>
  <si>
    <t xml:space="preserve">  "visualStyles": {</t>
  </si>
  <si>
    <t xml:space="preserve">    "page": {</t>
  </si>
  <si>
    <t xml:space="preserve">      "*": {</t>
  </si>
  <si>
    <t xml:space="preserve">        "background": [</t>
  </si>
  <si>
    <t xml:space="preserve">          {</t>
  </si>
  <si>
    <t xml:space="preserve">            "color": {</t>
  </si>
  <si>
    <t xml:space="preserve">              "solid": {</t>
  </si>
  <si>
    <t xml:space="preserve">                "color": "#F3F5FA"</t>
  </si>
  <si>
    <t xml:space="preserve">              }</t>
  </si>
  <si>
    <t xml:space="preserve">            },</t>
  </si>
  <si>
    <t xml:space="preserve">            "transparency": 0</t>
  </si>
  <si>
    <t xml:space="preserve">          }</t>
  </si>
  <si>
    <t xml:space="preserve">        ]</t>
  </si>
  <si>
    <t xml:space="preserve">      }</t>
  </si>
  <si>
    <t xml:space="preserve">  }</t>
  </si>
  <si>
    <t xml:space="preserve">}</t>
  </si>
  <si>
    <t xml:space="preserve">Parámetro</t>
  </si>
  <si>
    <t xml:space="preserve">Valor</t>
  </si>
  <si>
    <t xml:space="preserve">FechaCorte</t>
  </si>
  <si>
    <t xml:space="preserve">Fecha de corte: última recepción registrada en la matriz.</t>
  </si>
  <si>
    <t xml:space="preserve">FinAnio</t>
  </si>
  <si>
    <t xml:space="preserve">FechaInforme</t>
  </si>
  <si>
    <t xml:space="preserve">Fecha del informe de conciliación CMDB (DatosSN).</t>
  </si>
  <si>
    <t xml:space="preserve">AlcanceInicial</t>
  </si>
  <si>
    <t xml:space="preserve">Alcance de recepción con el criterio original (solo apps con módulo de seguridad).</t>
  </si>
  <si>
    <t xml:space="preserve">AlcanceActual</t>
  </si>
  <si>
    <t xml:space="preserve">Alcance de recepción con los criterios ampliados.</t>
  </si>
  <si>
    <t xml:space="preserve">GobernadasInforme</t>
  </si>
  <si>
    <t xml:space="preserve">Gobernadas reportadas en el informe de conciliación.</t>
  </si>
  <si>
    <t xml:space="preserve">DiasMes</t>
  </si>
  <si>
    <t xml:space="preserve">ResponsableHito</t>
  </si>
  <si>
    <t xml:space="preserve">Jhonny Barreiro</t>
  </si>
  <si>
    <t xml:space="preserve">Responsable del hito (texto del encabezado).</t>
  </si>
  <si>
    <t xml:space="preserve">Fuente: informe DatosSN (11-ago-2026) para FechaInforme, Meta, Alcance y GobernadasInforme; matriz para FechaCorte.</t>
  </si>
  <si>
    <t xml:space="preserve">ValorMatriz</t>
  </si>
  <si>
    <t xml:space="preserve">Orden</t>
  </si>
  <si>
    <t xml:space="preserve">ColorHex</t>
  </si>
  <si>
    <t xml:space="preserve">TextoColor</t>
  </si>
  <si>
    <t xml:space="preserve">EsPendiente</t>
  </si>
  <si>
    <t xml:space="preserve">EsPriorizada2026</t>
  </si>
  <si>
    <t xml:space="preserve">Leyenda</t>
  </si>
  <si>
    <t xml:space="preserve">#0F265C</t>
  </si>
  <si>
    <t xml:space="preserve">#FFFFFF</t>
  </si>
  <si>
    <t xml:space="preserve">#3A5BA9</t>
  </si>
  <si>
    <t xml:space="preserve">Priorizadas criterio 1</t>
  </si>
  <si>
    <t xml:space="preserve">#7C97D6</t>
  </si>
  <si>
    <t xml:space="preserve">#1B2340</t>
  </si>
  <si>
    <t xml:space="preserve">Priorizadas criterio 2</t>
  </si>
  <si>
    <t xml:space="preserve">#C9D5EE</t>
  </si>
  <si>
    <t xml:space="preserve">Priorizadas criterio 3</t>
  </si>
  <si>
    <t xml:space="preserve">#DDE2EC</t>
  </si>
  <si>
    <t xml:space="preserve">Letra</t>
  </si>
  <si>
    <t xml:space="preserve">Apetito de riesgo disponibilidad</t>
  </si>
  <si>
    <t xml:space="preserve">#D64545</t>
  </si>
  <si>
    <t xml:space="preserve">Ecosistema apetito de riesgo</t>
  </si>
  <si>
    <t xml:space="preserve">#F5B800</t>
  </si>
  <si>
    <t xml:space="preserve">BIA crítica</t>
  </si>
  <si>
    <t xml:space="preserve">BIA no crítica</t>
  </si>
  <si>
    <t xml:space="preserve">No crítica</t>
  </si>
  <si>
    <t xml:space="preserve">#F3F5FA</t>
  </si>
  <si>
    <t xml:space="preserve">Paso</t>
  </si>
  <si>
    <t xml:space="preserve">EtiquetaL1</t>
  </si>
  <si>
    <t xml:space="preserve">EtiquetaL2</t>
  </si>
  <si>
    <t xml:space="preserve">CMDB (ServiceNow)</t>
  </si>
  <si>
    <t xml:space="preserve">Base</t>
  </si>
  <si>
    <t xml:space="preserve">(ServiceNow)</t>
  </si>
  <si>
    <t xml:space="preserve">Total registrado en la CMDB de ServiceNow.</t>
  </si>
  <si>
    <t xml:space="preserve">Servicios externos</t>
  </si>
  <si>
    <t xml:space="preserve">Ajuste</t>
  </si>
  <si>
    <t xml:space="preserve">Servicios</t>
  </si>
  <si>
    <t xml:space="preserve">externos</t>
  </si>
  <si>
    <t xml:space="preserve">Excluidos por un filtro de tipo de aplicación en el dashboard de ServiceNow, aunque Identidades también los administra.</t>
  </si>
  <si>
    <t xml:space="preserve">Sin registro en CMDB</t>
  </si>
  <si>
    <t xml:space="preserve">Sin registro</t>
  </si>
  <si>
    <t xml:space="preserve">en CMDB</t>
  </si>
  <si>
    <t xml:space="preserve">Bajo gestión de Identidades y con procesos activos de accesos, pero sin ficha en la CMDB.</t>
  </si>
  <si>
    <t xml:space="preserve">Infraestructura Siglo XXI</t>
  </si>
  <si>
    <t xml:space="preserve">Infraestructura</t>
  </si>
  <si>
    <t xml:space="preserve">Siglo XXI</t>
  </si>
  <si>
    <t xml:space="preserve">Tienen roles de acceso asignados, pero al no estar en la CMDB no se pueden someter a depuración de accesos.</t>
  </si>
  <si>
    <t xml:space="preserve">Decomisadas pero activas</t>
  </si>
  <si>
    <t xml:space="preserve">Decomisadas</t>
  </si>
  <si>
    <t xml:space="preserve">pero activas</t>
  </si>
  <si>
    <t xml:space="preserve">Figuran como decomisadas en la CMDB; Identidades confirma que siguen operativas y con gestión de accesos.</t>
  </si>
  <si>
    <t xml:space="preserve">Universo GI</t>
  </si>
  <si>
    <t xml:space="preserve">GI</t>
  </si>
  <si>
    <t xml:space="preserve">Universo conciliado que administra Gestión de Identidades.</t>
  </si>
  <si>
    <t xml:space="preserve">Titulo</t>
  </si>
  <si>
    <t xml:space="preserve">Aplicaciones estratégicas sin módulo de seguridad.</t>
  </si>
  <si>
    <t xml:space="preserve">Casos como BPOne o Remesas entran con controles compensatorios: autenticación obligatoria con Microsoft Entra ID integrado al gestor de identidades, y cambios de roles solo por pipeline con aprobación de Identidades.</t>
  </si>
  <si>
    <t xml:space="preserve">Aplicaciones de Ciberseguridad.</t>
  </si>
  <si>
    <t xml:space="preserve">Se incorporaron también las de Ciberseguridad sin módulo de seguridad, que no estaban en el esquema inicial.</t>
  </si>
  <si>
    <t xml:space="preserve">BpIdPendiente</t>
  </si>
  <si>
    <t xml:space="preserve">NombrePendiente</t>
  </si>
  <si>
    <t xml:space="preserve">BpIdGI</t>
  </si>
  <si>
    <t xml:space="preserve">NombreGI</t>
  </si>
  <si>
    <t xml:space="preserve">Detectados por coincidencia de nombre normalizado. Agregar o quitar filas tras validar con el equipo; fAplicaciones[PosibleDuplicadoGI] se recalcula.</t>
  </si>
  <si>
    <t xml:space="preserve">Anio</t>
  </si>
  <si>
    <t xml:space="preserve">Mes</t>
  </si>
  <si>
    <t xml:space="preserve">InicioMes</t>
  </si>
  <si>
    <t xml:space="preserve">MesCorto</t>
  </si>
  <si>
    <t xml:space="preserve">MesLargo</t>
  </si>
  <si>
    <t xml:space="preserve">MesAnio</t>
  </si>
</sst>
</file>

<file path=xl/styles.xml><?xml version="1.0" encoding="utf-8"?>
<styleSheet xmlns="http://schemas.openxmlformats.org/spreadsheetml/2006/main">
  <numFmts count="7">
    <numFmt numFmtId="164" formatCode="General"/>
    <numFmt numFmtId="165" formatCode="dd/mm/yyyy"/>
    <numFmt numFmtId="166" formatCode="General"/>
    <numFmt numFmtId="167" formatCode="mmm\-yy"/>
    <numFmt numFmtId="168" formatCode="0"/>
    <numFmt numFmtId="169" formatCode="0%"/>
    <numFmt numFmtId="170" formatCode="0.0"/>
  </numFmts>
  <fonts count="14">
    <font>
      <sz val="11"/>
      <color theme="1"/>
      <name val="Calibri"/>
      <family val="2"/>
      <charset val="1"/>
    </font>
    <font>
      <sz val="10"/>
      <name val="Arial"/>
      <family val="0"/>
    </font>
    <font>
      <sz val="10"/>
      <name val="Arial"/>
      <family val="0"/>
    </font>
    <font>
      <sz val="10"/>
      <name val="Arial"/>
      <family val="0"/>
    </font>
    <font>
      <b val="true"/>
      <sz val="16"/>
      <color rgb="FF0F265C"/>
      <name val="Arial"/>
      <family val="0"/>
      <charset val="1"/>
    </font>
    <font>
      <i val="true"/>
      <sz val="10"/>
      <name val="Arial"/>
      <family val="0"/>
      <charset val="1"/>
    </font>
    <font>
      <b val="true"/>
      <sz val="11"/>
      <color rgb="FF0F265C"/>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name val="Arial"/>
      <family val="0"/>
      <charset val="1"/>
    </font>
    <font>
      <sz val="10"/>
      <color rgb="FF0000FF"/>
      <name val="Arial"/>
      <family val="0"/>
      <charset val="1"/>
    </font>
    <font>
      <sz val="9"/>
      <name val="Consolas"/>
      <family val="0"/>
      <charset val="1"/>
    </font>
    <font>
      <sz val="10"/>
      <name val="Consolas"/>
      <family val="0"/>
      <charset val="1"/>
    </font>
  </fonts>
  <fills count="5">
    <fill>
      <patternFill patternType="none"/>
    </fill>
    <fill>
      <patternFill patternType="gray125"/>
    </fill>
    <fill>
      <patternFill patternType="solid">
        <fgColor rgb="FF0F265C"/>
        <bgColor rgb="FF333333"/>
      </patternFill>
    </fill>
    <fill>
      <patternFill patternType="solid">
        <fgColor rgb="FFEEF2FA"/>
        <bgColor rgb="FFFFFFFF"/>
      </patternFill>
    </fill>
    <fill>
      <patternFill patternType="solid">
        <fgColor rgb="FFFFF6B8"/>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11"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265C"/>
          <bgColor rgb="FF000000"/>
        </patternFill>
      </fill>
    </dxf>
    <dxf>
      <fill>
        <patternFill patternType="solid">
          <bgColor rgb="FF000000"/>
        </patternFill>
      </fill>
    </dxf>
    <dxf>
      <fill>
        <patternFill patternType="solid">
          <fgColor rgb="FFFFFFFF"/>
          <bgColor rgb="FF000000"/>
        </patternFill>
      </fill>
    </dxf>
    <dxf>
      <fill>
        <patternFill patternType="solid">
          <fgColor rgb="FFEEF2FA"/>
          <bgColor rgb="FF000000"/>
        </patternFill>
      </fill>
    </dxf>
    <dxf>
      <fill>
        <patternFill patternType="solid">
          <fgColor rgb="FFFFF6B8"/>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B8"/>
      <rgbColor rgb="FFEEF2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6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ables/table1.xml><?xml version="1.0" encoding="utf-8"?>
<table xmlns="http://schemas.openxmlformats.org/spreadsheetml/2006/main" id="1" name="ColumnasDAX" displayName="ColumnasDAX" ref="A3:E18" headerRowCount="1" totalsRowCount="0" totalsRowShown="0">
  <autoFilter ref="A3:E18"/>
  <tableColumns count="5">
    <tableColumn id="1" name="Tabla"/>
    <tableColumn id="2" name="Columna"/>
    <tableColumn id="3" name="Expresión DAX"/>
    <tableColumn id="4" name="Tipo"/>
    <tableColumn id="5" name="Columna Excel equivalente"/>
  </tableColumns>
</table>
</file>

<file path=xl/tables/table2.xml><?xml version="1.0" encoding="utf-8"?>
<table xmlns="http://schemas.openxmlformats.org/spreadsheetml/2006/main" id="2" name="dAlcance" displayName="dAlcance" ref="A1:C3" headerRowCount="1" totalsRowCount="0" totalsRowShown="0">
  <autoFilter ref="A1:C3"/>
  <tableColumns count="3">
    <tableColumn id="1" name="Orden"/>
    <tableColumn id="2" name="Titulo"/>
    <tableColumn id="3" name="Texto"/>
  </tableColumns>
</table>
</file>

<file path=xl/tables/table3.xml><?xml version="1.0" encoding="utf-8"?>
<table xmlns="http://schemas.openxmlformats.org/spreadsheetml/2006/main" id="3" name="dCalendario" displayName="dCalendario" ref="A1:G1462" headerRowCount="1" totalsRowCount="0" totalsRowShown="0">
  <autoFilter ref="A1:G1462"/>
  <tableColumns count="7">
    <tableColumn id="1" name="Fecha"/>
    <tableColumn id="2" name="Anio"/>
    <tableColumn id="3" name="Mes"/>
    <tableColumn id="4" name="InicioMes"/>
    <tableColumn id="5" name="MesCorto"/>
    <tableColumn id="6" name="MesLargo"/>
    <tableColumn id="7" name="MesAnio"/>
  </tableColumns>
</table>
</file>

<file path=xl/tables/table4.xml><?xml version="1.0" encoding="utf-8"?>
<table xmlns="http://schemas.openxmlformats.org/spreadsheetml/2006/main" id="4" name="dConciliacion" displayName="dConciliacion" ref="A1:G7" headerRowCount="1" totalsRowCount="0" totalsRowShown="0">
  <autoFilter ref="A1:G7"/>
  <tableColumns count="7">
    <tableColumn id="1" name="Orden"/>
    <tableColumn id="2" name="Paso"/>
    <tableColumn id="3" name="Valor"/>
    <tableColumn id="4" name="Tipo"/>
    <tableColumn id="5" name="EtiquetaL1"/>
    <tableColumn id="6" name="EtiquetaL2"/>
    <tableColumn id="7" name="Descripcion"/>
  </tableColumns>
</table>
</file>

<file path=xl/tables/table5.xml><?xml version="1.0" encoding="utf-8"?>
<table xmlns="http://schemas.openxmlformats.org/spreadsheetml/2006/main" id="5" name="dCriticidad" displayName="dCriticidad" ref="A1:G7" headerRowCount="1" totalsRowCount="0" totalsRowShown="0">
  <autoFilter ref="A1:G7"/>
  <tableColumns count="7">
    <tableColumn id="1" name="Letra"/>
    <tableColumn id="2" name="Prioridad"/>
    <tableColumn id="3" name="Nombre"/>
    <tableColumn id="4" name="Orden"/>
    <tableColumn id="5" name="ColorHex"/>
    <tableColumn id="6" name="TextoColor"/>
    <tableColumn id="7" name="EsCritica"/>
  </tableColumns>
</table>
</file>

<file path=xl/tables/table6.xml><?xml version="1.0" encoding="utf-8"?>
<table xmlns="http://schemas.openxmlformats.org/spreadsheetml/2006/main" id="6" name="dDuplicadosGI" displayName="dDuplicadosGI" ref="A1:E5" headerRowCount="1" totalsRowCount="0" totalsRowShown="0">
  <autoFilter ref="A1:E5"/>
  <tableColumns count="5">
    <tableColumn id="1" name="BpIdPendiente"/>
    <tableColumn id="2" name="NombrePendiente"/>
    <tableColumn id="3" name="Etapa"/>
    <tableColumn id="4" name="BpIdGI"/>
    <tableColumn id="5" name="NombreGI"/>
  </tableColumns>
</table>
</file>

<file path=xl/tables/table7.xml><?xml version="1.0" encoding="utf-8"?>
<table xmlns="http://schemas.openxmlformats.org/spreadsheetml/2006/main" id="7" name="dEtapa" displayName="dEtapa" ref="A1:H6" headerRowCount="1" totalsRowCount="0" totalsRowShown="0">
  <autoFilter ref="A1:H6"/>
  <tableColumns count="8">
    <tableColumn id="1" name="Etapa"/>
    <tableColumn id="2" name="ValorMatriz"/>
    <tableColumn id="3" name="Orden"/>
    <tableColumn id="4" name="ColorHex"/>
    <tableColumn id="5" name="TextoColor"/>
    <tableColumn id="6" name="EsPendiente"/>
    <tableColumn id="7" name="EsPriorizada2026"/>
    <tableColumn id="8" name="Leyenda"/>
  </tableColumns>
</table>
</file>

<file path=xl/tables/table8.xml><?xml version="1.0" encoding="utf-8"?>
<table xmlns="http://schemas.openxmlformats.org/spreadsheetml/2006/main" id="8" name="fAplicaciones" displayName="fAplicaciones" ref="A1:AA414" headerRowCount="1" totalsRowCount="0" totalsRowShown="0">
  <autoFilter ref="A1:AA414"/>
  <tableColumns count="27">
    <tableColumn id="1" name="ID"/>
    <tableColumn id="2" name="Nombre"/>
    <tableColumn id="3" name="Bp Id"/>
    <tableColumn id="4" name="Descripcion"/>
    <tableColumn id="5" name="Prioridad"/>
    <tableColumn id="6" name="Ubicacion"/>
    <tableColumn id="7" name="Equipo Administrado Por"/>
    <tableColumn id="8" name="Dueno Aplicacion"/>
    <tableColumn id="9" name="Dueno Negocio"/>
    <tableColumn id="10" name="Administrado Por"/>
    <tableColumn id="11" name="Categoria Identidades"/>
    <tableColumn id="12" name="Entregada Identidades"/>
    <tableColumn id="13" name="Fecha Recepcion"/>
    <tableColumn id="14" name="Priorización"/>
    <tableColumn id="15" name="Cuenta"/>
    <tableColumn id="16" name="Etapa"/>
    <tableColumn id="17" name="Gobernada"/>
    <tableColumn id="18" name="Priorizada2026"/>
    <tableColumn id="19" name="CritLetra"/>
    <tableColumn id="20" name="EsCritica"/>
    <tableColumn id="21" name="IDPropioGI"/>
    <tableColumn id="22" name="Equipo"/>
    <tableColumn id="23" name="UbicacionN"/>
    <tableColumn id="24" name="AnioRecepcion"/>
    <tableColumn id="25" name="MesRecepcion"/>
    <tableColumn id="26" name="PosibleDuplicadoGI"/>
    <tableColumn id="27" name="Pendiente"/>
  </tableColumns>
</table>
</file>

<file path=xl/tables/table9.xml><?xml version="1.0" encoding="utf-8"?>
<table xmlns="http://schemas.openxmlformats.org/spreadsheetml/2006/main" id="9" name="HTMLContent" displayName="HTMLContent" ref="A3:E32" headerRowCount="1" totalsRowCount="0" totalsRowShown="0">
  <autoFilter ref="A3:E32"/>
  <tableColumns count="5">
    <tableColumn id="1" name="Página"/>
    <tableColumn id="2" name="Visual del dashboard"/>
    <tableColumn id="3" name="Medida"/>
    <tableColumn id="4" name="Tamaño sugerido"/>
    <tableColumn id="5" name="Expresión DAX"/>
  </tableColumns>
</table>
</file>

<file path=xl/tables/table10.xml><?xml version="1.0" encoding="utf-8"?>
<table xmlns="http://schemas.openxmlformats.org/spreadsheetml/2006/main" id="10" name="MedidasDAX" displayName="MedidasDAX" ref="A3:F55" headerRowCount="1" totalsRowCount="0" totalsRowShown="0">
  <autoFilter ref="A3:F55"/>
  <tableColumns count="6">
    <tableColumn id="1" name="Carpeta"/>
    <tableColumn id="2" name="Medida"/>
    <tableColumn id="3" name="Expresión DAX"/>
    <tableColumn id="4" name="Formato"/>
    <tableColumn id="5" name="Descripción"/>
    <tableColumn id="6" name="Valor esperado al corte"/>
  </tableColumns>
</table>
</file>

<file path=xl/tables/table11.xml><?xml version="1.0" encoding="utf-8"?>
<table xmlns="http://schemas.openxmlformats.org/spreadsheetml/2006/main" id="11" name="Parametros" displayName="Parametros" ref="A2:D11" headerRowCount="1" totalsRowCount="0" totalsRowShown="0">
  <autoFilter ref="A2:D11"/>
  <tableColumns count="4">
    <tableColumn id="1" name="Parámetro"/>
    <tableColumn id="2" name="Valor"/>
    <tableColumn id="3" name="Texto"/>
    <tableColumn id="4" name="Descripción"/>
  </tableColumns>
</table>
</file>

<file path=xl/tables/table12.xml><?xml version="1.0" encoding="utf-8"?>
<table xmlns="http://schemas.openxmlformats.org/spreadsheetml/2006/main" id="12" name="TextosDAX" displayName="TextosDAX" ref="A3:E39" headerRowCount="1" totalsRowCount="0" totalsRowShown="0">
  <autoFilter ref="A3:E39"/>
  <tableColumns count="5">
    <tableColumn id="1" name="Página"/>
    <tableColumn id="2" name="Dónde aparece"/>
    <tableColumn id="3" name="Medida"/>
    <tableColumn id="4" name="Expresión DAX"/>
    <tableColumn id="5" name="Resultado esperado al corte"/>
  </tableColumns>
</table>
</file>

<file path=xl/tables/table13.xml><?xml version="1.0" encoding="utf-8"?>
<table xmlns="http://schemas.openxmlformats.org/spreadsheetml/2006/main" id="13" name="Visuales" displayName="Visuales" ref="A1:D17" headerRowCount="1" totalsRowCount="0" totalsRowShown="0">
  <autoFilter ref="A1:D17"/>
  <tableColumns count="4">
    <tableColumn id="1" name="Página"/>
    <tableColumn id="2" name="Visual"/>
    <tableColumn id="3" name="Medida(s)"/>
    <tableColumn id="4" name="Tamaño sugerido (px)"/>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8.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12.xml"/>
</Relationships>
</file>

<file path=xl/worksheets/_rels/sheet6.xml.rels><?xml version="1.0" encoding="UTF-8"?>
<Relationships xmlns="http://schemas.openxmlformats.org/package/2006/relationships"><Relationship Id="rId1" Type="http://schemas.openxmlformats.org/officeDocument/2006/relationships/table" Target="../tables/table9.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_rels/sheet8.xml.rels><?xml version="1.0" encoding="UTF-8"?>
<Relationships xmlns="http://schemas.openxmlformats.org/package/2006/relationships"><Relationship Id="rId1" Type="http://schemas.openxmlformats.org/officeDocument/2006/relationships/table" Target="../tables/table13.xml"/>
</Relationships>
</file>

<file path=xl/worksheets/_rels/sheet11.xml.rels><?xml version="1.0" encoding="UTF-8"?>
<Relationships xmlns="http://schemas.openxmlformats.org/package/2006/relationships"><Relationship Id="rId1" Type="http://schemas.openxmlformats.org/officeDocument/2006/relationships/table" Target="../tables/table11.xml"/>
</Relationships>
</file>

<file path=xl/worksheets/_rels/sheet12.xml.rels><?xml version="1.0" encoding="UTF-8"?>
<Relationships xmlns="http://schemas.openxmlformats.org/package/2006/relationships"><Relationship Id="rId1" Type="http://schemas.openxmlformats.org/officeDocument/2006/relationships/table" Target="../tables/table7.xml"/>
</Relationships>
</file>

<file path=xl/worksheets/_rels/sheet13.xml.rels><?xml version="1.0" encoding="UTF-8"?>
<Relationships xmlns="http://schemas.openxmlformats.org/package/2006/relationships"><Relationship Id="rId1" Type="http://schemas.openxmlformats.org/officeDocument/2006/relationships/table" Target="../tables/table5.xml"/>
</Relationships>
</file>

<file path=xl/worksheets/_rels/sheet14.xml.rels><?xml version="1.0" encoding="UTF-8"?>
<Relationships xmlns="http://schemas.openxmlformats.org/package/2006/relationships"><Relationship Id="rId1" Type="http://schemas.openxmlformats.org/officeDocument/2006/relationships/table" Target="../tables/table4.xml"/>
</Relationships>
</file>

<file path=xl/worksheets/_rels/sheet15.xml.rels><?xml version="1.0" encoding="UTF-8"?>
<Relationships xmlns="http://schemas.openxmlformats.org/package/2006/relationships"><Relationship Id="rId1" Type="http://schemas.openxmlformats.org/officeDocument/2006/relationships/table" Target="../tables/table2.xml"/>
</Relationships>
</file>

<file path=xl/worksheets/_rels/sheet16.xml.rels><?xml version="1.0" encoding="UTF-8"?>
<Relationships xmlns="http://schemas.openxmlformats.org/package/2006/relationships"><Relationship Id="rId1" Type="http://schemas.openxmlformats.org/officeDocument/2006/relationships/table" Target="../tables/table6.xml"/>
</Relationships>
</file>

<file path=xl/worksheets/_rels/sheet17.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12"/>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true" outlineLevel="0" collapsed="false">
      <c r="B6" s="5" t="s">
        <v>3</v>
      </c>
      <c r="C6" s="4" t="s">
        <v>4</v>
      </c>
    </row>
    <row r="7" customFormat="false" ht="30" hidden="false" customHeight="true" outlineLevel="0" collapsed="false">
      <c r="B7" s="5" t="s">
        <v>5</v>
      </c>
      <c r="C7" s="4" t="s">
        <v>6</v>
      </c>
    </row>
    <row r="8" customFormat="false" ht="45" hidden="false" customHeight="true" outlineLevel="0" collapsed="false">
      <c r="B8" s="5" t="s">
        <v>7</v>
      </c>
      <c r="C8" s="4" t="s">
        <v>8</v>
      </c>
    </row>
    <row r="9" customFormat="false" ht="15" hidden="false" customHeight="true" outlineLevel="0" collapsed="false">
      <c r="B9" s="5" t="s">
        <v>9</v>
      </c>
      <c r="C9" s="4" t="s">
        <v>10</v>
      </c>
    </row>
    <row r="10" customFormat="false" ht="15" hidden="false" customHeight="true" outlineLevel="0" collapsed="false">
      <c r="B10" s="5" t="s">
        <v>11</v>
      </c>
      <c r="C10" s="4" t="s">
        <v>12</v>
      </c>
    </row>
    <row r="11" customFormat="false" ht="15" hidden="false" customHeight="true" outlineLevel="0" collapsed="false">
      <c r="B11" s="5" t="s">
        <v>13</v>
      </c>
      <c r="C11" s="4" t="s">
        <v>14</v>
      </c>
    </row>
    <row r="12" customFormat="false" ht="30" hidden="false" customHeight="true" outlineLevel="0" collapsed="false">
      <c r="B12" s="5" t="s">
        <v>15</v>
      </c>
      <c r="C12" s="4" t="s">
        <v>16</v>
      </c>
    </row>
    <row r="13" customFormat="false" ht="15" hidden="false" customHeight="true" outlineLevel="0" collapsed="false">
      <c r="B13" s="5" t="s">
        <v>17</v>
      </c>
      <c r="C13" s="4" t="s">
        <v>18</v>
      </c>
    </row>
    <row r="14" customFormat="false" ht="15" hidden="false" customHeight="true" outlineLevel="0" collapsed="false">
      <c r="B14" s="5" t="s">
        <v>19</v>
      </c>
      <c r="C14" s="4" t="s">
        <v>20</v>
      </c>
    </row>
    <row r="15" customFormat="false" ht="15" hidden="false" customHeight="true" outlineLevel="0" collapsed="false">
      <c r="B15" s="5" t="s">
        <v>21</v>
      </c>
      <c r="C15" s="4" t="s">
        <v>22</v>
      </c>
    </row>
    <row r="16" customFormat="false" ht="30" hidden="false" customHeight="true" outlineLevel="0" collapsed="false">
      <c r="B16" s="5" t="s">
        <v>23</v>
      </c>
      <c r="C16" s="4" t="s">
        <v>24</v>
      </c>
    </row>
    <row r="17" customFormat="false" ht="15" hidden="false" customHeight="false" outlineLevel="0" collapsed="false">
      <c r="B17" s="3"/>
      <c r="C17" s="4"/>
    </row>
    <row r="18" customFormat="false" ht="15" hidden="false" customHeight="false" outlineLevel="0" collapsed="false">
      <c r="B18" s="3" t="s">
        <v>25</v>
      </c>
      <c r="C18" s="4"/>
    </row>
    <row r="19" customFormat="false" ht="75" hidden="false" customHeight="true" outlineLevel="0" collapsed="false">
      <c r="B19" s="5" t="s">
        <v>26</v>
      </c>
      <c r="C19" s="4" t="s">
        <v>27</v>
      </c>
    </row>
    <row r="20" customFormat="false" ht="15" hidden="false" customHeight="true" outlineLevel="0" collapsed="false">
      <c r="B20" s="5" t="s">
        <v>28</v>
      </c>
      <c r="C20" s="4" t="s">
        <v>29</v>
      </c>
    </row>
    <row r="21" customFormat="false" ht="30" hidden="false" customHeight="true" outlineLevel="0" collapsed="false">
      <c r="B21" s="5" t="s">
        <v>30</v>
      </c>
      <c r="C21" s="4" t="s">
        <v>31</v>
      </c>
    </row>
    <row r="22" customFormat="false" ht="30" hidden="false" customHeight="true" outlineLevel="0" collapsed="false">
      <c r="B22" s="5" t="s">
        <v>32</v>
      </c>
      <c r="C22" s="4" t="s">
        <v>33</v>
      </c>
    </row>
    <row r="23" customFormat="false" ht="15" hidden="false" customHeight="false" outlineLevel="0" collapsed="false">
      <c r="B23" s="3"/>
      <c r="C23" s="4"/>
    </row>
    <row r="24" customFormat="false" ht="15" hidden="false" customHeight="false" outlineLevel="0" collapsed="false">
      <c r="B24" s="3" t="s">
        <v>34</v>
      </c>
      <c r="C24" s="4"/>
    </row>
    <row r="25" customFormat="false" ht="15" hidden="false" customHeight="true" outlineLevel="0" collapsed="false">
      <c r="B25" s="5" t="s">
        <v>35</v>
      </c>
      <c r="C25" s="4" t="s">
        <v>36</v>
      </c>
    </row>
    <row r="26" customFormat="false" ht="15" hidden="false" customHeight="true" outlineLevel="0" collapsed="false">
      <c r="B26" s="5" t="s">
        <v>37</v>
      </c>
      <c r="C26" s="4" t="s">
        <v>38</v>
      </c>
    </row>
    <row r="27" customFormat="false" ht="15" hidden="false" customHeight="true" outlineLevel="0" collapsed="false">
      <c r="B27" s="5" t="s">
        <v>39</v>
      </c>
      <c r="C27" s="4" t="s">
        <v>40</v>
      </c>
    </row>
    <row r="28" customFormat="false" ht="15" hidden="false" customHeight="true" outlineLevel="0" collapsed="false">
      <c r="B28" s="5" t="s">
        <v>41</v>
      </c>
      <c r="C28" s="4" t="s">
        <v>42</v>
      </c>
    </row>
    <row r="29" customFormat="false" ht="30" hidden="false" customHeight="true" outlineLevel="0" collapsed="false">
      <c r="B29" s="5" t="s">
        <v>43</v>
      </c>
      <c r="C29" s="4" t="s">
        <v>44</v>
      </c>
    </row>
    <row r="30" customFormat="false" ht="15" hidden="false" customHeight="true" outlineLevel="0" collapsed="false">
      <c r="B30" s="5" t="s">
        <v>45</v>
      </c>
      <c r="C30" s="4" t="s">
        <v>46</v>
      </c>
    </row>
    <row r="31" customFormat="false" ht="15" hidden="false" customHeight="true" outlineLevel="0" collapsed="false">
      <c r="B31" s="5" t="s">
        <v>47</v>
      </c>
      <c r="C31" s="4" t="s">
        <v>48</v>
      </c>
    </row>
    <row r="32" customFormat="false" ht="30" hidden="false" customHeight="true" outlineLevel="0" collapsed="false">
      <c r="B32" s="5" t="s">
        <v>49</v>
      </c>
      <c r="C32" s="4" t="s">
        <v>50</v>
      </c>
    </row>
    <row r="33" customFormat="false" ht="15" hidden="false" customHeight="true" outlineLevel="0" collapsed="false">
      <c r="B33" s="5" t="s">
        <v>51</v>
      </c>
      <c r="C33" s="4"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4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
    <col collapsed="false" customWidth="true" hidden="false" outlineLevel="0" max="4" min="4" style="0" width="40"/>
    <col collapsed="false" customWidth="true" hidden="false" outlineLevel="0" max="5" min="5" style="0" width="30"/>
    <col collapsed="false" customWidth="true" hidden="false" outlineLevel="0" max="6" min="6" style="0" width="11"/>
    <col collapsed="false" customWidth="true" hidden="false" outlineLevel="0" max="7" min="7" style="0" width="28"/>
    <col collapsed="false" customWidth="true" hidden="false" outlineLevel="0" max="10" min="8" style="0" width="26"/>
    <col collapsed="false" customWidth="true" hidden="false" outlineLevel="0" max="11" min="11" style="0" width="28"/>
    <col collapsed="false" customWidth="true" hidden="false" outlineLevel="0" max="12" min="12" style="0" width="10"/>
    <col collapsed="false" customWidth="true" hidden="false" outlineLevel="0" max="13" min="13" style="0" width="12"/>
    <col collapsed="false" customWidth="true" hidden="false" outlineLevel="0" max="14" min="14" style="0" width="24"/>
    <col collapsed="false" customWidth="true" hidden="false" outlineLevel="0" max="15" min="15" style="0" width="8"/>
    <col collapsed="false" customWidth="true" hidden="false" outlineLevel="0" max="16" min="16" style="0" width="16"/>
    <col collapsed="false" customWidth="true" hidden="false" outlineLevel="0" max="17" min="17" style="0" width="10"/>
    <col collapsed="false" customWidth="true" hidden="false" outlineLevel="0" max="18" min="18" style="0" width="12"/>
    <col collapsed="false" customWidth="true" hidden="false" outlineLevel="0" max="20" min="19" style="0" width="9"/>
    <col collapsed="false" customWidth="true" hidden="false" outlineLevel="0" max="21" min="21" style="0" width="10"/>
    <col collapsed="false" customWidth="true" hidden="false" outlineLevel="0" max="22" min="22" style="0" width="28"/>
    <col collapsed="false" customWidth="true" hidden="false" outlineLevel="0" max="23" min="23" style="0" width="12"/>
    <col collapsed="false" customWidth="true" hidden="false" outlineLevel="0" max="25" min="24" style="0" width="11"/>
    <col collapsed="false" customWidth="true" hidden="false" outlineLevel="0" max="26" min="26" style="0" width="13"/>
    <col collapsed="false" customWidth="true" hidden="false" outlineLevel="0" max="27" min="27" style="0" width="10"/>
  </cols>
  <sheetData>
    <row r="1" customFormat="false" ht="30" hidden="false" customHeight="true" outlineLevel="0" collapsed="false">
      <c r="A1" s="6" t="s">
        <v>53</v>
      </c>
      <c r="B1" s="6" t="s">
        <v>54</v>
      </c>
      <c r="C1" s="6" t="s">
        <v>55</v>
      </c>
      <c r="D1" s="6" t="s">
        <v>56</v>
      </c>
      <c r="E1" s="6" t="s">
        <v>57</v>
      </c>
      <c r="F1" s="6" t="s">
        <v>58</v>
      </c>
      <c r="G1" s="6" t="s">
        <v>59</v>
      </c>
      <c r="H1" s="6" t="s">
        <v>60</v>
      </c>
      <c r="I1" s="6" t="s">
        <v>61</v>
      </c>
      <c r="J1" s="6" t="s">
        <v>62</v>
      </c>
      <c r="K1" s="6" t="s">
        <v>63</v>
      </c>
      <c r="L1" s="6" t="s">
        <v>64</v>
      </c>
      <c r="M1" s="6" t="s">
        <v>65</v>
      </c>
      <c r="N1" s="6" t="s">
        <v>66</v>
      </c>
      <c r="O1" s="6" t="s">
        <v>67</v>
      </c>
      <c r="P1" s="6" t="s">
        <v>39</v>
      </c>
      <c r="Q1" s="6" t="s">
        <v>37</v>
      </c>
      <c r="R1" s="6" t="s">
        <v>68</v>
      </c>
      <c r="S1" s="6" t="s">
        <v>69</v>
      </c>
      <c r="T1" s="6" t="s">
        <v>70</v>
      </c>
      <c r="U1" s="6" t="s">
        <v>71</v>
      </c>
      <c r="V1" s="6" t="s">
        <v>72</v>
      </c>
      <c r="W1" s="6" t="s">
        <v>73</v>
      </c>
      <c r="X1" s="6" t="s">
        <v>74</v>
      </c>
      <c r="Y1" s="6" t="s">
        <v>75</v>
      </c>
      <c r="Z1" s="6" t="s">
        <v>76</v>
      </c>
      <c r="AA1" s="6" t="s">
        <v>77</v>
      </c>
    </row>
    <row r="2" customFormat="false" ht="15" hidden="false" customHeight="false" outlineLevel="0" collapsed="false">
      <c r="A2" s="7" t="n">
        <v>1</v>
      </c>
      <c r="B2" s="7" t="s">
        <v>78</v>
      </c>
      <c r="C2" s="7" t="s">
        <v>79</v>
      </c>
      <c r="D2" s="7" t="s">
        <v>80</v>
      </c>
      <c r="E2" s="7" t="s">
        <v>81</v>
      </c>
      <c r="F2" s="7" t="s">
        <v>82</v>
      </c>
      <c r="G2" s="7" t="s">
        <v>83</v>
      </c>
      <c r="H2" s="7" t="s">
        <v>84</v>
      </c>
      <c r="I2" s="7" t="s">
        <v>85</v>
      </c>
      <c r="J2" s="7" t="s">
        <v>86</v>
      </c>
      <c r="K2" s="7" t="s">
        <v>87</v>
      </c>
      <c r="L2" s="7" t="s">
        <v>88</v>
      </c>
      <c r="M2" s="8"/>
      <c r="N2" s="7" t="s">
        <v>89</v>
      </c>
      <c r="O2" s="9" t="n">
        <f aca="false">IF(COUNTIFS($B$2:B2,B2,$C$2:C2,C2)=1,1,0)</f>
        <v>1</v>
      </c>
      <c r="P2" s="9" t="str">
        <f aca="false">IFERROR(INDEX(dEtapa!$A$2:$A$6,MATCH(N2,dEtapa!$B$2:$B$6,0)),"Sin etapa")</f>
        <v>Gobernada</v>
      </c>
      <c r="Q2" s="9" t="n">
        <f aca="false">IF(L2="Si",1,0)</f>
        <v>1</v>
      </c>
      <c r="R2" s="9" t="n">
        <f aca="false">IF(ISNUMBER(SEARCH("CRITERIO",N2)),1,0)</f>
        <v>0</v>
      </c>
      <c r="S2" s="9" t="str">
        <f aca="false">IF(E2="","Sin dato",LEFT(E2,1))</f>
        <v>A</v>
      </c>
      <c r="T2" s="9" t="n">
        <f aca="false">IFERROR(INDEX(dCriticidad!$G$2:$G$7,MATCH(S2,dCriticidad!$A$2:$A$7,0)),0)</f>
        <v>1</v>
      </c>
      <c r="U2" s="9" t="n">
        <f aca="false">IF(OR(LEFT(C2,3)="GI0",LEFT(C2,3)="GA0"),1,0)</f>
        <v>0</v>
      </c>
      <c r="V2" s="9" t="str">
        <f aca="false">IF(G2="","Sin dato (ID GI)",TRIM(G2))</f>
        <v>TRIBU_CANALES</v>
      </c>
      <c r="W2" s="9" t="str">
        <f aca="false">IF(F2="","Sin dato",F2)</f>
        <v>On Premise</v>
      </c>
      <c r="X2" s="9" t="str">
        <f aca="false">IF(M2="","",YEAR(M2))</f>
        <v/>
      </c>
      <c r="Y2" s="10" t="str">
        <f aca="false">IF(M2="","",DATE(YEAR(M2),MONTH(M2),1))</f>
        <v/>
      </c>
      <c r="Z2" s="9" t="n">
        <f aca="false">IF(AND(Q2=0,COUNTIF(dDuplicadosGI!$A$2:$A$60,C2)&gt;0),1,0)</f>
        <v>0</v>
      </c>
      <c r="AA2" s="9" t="n">
        <f aca="false">IF(Q2=0,1,0)</f>
        <v>0</v>
      </c>
    </row>
    <row r="3" customFormat="false" ht="15" hidden="false" customHeight="false" outlineLevel="0" collapsed="false">
      <c r="A3" s="7" t="n">
        <v>2</v>
      </c>
      <c r="B3" s="7" t="s">
        <v>90</v>
      </c>
      <c r="C3" s="7" t="s">
        <v>91</v>
      </c>
      <c r="D3" s="7" t="s">
        <v>92</v>
      </c>
      <c r="E3" s="7" t="s">
        <v>93</v>
      </c>
      <c r="F3" s="7" t="s">
        <v>94</v>
      </c>
      <c r="G3" s="7" t="s">
        <v>95</v>
      </c>
      <c r="H3" s="7" t="s">
        <v>96</v>
      </c>
      <c r="I3" s="7" t="s">
        <v>97</v>
      </c>
      <c r="J3" s="7" t="s">
        <v>97</v>
      </c>
      <c r="K3" s="7" t="s">
        <v>98</v>
      </c>
      <c r="L3" s="7" t="s">
        <v>99</v>
      </c>
      <c r="M3" s="8"/>
      <c r="N3" s="7" t="s">
        <v>100</v>
      </c>
      <c r="O3" s="9" t="n">
        <f aca="false">IF(COUNTIFS($B$2:B3,B3,$C$2:C3,C3)=1,1,0)</f>
        <v>1</v>
      </c>
      <c r="P3" s="9" t="str">
        <f aca="false">IFERROR(INDEX(dEtapa!$A$2:$A$6,MATCH(N3,dEtapa!$B$2:$B$6,0)),"Sin etapa")</f>
        <v>Criterio 1</v>
      </c>
      <c r="Q3" s="9" t="n">
        <f aca="false">IF(L3="Si",1,0)</f>
        <v>0</v>
      </c>
      <c r="R3" s="9" t="n">
        <f aca="false">IF(ISNUMBER(SEARCH("CRITERIO",N3)),1,0)</f>
        <v>1</v>
      </c>
      <c r="S3" s="9" t="str">
        <f aca="false">IF(E3="","Sin dato",LEFT(E3,1))</f>
        <v>D</v>
      </c>
      <c r="T3" s="9" t="n">
        <f aca="false">IFERROR(INDEX(dCriticidad!$G$2:$G$7,MATCH(S3,dCriticidad!$A$2:$A$7,0)),0)</f>
        <v>0</v>
      </c>
      <c r="U3" s="9" t="n">
        <f aca="false">IF(OR(LEFT(C3,3)="GI0",LEFT(C3,3)="GA0"),1,0)</f>
        <v>0</v>
      </c>
      <c r="V3" s="9" t="str">
        <f aca="false">IF(G3="","Sin dato (ID GI)",TRIM(G3))</f>
        <v>COE ARQUITECTURA</v>
      </c>
      <c r="W3" s="9" t="str">
        <f aca="false">IF(F3="","Sin dato",F3)</f>
        <v>Nube</v>
      </c>
      <c r="X3" s="9" t="str">
        <f aca="false">IF(M3="","",YEAR(M3))</f>
        <v/>
      </c>
      <c r="Y3" s="10" t="str">
        <f aca="false">IF(M3="","",DATE(YEAR(M3),MONTH(M3),1))</f>
        <v/>
      </c>
      <c r="Z3" s="9" t="n">
        <f aca="false">IF(AND(Q3=0,COUNTIF(dDuplicadosGI!$A$2:$A$60,C3)&gt;0),1,0)</f>
        <v>0</v>
      </c>
      <c r="AA3" s="9" t="n">
        <f aca="false">IF(Q3=0,1,0)</f>
        <v>1</v>
      </c>
    </row>
    <row r="4" customFormat="false" ht="15" hidden="false" customHeight="false" outlineLevel="0" collapsed="false">
      <c r="A4" s="7" t="n">
        <v>3</v>
      </c>
      <c r="B4" s="7" t="s">
        <v>101</v>
      </c>
      <c r="C4" s="7" t="s">
        <v>102</v>
      </c>
      <c r="D4" s="7" t="s">
        <v>103</v>
      </c>
      <c r="E4" s="7" t="s">
        <v>93</v>
      </c>
      <c r="F4" s="7" t="s">
        <v>82</v>
      </c>
      <c r="G4" s="7" t="s">
        <v>104</v>
      </c>
      <c r="H4" s="7" t="s">
        <v>105</v>
      </c>
      <c r="I4" s="7" t="s">
        <v>106</v>
      </c>
      <c r="J4" s="7" t="s">
        <v>107</v>
      </c>
      <c r="K4" s="7" t="s">
        <v>108</v>
      </c>
      <c r="L4" s="7" t="s">
        <v>99</v>
      </c>
      <c r="M4" s="8"/>
      <c r="N4" s="7" t="s">
        <v>109</v>
      </c>
      <c r="O4" s="9" t="n">
        <f aca="false">IF(COUNTIFS($B$2:B4,B4,$C$2:C4,C4)=1,1,0)</f>
        <v>1</v>
      </c>
      <c r="P4" s="9" t="str">
        <f aca="false">IFERROR(INDEX(dEtapa!$A$2:$A$6,MATCH(N4,dEtapa!$B$2:$B$6,0)),"Sin etapa")</f>
        <v>Planificada 2027</v>
      </c>
      <c r="Q4" s="9" t="n">
        <f aca="false">IF(L4="Si",1,0)</f>
        <v>0</v>
      </c>
      <c r="R4" s="9" t="n">
        <f aca="false">IF(ISNUMBER(SEARCH("CRITERIO",N4)),1,0)</f>
        <v>0</v>
      </c>
      <c r="S4" s="9" t="str">
        <f aca="false">IF(E4="","Sin dato",LEFT(E4,1))</f>
        <v>D</v>
      </c>
      <c r="T4" s="9" t="n">
        <f aca="false">IFERROR(INDEX(dCriticidad!$G$2:$G$7,MATCH(S4,dCriticidad!$A$2:$A$7,0)),0)</f>
        <v>0</v>
      </c>
      <c r="U4" s="9" t="n">
        <f aca="false">IF(OR(LEFT(C4,3)="GI0",LEFT(C4,3)="GA0"),1,0)</f>
        <v>0</v>
      </c>
      <c r="V4" s="9" t="str">
        <f aca="false">IF(G4="","Sin dato (ID GI)",TRIM(G4))</f>
        <v>INFRAESTRUCTURA</v>
      </c>
      <c r="W4" s="9" t="str">
        <f aca="false">IF(F4="","Sin dato",F4)</f>
        <v>On Premise</v>
      </c>
      <c r="X4" s="9" t="str">
        <f aca="false">IF(M4="","",YEAR(M4))</f>
        <v/>
      </c>
      <c r="Y4" s="10" t="str">
        <f aca="false">IF(M4="","",DATE(YEAR(M4),MONTH(M4),1))</f>
        <v/>
      </c>
      <c r="Z4" s="9" t="n">
        <f aca="false">IF(AND(Q4=0,COUNTIF(dDuplicadosGI!$A$2:$A$60,C4)&gt;0),1,0)</f>
        <v>0</v>
      </c>
      <c r="AA4" s="9" t="n">
        <f aca="false">IF(Q4=0,1,0)</f>
        <v>1</v>
      </c>
    </row>
    <row r="5" customFormat="false" ht="15" hidden="false" customHeight="false" outlineLevel="0" collapsed="false">
      <c r="A5" s="7" t="n">
        <v>4</v>
      </c>
      <c r="B5" s="7" t="s">
        <v>110</v>
      </c>
      <c r="C5" s="7" t="s">
        <v>111</v>
      </c>
      <c r="D5" s="7" t="s">
        <v>112</v>
      </c>
      <c r="E5" s="7" t="s">
        <v>113</v>
      </c>
      <c r="F5" s="7" t="s">
        <v>82</v>
      </c>
      <c r="G5" s="7" t="s">
        <v>104</v>
      </c>
      <c r="H5" s="7" t="s">
        <v>105</v>
      </c>
      <c r="I5" s="7" t="s">
        <v>114</v>
      </c>
      <c r="J5" s="7" t="s">
        <v>115</v>
      </c>
      <c r="K5" s="7" t="s">
        <v>98</v>
      </c>
      <c r="L5" s="7" t="s">
        <v>99</v>
      </c>
      <c r="M5" s="8"/>
      <c r="N5" s="7" t="s">
        <v>109</v>
      </c>
      <c r="O5" s="9" t="n">
        <f aca="false">IF(COUNTIFS($B$2:B5,B5,$C$2:C5,C5)=1,1,0)</f>
        <v>1</v>
      </c>
      <c r="P5" s="9" t="str">
        <f aca="false">IFERROR(INDEX(dEtapa!$A$2:$A$6,MATCH(N5,dEtapa!$B$2:$B$6,0)),"Sin etapa")</f>
        <v>Planificada 2027</v>
      </c>
      <c r="Q5" s="9" t="n">
        <f aca="false">IF(L5="Si",1,0)</f>
        <v>0</v>
      </c>
      <c r="R5" s="9" t="n">
        <f aca="false">IF(ISNUMBER(SEARCH("CRITERIO",N5)),1,0)</f>
        <v>0</v>
      </c>
      <c r="S5" s="9" t="str">
        <f aca="false">IF(E5="","Sin dato",LEFT(E5,1))</f>
        <v>C</v>
      </c>
      <c r="T5" s="9" t="n">
        <f aca="false">IFERROR(INDEX(dCriticidad!$G$2:$G$7,MATCH(S5,dCriticidad!$A$2:$A$7,0)),0)</f>
        <v>1</v>
      </c>
      <c r="U5" s="9" t="n">
        <f aca="false">IF(OR(LEFT(C5,3)="GI0",LEFT(C5,3)="GA0"),1,0)</f>
        <v>0</v>
      </c>
      <c r="V5" s="9" t="str">
        <f aca="false">IF(G5="","Sin dato (ID GI)",TRIM(G5))</f>
        <v>INFRAESTRUCTURA</v>
      </c>
      <c r="W5" s="9" t="str">
        <f aca="false">IF(F5="","Sin dato",F5)</f>
        <v>On Premise</v>
      </c>
      <c r="X5" s="9" t="str">
        <f aca="false">IF(M5="","",YEAR(M5))</f>
        <v/>
      </c>
      <c r="Y5" s="10" t="str">
        <f aca="false">IF(M5="","",DATE(YEAR(M5),MONTH(M5),1))</f>
        <v/>
      </c>
      <c r="Z5" s="9" t="n">
        <f aca="false">IF(AND(Q5=0,COUNTIF(dDuplicadosGI!$A$2:$A$60,C5)&gt;0),1,0)</f>
        <v>0</v>
      </c>
      <c r="AA5" s="9" t="n">
        <f aca="false">IF(Q5=0,1,0)</f>
        <v>1</v>
      </c>
    </row>
    <row r="6" customFormat="false" ht="15" hidden="false" customHeight="false" outlineLevel="0" collapsed="false">
      <c r="A6" s="7" t="n">
        <v>5</v>
      </c>
      <c r="B6" s="7" t="s">
        <v>116</v>
      </c>
      <c r="C6" s="7" t="s">
        <v>117</v>
      </c>
      <c r="D6" s="7" t="s">
        <v>118</v>
      </c>
      <c r="E6" s="7" t="s">
        <v>119</v>
      </c>
      <c r="F6" s="7" t="s">
        <v>82</v>
      </c>
      <c r="G6" s="7" t="s">
        <v>104</v>
      </c>
      <c r="H6" s="7" t="s">
        <v>105</v>
      </c>
      <c r="I6" s="7" t="s">
        <v>120</v>
      </c>
      <c r="J6" s="7" t="s">
        <v>121</v>
      </c>
      <c r="K6" s="7" t="s">
        <v>108</v>
      </c>
      <c r="L6" s="7" t="s">
        <v>99</v>
      </c>
      <c r="M6" s="8"/>
      <c r="N6" s="7" t="s">
        <v>109</v>
      </c>
      <c r="O6" s="9" t="n">
        <f aca="false">IF(COUNTIFS($B$2:B6,B6,$C$2:C6,C6)=1,1,0)</f>
        <v>1</v>
      </c>
      <c r="P6" s="9" t="str">
        <f aca="false">IFERROR(INDEX(dEtapa!$A$2:$A$6,MATCH(N6,dEtapa!$B$2:$B$6,0)),"Sin etapa")</f>
        <v>Planificada 2027</v>
      </c>
      <c r="Q6" s="9" t="n">
        <f aca="false">IF(L6="Si",1,0)</f>
        <v>0</v>
      </c>
      <c r="R6" s="9" t="n">
        <f aca="false">IF(ISNUMBER(SEARCH("CRITERIO",N6)),1,0)</f>
        <v>0</v>
      </c>
      <c r="S6" s="9" t="str">
        <f aca="false">IF(E6="","Sin dato",LEFT(E6,1))</f>
        <v>E</v>
      </c>
      <c r="T6" s="9" t="n">
        <f aca="false">IFERROR(INDEX(dCriticidad!$G$2:$G$7,MATCH(S6,dCriticidad!$A$2:$A$7,0)),0)</f>
        <v>0</v>
      </c>
      <c r="U6" s="9" t="n">
        <f aca="false">IF(OR(LEFT(C6,3)="GI0",LEFT(C6,3)="GA0"),1,0)</f>
        <v>0</v>
      </c>
      <c r="V6" s="9" t="str">
        <f aca="false">IF(G6="","Sin dato (ID GI)",TRIM(G6))</f>
        <v>INFRAESTRUCTURA</v>
      </c>
      <c r="W6" s="9" t="str">
        <f aca="false">IF(F6="","Sin dato",F6)</f>
        <v>On Premise</v>
      </c>
      <c r="X6" s="9" t="str">
        <f aca="false">IF(M6="","",YEAR(M6))</f>
        <v/>
      </c>
      <c r="Y6" s="10" t="str">
        <f aca="false">IF(M6="","",DATE(YEAR(M6),MONTH(M6),1))</f>
        <v/>
      </c>
      <c r="Z6" s="9" t="n">
        <f aca="false">IF(AND(Q6=0,COUNTIF(dDuplicadosGI!$A$2:$A$60,C6)&gt;0),1,0)</f>
        <v>0</v>
      </c>
      <c r="AA6" s="9" t="n">
        <f aca="false">IF(Q6=0,1,0)</f>
        <v>1</v>
      </c>
    </row>
    <row r="7" customFormat="false" ht="15" hidden="false" customHeight="false" outlineLevel="0" collapsed="false">
      <c r="A7" s="7" t="n">
        <v>6</v>
      </c>
      <c r="B7" s="7" t="s">
        <v>122</v>
      </c>
      <c r="C7" s="7" t="s">
        <v>123</v>
      </c>
      <c r="D7" s="7" t="s">
        <v>124</v>
      </c>
      <c r="E7" s="7" t="s">
        <v>119</v>
      </c>
      <c r="F7" s="7" t="s">
        <v>94</v>
      </c>
      <c r="G7" s="7" t="s">
        <v>125</v>
      </c>
      <c r="H7" s="7" t="s">
        <v>126</v>
      </c>
      <c r="I7" s="7" t="s">
        <v>127</v>
      </c>
      <c r="J7" s="7" t="s">
        <v>128</v>
      </c>
      <c r="K7" s="7" t="s">
        <v>87</v>
      </c>
      <c r="L7" s="7" t="s">
        <v>99</v>
      </c>
      <c r="M7" s="8"/>
      <c r="N7" s="7" t="s">
        <v>109</v>
      </c>
      <c r="O7" s="9" t="n">
        <f aca="false">IF(COUNTIFS($B$2:B7,B7,$C$2:C7,C7)=1,1,0)</f>
        <v>1</v>
      </c>
      <c r="P7" s="9" t="str">
        <f aca="false">IFERROR(INDEX(dEtapa!$A$2:$A$6,MATCH(N7,dEtapa!$B$2:$B$6,0)),"Sin etapa")</f>
        <v>Planificada 2027</v>
      </c>
      <c r="Q7" s="9" t="n">
        <f aca="false">IF(L7="Si",1,0)</f>
        <v>0</v>
      </c>
      <c r="R7" s="9" t="n">
        <f aca="false">IF(ISNUMBER(SEARCH("CRITERIO",N7)),1,0)</f>
        <v>0</v>
      </c>
      <c r="S7" s="9" t="str">
        <f aca="false">IF(E7="","Sin dato",LEFT(E7,1))</f>
        <v>E</v>
      </c>
      <c r="T7" s="9" t="n">
        <f aca="false">IFERROR(INDEX(dCriticidad!$G$2:$G$7,MATCH(S7,dCriticidad!$A$2:$A$7,0)),0)</f>
        <v>0</v>
      </c>
      <c r="U7" s="9" t="n">
        <f aca="false">IF(OR(LEFT(C7,3)="GI0",LEFT(C7,3)="GA0"),1,0)</f>
        <v>0</v>
      </c>
      <c r="V7" s="9" t="str">
        <f aca="false">IF(G7="","Sin dato (ID GI)",TRIM(G7))</f>
        <v>Negocios y Monetización</v>
      </c>
      <c r="W7" s="9" t="str">
        <f aca="false">IF(F7="","Sin dato",F7)</f>
        <v>Nube</v>
      </c>
      <c r="X7" s="9" t="str">
        <f aca="false">IF(M7="","",YEAR(M7))</f>
        <v/>
      </c>
      <c r="Y7" s="10" t="str">
        <f aca="false">IF(M7="","",DATE(YEAR(M7),MONTH(M7),1))</f>
        <v/>
      </c>
      <c r="Z7" s="9" t="n">
        <f aca="false">IF(AND(Q7=0,COUNTIF(dDuplicadosGI!$A$2:$A$60,C7)&gt;0),1,0)</f>
        <v>0</v>
      </c>
      <c r="AA7" s="9" t="n">
        <f aca="false">IF(Q7=0,1,0)</f>
        <v>1</v>
      </c>
    </row>
    <row r="8" customFormat="false" ht="15" hidden="false" customHeight="false" outlineLevel="0" collapsed="false">
      <c r="A8" s="7" t="n">
        <v>7</v>
      </c>
      <c r="B8" s="7" t="s">
        <v>129</v>
      </c>
      <c r="C8" s="7" t="s">
        <v>130</v>
      </c>
      <c r="D8" s="7" t="s">
        <v>131</v>
      </c>
      <c r="E8" s="7" t="s">
        <v>119</v>
      </c>
      <c r="F8" s="7" t="s">
        <v>82</v>
      </c>
      <c r="G8" s="7" t="s">
        <v>132</v>
      </c>
      <c r="H8" s="7" t="s">
        <v>133</v>
      </c>
      <c r="I8" s="7" t="s">
        <v>134</v>
      </c>
      <c r="J8" s="7" t="s">
        <v>135</v>
      </c>
      <c r="K8" s="7" t="s">
        <v>87</v>
      </c>
      <c r="L8" s="7" t="s">
        <v>88</v>
      </c>
      <c r="M8" s="8" t="n">
        <v>45199</v>
      </c>
      <c r="N8" s="7" t="s">
        <v>89</v>
      </c>
      <c r="O8" s="9" t="n">
        <f aca="false">IF(COUNTIFS($B$2:B8,B8,$C$2:C8,C8)=1,1,0)</f>
        <v>1</v>
      </c>
      <c r="P8" s="9" t="str">
        <f aca="false">IFERROR(INDEX(dEtapa!$A$2:$A$6,MATCH(N8,dEtapa!$B$2:$B$6,0)),"Sin etapa")</f>
        <v>Gobernada</v>
      </c>
      <c r="Q8" s="9" t="n">
        <f aca="false">IF(L8="Si",1,0)</f>
        <v>1</v>
      </c>
      <c r="R8" s="9" t="n">
        <f aca="false">IF(ISNUMBER(SEARCH("CRITERIO",N8)),1,0)</f>
        <v>0</v>
      </c>
      <c r="S8" s="9" t="str">
        <f aca="false">IF(E8="","Sin dato",LEFT(E8,1))</f>
        <v>E</v>
      </c>
      <c r="T8" s="9" t="n">
        <f aca="false">IFERROR(INDEX(dCriticidad!$G$2:$G$7,MATCH(S8,dCriticidad!$A$2:$A$7,0)),0)</f>
        <v>0</v>
      </c>
      <c r="U8" s="9" t="n">
        <f aca="false">IF(OR(LEFT(C8,3)="GI0",LEFT(C8,3)="GA0"),1,0)</f>
        <v>0</v>
      </c>
      <c r="V8" s="9" t="str">
        <f aca="false">IF(G8="","Sin dato (ID GI)",TRIM(G8))</f>
        <v>ACTIVOS</v>
      </c>
      <c r="W8" s="9" t="str">
        <f aca="false">IF(F8="","Sin dato",F8)</f>
        <v>On Premise</v>
      </c>
      <c r="X8" s="9" t="n">
        <f aca="false">IF(M8="","",YEAR(M8))</f>
        <v>2023</v>
      </c>
      <c r="Y8" s="10" t="n">
        <f aca="false">IF(M8="","",DATE(YEAR(M8),MONTH(M8),1))</f>
        <v>45170</v>
      </c>
      <c r="Z8" s="9" t="n">
        <f aca="false">IF(AND(Q8=0,COUNTIF(dDuplicadosGI!$A$2:$A$60,C8)&gt;0),1,0)</f>
        <v>0</v>
      </c>
      <c r="AA8" s="9" t="n">
        <f aca="false">IF(Q8=0,1,0)</f>
        <v>0</v>
      </c>
    </row>
    <row r="9" customFormat="false" ht="15" hidden="false" customHeight="false" outlineLevel="0" collapsed="false">
      <c r="A9" s="7" t="n">
        <v>8</v>
      </c>
      <c r="B9" s="7" t="s">
        <v>136</v>
      </c>
      <c r="C9" s="7" t="s">
        <v>137</v>
      </c>
      <c r="D9" s="7" t="s">
        <v>138</v>
      </c>
      <c r="E9" s="7" t="s">
        <v>119</v>
      </c>
      <c r="F9" s="7" t="s">
        <v>94</v>
      </c>
      <c r="G9" s="7" t="s">
        <v>139</v>
      </c>
      <c r="H9" s="7" t="s">
        <v>97</v>
      </c>
      <c r="I9" s="7" t="s">
        <v>140</v>
      </c>
      <c r="J9" s="7" t="s">
        <v>141</v>
      </c>
      <c r="K9" s="7" t="s">
        <v>87</v>
      </c>
      <c r="L9" s="7" t="s">
        <v>88</v>
      </c>
      <c r="M9" s="8" t="n">
        <v>45199</v>
      </c>
      <c r="N9" s="7" t="s">
        <v>89</v>
      </c>
      <c r="O9" s="9" t="n">
        <f aca="false">IF(COUNTIFS($B$2:B9,B9,$C$2:C9,C9)=1,1,0)</f>
        <v>1</v>
      </c>
      <c r="P9" s="9" t="str">
        <f aca="false">IFERROR(INDEX(dEtapa!$A$2:$A$6,MATCH(N9,dEtapa!$B$2:$B$6,0)),"Sin etapa")</f>
        <v>Gobernada</v>
      </c>
      <c r="Q9" s="9" t="n">
        <f aca="false">IF(L9="Si",1,0)</f>
        <v>1</v>
      </c>
      <c r="R9" s="9" t="n">
        <f aca="false">IF(ISNUMBER(SEARCH("CRITERIO",N9)),1,0)</f>
        <v>0</v>
      </c>
      <c r="S9" s="9" t="str">
        <f aca="false">IF(E9="","Sin dato",LEFT(E9,1))</f>
        <v>E</v>
      </c>
      <c r="T9" s="9" t="n">
        <f aca="false">IFERROR(INDEX(dCriticidad!$G$2:$G$7,MATCH(S9,dCriticidad!$A$2:$A$7,0)),0)</f>
        <v>0</v>
      </c>
      <c r="U9" s="9" t="n">
        <f aca="false">IF(OR(LEFT(C9,3)="GI0",LEFT(C9,3)="GA0"),1,0)</f>
        <v>0</v>
      </c>
      <c r="V9" s="9" t="str">
        <f aca="false">IF(G9="","Sin dato (ID GI)",TRIM(G9))</f>
        <v>Frente de Soluciones Empresariales</v>
      </c>
      <c r="W9" s="9" t="str">
        <f aca="false">IF(F9="","Sin dato",F9)</f>
        <v>Nube</v>
      </c>
      <c r="X9" s="9" t="n">
        <f aca="false">IF(M9="","",YEAR(M9))</f>
        <v>2023</v>
      </c>
      <c r="Y9" s="10" t="n">
        <f aca="false">IF(M9="","",DATE(YEAR(M9),MONTH(M9),1))</f>
        <v>45170</v>
      </c>
      <c r="Z9" s="9" t="n">
        <f aca="false">IF(AND(Q9=0,COUNTIF(dDuplicadosGI!$A$2:$A$60,C9)&gt;0),1,0)</f>
        <v>0</v>
      </c>
      <c r="AA9" s="9" t="n">
        <f aca="false">IF(Q9=0,1,0)</f>
        <v>0</v>
      </c>
    </row>
    <row r="10" customFormat="false" ht="15" hidden="false" customHeight="false" outlineLevel="0" collapsed="false">
      <c r="A10" s="7" t="n">
        <v>9</v>
      </c>
      <c r="B10" s="7" t="s">
        <v>142</v>
      </c>
      <c r="C10" s="7" t="s">
        <v>143</v>
      </c>
      <c r="D10" s="7" t="s">
        <v>144</v>
      </c>
      <c r="E10" s="7" t="s">
        <v>145</v>
      </c>
      <c r="F10" s="7" t="s">
        <v>82</v>
      </c>
      <c r="G10" s="7" t="s">
        <v>146</v>
      </c>
      <c r="H10" s="7" t="s">
        <v>147</v>
      </c>
      <c r="I10" s="7" t="s">
        <v>148</v>
      </c>
      <c r="J10" s="7" t="s">
        <v>148</v>
      </c>
      <c r="K10" s="7" t="s">
        <v>108</v>
      </c>
      <c r="L10" s="7" t="s">
        <v>88</v>
      </c>
      <c r="M10" s="8" t="n">
        <v>46197</v>
      </c>
      <c r="N10" s="7" t="s">
        <v>89</v>
      </c>
      <c r="O10" s="9" t="n">
        <f aca="false">IF(COUNTIFS($B$2:B10,B10,$C$2:C10,C10)=1,1,0)</f>
        <v>1</v>
      </c>
      <c r="P10" s="9" t="str">
        <f aca="false">IFERROR(INDEX(dEtapa!$A$2:$A$6,MATCH(N10,dEtapa!$B$2:$B$6,0)),"Sin etapa")</f>
        <v>Gobernada</v>
      </c>
      <c r="Q10" s="9" t="n">
        <f aca="false">IF(L10="Si",1,0)</f>
        <v>1</v>
      </c>
      <c r="R10" s="9" t="n">
        <f aca="false">IF(ISNUMBER(SEARCH("CRITERIO",N10)),1,0)</f>
        <v>0</v>
      </c>
      <c r="S10" s="9" t="str">
        <f aca="false">IF(E10="","Sin dato",LEFT(E10,1))</f>
        <v>B</v>
      </c>
      <c r="T10" s="9" t="n">
        <f aca="false">IFERROR(INDEX(dCriticidad!$G$2:$G$7,MATCH(S10,dCriticidad!$A$2:$A$7,0)),0)</f>
        <v>1</v>
      </c>
      <c r="U10" s="9" t="n">
        <f aca="false">IF(OR(LEFT(C10,3)="GI0",LEFT(C10,3)="GA0"),1,0)</f>
        <v>0</v>
      </c>
      <c r="V10" s="9" t="str">
        <f aca="false">IF(G10="","Sin dato (ID GI)",TRIM(G10))</f>
        <v>Tribu_Integraciones_Apis</v>
      </c>
      <c r="W10" s="9" t="str">
        <f aca="false">IF(F10="","Sin dato",F10)</f>
        <v>On Premise</v>
      </c>
      <c r="X10" s="9" t="n">
        <f aca="false">IF(M10="","",YEAR(M10))</f>
        <v>2026</v>
      </c>
      <c r="Y10" s="10" t="n">
        <f aca="false">IF(M10="","",DATE(YEAR(M10),MONTH(M10),1))</f>
        <v>46174</v>
      </c>
      <c r="Z10" s="9" t="n">
        <f aca="false">IF(AND(Q10=0,COUNTIF(dDuplicadosGI!$A$2:$A$60,C10)&gt;0),1,0)</f>
        <v>0</v>
      </c>
      <c r="AA10" s="9" t="n">
        <f aca="false">IF(Q10=0,1,0)</f>
        <v>0</v>
      </c>
    </row>
    <row r="11" customFormat="false" ht="15" hidden="false" customHeight="false" outlineLevel="0" collapsed="false">
      <c r="A11" s="7" t="n">
        <v>10</v>
      </c>
      <c r="B11" s="7" t="s">
        <v>149</v>
      </c>
      <c r="C11" s="7" t="s">
        <v>150</v>
      </c>
      <c r="D11" s="7" t="s">
        <v>151</v>
      </c>
      <c r="E11" s="7" t="s">
        <v>113</v>
      </c>
      <c r="F11" s="7" t="s">
        <v>152</v>
      </c>
      <c r="G11" s="7" t="s">
        <v>153</v>
      </c>
      <c r="H11" s="7" t="s">
        <v>154</v>
      </c>
      <c r="I11" s="7" t="s">
        <v>155</v>
      </c>
      <c r="J11" s="7" t="s">
        <v>156</v>
      </c>
      <c r="K11" s="7" t="s">
        <v>87</v>
      </c>
      <c r="L11" s="7" t="s">
        <v>88</v>
      </c>
      <c r="M11" s="8" t="n">
        <v>45199</v>
      </c>
      <c r="N11" s="7" t="s">
        <v>89</v>
      </c>
      <c r="O11" s="9" t="n">
        <f aca="false">IF(COUNTIFS($B$2:B11,B11,$C$2:C11,C11)=1,1,0)</f>
        <v>1</v>
      </c>
      <c r="P11" s="9" t="str">
        <f aca="false">IFERROR(INDEX(dEtapa!$A$2:$A$6,MATCH(N11,dEtapa!$B$2:$B$6,0)),"Sin etapa")</f>
        <v>Gobernada</v>
      </c>
      <c r="Q11" s="9" t="n">
        <f aca="false">IF(L11="Si",1,0)</f>
        <v>1</v>
      </c>
      <c r="R11" s="9" t="n">
        <f aca="false">IF(ISNUMBER(SEARCH("CRITERIO",N11)),1,0)</f>
        <v>0</v>
      </c>
      <c r="S11" s="9" t="str">
        <f aca="false">IF(E11="","Sin dato",LEFT(E11,1))</f>
        <v>C</v>
      </c>
      <c r="T11" s="9" t="n">
        <f aca="false">IFERROR(INDEX(dCriticidad!$G$2:$G$7,MATCH(S11,dCriticidad!$A$2:$A$7,0)),0)</f>
        <v>1</v>
      </c>
      <c r="U11" s="9" t="n">
        <f aca="false">IF(OR(LEFT(C11,3)="GI0",LEFT(C11,3)="GA0"),1,0)</f>
        <v>0</v>
      </c>
      <c r="V11" s="9" t="str">
        <f aca="false">IF(G11="","Sin dato (ID GI)",TRIM(G11))</f>
        <v>MEDIOS_DE_PAGO</v>
      </c>
      <c r="W11" s="9" t="str">
        <f aca="false">IF(F11="","Sin dato",F11)</f>
        <v>Terceros</v>
      </c>
      <c r="X11" s="9" t="n">
        <f aca="false">IF(M11="","",YEAR(M11))</f>
        <v>2023</v>
      </c>
      <c r="Y11" s="10" t="n">
        <f aca="false">IF(M11="","",DATE(YEAR(M11),MONTH(M11),1))</f>
        <v>45170</v>
      </c>
      <c r="Z11" s="9" t="n">
        <f aca="false">IF(AND(Q11=0,COUNTIF(dDuplicadosGI!$A$2:$A$60,C11)&gt;0),1,0)</f>
        <v>0</v>
      </c>
      <c r="AA11" s="9" t="n">
        <f aca="false">IF(Q11=0,1,0)</f>
        <v>0</v>
      </c>
    </row>
    <row r="12" customFormat="false" ht="15" hidden="false" customHeight="false" outlineLevel="0" collapsed="false">
      <c r="A12" s="7" t="n">
        <v>11</v>
      </c>
      <c r="B12" s="7" t="s">
        <v>157</v>
      </c>
      <c r="C12" s="7" t="s">
        <v>158</v>
      </c>
      <c r="D12" s="7" t="s">
        <v>159</v>
      </c>
      <c r="E12" s="7" t="s">
        <v>119</v>
      </c>
      <c r="F12" s="7" t="s">
        <v>94</v>
      </c>
      <c r="G12" s="7" t="s">
        <v>160</v>
      </c>
      <c r="H12" s="7" t="s">
        <v>133</v>
      </c>
      <c r="I12" s="7" t="s">
        <v>161</v>
      </c>
      <c r="J12" s="7" t="s">
        <v>162</v>
      </c>
      <c r="K12" s="7" t="s">
        <v>87</v>
      </c>
      <c r="L12" s="7" t="s">
        <v>99</v>
      </c>
      <c r="M12" s="8"/>
      <c r="N12" s="7" t="s">
        <v>109</v>
      </c>
      <c r="O12" s="9" t="n">
        <f aca="false">IF(COUNTIFS($B$2:B12,B12,$C$2:C12,C12)=1,1,0)</f>
        <v>1</v>
      </c>
      <c r="P12" s="9" t="str">
        <f aca="false">IFERROR(INDEX(dEtapa!$A$2:$A$6,MATCH(N12,dEtapa!$B$2:$B$6,0)),"Sin etapa")</f>
        <v>Planificada 2027</v>
      </c>
      <c r="Q12" s="9" t="n">
        <f aca="false">IF(L12="Si",1,0)</f>
        <v>0</v>
      </c>
      <c r="R12" s="9" t="n">
        <f aca="false">IF(ISNUMBER(SEARCH("CRITERIO",N12)),1,0)</f>
        <v>0</v>
      </c>
      <c r="S12" s="9" t="str">
        <f aca="false">IF(E12="","Sin dato",LEFT(E12,1))</f>
        <v>E</v>
      </c>
      <c r="T12" s="9" t="n">
        <f aca="false">IFERROR(INDEX(dCriticidad!$G$2:$G$7,MATCH(S12,dCriticidad!$A$2:$A$7,0)),0)</f>
        <v>0</v>
      </c>
      <c r="U12" s="9" t="n">
        <f aca="false">IF(OR(LEFT(C12,3)="GI0",LEFT(C12,3)="GA0"),1,0)</f>
        <v>0</v>
      </c>
      <c r="V12" s="9" t="str">
        <f aca="false">IF(G12="","Sin dato (ID GI)",TRIM(G12))</f>
        <v>PASIVOS Y SEGUROS</v>
      </c>
      <c r="W12" s="9" t="str">
        <f aca="false">IF(F12="","Sin dato",F12)</f>
        <v>Nube</v>
      </c>
      <c r="X12" s="9" t="str">
        <f aca="false">IF(M12="","",YEAR(M12))</f>
        <v/>
      </c>
      <c r="Y12" s="10" t="str">
        <f aca="false">IF(M12="","",DATE(YEAR(M12),MONTH(M12),1))</f>
        <v/>
      </c>
      <c r="Z12" s="9" t="n">
        <f aca="false">IF(AND(Q12=0,COUNTIF(dDuplicadosGI!$A$2:$A$60,C12)&gt;0),1,0)</f>
        <v>0</v>
      </c>
      <c r="AA12" s="9" t="n">
        <f aca="false">IF(Q12=0,1,0)</f>
        <v>1</v>
      </c>
    </row>
    <row r="13" customFormat="false" ht="15" hidden="false" customHeight="false" outlineLevel="0" collapsed="false">
      <c r="A13" s="7" t="n">
        <v>12</v>
      </c>
      <c r="B13" s="7" t="s">
        <v>163</v>
      </c>
      <c r="C13" s="7" t="s">
        <v>164</v>
      </c>
      <c r="D13" s="7" t="s">
        <v>165</v>
      </c>
      <c r="E13" s="7" t="s">
        <v>113</v>
      </c>
      <c r="F13" s="7" t="s">
        <v>82</v>
      </c>
      <c r="G13" s="7" t="s">
        <v>166</v>
      </c>
      <c r="H13" s="7" t="s">
        <v>167</v>
      </c>
      <c r="I13" s="7" t="s">
        <v>168</v>
      </c>
      <c r="J13" s="7" t="s">
        <v>169</v>
      </c>
      <c r="K13" s="7" t="s">
        <v>170</v>
      </c>
      <c r="L13" s="7" t="s">
        <v>88</v>
      </c>
      <c r="M13" s="8" t="n">
        <v>45929</v>
      </c>
      <c r="N13" s="7" t="s">
        <v>89</v>
      </c>
      <c r="O13" s="9" t="n">
        <f aca="false">IF(COUNTIFS($B$2:B13,B13,$C$2:C13,C13)=1,1,0)</f>
        <v>1</v>
      </c>
      <c r="P13" s="9" t="str">
        <f aca="false">IFERROR(INDEX(dEtapa!$A$2:$A$6,MATCH(N13,dEtapa!$B$2:$B$6,0)),"Sin etapa")</f>
        <v>Gobernada</v>
      </c>
      <c r="Q13" s="9" t="n">
        <f aca="false">IF(L13="Si",1,0)</f>
        <v>1</v>
      </c>
      <c r="R13" s="9" t="n">
        <f aca="false">IF(ISNUMBER(SEARCH("CRITERIO",N13)),1,0)</f>
        <v>0</v>
      </c>
      <c r="S13" s="9" t="str">
        <f aca="false">IF(E13="","Sin dato",LEFT(E13,1))</f>
        <v>C</v>
      </c>
      <c r="T13" s="9" t="n">
        <f aca="false">IFERROR(INDEX(dCriticidad!$G$2:$G$7,MATCH(S13,dCriticidad!$A$2:$A$7,0)),0)</f>
        <v>1</v>
      </c>
      <c r="U13" s="9" t="n">
        <f aca="false">IF(OR(LEFT(C13,3)="GI0",LEFT(C13,3)="GA0"),1,0)</f>
        <v>0</v>
      </c>
      <c r="V13" s="9" t="str">
        <f aca="false">IF(G13="","Sin dato (ID GI)",TRIM(G13))</f>
        <v>Ciberseguridad</v>
      </c>
      <c r="W13" s="9" t="str">
        <f aca="false">IF(F13="","Sin dato",F13)</f>
        <v>On Premise</v>
      </c>
      <c r="X13" s="9" t="n">
        <f aca="false">IF(M13="","",YEAR(M13))</f>
        <v>2025</v>
      </c>
      <c r="Y13" s="10" t="n">
        <f aca="false">IF(M13="","",DATE(YEAR(M13),MONTH(M13),1))</f>
        <v>45901</v>
      </c>
      <c r="Z13" s="9" t="n">
        <f aca="false">IF(AND(Q13=0,COUNTIF(dDuplicadosGI!$A$2:$A$60,C13)&gt;0),1,0)</f>
        <v>0</v>
      </c>
      <c r="AA13" s="9" t="n">
        <f aca="false">IF(Q13=0,1,0)</f>
        <v>0</v>
      </c>
    </row>
    <row r="14" customFormat="false" ht="15" hidden="false" customHeight="false" outlineLevel="0" collapsed="false">
      <c r="A14" s="7" t="n">
        <v>13</v>
      </c>
      <c r="B14" s="7" t="s">
        <v>171</v>
      </c>
      <c r="C14" s="7" t="s">
        <v>172</v>
      </c>
      <c r="D14" s="7" t="s">
        <v>173</v>
      </c>
      <c r="E14" s="7" t="s">
        <v>113</v>
      </c>
      <c r="F14" s="7" t="s">
        <v>82</v>
      </c>
      <c r="G14" s="7" t="s">
        <v>166</v>
      </c>
      <c r="H14" s="7" t="s">
        <v>169</v>
      </c>
      <c r="I14" s="7" t="s">
        <v>168</v>
      </c>
      <c r="J14" s="7" t="s">
        <v>174</v>
      </c>
      <c r="K14" s="7" t="s">
        <v>170</v>
      </c>
      <c r="L14" s="7" t="s">
        <v>88</v>
      </c>
      <c r="M14" s="8" t="n">
        <v>45772</v>
      </c>
      <c r="N14" s="7" t="s">
        <v>89</v>
      </c>
      <c r="O14" s="9" t="n">
        <f aca="false">IF(COUNTIFS($B$2:B14,B14,$C$2:C14,C14)=1,1,0)</f>
        <v>1</v>
      </c>
      <c r="P14" s="9" t="str">
        <f aca="false">IFERROR(INDEX(dEtapa!$A$2:$A$6,MATCH(N14,dEtapa!$B$2:$B$6,0)),"Sin etapa")</f>
        <v>Gobernada</v>
      </c>
      <c r="Q14" s="9" t="n">
        <f aca="false">IF(L14="Si",1,0)</f>
        <v>1</v>
      </c>
      <c r="R14" s="9" t="n">
        <f aca="false">IF(ISNUMBER(SEARCH("CRITERIO",N14)),1,0)</f>
        <v>0</v>
      </c>
      <c r="S14" s="9" t="str">
        <f aca="false">IF(E14="","Sin dato",LEFT(E14,1))</f>
        <v>C</v>
      </c>
      <c r="T14" s="9" t="n">
        <f aca="false">IFERROR(INDEX(dCriticidad!$G$2:$G$7,MATCH(S14,dCriticidad!$A$2:$A$7,0)),0)</f>
        <v>1</v>
      </c>
      <c r="U14" s="9" t="n">
        <f aca="false">IF(OR(LEFT(C14,3)="GI0",LEFT(C14,3)="GA0"),1,0)</f>
        <v>0</v>
      </c>
      <c r="V14" s="9" t="str">
        <f aca="false">IF(G14="","Sin dato (ID GI)",TRIM(G14))</f>
        <v>Ciberseguridad</v>
      </c>
      <c r="W14" s="9" t="str">
        <f aca="false">IF(F14="","Sin dato",F14)</f>
        <v>On Premise</v>
      </c>
      <c r="X14" s="9" t="n">
        <f aca="false">IF(M14="","",YEAR(M14))</f>
        <v>2025</v>
      </c>
      <c r="Y14" s="10" t="n">
        <f aca="false">IF(M14="","",DATE(YEAR(M14),MONTH(M14),1))</f>
        <v>45748</v>
      </c>
      <c r="Z14" s="9" t="n">
        <f aca="false">IF(AND(Q14=0,COUNTIF(dDuplicadosGI!$A$2:$A$60,C14)&gt;0),1,0)</f>
        <v>0</v>
      </c>
      <c r="AA14" s="9" t="n">
        <f aca="false">IF(Q14=0,1,0)</f>
        <v>0</v>
      </c>
    </row>
    <row r="15" customFormat="false" ht="15" hidden="false" customHeight="false" outlineLevel="0" collapsed="false">
      <c r="A15" s="7" t="n">
        <v>14</v>
      </c>
      <c r="B15" s="7" t="s">
        <v>175</v>
      </c>
      <c r="C15" s="7" t="s">
        <v>176</v>
      </c>
      <c r="D15" s="7" t="s">
        <v>177</v>
      </c>
      <c r="E15" s="7" t="s">
        <v>145</v>
      </c>
      <c r="F15" s="7" t="s">
        <v>82</v>
      </c>
      <c r="G15" s="7" t="s">
        <v>146</v>
      </c>
      <c r="H15" s="7" t="s">
        <v>147</v>
      </c>
      <c r="I15" s="7" t="s">
        <v>148</v>
      </c>
      <c r="J15" s="7" t="s">
        <v>148</v>
      </c>
      <c r="K15" s="7" t="s">
        <v>108</v>
      </c>
      <c r="L15" s="7" t="s">
        <v>99</v>
      </c>
      <c r="M15" s="8"/>
      <c r="N15" s="7" t="s">
        <v>178</v>
      </c>
      <c r="O15" s="9" t="n">
        <f aca="false">IF(COUNTIFS($B$2:B15,B15,$C$2:C15,C15)=1,1,0)</f>
        <v>1</v>
      </c>
      <c r="P15" s="9" t="str">
        <f aca="false">IFERROR(INDEX(dEtapa!$A$2:$A$6,MATCH(N15,dEtapa!$B$2:$B$6,0)),"Sin etapa")</f>
        <v>Criterio 2</v>
      </c>
      <c r="Q15" s="9" t="n">
        <f aca="false">IF(L15="Si",1,0)</f>
        <v>0</v>
      </c>
      <c r="R15" s="9" t="n">
        <f aca="false">IF(ISNUMBER(SEARCH("CRITERIO",N15)),1,0)</f>
        <v>1</v>
      </c>
      <c r="S15" s="9" t="str">
        <f aca="false">IF(E15="","Sin dato",LEFT(E15,1))</f>
        <v>B</v>
      </c>
      <c r="T15" s="9" t="n">
        <f aca="false">IFERROR(INDEX(dCriticidad!$G$2:$G$7,MATCH(S15,dCriticidad!$A$2:$A$7,0)),0)</f>
        <v>1</v>
      </c>
      <c r="U15" s="9" t="n">
        <f aca="false">IF(OR(LEFT(C15,3)="GI0",LEFT(C15,3)="GA0"),1,0)</f>
        <v>0</v>
      </c>
      <c r="V15" s="9" t="str">
        <f aca="false">IF(G15="","Sin dato (ID GI)",TRIM(G15))</f>
        <v>Tribu_Integraciones_Apis</v>
      </c>
      <c r="W15" s="9" t="str">
        <f aca="false">IF(F15="","Sin dato",F15)</f>
        <v>On Premise</v>
      </c>
      <c r="X15" s="9" t="str">
        <f aca="false">IF(M15="","",YEAR(M15))</f>
        <v/>
      </c>
      <c r="Y15" s="10" t="str">
        <f aca="false">IF(M15="","",DATE(YEAR(M15),MONTH(M15),1))</f>
        <v/>
      </c>
      <c r="Z15" s="9" t="n">
        <f aca="false">IF(AND(Q15=0,COUNTIF(dDuplicadosGI!$A$2:$A$60,C15)&gt;0),1,0)</f>
        <v>0</v>
      </c>
      <c r="AA15" s="9" t="n">
        <f aca="false">IF(Q15=0,1,0)</f>
        <v>1</v>
      </c>
    </row>
    <row r="16" customFormat="false" ht="15" hidden="false" customHeight="false" outlineLevel="0" collapsed="false">
      <c r="A16" s="7" t="n">
        <v>15</v>
      </c>
      <c r="B16" s="7" t="s">
        <v>179</v>
      </c>
      <c r="C16" s="7" t="s">
        <v>180</v>
      </c>
      <c r="D16" s="7" t="s">
        <v>181</v>
      </c>
      <c r="E16" s="7" t="s">
        <v>119</v>
      </c>
      <c r="F16" s="7" t="s">
        <v>94</v>
      </c>
      <c r="G16" s="7" t="s">
        <v>166</v>
      </c>
      <c r="H16" s="7" t="s">
        <v>182</v>
      </c>
      <c r="I16" s="7" t="s">
        <v>168</v>
      </c>
      <c r="J16" s="7" t="s">
        <v>183</v>
      </c>
      <c r="K16" s="7" t="s">
        <v>170</v>
      </c>
      <c r="L16" s="7" t="s">
        <v>99</v>
      </c>
      <c r="M16" s="8"/>
      <c r="N16" s="7" t="s">
        <v>100</v>
      </c>
      <c r="O16" s="9" t="n">
        <f aca="false">IF(COUNTIFS($B$2:B16,B16,$C$2:C16,C16)=1,1,0)</f>
        <v>1</v>
      </c>
      <c r="P16" s="9" t="str">
        <f aca="false">IFERROR(INDEX(dEtapa!$A$2:$A$6,MATCH(N16,dEtapa!$B$2:$B$6,0)),"Sin etapa")</f>
        <v>Criterio 1</v>
      </c>
      <c r="Q16" s="9" t="n">
        <f aca="false">IF(L16="Si",1,0)</f>
        <v>0</v>
      </c>
      <c r="R16" s="9" t="n">
        <f aca="false">IF(ISNUMBER(SEARCH("CRITERIO",N16)),1,0)</f>
        <v>1</v>
      </c>
      <c r="S16" s="9" t="str">
        <f aca="false">IF(E16="","Sin dato",LEFT(E16,1))</f>
        <v>E</v>
      </c>
      <c r="T16" s="9" t="n">
        <f aca="false">IFERROR(INDEX(dCriticidad!$G$2:$G$7,MATCH(S16,dCriticidad!$A$2:$A$7,0)),0)</f>
        <v>0</v>
      </c>
      <c r="U16" s="9" t="n">
        <f aca="false">IF(OR(LEFT(C16,3)="GI0",LEFT(C16,3)="GA0"),1,0)</f>
        <v>0</v>
      </c>
      <c r="V16" s="9" t="str">
        <f aca="false">IF(G16="","Sin dato (ID GI)",TRIM(G16))</f>
        <v>Ciberseguridad</v>
      </c>
      <c r="W16" s="9" t="str">
        <f aca="false">IF(F16="","Sin dato",F16)</f>
        <v>Nube</v>
      </c>
      <c r="X16" s="9" t="str">
        <f aca="false">IF(M16="","",YEAR(M16))</f>
        <v/>
      </c>
      <c r="Y16" s="10" t="str">
        <f aca="false">IF(M16="","",DATE(YEAR(M16),MONTH(M16),1))</f>
        <v/>
      </c>
      <c r="Z16" s="9" t="n">
        <f aca="false">IF(AND(Q16=0,COUNTIF(dDuplicadosGI!$A$2:$A$60,C16)&gt;0),1,0)</f>
        <v>0</v>
      </c>
      <c r="AA16" s="9" t="n">
        <f aca="false">IF(Q16=0,1,0)</f>
        <v>1</v>
      </c>
    </row>
    <row r="17" customFormat="false" ht="15" hidden="false" customHeight="false" outlineLevel="0" collapsed="false">
      <c r="A17" s="7" t="n">
        <v>16</v>
      </c>
      <c r="B17" s="7" t="s">
        <v>184</v>
      </c>
      <c r="C17" s="7" t="s">
        <v>185</v>
      </c>
      <c r="D17" s="7" t="s">
        <v>186</v>
      </c>
      <c r="E17" s="7" t="s">
        <v>119</v>
      </c>
      <c r="F17" s="7" t="s">
        <v>94</v>
      </c>
      <c r="G17" s="7" t="s">
        <v>166</v>
      </c>
      <c r="H17" s="7" t="s">
        <v>187</v>
      </c>
      <c r="I17" s="7" t="s">
        <v>168</v>
      </c>
      <c r="J17" s="7" t="s">
        <v>188</v>
      </c>
      <c r="K17" s="7" t="s">
        <v>170</v>
      </c>
      <c r="L17" s="7" t="s">
        <v>99</v>
      </c>
      <c r="M17" s="8"/>
      <c r="N17" s="7" t="s">
        <v>189</v>
      </c>
      <c r="O17" s="9" t="n">
        <f aca="false">IF(COUNTIFS($B$2:B17,B17,$C$2:C17,C17)=1,1,0)</f>
        <v>1</v>
      </c>
      <c r="P17" s="9" t="str">
        <f aca="false">IFERROR(INDEX(dEtapa!$A$2:$A$6,MATCH(N17,dEtapa!$B$2:$B$6,0)),"Sin etapa")</f>
        <v>Criterio 3</v>
      </c>
      <c r="Q17" s="9" t="n">
        <f aca="false">IF(L17="Si",1,0)</f>
        <v>0</v>
      </c>
      <c r="R17" s="9" t="n">
        <f aca="false">IF(ISNUMBER(SEARCH("CRITERIO",N17)),1,0)</f>
        <v>1</v>
      </c>
      <c r="S17" s="9" t="str">
        <f aca="false">IF(E17="","Sin dato",LEFT(E17,1))</f>
        <v>E</v>
      </c>
      <c r="T17" s="9" t="n">
        <f aca="false">IFERROR(INDEX(dCriticidad!$G$2:$G$7,MATCH(S17,dCriticidad!$A$2:$A$7,0)),0)</f>
        <v>0</v>
      </c>
      <c r="U17" s="9" t="n">
        <f aca="false">IF(OR(LEFT(C17,3)="GI0",LEFT(C17,3)="GA0"),1,0)</f>
        <v>0</v>
      </c>
      <c r="V17" s="9" t="str">
        <f aca="false">IF(G17="","Sin dato (ID GI)",TRIM(G17))</f>
        <v>Ciberseguridad</v>
      </c>
      <c r="W17" s="9" t="str">
        <f aca="false">IF(F17="","Sin dato",F17)</f>
        <v>Nube</v>
      </c>
      <c r="X17" s="9" t="str">
        <f aca="false">IF(M17="","",YEAR(M17))</f>
        <v/>
      </c>
      <c r="Y17" s="10" t="str">
        <f aca="false">IF(M17="","",DATE(YEAR(M17),MONTH(M17),1))</f>
        <v/>
      </c>
      <c r="Z17" s="9" t="n">
        <f aca="false">IF(AND(Q17=0,COUNTIF(dDuplicadosGI!$A$2:$A$60,C17)&gt;0),1,0)</f>
        <v>0</v>
      </c>
      <c r="AA17" s="9" t="n">
        <f aca="false">IF(Q17=0,1,0)</f>
        <v>1</v>
      </c>
    </row>
    <row r="18" customFormat="false" ht="15" hidden="false" customHeight="false" outlineLevel="0" collapsed="false">
      <c r="A18" s="7" t="n">
        <v>17</v>
      </c>
      <c r="B18" s="7" t="s">
        <v>190</v>
      </c>
      <c r="C18" s="7" t="s">
        <v>191</v>
      </c>
      <c r="D18" s="7" t="s">
        <v>151</v>
      </c>
      <c r="E18" s="7" t="s">
        <v>119</v>
      </c>
      <c r="F18" s="7" t="s">
        <v>152</v>
      </c>
      <c r="G18" s="7" t="s">
        <v>192</v>
      </c>
      <c r="H18" s="7" t="s">
        <v>193</v>
      </c>
      <c r="I18" s="7" t="s">
        <v>194</v>
      </c>
      <c r="J18" s="7" t="s">
        <v>195</v>
      </c>
      <c r="K18" s="7" t="s">
        <v>98</v>
      </c>
      <c r="L18" s="7" t="s">
        <v>99</v>
      </c>
      <c r="M18" s="8"/>
      <c r="N18" s="7" t="s">
        <v>109</v>
      </c>
      <c r="O18" s="9" t="n">
        <f aca="false">IF(COUNTIFS($B$2:B18,B18,$C$2:C18,C18)=1,1,0)</f>
        <v>1</v>
      </c>
      <c r="P18" s="9" t="str">
        <f aca="false">IFERROR(INDEX(dEtapa!$A$2:$A$6,MATCH(N18,dEtapa!$B$2:$B$6,0)),"Sin etapa")</f>
        <v>Planificada 2027</v>
      </c>
      <c r="Q18" s="9" t="n">
        <f aca="false">IF(L18="Si",1,0)</f>
        <v>0</v>
      </c>
      <c r="R18" s="9" t="n">
        <f aca="false">IF(ISNUMBER(SEARCH("CRITERIO",N18)),1,0)</f>
        <v>0</v>
      </c>
      <c r="S18" s="9" t="str">
        <f aca="false">IF(E18="","Sin dato",LEFT(E18,1))</f>
        <v>E</v>
      </c>
      <c r="T18" s="9" t="n">
        <f aca="false">IFERROR(INDEX(dCriticidad!$G$2:$G$7,MATCH(S18,dCriticidad!$A$2:$A$7,0)),0)</f>
        <v>0</v>
      </c>
      <c r="U18" s="9" t="n">
        <f aca="false">IF(OR(LEFT(C18,3)="GI0",LEFT(C18,3)="GA0"),1,0)</f>
        <v>0</v>
      </c>
      <c r="V18" s="9" t="str">
        <f aca="false">IF(G18="","Sin dato (ID GI)",TRIM(G18))</f>
        <v>AREAS_DE_APOYO</v>
      </c>
      <c r="W18" s="9" t="str">
        <f aca="false">IF(F18="","Sin dato",F18)</f>
        <v>Terceros</v>
      </c>
      <c r="X18" s="9" t="str">
        <f aca="false">IF(M18="","",YEAR(M18))</f>
        <v/>
      </c>
      <c r="Y18" s="10" t="str">
        <f aca="false">IF(M18="","",DATE(YEAR(M18),MONTH(M18),1))</f>
        <v/>
      </c>
      <c r="Z18" s="9" t="n">
        <f aca="false">IF(AND(Q18=0,COUNTIF(dDuplicadosGI!$A$2:$A$60,C18)&gt;0),1,0)</f>
        <v>0</v>
      </c>
      <c r="AA18" s="9" t="n">
        <f aca="false">IF(Q18=0,1,0)</f>
        <v>1</v>
      </c>
    </row>
    <row r="19" customFormat="false" ht="15" hidden="false" customHeight="false" outlineLevel="0" collapsed="false">
      <c r="A19" s="7" t="n">
        <v>18</v>
      </c>
      <c r="B19" s="7" t="s">
        <v>196</v>
      </c>
      <c r="C19" s="7" t="s">
        <v>197</v>
      </c>
      <c r="D19" s="7" t="s">
        <v>198</v>
      </c>
      <c r="E19" s="7" t="s">
        <v>119</v>
      </c>
      <c r="F19" s="7" t="s">
        <v>94</v>
      </c>
      <c r="G19" s="7" t="s">
        <v>199</v>
      </c>
      <c r="H19" s="7" t="s">
        <v>200</v>
      </c>
      <c r="I19" s="7" t="s">
        <v>201</v>
      </c>
      <c r="J19" s="7" t="s">
        <v>201</v>
      </c>
      <c r="K19" s="7" t="s">
        <v>98</v>
      </c>
      <c r="L19" s="7" t="s">
        <v>99</v>
      </c>
      <c r="M19" s="8"/>
      <c r="N19" s="7" t="s">
        <v>109</v>
      </c>
      <c r="O19" s="9" t="n">
        <f aca="false">IF(COUNTIFS($B$2:B19,B19,$C$2:C19,C19)=1,1,0)</f>
        <v>1</v>
      </c>
      <c r="P19" s="9" t="str">
        <f aca="false">IFERROR(INDEX(dEtapa!$A$2:$A$6,MATCH(N19,dEtapa!$B$2:$B$6,0)),"Sin etapa")</f>
        <v>Planificada 2027</v>
      </c>
      <c r="Q19" s="9" t="n">
        <f aca="false">IF(L19="Si",1,0)</f>
        <v>0</v>
      </c>
      <c r="R19" s="9" t="n">
        <f aca="false">IF(ISNUMBER(SEARCH("CRITERIO",N19)),1,0)</f>
        <v>0</v>
      </c>
      <c r="S19" s="9" t="str">
        <f aca="false">IF(E19="","Sin dato",LEFT(E19,1))</f>
        <v>E</v>
      </c>
      <c r="T19" s="9" t="n">
        <f aca="false">IFERROR(INDEX(dCriticidad!$G$2:$G$7,MATCH(S19,dCriticidad!$A$2:$A$7,0)),0)</f>
        <v>0</v>
      </c>
      <c r="U19" s="9" t="n">
        <f aca="false">IF(OR(LEFT(C19,3)="GI0",LEFT(C19,3)="GA0"),1,0)</f>
        <v>0</v>
      </c>
      <c r="V19" s="9" t="str">
        <f aca="false">IF(G19="","Sin dato (ID GI)",TRIM(G19))</f>
        <v>Gerencia Arquitectura Usuario Final</v>
      </c>
      <c r="W19" s="9" t="str">
        <f aca="false">IF(F19="","Sin dato",F19)</f>
        <v>Nube</v>
      </c>
      <c r="X19" s="9" t="str">
        <f aca="false">IF(M19="","",YEAR(M19))</f>
        <v/>
      </c>
      <c r="Y19" s="10" t="str">
        <f aca="false">IF(M19="","",DATE(YEAR(M19),MONTH(M19),1))</f>
        <v/>
      </c>
      <c r="Z19" s="9" t="n">
        <f aca="false">IF(AND(Q19=0,COUNTIF(dDuplicadosGI!$A$2:$A$60,C19)&gt;0),1,0)</f>
        <v>0</v>
      </c>
      <c r="AA19" s="9" t="n">
        <f aca="false">IF(Q19=0,1,0)</f>
        <v>1</v>
      </c>
    </row>
    <row r="20" customFormat="false" ht="15" hidden="false" customHeight="false" outlineLevel="0" collapsed="false">
      <c r="A20" s="7" t="n">
        <v>19</v>
      </c>
      <c r="B20" s="7" t="s">
        <v>202</v>
      </c>
      <c r="C20" s="7" t="s">
        <v>203</v>
      </c>
      <c r="D20" s="7" t="s">
        <v>204</v>
      </c>
      <c r="E20" s="7" t="s">
        <v>145</v>
      </c>
      <c r="F20" s="7" t="s">
        <v>94</v>
      </c>
      <c r="G20" s="7" t="s">
        <v>192</v>
      </c>
      <c r="H20" s="7" t="s">
        <v>193</v>
      </c>
      <c r="I20" s="7" t="s">
        <v>194</v>
      </c>
      <c r="J20" s="7" t="s">
        <v>195</v>
      </c>
      <c r="K20" s="7" t="s">
        <v>87</v>
      </c>
      <c r="L20" s="7" t="s">
        <v>99</v>
      </c>
      <c r="M20" s="8"/>
      <c r="N20" s="7" t="s">
        <v>178</v>
      </c>
      <c r="O20" s="9" t="n">
        <f aca="false">IF(COUNTIFS($B$2:B20,B20,$C$2:C20,C20)=1,1,0)</f>
        <v>1</v>
      </c>
      <c r="P20" s="9" t="str">
        <f aca="false">IFERROR(INDEX(dEtapa!$A$2:$A$6,MATCH(N20,dEtapa!$B$2:$B$6,0)),"Sin etapa")</f>
        <v>Criterio 2</v>
      </c>
      <c r="Q20" s="9" t="n">
        <f aca="false">IF(L20="Si",1,0)</f>
        <v>0</v>
      </c>
      <c r="R20" s="9" t="n">
        <f aca="false">IF(ISNUMBER(SEARCH("CRITERIO",N20)),1,0)</f>
        <v>1</v>
      </c>
      <c r="S20" s="9" t="str">
        <f aca="false">IF(E20="","Sin dato",LEFT(E20,1))</f>
        <v>B</v>
      </c>
      <c r="T20" s="9" t="n">
        <f aca="false">IFERROR(INDEX(dCriticidad!$G$2:$G$7,MATCH(S20,dCriticidad!$A$2:$A$7,0)),0)</f>
        <v>1</v>
      </c>
      <c r="U20" s="9" t="n">
        <f aca="false">IF(OR(LEFT(C20,3)="GI0",LEFT(C20,3)="GA0"),1,0)</f>
        <v>0</v>
      </c>
      <c r="V20" s="9" t="str">
        <f aca="false">IF(G20="","Sin dato (ID GI)",TRIM(G20))</f>
        <v>AREAS_DE_APOYO</v>
      </c>
      <c r="W20" s="9" t="str">
        <f aca="false">IF(F20="","Sin dato",F20)</f>
        <v>Nube</v>
      </c>
      <c r="X20" s="9" t="str">
        <f aca="false">IF(M20="","",YEAR(M20))</f>
        <v/>
      </c>
      <c r="Y20" s="10" t="str">
        <f aca="false">IF(M20="","",DATE(YEAR(M20),MONTH(M20),1))</f>
        <v/>
      </c>
      <c r="Z20" s="9" t="n">
        <f aca="false">IF(AND(Q20=0,COUNTIF(dDuplicadosGI!$A$2:$A$60,C20)&gt;0),1,0)</f>
        <v>1</v>
      </c>
      <c r="AA20" s="9" t="n">
        <f aca="false">IF(Q20=0,1,0)</f>
        <v>1</v>
      </c>
    </row>
    <row r="21" customFormat="false" ht="15" hidden="false" customHeight="false" outlineLevel="0" collapsed="false">
      <c r="A21" s="7" t="n">
        <v>20</v>
      </c>
      <c r="B21" s="7" t="s">
        <v>205</v>
      </c>
      <c r="C21" s="7" t="s">
        <v>206</v>
      </c>
      <c r="D21" s="7" t="s">
        <v>207</v>
      </c>
      <c r="E21" s="7" t="s">
        <v>113</v>
      </c>
      <c r="F21" s="7" t="s">
        <v>82</v>
      </c>
      <c r="G21" s="7" t="s">
        <v>132</v>
      </c>
      <c r="H21" s="7" t="s">
        <v>133</v>
      </c>
      <c r="I21" s="7" t="s">
        <v>134</v>
      </c>
      <c r="J21" s="7" t="s">
        <v>135</v>
      </c>
      <c r="K21" s="7" t="s">
        <v>87</v>
      </c>
      <c r="L21" s="7" t="s">
        <v>88</v>
      </c>
      <c r="M21" s="8" t="n">
        <v>45200</v>
      </c>
      <c r="N21" s="7" t="s">
        <v>89</v>
      </c>
      <c r="O21" s="9" t="n">
        <f aca="false">IF(COUNTIFS($B$2:B21,B21,$C$2:C21,C21)=1,1,0)</f>
        <v>1</v>
      </c>
      <c r="P21" s="9" t="str">
        <f aca="false">IFERROR(INDEX(dEtapa!$A$2:$A$6,MATCH(N21,dEtapa!$B$2:$B$6,0)),"Sin etapa")</f>
        <v>Gobernada</v>
      </c>
      <c r="Q21" s="9" t="n">
        <f aca="false">IF(L21="Si",1,0)</f>
        <v>1</v>
      </c>
      <c r="R21" s="9" t="n">
        <f aca="false">IF(ISNUMBER(SEARCH("CRITERIO",N21)),1,0)</f>
        <v>0</v>
      </c>
      <c r="S21" s="9" t="str">
        <f aca="false">IF(E21="","Sin dato",LEFT(E21,1))</f>
        <v>C</v>
      </c>
      <c r="T21" s="9" t="n">
        <f aca="false">IFERROR(INDEX(dCriticidad!$G$2:$G$7,MATCH(S21,dCriticidad!$A$2:$A$7,0)),0)</f>
        <v>1</v>
      </c>
      <c r="U21" s="9" t="n">
        <f aca="false">IF(OR(LEFT(C21,3)="GI0",LEFT(C21,3)="GA0"),1,0)</f>
        <v>0</v>
      </c>
      <c r="V21" s="9" t="str">
        <f aca="false">IF(G21="","Sin dato (ID GI)",TRIM(G21))</f>
        <v>ACTIVOS</v>
      </c>
      <c r="W21" s="9" t="str">
        <f aca="false">IF(F21="","Sin dato",F21)</f>
        <v>On Premise</v>
      </c>
      <c r="X21" s="9" t="n">
        <f aca="false">IF(M21="","",YEAR(M21))</f>
        <v>2023</v>
      </c>
      <c r="Y21" s="10" t="n">
        <f aca="false">IF(M21="","",DATE(YEAR(M21),MONTH(M21),1))</f>
        <v>45200</v>
      </c>
      <c r="Z21" s="9" t="n">
        <f aca="false">IF(AND(Q21=0,COUNTIF(dDuplicadosGI!$A$2:$A$60,C21)&gt;0),1,0)</f>
        <v>0</v>
      </c>
      <c r="AA21" s="9" t="n">
        <f aca="false">IF(Q21=0,1,0)</f>
        <v>0</v>
      </c>
    </row>
    <row r="22" customFormat="false" ht="15" hidden="false" customHeight="false" outlineLevel="0" collapsed="false">
      <c r="A22" s="7" t="n">
        <v>21</v>
      </c>
      <c r="B22" s="7" t="s">
        <v>208</v>
      </c>
      <c r="C22" s="7" t="s">
        <v>209</v>
      </c>
      <c r="D22" s="7" t="s">
        <v>210</v>
      </c>
      <c r="E22" s="7" t="s">
        <v>145</v>
      </c>
      <c r="F22" s="7" t="s">
        <v>82</v>
      </c>
      <c r="G22" s="7" t="s">
        <v>211</v>
      </c>
      <c r="H22" s="7" t="s">
        <v>212</v>
      </c>
      <c r="I22" s="7" t="s">
        <v>213</v>
      </c>
      <c r="J22" s="7" t="s">
        <v>214</v>
      </c>
      <c r="K22" s="7" t="s">
        <v>87</v>
      </c>
      <c r="L22" s="7" t="s">
        <v>88</v>
      </c>
      <c r="M22" s="8" t="n">
        <v>45200</v>
      </c>
      <c r="N22" s="7" t="s">
        <v>89</v>
      </c>
      <c r="O22" s="9" t="n">
        <f aca="false">IF(COUNTIFS($B$2:B22,B22,$C$2:C22,C22)=1,1,0)</f>
        <v>1</v>
      </c>
      <c r="P22" s="9" t="str">
        <f aca="false">IFERROR(INDEX(dEtapa!$A$2:$A$6,MATCH(N22,dEtapa!$B$2:$B$6,0)),"Sin etapa")</f>
        <v>Gobernada</v>
      </c>
      <c r="Q22" s="9" t="n">
        <f aca="false">IF(L22="Si",1,0)</f>
        <v>1</v>
      </c>
      <c r="R22" s="9" t="n">
        <f aca="false">IF(ISNUMBER(SEARCH("CRITERIO",N22)),1,0)</f>
        <v>0</v>
      </c>
      <c r="S22" s="9" t="str">
        <f aca="false">IF(E22="","Sin dato",LEFT(E22,1))</f>
        <v>B</v>
      </c>
      <c r="T22" s="9" t="n">
        <f aca="false">IFERROR(INDEX(dCriticidad!$G$2:$G$7,MATCH(S22,dCriticidad!$A$2:$A$7,0)),0)</f>
        <v>1</v>
      </c>
      <c r="U22" s="9" t="n">
        <f aca="false">IF(OR(LEFT(C22,3)="GI0",LEFT(C22,3)="GA0"),1,0)</f>
        <v>0</v>
      </c>
      <c r="V22" s="9" t="str">
        <f aca="false">IF(G22="","Sin dato (ID GI)",TRIM(G22))</f>
        <v>Tribu Ciberseguridad</v>
      </c>
      <c r="W22" s="9" t="str">
        <f aca="false">IF(F22="","Sin dato",F22)</f>
        <v>On Premise</v>
      </c>
      <c r="X22" s="9" t="n">
        <f aca="false">IF(M22="","",YEAR(M22))</f>
        <v>2023</v>
      </c>
      <c r="Y22" s="10" t="n">
        <f aca="false">IF(M22="","",DATE(YEAR(M22),MONTH(M22),1))</f>
        <v>45200</v>
      </c>
      <c r="Z22" s="9" t="n">
        <f aca="false">IF(AND(Q22=0,COUNTIF(dDuplicadosGI!$A$2:$A$60,C22)&gt;0),1,0)</f>
        <v>0</v>
      </c>
      <c r="AA22" s="9" t="n">
        <f aca="false">IF(Q22=0,1,0)</f>
        <v>0</v>
      </c>
    </row>
    <row r="23" customFormat="false" ht="15" hidden="false" customHeight="false" outlineLevel="0" collapsed="false">
      <c r="A23" s="7" t="n">
        <v>22</v>
      </c>
      <c r="B23" s="7" t="s">
        <v>215</v>
      </c>
      <c r="C23" s="7" t="s">
        <v>216</v>
      </c>
      <c r="D23" s="7" t="s">
        <v>217</v>
      </c>
      <c r="E23" s="7" t="s">
        <v>113</v>
      </c>
      <c r="F23" s="7" t="s">
        <v>82</v>
      </c>
      <c r="G23" s="7" t="s">
        <v>192</v>
      </c>
      <c r="H23" s="7" t="s">
        <v>193</v>
      </c>
      <c r="I23" s="7" t="s">
        <v>218</v>
      </c>
      <c r="J23" s="7" t="s">
        <v>218</v>
      </c>
      <c r="K23" s="7" t="s">
        <v>87</v>
      </c>
      <c r="L23" s="7" t="s">
        <v>88</v>
      </c>
      <c r="M23" s="8" t="n">
        <v>45199</v>
      </c>
      <c r="N23" s="7" t="s">
        <v>89</v>
      </c>
      <c r="O23" s="9" t="n">
        <f aca="false">IF(COUNTIFS($B$2:B23,B23,$C$2:C23,C23)=1,1,0)</f>
        <v>1</v>
      </c>
      <c r="P23" s="9" t="str">
        <f aca="false">IFERROR(INDEX(dEtapa!$A$2:$A$6,MATCH(N23,dEtapa!$B$2:$B$6,0)),"Sin etapa")</f>
        <v>Gobernada</v>
      </c>
      <c r="Q23" s="9" t="n">
        <f aca="false">IF(L23="Si",1,0)</f>
        <v>1</v>
      </c>
      <c r="R23" s="9" t="n">
        <f aca="false">IF(ISNUMBER(SEARCH("CRITERIO",N23)),1,0)</f>
        <v>0</v>
      </c>
      <c r="S23" s="9" t="str">
        <f aca="false">IF(E23="","Sin dato",LEFT(E23,1))</f>
        <v>C</v>
      </c>
      <c r="T23" s="9" t="n">
        <f aca="false">IFERROR(INDEX(dCriticidad!$G$2:$G$7,MATCH(S23,dCriticidad!$A$2:$A$7,0)),0)</f>
        <v>1</v>
      </c>
      <c r="U23" s="9" t="n">
        <f aca="false">IF(OR(LEFT(C23,3)="GI0",LEFT(C23,3)="GA0"),1,0)</f>
        <v>0</v>
      </c>
      <c r="V23" s="9" t="str">
        <f aca="false">IF(G23="","Sin dato (ID GI)",TRIM(G23))</f>
        <v>AREAS_DE_APOYO</v>
      </c>
      <c r="W23" s="9" t="str">
        <f aca="false">IF(F23="","Sin dato",F23)</f>
        <v>On Premise</v>
      </c>
      <c r="X23" s="9" t="n">
        <f aca="false">IF(M23="","",YEAR(M23))</f>
        <v>2023</v>
      </c>
      <c r="Y23" s="10" t="n">
        <f aca="false">IF(M23="","",DATE(YEAR(M23),MONTH(M23),1))</f>
        <v>45170</v>
      </c>
      <c r="Z23" s="9" t="n">
        <f aca="false">IF(AND(Q23=0,COUNTIF(dDuplicadosGI!$A$2:$A$60,C23)&gt;0),1,0)</f>
        <v>0</v>
      </c>
      <c r="AA23" s="9" t="n">
        <f aca="false">IF(Q23=0,1,0)</f>
        <v>0</v>
      </c>
    </row>
    <row r="24" customFormat="false" ht="15" hidden="false" customHeight="false" outlineLevel="0" collapsed="false">
      <c r="A24" s="7" t="n">
        <v>23</v>
      </c>
      <c r="B24" s="7" t="s">
        <v>219</v>
      </c>
      <c r="C24" s="7" t="s">
        <v>220</v>
      </c>
      <c r="D24" s="7" t="s">
        <v>221</v>
      </c>
      <c r="E24" s="7" t="s">
        <v>119</v>
      </c>
      <c r="F24" s="7" t="s">
        <v>94</v>
      </c>
      <c r="G24" s="7" t="s">
        <v>192</v>
      </c>
      <c r="H24" s="7" t="s">
        <v>193</v>
      </c>
      <c r="I24" s="7" t="s">
        <v>222</v>
      </c>
      <c r="J24" s="7" t="s">
        <v>223</v>
      </c>
      <c r="K24" s="7" t="s">
        <v>87</v>
      </c>
      <c r="L24" s="7" t="s">
        <v>99</v>
      </c>
      <c r="M24" s="8"/>
      <c r="N24" s="7" t="s">
        <v>100</v>
      </c>
      <c r="O24" s="9" t="n">
        <f aca="false">IF(COUNTIFS($B$2:B24,B24,$C$2:C24,C24)=1,1,0)</f>
        <v>1</v>
      </c>
      <c r="P24" s="9" t="str">
        <f aca="false">IFERROR(INDEX(dEtapa!$A$2:$A$6,MATCH(N24,dEtapa!$B$2:$B$6,0)),"Sin etapa")</f>
        <v>Criterio 1</v>
      </c>
      <c r="Q24" s="9" t="n">
        <f aca="false">IF(L24="Si",1,0)</f>
        <v>0</v>
      </c>
      <c r="R24" s="9" t="n">
        <f aca="false">IF(ISNUMBER(SEARCH("CRITERIO",N24)),1,0)</f>
        <v>1</v>
      </c>
      <c r="S24" s="9" t="str">
        <f aca="false">IF(E24="","Sin dato",LEFT(E24,1))</f>
        <v>E</v>
      </c>
      <c r="T24" s="9" t="n">
        <f aca="false">IFERROR(INDEX(dCriticidad!$G$2:$G$7,MATCH(S24,dCriticidad!$A$2:$A$7,0)),0)</f>
        <v>0</v>
      </c>
      <c r="U24" s="9" t="n">
        <f aca="false">IF(OR(LEFT(C24,3)="GI0",LEFT(C24,3)="GA0"),1,0)</f>
        <v>0</v>
      </c>
      <c r="V24" s="9" t="str">
        <f aca="false">IF(G24="","Sin dato (ID GI)",TRIM(G24))</f>
        <v>AREAS_DE_APOYO</v>
      </c>
      <c r="W24" s="9" t="str">
        <f aca="false">IF(F24="","Sin dato",F24)</f>
        <v>Nube</v>
      </c>
      <c r="X24" s="9" t="str">
        <f aca="false">IF(M24="","",YEAR(M24))</f>
        <v/>
      </c>
      <c r="Y24" s="10" t="str">
        <f aca="false">IF(M24="","",DATE(YEAR(M24),MONTH(M24),1))</f>
        <v/>
      </c>
      <c r="Z24" s="9" t="n">
        <f aca="false">IF(AND(Q24=0,COUNTIF(dDuplicadosGI!$A$2:$A$60,C24)&gt;0),1,0)</f>
        <v>1</v>
      </c>
      <c r="AA24" s="9" t="n">
        <f aca="false">IF(Q24=0,1,0)</f>
        <v>1</v>
      </c>
    </row>
    <row r="25" customFormat="false" ht="15" hidden="false" customHeight="false" outlineLevel="0" collapsed="false">
      <c r="A25" s="7" t="n">
        <v>24</v>
      </c>
      <c r="B25" s="7" t="s">
        <v>224</v>
      </c>
      <c r="C25" s="7" t="s">
        <v>225</v>
      </c>
      <c r="D25" s="7" t="s">
        <v>226</v>
      </c>
      <c r="E25" s="7" t="s">
        <v>119</v>
      </c>
      <c r="F25" s="7" t="s">
        <v>94</v>
      </c>
      <c r="G25" s="7" t="s">
        <v>199</v>
      </c>
      <c r="H25" s="7" t="s">
        <v>227</v>
      </c>
      <c r="I25" s="7" t="s">
        <v>201</v>
      </c>
      <c r="J25" s="7" t="s">
        <v>228</v>
      </c>
      <c r="K25" s="7" t="s">
        <v>98</v>
      </c>
      <c r="L25" s="7" t="s">
        <v>99</v>
      </c>
      <c r="M25" s="8"/>
      <c r="N25" s="7" t="s">
        <v>109</v>
      </c>
      <c r="O25" s="9" t="n">
        <f aca="false">IF(COUNTIFS($B$2:B25,B25,$C$2:C25,C25)=1,1,0)</f>
        <v>1</v>
      </c>
      <c r="P25" s="9" t="str">
        <f aca="false">IFERROR(INDEX(dEtapa!$A$2:$A$6,MATCH(N25,dEtapa!$B$2:$B$6,0)),"Sin etapa")</f>
        <v>Planificada 2027</v>
      </c>
      <c r="Q25" s="9" t="n">
        <f aca="false">IF(L25="Si",1,0)</f>
        <v>0</v>
      </c>
      <c r="R25" s="9" t="n">
        <f aca="false">IF(ISNUMBER(SEARCH("CRITERIO",N25)),1,0)</f>
        <v>0</v>
      </c>
      <c r="S25" s="9" t="str">
        <f aca="false">IF(E25="","Sin dato",LEFT(E25,1))</f>
        <v>E</v>
      </c>
      <c r="T25" s="9" t="n">
        <f aca="false">IFERROR(INDEX(dCriticidad!$G$2:$G$7,MATCH(S25,dCriticidad!$A$2:$A$7,0)),0)</f>
        <v>0</v>
      </c>
      <c r="U25" s="9" t="n">
        <f aca="false">IF(OR(LEFT(C25,3)="GI0",LEFT(C25,3)="GA0"),1,0)</f>
        <v>0</v>
      </c>
      <c r="V25" s="9" t="str">
        <f aca="false">IF(G25="","Sin dato (ID GI)",TRIM(G25))</f>
        <v>Gerencia Arquitectura Usuario Final</v>
      </c>
      <c r="W25" s="9" t="str">
        <f aca="false">IF(F25="","Sin dato",F25)</f>
        <v>Nube</v>
      </c>
      <c r="X25" s="9" t="str">
        <f aca="false">IF(M25="","",YEAR(M25))</f>
        <v/>
      </c>
      <c r="Y25" s="10" t="str">
        <f aca="false">IF(M25="","",DATE(YEAR(M25),MONTH(M25),1))</f>
        <v/>
      </c>
      <c r="Z25" s="9" t="n">
        <f aca="false">IF(AND(Q25=0,COUNTIF(dDuplicadosGI!$A$2:$A$60,C25)&gt;0),1,0)</f>
        <v>0</v>
      </c>
      <c r="AA25" s="9" t="n">
        <f aca="false">IF(Q25=0,1,0)</f>
        <v>1</v>
      </c>
    </row>
    <row r="26" customFormat="false" ht="15" hidden="false" customHeight="false" outlineLevel="0" collapsed="false">
      <c r="A26" s="7" t="n">
        <v>25</v>
      </c>
      <c r="B26" s="7" t="s">
        <v>229</v>
      </c>
      <c r="C26" s="7" t="s">
        <v>230</v>
      </c>
      <c r="D26" s="7" t="s">
        <v>231</v>
      </c>
      <c r="E26" s="7" t="s">
        <v>119</v>
      </c>
      <c r="F26" s="7" t="s">
        <v>94</v>
      </c>
      <c r="G26" s="7" t="s">
        <v>232</v>
      </c>
      <c r="H26" s="7" t="s">
        <v>126</v>
      </c>
      <c r="I26" s="7" t="s">
        <v>233</v>
      </c>
      <c r="J26" s="7" t="s">
        <v>233</v>
      </c>
      <c r="K26" s="7" t="s">
        <v>234</v>
      </c>
      <c r="L26" s="7" t="s">
        <v>99</v>
      </c>
      <c r="M26" s="8"/>
      <c r="N26" s="7" t="s">
        <v>109</v>
      </c>
      <c r="O26" s="9" t="n">
        <f aca="false">IF(COUNTIFS($B$2:B26,B26,$C$2:C26,C26)=1,1,0)</f>
        <v>1</v>
      </c>
      <c r="P26" s="9" t="str">
        <f aca="false">IFERROR(INDEX(dEtapa!$A$2:$A$6,MATCH(N26,dEtapa!$B$2:$B$6,0)),"Sin etapa")</f>
        <v>Planificada 2027</v>
      </c>
      <c r="Q26" s="9" t="n">
        <f aca="false">IF(L26="Si",1,0)</f>
        <v>0</v>
      </c>
      <c r="R26" s="9" t="n">
        <f aca="false">IF(ISNUMBER(SEARCH("CRITERIO",N26)),1,0)</f>
        <v>0</v>
      </c>
      <c r="S26" s="9" t="str">
        <f aca="false">IF(E26="","Sin dato",LEFT(E26,1))</f>
        <v>E</v>
      </c>
      <c r="T26" s="9" t="n">
        <f aca="false">IFERROR(INDEX(dCriticidad!$G$2:$G$7,MATCH(S26,dCriticidad!$A$2:$A$7,0)),0)</f>
        <v>0</v>
      </c>
      <c r="U26" s="9" t="n">
        <f aca="false">IF(OR(LEFT(C26,3)="GI0",LEFT(C26,3)="GA0"),1,0)</f>
        <v>0</v>
      </c>
      <c r="V26" s="9" t="str">
        <f aca="false">IF(G26="","Sin dato (ID GI)",TRIM(G26))</f>
        <v>COE Experiencia</v>
      </c>
      <c r="W26" s="9" t="str">
        <f aca="false">IF(F26="","Sin dato",F26)</f>
        <v>Nube</v>
      </c>
      <c r="X26" s="9" t="str">
        <f aca="false">IF(M26="","",YEAR(M26))</f>
        <v/>
      </c>
      <c r="Y26" s="10" t="str">
        <f aca="false">IF(M26="","",DATE(YEAR(M26),MONTH(M26),1))</f>
        <v/>
      </c>
      <c r="Z26" s="9" t="n">
        <f aca="false">IF(AND(Q26=0,COUNTIF(dDuplicadosGI!$A$2:$A$60,C26)&gt;0),1,0)</f>
        <v>0</v>
      </c>
      <c r="AA26" s="9" t="n">
        <f aca="false">IF(Q26=0,1,0)</f>
        <v>1</v>
      </c>
    </row>
    <row r="27" customFormat="false" ht="15" hidden="false" customHeight="false" outlineLevel="0" collapsed="false">
      <c r="A27" s="7" t="n">
        <v>26</v>
      </c>
      <c r="B27" s="7" t="s">
        <v>235</v>
      </c>
      <c r="C27" s="7" t="s">
        <v>236</v>
      </c>
      <c r="D27" s="7" t="s">
        <v>237</v>
      </c>
      <c r="E27" s="7" t="s">
        <v>93</v>
      </c>
      <c r="F27" s="7" t="s">
        <v>94</v>
      </c>
      <c r="G27" s="7" t="s">
        <v>192</v>
      </c>
      <c r="H27" s="7" t="s">
        <v>193</v>
      </c>
      <c r="I27" s="7" t="s">
        <v>238</v>
      </c>
      <c r="J27" s="7" t="s">
        <v>239</v>
      </c>
      <c r="K27" s="7" t="s">
        <v>98</v>
      </c>
      <c r="L27" s="7" t="s">
        <v>99</v>
      </c>
      <c r="M27" s="8"/>
      <c r="N27" s="7" t="s">
        <v>109</v>
      </c>
      <c r="O27" s="9" t="n">
        <f aca="false">IF(COUNTIFS($B$2:B27,B27,$C$2:C27,C27)=1,1,0)</f>
        <v>1</v>
      </c>
      <c r="P27" s="9" t="str">
        <f aca="false">IFERROR(INDEX(dEtapa!$A$2:$A$6,MATCH(N27,dEtapa!$B$2:$B$6,0)),"Sin etapa")</f>
        <v>Planificada 2027</v>
      </c>
      <c r="Q27" s="9" t="n">
        <f aca="false">IF(L27="Si",1,0)</f>
        <v>0</v>
      </c>
      <c r="R27" s="9" t="n">
        <f aca="false">IF(ISNUMBER(SEARCH("CRITERIO",N27)),1,0)</f>
        <v>0</v>
      </c>
      <c r="S27" s="9" t="str">
        <f aca="false">IF(E27="","Sin dato",LEFT(E27,1))</f>
        <v>D</v>
      </c>
      <c r="T27" s="9" t="n">
        <f aca="false">IFERROR(INDEX(dCriticidad!$G$2:$G$7,MATCH(S27,dCriticidad!$A$2:$A$7,0)),0)</f>
        <v>0</v>
      </c>
      <c r="U27" s="9" t="n">
        <f aca="false">IF(OR(LEFT(C27,3)="GI0",LEFT(C27,3)="GA0"),1,0)</f>
        <v>0</v>
      </c>
      <c r="V27" s="9" t="str">
        <f aca="false">IF(G27="","Sin dato (ID GI)",TRIM(G27))</f>
        <v>AREAS_DE_APOYO</v>
      </c>
      <c r="W27" s="9" t="str">
        <f aca="false">IF(F27="","Sin dato",F27)</f>
        <v>Nube</v>
      </c>
      <c r="X27" s="9" t="str">
        <f aca="false">IF(M27="","",YEAR(M27))</f>
        <v/>
      </c>
      <c r="Y27" s="10" t="str">
        <f aca="false">IF(M27="","",DATE(YEAR(M27),MONTH(M27),1))</f>
        <v/>
      </c>
      <c r="Z27" s="9" t="n">
        <f aca="false">IF(AND(Q27=0,COUNTIF(dDuplicadosGI!$A$2:$A$60,C27)&gt;0),1,0)</f>
        <v>0</v>
      </c>
      <c r="AA27" s="9" t="n">
        <f aca="false">IF(Q27=0,1,0)</f>
        <v>1</v>
      </c>
    </row>
    <row r="28" customFormat="false" ht="15" hidden="false" customHeight="false" outlineLevel="0" collapsed="false">
      <c r="A28" s="7" t="n">
        <v>27</v>
      </c>
      <c r="B28" s="7" t="s">
        <v>240</v>
      </c>
      <c r="C28" s="7" t="s">
        <v>241</v>
      </c>
      <c r="D28" s="7" t="s">
        <v>242</v>
      </c>
      <c r="E28" s="7" t="s">
        <v>119</v>
      </c>
      <c r="F28" s="7" t="s">
        <v>94</v>
      </c>
      <c r="G28" s="7" t="s">
        <v>243</v>
      </c>
      <c r="H28" s="7" t="s">
        <v>244</v>
      </c>
      <c r="I28" s="7" t="s">
        <v>133</v>
      </c>
      <c r="J28" s="7" t="s">
        <v>135</v>
      </c>
      <c r="K28" s="7" t="s">
        <v>87</v>
      </c>
      <c r="L28" s="7" t="s">
        <v>99</v>
      </c>
      <c r="M28" s="8"/>
      <c r="N28" s="7" t="s">
        <v>109</v>
      </c>
      <c r="O28" s="9" t="n">
        <f aca="false">IF(COUNTIFS($B$2:B28,B28,$C$2:C28,C28)=1,1,0)</f>
        <v>1</v>
      </c>
      <c r="P28" s="9" t="str">
        <f aca="false">IFERROR(INDEX(dEtapa!$A$2:$A$6,MATCH(N28,dEtapa!$B$2:$B$6,0)),"Sin etapa")</f>
        <v>Planificada 2027</v>
      </c>
      <c r="Q28" s="9" t="n">
        <f aca="false">IF(L28="Si",1,0)</f>
        <v>0</v>
      </c>
      <c r="R28" s="9" t="n">
        <f aca="false">IF(ISNUMBER(SEARCH("CRITERIO",N28)),1,0)</f>
        <v>0</v>
      </c>
      <c r="S28" s="9" t="str">
        <f aca="false">IF(E28="","Sin dato",LEFT(E28,1))</f>
        <v>E</v>
      </c>
      <c r="T28" s="9" t="n">
        <f aca="false">IFERROR(INDEX(dCriticidad!$G$2:$G$7,MATCH(S28,dCriticidad!$A$2:$A$7,0)),0)</f>
        <v>0</v>
      </c>
      <c r="U28" s="9" t="n">
        <f aca="false">IF(OR(LEFT(C28,3)="GI0",LEFT(C28,3)="GA0"),1,0)</f>
        <v>0</v>
      </c>
      <c r="V28" s="9" t="str">
        <f aca="false">IF(G28="","Sin dato (ID GI)",TRIM(G28))</f>
        <v>MICROFINANZAS</v>
      </c>
      <c r="W28" s="9" t="str">
        <f aca="false">IF(F28="","Sin dato",F28)</f>
        <v>Nube</v>
      </c>
      <c r="X28" s="9" t="str">
        <f aca="false">IF(M28="","",YEAR(M28))</f>
        <v/>
      </c>
      <c r="Y28" s="10" t="str">
        <f aca="false">IF(M28="","",DATE(YEAR(M28),MONTH(M28),1))</f>
        <v/>
      </c>
      <c r="Z28" s="9" t="n">
        <f aca="false">IF(AND(Q28=0,COUNTIF(dDuplicadosGI!$A$2:$A$60,C28)&gt;0),1,0)</f>
        <v>0</v>
      </c>
      <c r="AA28" s="9" t="n">
        <f aca="false">IF(Q28=0,1,0)</f>
        <v>1</v>
      </c>
    </row>
    <row r="29" customFormat="false" ht="15" hidden="false" customHeight="false" outlineLevel="0" collapsed="false">
      <c r="A29" s="7" t="n">
        <v>28</v>
      </c>
      <c r="B29" s="7" t="s">
        <v>245</v>
      </c>
      <c r="C29" s="7" t="s">
        <v>246</v>
      </c>
      <c r="D29" s="7" t="s">
        <v>247</v>
      </c>
      <c r="E29" s="7" t="s">
        <v>119</v>
      </c>
      <c r="F29" s="7" t="s">
        <v>94</v>
      </c>
      <c r="G29" s="7" t="s">
        <v>243</v>
      </c>
      <c r="H29" s="7" t="s">
        <v>133</v>
      </c>
      <c r="I29" s="7" t="s">
        <v>248</v>
      </c>
      <c r="J29" s="7" t="s">
        <v>249</v>
      </c>
      <c r="K29" s="7" t="s">
        <v>87</v>
      </c>
      <c r="L29" s="7" t="s">
        <v>99</v>
      </c>
      <c r="M29" s="8"/>
      <c r="N29" s="7" t="s">
        <v>100</v>
      </c>
      <c r="O29" s="9" t="n">
        <f aca="false">IF(COUNTIFS($B$2:B29,B29,$C$2:C29,C29)=1,1,0)</f>
        <v>1</v>
      </c>
      <c r="P29" s="9" t="str">
        <f aca="false">IFERROR(INDEX(dEtapa!$A$2:$A$6,MATCH(N29,dEtapa!$B$2:$B$6,0)),"Sin etapa")</f>
        <v>Criterio 1</v>
      </c>
      <c r="Q29" s="9" t="n">
        <f aca="false">IF(L29="Si",1,0)</f>
        <v>0</v>
      </c>
      <c r="R29" s="9" t="n">
        <f aca="false">IF(ISNUMBER(SEARCH("CRITERIO",N29)),1,0)</f>
        <v>1</v>
      </c>
      <c r="S29" s="9" t="str">
        <f aca="false">IF(E29="","Sin dato",LEFT(E29,1))</f>
        <v>E</v>
      </c>
      <c r="T29" s="9" t="n">
        <f aca="false">IFERROR(INDEX(dCriticidad!$G$2:$G$7,MATCH(S29,dCriticidad!$A$2:$A$7,0)),0)</f>
        <v>0</v>
      </c>
      <c r="U29" s="9" t="n">
        <f aca="false">IF(OR(LEFT(C29,3)="GI0",LEFT(C29,3)="GA0"),1,0)</f>
        <v>0</v>
      </c>
      <c r="V29" s="9" t="str">
        <f aca="false">IF(G29="","Sin dato (ID GI)",TRIM(G29))</f>
        <v>MICROFINANZAS</v>
      </c>
      <c r="W29" s="9" t="str">
        <f aca="false">IF(F29="","Sin dato",F29)</f>
        <v>Nube</v>
      </c>
      <c r="X29" s="9" t="str">
        <f aca="false">IF(M29="","",YEAR(M29))</f>
        <v/>
      </c>
      <c r="Y29" s="10" t="str">
        <f aca="false">IF(M29="","",DATE(YEAR(M29),MONTH(M29),1))</f>
        <v/>
      </c>
      <c r="Z29" s="9" t="n">
        <f aca="false">IF(AND(Q29=0,COUNTIF(dDuplicadosGI!$A$2:$A$60,C29)&gt;0),1,0)</f>
        <v>0</v>
      </c>
      <c r="AA29" s="9" t="n">
        <f aca="false">IF(Q29=0,1,0)</f>
        <v>1</v>
      </c>
    </row>
    <row r="30" customFormat="false" ht="15" hidden="false" customHeight="false" outlineLevel="0" collapsed="false">
      <c r="A30" s="7" t="n">
        <v>29</v>
      </c>
      <c r="B30" s="7" t="s">
        <v>250</v>
      </c>
      <c r="C30" s="7" t="s">
        <v>251</v>
      </c>
      <c r="D30" s="7" t="s">
        <v>252</v>
      </c>
      <c r="E30" s="7" t="s">
        <v>119</v>
      </c>
      <c r="F30" s="7" t="s">
        <v>82</v>
      </c>
      <c r="G30" s="7" t="s">
        <v>253</v>
      </c>
      <c r="H30" s="7" t="s">
        <v>254</v>
      </c>
      <c r="I30" s="7" t="s">
        <v>255</v>
      </c>
      <c r="J30" s="7" t="s">
        <v>256</v>
      </c>
      <c r="K30" s="7" t="s">
        <v>87</v>
      </c>
      <c r="L30" s="7" t="s">
        <v>99</v>
      </c>
      <c r="M30" s="8"/>
      <c r="N30" s="7" t="s">
        <v>100</v>
      </c>
      <c r="O30" s="9" t="n">
        <f aca="false">IF(COUNTIFS($B$2:B30,B30,$C$2:C30,C30)=1,1,0)</f>
        <v>1</v>
      </c>
      <c r="P30" s="9" t="str">
        <f aca="false">IFERROR(INDEX(dEtapa!$A$2:$A$6,MATCH(N30,dEtapa!$B$2:$B$6,0)),"Sin etapa")</f>
        <v>Criterio 1</v>
      </c>
      <c r="Q30" s="9" t="n">
        <f aca="false">IF(L30="Si",1,0)</f>
        <v>0</v>
      </c>
      <c r="R30" s="9" t="n">
        <f aca="false">IF(ISNUMBER(SEARCH("CRITERIO",N30)),1,0)</f>
        <v>1</v>
      </c>
      <c r="S30" s="9" t="str">
        <f aca="false">IF(E30="","Sin dato",LEFT(E30,1))</f>
        <v>E</v>
      </c>
      <c r="T30" s="9" t="n">
        <f aca="false">IFERROR(INDEX(dCriticidad!$G$2:$G$7,MATCH(S30,dCriticidad!$A$2:$A$7,0)),0)</f>
        <v>0</v>
      </c>
      <c r="U30" s="9" t="n">
        <f aca="false">IF(OR(LEFT(C30,3)="GI0",LEFT(C30,3)="GA0"),1,0)</f>
        <v>0</v>
      </c>
      <c r="V30" s="9" t="str">
        <f aca="false">IF(G30="","Sin dato (ID GI)",TRIM(G30))</f>
        <v>Tribu Administración de Créditos</v>
      </c>
      <c r="W30" s="9" t="str">
        <f aca="false">IF(F30="","Sin dato",F30)</f>
        <v>On Premise</v>
      </c>
      <c r="X30" s="9" t="str">
        <f aca="false">IF(M30="","",YEAR(M30))</f>
        <v/>
      </c>
      <c r="Y30" s="10" t="str">
        <f aca="false">IF(M30="","",DATE(YEAR(M30),MONTH(M30),1))</f>
        <v/>
      </c>
      <c r="Z30" s="9" t="n">
        <f aca="false">IF(AND(Q30=0,COUNTIF(dDuplicadosGI!$A$2:$A$60,C30)&gt;0),1,0)</f>
        <v>0</v>
      </c>
      <c r="AA30" s="9" t="n">
        <f aca="false">IF(Q30=0,1,0)</f>
        <v>1</v>
      </c>
    </row>
    <row r="31" customFormat="false" ht="15" hidden="false" customHeight="false" outlineLevel="0" collapsed="false">
      <c r="A31" s="7" t="n">
        <v>30</v>
      </c>
      <c r="B31" s="7" t="s">
        <v>257</v>
      </c>
      <c r="C31" s="7" t="s">
        <v>258</v>
      </c>
      <c r="D31" s="7" t="s">
        <v>259</v>
      </c>
      <c r="E31" s="7" t="s">
        <v>119</v>
      </c>
      <c r="F31" s="7" t="s">
        <v>82</v>
      </c>
      <c r="G31" s="7" t="s">
        <v>260</v>
      </c>
      <c r="H31" s="7" t="s">
        <v>261</v>
      </c>
      <c r="I31" s="7" t="s">
        <v>261</v>
      </c>
      <c r="J31" s="7" t="s">
        <v>261</v>
      </c>
      <c r="K31" s="7" t="s">
        <v>98</v>
      </c>
      <c r="L31" s="7" t="s">
        <v>99</v>
      </c>
      <c r="M31" s="8"/>
      <c r="N31" s="7" t="s">
        <v>109</v>
      </c>
      <c r="O31" s="9" t="n">
        <f aca="false">IF(COUNTIFS($B$2:B31,B31,$C$2:C31,C31)=1,1,0)</f>
        <v>1</v>
      </c>
      <c r="P31" s="9" t="str">
        <f aca="false">IFERROR(INDEX(dEtapa!$A$2:$A$6,MATCH(N31,dEtapa!$B$2:$B$6,0)),"Sin etapa")</f>
        <v>Planificada 2027</v>
      </c>
      <c r="Q31" s="9" t="n">
        <f aca="false">IF(L31="Si",1,0)</f>
        <v>0</v>
      </c>
      <c r="R31" s="9" t="n">
        <f aca="false">IF(ISNUMBER(SEARCH("CRITERIO",N31)),1,0)</f>
        <v>0</v>
      </c>
      <c r="S31" s="9" t="str">
        <f aca="false">IF(E31="","Sin dato",LEFT(E31,1))</f>
        <v>E</v>
      </c>
      <c r="T31" s="9" t="n">
        <f aca="false">IFERROR(INDEX(dCriticidad!$G$2:$G$7,MATCH(S31,dCriticidad!$A$2:$A$7,0)),0)</f>
        <v>0</v>
      </c>
      <c r="U31" s="9" t="n">
        <f aca="false">IF(OR(LEFT(C31,3)="GI0",LEFT(C31,3)="GA0"),1,0)</f>
        <v>0</v>
      </c>
      <c r="V31" s="9" t="str">
        <f aca="false">IF(G31="","Sin dato (ID GI)",TRIM(G31))</f>
        <v>COE DATOS&amp;ANALITICA</v>
      </c>
      <c r="W31" s="9" t="str">
        <f aca="false">IF(F31="","Sin dato",F31)</f>
        <v>On Premise</v>
      </c>
      <c r="X31" s="9" t="str">
        <f aca="false">IF(M31="","",YEAR(M31))</f>
        <v/>
      </c>
      <c r="Y31" s="10" t="str">
        <f aca="false">IF(M31="","",DATE(YEAR(M31),MONTH(M31),1))</f>
        <v/>
      </c>
      <c r="Z31" s="9" t="n">
        <f aca="false">IF(AND(Q31=0,COUNTIF(dDuplicadosGI!$A$2:$A$60,C31)&gt;0),1,0)</f>
        <v>0</v>
      </c>
      <c r="AA31" s="9" t="n">
        <f aca="false">IF(Q31=0,1,0)</f>
        <v>1</v>
      </c>
    </row>
    <row r="32" customFormat="false" ht="15" hidden="false" customHeight="false" outlineLevel="0" collapsed="false">
      <c r="A32" s="7" t="n">
        <v>31</v>
      </c>
      <c r="B32" s="7" t="s">
        <v>262</v>
      </c>
      <c r="C32" s="7" t="s">
        <v>263</v>
      </c>
      <c r="D32" s="7" t="s">
        <v>264</v>
      </c>
      <c r="E32" s="7" t="s">
        <v>145</v>
      </c>
      <c r="F32" s="7" t="s">
        <v>94</v>
      </c>
      <c r="G32" s="7" t="s">
        <v>104</v>
      </c>
      <c r="H32" s="7" t="s">
        <v>105</v>
      </c>
      <c r="I32" s="7" t="s">
        <v>265</v>
      </c>
      <c r="J32" s="7" t="s">
        <v>120</v>
      </c>
      <c r="K32" s="7" t="s">
        <v>98</v>
      </c>
      <c r="L32" s="7" t="s">
        <v>99</v>
      </c>
      <c r="M32" s="8"/>
      <c r="N32" s="7" t="s">
        <v>100</v>
      </c>
      <c r="O32" s="9" t="n">
        <f aca="false">IF(COUNTIFS($B$2:B32,B32,$C$2:C32,C32)=1,1,0)</f>
        <v>1</v>
      </c>
      <c r="P32" s="9" t="str">
        <f aca="false">IFERROR(INDEX(dEtapa!$A$2:$A$6,MATCH(N32,dEtapa!$B$2:$B$6,0)),"Sin etapa")</f>
        <v>Criterio 1</v>
      </c>
      <c r="Q32" s="9" t="n">
        <f aca="false">IF(L32="Si",1,0)</f>
        <v>0</v>
      </c>
      <c r="R32" s="9" t="n">
        <f aca="false">IF(ISNUMBER(SEARCH("CRITERIO",N32)),1,0)</f>
        <v>1</v>
      </c>
      <c r="S32" s="9" t="str">
        <f aca="false">IF(E32="","Sin dato",LEFT(E32,1))</f>
        <v>B</v>
      </c>
      <c r="T32" s="9" t="n">
        <f aca="false">IFERROR(INDEX(dCriticidad!$G$2:$G$7,MATCH(S32,dCriticidad!$A$2:$A$7,0)),0)</f>
        <v>1</v>
      </c>
      <c r="U32" s="9" t="n">
        <f aca="false">IF(OR(LEFT(C32,3)="GI0",LEFT(C32,3)="GA0"),1,0)</f>
        <v>0</v>
      </c>
      <c r="V32" s="9" t="str">
        <f aca="false">IF(G32="","Sin dato (ID GI)",TRIM(G32))</f>
        <v>INFRAESTRUCTURA</v>
      </c>
      <c r="W32" s="9" t="str">
        <f aca="false">IF(F32="","Sin dato",F32)</f>
        <v>Nube</v>
      </c>
      <c r="X32" s="9" t="str">
        <f aca="false">IF(M32="","",YEAR(M32))</f>
        <v/>
      </c>
      <c r="Y32" s="10" t="str">
        <f aca="false">IF(M32="","",DATE(YEAR(M32),MONTH(M32),1))</f>
        <v/>
      </c>
      <c r="Z32" s="9" t="n">
        <f aca="false">IF(AND(Q32=0,COUNTIF(dDuplicadosGI!$A$2:$A$60,C32)&gt;0),1,0)</f>
        <v>0</v>
      </c>
      <c r="AA32" s="9" t="n">
        <f aca="false">IF(Q32=0,1,0)</f>
        <v>1</v>
      </c>
    </row>
    <row r="33" customFormat="false" ht="15" hidden="false" customHeight="false" outlineLevel="0" collapsed="false">
      <c r="A33" s="7" t="n">
        <v>32</v>
      </c>
      <c r="B33" s="7" t="s">
        <v>266</v>
      </c>
      <c r="C33" s="7" t="s">
        <v>267</v>
      </c>
      <c r="D33" s="7" t="s">
        <v>268</v>
      </c>
      <c r="E33" s="7" t="s">
        <v>119</v>
      </c>
      <c r="F33" s="7" t="s">
        <v>269</v>
      </c>
      <c r="G33" s="7" t="s">
        <v>192</v>
      </c>
      <c r="H33" s="7" t="s">
        <v>193</v>
      </c>
      <c r="I33" s="7" t="s">
        <v>194</v>
      </c>
      <c r="J33" s="7" t="s">
        <v>195</v>
      </c>
      <c r="K33" s="7" t="s">
        <v>98</v>
      </c>
      <c r="L33" s="7" t="s">
        <v>99</v>
      </c>
      <c r="M33" s="8"/>
      <c r="N33" s="7" t="s">
        <v>100</v>
      </c>
      <c r="O33" s="9" t="n">
        <f aca="false">IF(COUNTIFS($B$2:B33,B33,$C$2:C33,C33)=1,1,0)</f>
        <v>1</v>
      </c>
      <c r="P33" s="9" t="str">
        <f aca="false">IFERROR(INDEX(dEtapa!$A$2:$A$6,MATCH(N33,dEtapa!$B$2:$B$6,0)),"Sin etapa")</f>
        <v>Criterio 1</v>
      </c>
      <c r="Q33" s="9" t="n">
        <f aca="false">IF(L33="Si",1,0)</f>
        <v>0</v>
      </c>
      <c r="R33" s="9" t="n">
        <f aca="false">IF(ISNUMBER(SEARCH("CRITERIO",N33)),1,0)</f>
        <v>1</v>
      </c>
      <c r="S33" s="9" t="str">
        <f aca="false">IF(E33="","Sin dato",LEFT(E33,1))</f>
        <v>E</v>
      </c>
      <c r="T33" s="9" t="n">
        <f aca="false">IFERROR(INDEX(dCriticidad!$G$2:$G$7,MATCH(S33,dCriticidad!$A$2:$A$7,0)),0)</f>
        <v>0</v>
      </c>
      <c r="U33" s="9" t="n">
        <f aca="false">IF(OR(LEFT(C33,3)="GI0",LEFT(C33,3)="GA0"),1,0)</f>
        <v>0</v>
      </c>
      <c r="V33" s="9" t="str">
        <f aca="false">IF(G33="","Sin dato (ID GI)",TRIM(G33))</f>
        <v>AREAS_DE_APOYO</v>
      </c>
      <c r="W33" s="9" t="str">
        <f aca="false">IF(F33="","Sin dato",F33)</f>
        <v>Híbrida</v>
      </c>
      <c r="X33" s="9" t="str">
        <f aca="false">IF(M33="","",YEAR(M33))</f>
        <v/>
      </c>
      <c r="Y33" s="10" t="str">
        <f aca="false">IF(M33="","",DATE(YEAR(M33),MONTH(M33),1))</f>
        <v/>
      </c>
      <c r="Z33" s="9" t="n">
        <f aca="false">IF(AND(Q33=0,COUNTIF(dDuplicadosGI!$A$2:$A$60,C33)&gt;0),1,0)</f>
        <v>0</v>
      </c>
      <c r="AA33" s="9" t="n">
        <f aca="false">IF(Q33=0,1,0)</f>
        <v>1</v>
      </c>
    </row>
    <row r="34" customFormat="false" ht="15" hidden="false" customHeight="false" outlineLevel="0" collapsed="false">
      <c r="A34" s="7" t="n">
        <v>33</v>
      </c>
      <c r="B34" s="7" t="s">
        <v>270</v>
      </c>
      <c r="C34" s="7" t="s">
        <v>271</v>
      </c>
      <c r="D34" s="7" t="s">
        <v>272</v>
      </c>
      <c r="E34" s="7" t="s">
        <v>93</v>
      </c>
      <c r="F34" s="7" t="s">
        <v>82</v>
      </c>
      <c r="G34" s="7" t="s">
        <v>139</v>
      </c>
      <c r="H34" s="7" t="s">
        <v>97</v>
      </c>
      <c r="I34" s="7" t="s">
        <v>140</v>
      </c>
      <c r="J34" s="7" t="s">
        <v>141</v>
      </c>
      <c r="K34" s="7" t="s">
        <v>87</v>
      </c>
      <c r="L34" s="7" t="s">
        <v>88</v>
      </c>
      <c r="M34" s="8" t="n">
        <v>45199</v>
      </c>
      <c r="N34" s="7" t="s">
        <v>89</v>
      </c>
      <c r="O34" s="9" t="n">
        <f aca="false">IF(COUNTIFS($B$2:B34,B34,$C$2:C34,C34)=1,1,0)</f>
        <v>1</v>
      </c>
      <c r="P34" s="9" t="str">
        <f aca="false">IFERROR(INDEX(dEtapa!$A$2:$A$6,MATCH(N34,dEtapa!$B$2:$B$6,0)),"Sin etapa")</f>
        <v>Gobernada</v>
      </c>
      <c r="Q34" s="9" t="n">
        <f aca="false">IF(L34="Si",1,0)</f>
        <v>1</v>
      </c>
      <c r="R34" s="9" t="n">
        <f aca="false">IF(ISNUMBER(SEARCH("CRITERIO",N34)),1,0)</f>
        <v>0</v>
      </c>
      <c r="S34" s="9" t="str">
        <f aca="false">IF(E34="","Sin dato",LEFT(E34,1))</f>
        <v>D</v>
      </c>
      <c r="T34" s="9" t="n">
        <f aca="false">IFERROR(INDEX(dCriticidad!$G$2:$G$7,MATCH(S34,dCriticidad!$A$2:$A$7,0)),0)</f>
        <v>0</v>
      </c>
      <c r="U34" s="9" t="n">
        <f aca="false">IF(OR(LEFT(C34,3)="GI0",LEFT(C34,3)="GA0"),1,0)</f>
        <v>0</v>
      </c>
      <c r="V34" s="9" t="str">
        <f aca="false">IF(G34="","Sin dato (ID GI)",TRIM(G34))</f>
        <v>Frente de Soluciones Empresariales</v>
      </c>
      <c r="W34" s="9" t="str">
        <f aca="false">IF(F34="","Sin dato",F34)</f>
        <v>On Premise</v>
      </c>
      <c r="X34" s="9" t="n">
        <f aca="false">IF(M34="","",YEAR(M34))</f>
        <v>2023</v>
      </c>
      <c r="Y34" s="10" t="n">
        <f aca="false">IF(M34="","",DATE(YEAR(M34),MONTH(M34),1))</f>
        <v>45170</v>
      </c>
      <c r="Z34" s="9" t="n">
        <f aca="false">IF(AND(Q34=0,COUNTIF(dDuplicadosGI!$A$2:$A$60,C34)&gt;0),1,0)</f>
        <v>0</v>
      </c>
      <c r="AA34" s="9" t="n">
        <f aca="false">IF(Q34=0,1,0)</f>
        <v>0</v>
      </c>
    </row>
    <row r="35" customFormat="false" ht="15" hidden="false" customHeight="false" outlineLevel="0" collapsed="false">
      <c r="A35" s="7" t="n">
        <v>34</v>
      </c>
      <c r="B35" s="7" t="s">
        <v>273</v>
      </c>
      <c r="C35" s="7" t="s">
        <v>274</v>
      </c>
      <c r="D35" s="7" t="s">
        <v>275</v>
      </c>
      <c r="E35" s="7" t="s">
        <v>93</v>
      </c>
      <c r="F35" s="7" t="s">
        <v>82</v>
      </c>
      <c r="G35" s="7" t="s">
        <v>132</v>
      </c>
      <c r="H35" s="7" t="s">
        <v>133</v>
      </c>
      <c r="I35" s="7" t="s">
        <v>134</v>
      </c>
      <c r="J35" s="7" t="s">
        <v>135</v>
      </c>
      <c r="K35" s="7" t="s">
        <v>87</v>
      </c>
      <c r="L35" s="7" t="s">
        <v>88</v>
      </c>
      <c r="M35" s="8" t="n">
        <v>45199</v>
      </c>
      <c r="N35" s="7" t="s">
        <v>89</v>
      </c>
      <c r="O35" s="9" t="n">
        <f aca="false">IF(COUNTIFS($B$2:B35,B35,$C$2:C35,C35)=1,1,0)</f>
        <v>1</v>
      </c>
      <c r="P35" s="9" t="str">
        <f aca="false">IFERROR(INDEX(dEtapa!$A$2:$A$6,MATCH(N35,dEtapa!$B$2:$B$6,0)),"Sin etapa")</f>
        <v>Gobernada</v>
      </c>
      <c r="Q35" s="9" t="n">
        <f aca="false">IF(L35="Si",1,0)</f>
        <v>1</v>
      </c>
      <c r="R35" s="9" t="n">
        <f aca="false">IF(ISNUMBER(SEARCH("CRITERIO",N35)),1,0)</f>
        <v>0</v>
      </c>
      <c r="S35" s="9" t="str">
        <f aca="false">IF(E35="","Sin dato",LEFT(E35,1))</f>
        <v>D</v>
      </c>
      <c r="T35" s="9" t="n">
        <f aca="false">IFERROR(INDEX(dCriticidad!$G$2:$G$7,MATCH(S35,dCriticidad!$A$2:$A$7,0)),0)</f>
        <v>0</v>
      </c>
      <c r="U35" s="9" t="n">
        <f aca="false">IF(OR(LEFT(C35,3)="GI0",LEFT(C35,3)="GA0"),1,0)</f>
        <v>0</v>
      </c>
      <c r="V35" s="9" t="str">
        <f aca="false">IF(G35="","Sin dato (ID GI)",TRIM(G35))</f>
        <v>ACTIVOS</v>
      </c>
      <c r="W35" s="9" t="str">
        <f aca="false">IF(F35="","Sin dato",F35)</f>
        <v>On Premise</v>
      </c>
      <c r="X35" s="9" t="n">
        <f aca="false">IF(M35="","",YEAR(M35))</f>
        <v>2023</v>
      </c>
      <c r="Y35" s="10" t="n">
        <f aca="false">IF(M35="","",DATE(YEAR(M35),MONTH(M35),1))</f>
        <v>45170</v>
      </c>
      <c r="Z35" s="9" t="n">
        <f aca="false">IF(AND(Q35=0,COUNTIF(dDuplicadosGI!$A$2:$A$60,C35)&gt;0),1,0)</f>
        <v>0</v>
      </c>
      <c r="AA35" s="9" t="n">
        <f aca="false">IF(Q35=0,1,0)</f>
        <v>0</v>
      </c>
    </row>
    <row r="36" customFormat="false" ht="15" hidden="false" customHeight="false" outlineLevel="0" collapsed="false">
      <c r="A36" s="7" t="n">
        <v>35</v>
      </c>
      <c r="B36" s="7" t="s">
        <v>276</v>
      </c>
      <c r="C36" s="7" t="s">
        <v>277</v>
      </c>
      <c r="D36" s="7" t="s">
        <v>151</v>
      </c>
      <c r="E36" s="7" t="s">
        <v>113</v>
      </c>
      <c r="F36" s="7" t="s">
        <v>94</v>
      </c>
      <c r="G36" s="7" t="s">
        <v>125</v>
      </c>
      <c r="H36" s="7" t="s">
        <v>126</v>
      </c>
      <c r="I36" s="7" t="s">
        <v>278</v>
      </c>
      <c r="J36" s="7" t="s">
        <v>279</v>
      </c>
      <c r="K36" s="7" t="s">
        <v>87</v>
      </c>
      <c r="L36" s="7" t="s">
        <v>88</v>
      </c>
      <c r="M36" s="8" t="n">
        <v>45200</v>
      </c>
      <c r="N36" s="7" t="s">
        <v>89</v>
      </c>
      <c r="O36" s="9" t="n">
        <f aca="false">IF(COUNTIFS($B$2:B36,B36,$C$2:C36,C36)=1,1,0)</f>
        <v>1</v>
      </c>
      <c r="P36" s="9" t="str">
        <f aca="false">IFERROR(INDEX(dEtapa!$A$2:$A$6,MATCH(N36,dEtapa!$B$2:$B$6,0)),"Sin etapa")</f>
        <v>Gobernada</v>
      </c>
      <c r="Q36" s="9" t="n">
        <f aca="false">IF(L36="Si",1,0)</f>
        <v>1</v>
      </c>
      <c r="R36" s="9" t="n">
        <f aca="false">IF(ISNUMBER(SEARCH("CRITERIO",N36)),1,0)</f>
        <v>0</v>
      </c>
      <c r="S36" s="9" t="str">
        <f aca="false">IF(E36="","Sin dato",LEFT(E36,1))</f>
        <v>C</v>
      </c>
      <c r="T36" s="9" t="n">
        <f aca="false">IFERROR(INDEX(dCriticidad!$G$2:$G$7,MATCH(S36,dCriticidad!$A$2:$A$7,0)),0)</f>
        <v>1</v>
      </c>
      <c r="U36" s="9" t="n">
        <f aca="false">IF(OR(LEFT(C36,3)="GI0",LEFT(C36,3)="GA0"),1,0)</f>
        <v>0</v>
      </c>
      <c r="V36" s="9" t="str">
        <f aca="false">IF(G36="","Sin dato (ID GI)",TRIM(G36))</f>
        <v>Negocios y Monetización</v>
      </c>
      <c r="W36" s="9" t="str">
        <f aca="false">IF(F36="","Sin dato",F36)</f>
        <v>Nube</v>
      </c>
      <c r="X36" s="9" t="n">
        <f aca="false">IF(M36="","",YEAR(M36))</f>
        <v>2023</v>
      </c>
      <c r="Y36" s="10" t="n">
        <f aca="false">IF(M36="","",DATE(YEAR(M36),MONTH(M36),1))</f>
        <v>45200</v>
      </c>
      <c r="Z36" s="9" t="n">
        <f aca="false">IF(AND(Q36=0,COUNTIF(dDuplicadosGI!$A$2:$A$60,C36)&gt;0),1,0)</f>
        <v>0</v>
      </c>
      <c r="AA36" s="9" t="n">
        <f aca="false">IF(Q36=0,1,0)</f>
        <v>0</v>
      </c>
    </row>
    <row r="37" customFormat="false" ht="15" hidden="false" customHeight="false" outlineLevel="0" collapsed="false">
      <c r="A37" s="7" t="n">
        <v>36</v>
      </c>
      <c r="B37" s="7" t="s">
        <v>280</v>
      </c>
      <c r="C37" s="7" t="s">
        <v>281</v>
      </c>
      <c r="D37" s="7" t="s">
        <v>282</v>
      </c>
      <c r="E37" s="7" t="s">
        <v>119</v>
      </c>
      <c r="F37" s="7" t="s">
        <v>94</v>
      </c>
      <c r="G37" s="7" t="s">
        <v>125</v>
      </c>
      <c r="H37" s="7" t="s">
        <v>126</v>
      </c>
      <c r="I37" s="7" t="s">
        <v>127</v>
      </c>
      <c r="J37" s="7" t="s">
        <v>279</v>
      </c>
      <c r="K37" s="7" t="s">
        <v>87</v>
      </c>
      <c r="L37" s="7" t="s">
        <v>88</v>
      </c>
      <c r="M37" s="8" t="n">
        <v>46052</v>
      </c>
      <c r="N37" s="7" t="s">
        <v>89</v>
      </c>
      <c r="O37" s="9" t="n">
        <f aca="false">IF(COUNTIFS($B$2:B37,B37,$C$2:C37,C37)=1,1,0)</f>
        <v>1</v>
      </c>
      <c r="P37" s="9" t="str">
        <f aca="false">IFERROR(INDEX(dEtapa!$A$2:$A$6,MATCH(N37,dEtapa!$B$2:$B$6,0)),"Sin etapa")</f>
        <v>Gobernada</v>
      </c>
      <c r="Q37" s="9" t="n">
        <f aca="false">IF(L37="Si",1,0)</f>
        <v>1</v>
      </c>
      <c r="R37" s="9" t="n">
        <f aca="false">IF(ISNUMBER(SEARCH("CRITERIO",N37)),1,0)</f>
        <v>0</v>
      </c>
      <c r="S37" s="9" t="str">
        <f aca="false">IF(E37="","Sin dato",LEFT(E37,1))</f>
        <v>E</v>
      </c>
      <c r="T37" s="9" t="n">
        <f aca="false">IFERROR(INDEX(dCriticidad!$G$2:$G$7,MATCH(S37,dCriticidad!$A$2:$A$7,0)),0)</f>
        <v>0</v>
      </c>
      <c r="U37" s="9" t="n">
        <f aca="false">IF(OR(LEFT(C37,3)="GI0",LEFT(C37,3)="GA0"),1,0)</f>
        <v>0</v>
      </c>
      <c r="V37" s="9" t="str">
        <f aca="false">IF(G37="","Sin dato (ID GI)",TRIM(G37))</f>
        <v>Negocios y Monetización</v>
      </c>
      <c r="W37" s="9" t="str">
        <f aca="false">IF(F37="","Sin dato",F37)</f>
        <v>Nube</v>
      </c>
      <c r="X37" s="9" t="n">
        <f aca="false">IF(M37="","",YEAR(M37))</f>
        <v>2026</v>
      </c>
      <c r="Y37" s="10" t="n">
        <f aca="false">IF(M37="","",DATE(YEAR(M37),MONTH(M37),1))</f>
        <v>46023</v>
      </c>
      <c r="Z37" s="9" t="n">
        <f aca="false">IF(AND(Q37=0,COUNTIF(dDuplicadosGI!$A$2:$A$60,C37)&gt;0),1,0)</f>
        <v>0</v>
      </c>
      <c r="AA37" s="9" t="n">
        <f aca="false">IF(Q37=0,1,0)</f>
        <v>0</v>
      </c>
    </row>
    <row r="38" customFormat="false" ht="15" hidden="false" customHeight="false" outlineLevel="0" collapsed="false">
      <c r="A38" s="7" t="n">
        <v>37</v>
      </c>
      <c r="B38" s="7" t="s">
        <v>283</v>
      </c>
      <c r="C38" s="7" t="s">
        <v>284</v>
      </c>
      <c r="D38" s="7" t="s">
        <v>285</v>
      </c>
      <c r="E38" s="7" t="s">
        <v>113</v>
      </c>
      <c r="F38" s="7" t="s">
        <v>94</v>
      </c>
      <c r="G38" s="7" t="s">
        <v>166</v>
      </c>
      <c r="H38" s="7" t="s">
        <v>167</v>
      </c>
      <c r="I38" s="7" t="s">
        <v>168</v>
      </c>
      <c r="J38" s="7" t="s">
        <v>182</v>
      </c>
      <c r="K38" s="7" t="s">
        <v>170</v>
      </c>
      <c r="L38" s="7" t="s">
        <v>88</v>
      </c>
      <c r="M38" s="8" t="n">
        <v>45715</v>
      </c>
      <c r="N38" s="7" t="s">
        <v>89</v>
      </c>
      <c r="O38" s="9" t="n">
        <f aca="false">IF(COUNTIFS($B$2:B38,B38,$C$2:C38,C38)=1,1,0)</f>
        <v>1</v>
      </c>
      <c r="P38" s="9" t="str">
        <f aca="false">IFERROR(INDEX(dEtapa!$A$2:$A$6,MATCH(N38,dEtapa!$B$2:$B$6,0)),"Sin etapa")</f>
        <v>Gobernada</v>
      </c>
      <c r="Q38" s="9" t="n">
        <f aca="false">IF(L38="Si",1,0)</f>
        <v>1</v>
      </c>
      <c r="R38" s="9" t="n">
        <f aca="false">IF(ISNUMBER(SEARCH("CRITERIO",N38)),1,0)</f>
        <v>0</v>
      </c>
      <c r="S38" s="9" t="str">
        <f aca="false">IF(E38="","Sin dato",LEFT(E38,1))</f>
        <v>C</v>
      </c>
      <c r="T38" s="9" t="n">
        <f aca="false">IFERROR(INDEX(dCriticidad!$G$2:$G$7,MATCH(S38,dCriticidad!$A$2:$A$7,0)),0)</f>
        <v>1</v>
      </c>
      <c r="U38" s="9" t="n">
        <f aca="false">IF(OR(LEFT(C38,3)="GI0",LEFT(C38,3)="GA0"),1,0)</f>
        <v>0</v>
      </c>
      <c r="V38" s="9" t="str">
        <f aca="false">IF(G38="","Sin dato (ID GI)",TRIM(G38))</f>
        <v>Ciberseguridad</v>
      </c>
      <c r="W38" s="9" t="str">
        <f aca="false">IF(F38="","Sin dato",F38)</f>
        <v>Nube</v>
      </c>
      <c r="X38" s="9" t="n">
        <f aca="false">IF(M38="","",YEAR(M38))</f>
        <v>2025</v>
      </c>
      <c r="Y38" s="10" t="n">
        <f aca="false">IF(M38="","",DATE(YEAR(M38),MONTH(M38),1))</f>
        <v>45689</v>
      </c>
      <c r="Z38" s="9" t="n">
        <f aca="false">IF(AND(Q38=0,COUNTIF(dDuplicadosGI!$A$2:$A$60,C38)&gt;0),1,0)</f>
        <v>0</v>
      </c>
      <c r="AA38" s="9" t="n">
        <f aca="false">IF(Q38=0,1,0)</f>
        <v>0</v>
      </c>
    </row>
    <row r="39" customFormat="false" ht="15" hidden="false" customHeight="false" outlineLevel="0" collapsed="false">
      <c r="A39" s="7" t="n">
        <v>38</v>
      </c>
      <c r="B39" s="7" t="s">
        <v>286</v>
      </c>
      <c r="C39" s="7" t="s">
        <v>287</v>
      </c>
      <c r="D39" s="7" t="s">
        <v>288</v>
      </c>
      <c r="E39" s="7" t="s">
        <v>113</v>
      </c>
      <c r="F39" s="7" t="s">
        <v>82</v>
      </c>
      <c r="G39" s="7" t="s">
        <v>83</v>
      </c>
      <c r="H39" s="7" t="s">
        <v>84</v>
      </c>
      <c r="I39" s="7" t="s">
        <v>289</v>
      </c>
      <c r="J39" s="7" t="s">
        <v>290</v>
      </c>
      <c r="K39" s="7" t="s">
        <v>87</v>
      </c>
      <c r="L39" s="7" t="s">
        <v>88</v>
      </c>
      <c r="M39" s="8" t="n">
        <v>45199</v>
      </c>
      <c r="N39" s="7" t="s">
        <v>89</v>
      </c>
      <c r="O39" s="9" t="n">
        <f aca="false">IF(COUNTIFS($B$2:B39,B39,$C$2:C39,C39)=1,1,0)</f>
        <v>1</v>
      </c>
      <c r="P39" s="9" t="str">
        <f aca="false">IFERROR(INDEX(dEtapa!$A$2:$A$6,MATCH(N39,dEtapa!$B$2:$B$6,0)),"Sin etapa")</f>
        <v>Gobernada</v>
      </c>
      <c r="Q39" s="9" t="n">
        <f aca="false">IF(L39="Si",1,0)</f>
        <v>1</v>
      </c>
      <c r="R39" s="9" t="n">
        <f aca="false">IF(ISNUMBER(SEARCH("CRITERIO",N39)),1,0)</f>
        <v>0</v>
      </c>
      <c r="S39" s="9" t="str">
        <f aca="false">IF(E39="","Sin dato",LEFT(E39,1))</f>
        <v>C</v>
      </c>
      <c r="T39" s="9" t="n">
        <f aca="false">IFERROR(INDEX(dCriticidad!$G$2:$G$7,MATCH(S39,dCriticidad!$A$2:$A$7,0)),0)</f>
        <v>1</v>
      </c>
      <c r="U39" s="9" t="n">
        <f aca="false">IF(OR(LEFT(C39,3)="GI0",LEFT(C39,3)="GA0"),1,0)</f>
        <v>0</v>
      </c>
      <c r="V39" s="9" t="str">
        <f aca="false">IF(G39="","Sin dato (ID GI)",TRIM(G39))</f>
        <v>TRIBU_CANALES</v>
      </c>
      <c r="W39" s="9" t="str">
        <f aca="false">IF(F39="","Sin dato",F39)</f>
        <v>On Premise</v>
      </c>
      <c r="X39" s="9" t="n">
        <f aca="false">IF(M39="","",YEAR(M39))</f>
        <v>2023</v>
      </c>
      <c r="Y39" s="10" t="n">
        <f aca="false">IF(M39="","",DATE(YEAR(M39),MONTH(M39),1))</f>
        <v>45170</v>
      </c>
      <c r="Z39" s="9" t="n">
        <f aca="false">IF(AND(Q39=0,COUNTIF(dDuplicadosGI!$A$2:$A$60,C39)&gt;0),1,0)</f>
        <v>0</v>
      </c>
      <c r="AA39" s="9" t="n">
        <f aca="false">IF(Q39=0,1,0)</f>
        <v>0</v>
      </c>
    </row>
    <row r="40" customFormat="false" ht="15" hidden="false" customHeight="false" outlineLevel="0" collapsed="false">
      <c r="A40" s="7" t="n">
        <v>39</v>
      </c>
      <c r="B40" s="7" t="s">
        <v>291</v>
      </c>
      <c r="C40" s="7" t="s">
        <v>292</v>
      </c>
      <c r="D40" s="7" t="s">
        <v>293</v>
      </c>
      <c r="E40" s="7" t="s">
        <v>113</v>
      </c>
      <c r="F40" s="7" t="s">
        <v>94</v>
      </c>
      <c r="G40" s="7" t="s">
        <v>160</v>
      </c>
      <c r="H40" s="7" t="s">
        <v>133</v>
      </c>
      <c r="I40" s="7" t="s">
        <v>161</v>
      </c>
      <c r="J40" s="7" t="s">
        <v>162</v>
      </c>
      <c r="K40" s="7" t="s">
        <v>98</v>
      </c>
      <c r="L40" s="7" t="s">
        <v>99</v>
      </c>
      <c r="M40" s="8"/>
      <c r="N40" s="7" t="s">
        <v>109</v>
      </c>
      <c r="O40" s="9" t="n">
        <f aca="false">IF(COUNTIFS($B$2:B40,B40,$C$2:C40,C40)=1,1,0)</f>
        <v>1</v>
      </c>
      <c r="P40" s="9" t="str">
        <f aca="false">IFERROR(INDEX(dEtapa!$A$2:$A$6,MATCH(N40,dEtapa!$B$2:$B$6,0)),"Sin etapa")</f>
        <v>Planificada 2027</v>
      </c>
      <c r="Q40" s="9" t="n">
        <f aca="false">IF(L40="Si",1,0)</f>
        <v>0</v>
      </c>
      <c r="R40" s="9" t="n">
        <f aca="false">IF(ISNUMBER(SEARCH("CRITERIO",N40)),1,0)</f>
        <v>0</v>
      </c>
      <c r="S40" s="9" t="str">
        <f aca="false">IF(E40="","Sin dato",LEFT(E40,1))</f>
        <v>C</v>
      </c>
      <c r="T40" s="9" t="n">
        <f aca="false">IFERROR(INDEX(dCriticidad!$G$2:$G$7,MATCH(S40,dCriticidad!$A$2:$A$7,0)),0)</f>
        <v>1</v>
      </c>
      <c r="U40" s="9" t="n">
        <f aca="false">IF(OR(LEFT(C40,3)="GI0",LEFT(C40,3)="GA0"),1,0)</f>
        <v>0</v>
      </c>
      <c r="V40" s="9" t="str">
        <f aca="false">IF(G40="","Sin dato (ID GI)",TRIM(G40))</f>
        <v>PASIVOS Y SEGUROS</v>
      </c>
      <c r="W40" s="9" t="str">
        <f aca="false">IF(F40="","Sin dato",F40)</f>
        <v>Nube</v>
      </c>
      <c r="X40" s="9" t="str">
        <f aca="false">IF(M40="","",YEAR(M40))</f>
        <v/>
      </c>
      <c r="Y40" s="10" t="str">
        <f aca="false">IF(M40="","",DATE(YEAR(M40),MONTH(M40),1))</f>
        <v/>
      </c>
      <c r="Z40" s="9" t="n">
        <f aca="false">IF(AND(Q40=0,COUNTIF(dDuplicadosGI!$A$2:$A$60,C40)&gt;0),1,0)</f>
        <v>0</v>
      </c>
      <c r="AA40" s="9" t="n">
        <f aca="false">IF(Q40=0,1,0)</f>
        <v>1</v>
      </c>
    </row>
    <row r="41" customFormat="false" ht="15" hidden="false" customHeight="false" outlineLevel="0" collapsed="false">
      <c r="A41" s="7" t="n">
        <v>40</v>
      </c>
      <c r="B41" s="7" t="s">
        <v>294</v>
      </c>
      <c r="C41" s="7" t="s">
        <v>295</v>
      </c>
      <c r="D41" s="7" t="s">
        <v>296</v>
      </c>
      <c r="E41" s="7" t="s">
        <v>119</v>
      </c>
      <c r="F41" s="7" t="s">
        <v>94</v>
      </c>
      <c r="G41" s="7" t="s">
        <v>192</v>
      </c>
      <c r="H41" s="7" t="s">
        <v>193</v>
      </c>
      <c r="I41" s="7" t="s">
        <v>222</v>
      </c>
      <c r="J41" s="7" t="s">
        <v>223</v>
      </c>
      <c r="K41" s="7" t="s">
        <v>98</v>
      </c>
      <c r="L41" s="7" t="s">
        <v>99</v>
      </c>
      <c r="M41" s="8"/>
      <c r="N41" s="7" t="s">
        <v>109</v>
      </c>
      <c r="O41" s="9" t="n">
        <f aca="false">IF(COUNTIFS($B$2:B41,B41,$C$2:C41,C41)=1,1,0)</f>
        <v>1</v>
      </c>
      <c r="P41" s="9" t="str">
        <f aca="false">IFERROR(INDEX(dEtapa!$A$2:$A$6,MATCH(N41,dEtapa!$B$2:$B$6,0)),"Sin etapa")</f>
        <v>Planificada 2027</v>
      </c>
      <c r="Q41" s="9" t="n">
        <f aca="false">IF(L41="Si",1,0)</f>
        <v>0</v>
      </c>
      <c r="R41" s="9" t="n">
        <f aca="false">IF(ISNUMBER(SEARCH("CRITERIO",N41)),1,0)</f>
        <v>0</v>
      </c>
      <c r="S41" s="9" t="str">
        <f aca="false">IF(E41="","Sin dato",LEFT(E41,1))</f>
        <v>E</v>
      </c>
      <c r="T41" s="9" t="n">
        <f aca="false">IFERROR(INDEX(dCriticidad!$G$2:$G$7,MATCH(S41,dCriticidad!$A$2:$A$7,0)),0)</f>
        <v>0</v>
      </c>
      <c r="U41" s="9" t="n">
        <f aca="false">IF(OR(LEFT(C41,3)="GI0",LEFT(C41,3)="GA0"),1,0)</f>
        <v>0</v>
      </c>
      <c r="V41" s="9" t="str">
        <f aca="false">IF(G41="","Sin dato (ID GI)",TRIM(G41))</f>
        <v>AREAS_DE_APOYO</v>
      </c>
      <c r="W41" s="9" t="str">
        <f aca="false">IF(F41="","Sin dato",F41)</f>
        <v>Nube</v>
      </c>
      <c r="X41" s="9" t="str">
        <f aca="false">IF(M41="","",YEAR(M41))</f>
        <v/>
      </c>
      <c r="Y41" s="10" t="str">
        <f aca="false">IF(M41="","",DATE(YEAR(M41),MONTH(M41),1))</f>
        <v/>
      </c>
      <c r="Z41" s="9" t="n">
        <f aca="false">IF(AND(Q41=0,COUNTIF(dDuplicadosGI!$A$2:$A$60,C41)&gt;0),1,0)</f>
        <v>0</v>
      </c>
      <c r="AA41" s="9" t="n">
        <f aca="false">IF(Q41=0,1,0)</f>
        <v>1</v>
      </c>
    </row>
    <row r="42" customFormat="false" ht="15" hidden="false" customHeight="false" outlineLevel="0" collapsed="false">
      <c r="A42" s="7" t="n">
        <v>41</v>
      </c>
      <c r="B42" s="7" t="s">
        <v>297</v>
      </c>
      <c r="C42" s="7" t="s">
        <v>298</v>
      </c>
      <c r="D42" s="7" t="s">
        <v>299</v>
      </c>
      <c r="E42" s="7" t="s">
        <v>81</v>
      </c>
      <c r="F42" s="7" t="s">
        <v>94</v>
      </c>
      <c r="G42" s="7" t="s">
        <v>83</v>
      </c>
      <c r="H42" s="7" t="s">
        <v>84</v>
      </c>
      <c r="I42" s="7" t="s">
        <v>300</v>
      </c>
      <c r="J42" s="7" t="s">
        <v>84</v>
      </c>
      <c r="K42" s="7" t="s">
        <v>87</v>
      </c>
      <c r="L42" s="7" t="s">
        <v>99</v>
      </c>
      <c r="M42" s="8"/>
      <c r="N42" s="7" t="s">
        <v>109</v>
      </c>
      <c r="O42" s="9" t="n">
        <f aca="false">IF(COUNTIFS($B$2:B42,B42,$C$2:C42,C42)=1,1,0)</f>
        <v>1</v>
      </c>
      <c r="P42" s="9" t="str">
        <f aca="false">IFERROR(INDEX(dEtapa!$A$2:$A$6,MATCH(N42,dEtapa!$B$2:$B$6,0)),"Sin etapa")</f>
        <v>Planificada 2027</v>
      </c>
      <c r="Q42" s="9" t="n">
        <f aca="false">IF(L42="Si",1,0)</f>
        <v>0</v>
      </c>
      <c r="R42" s="9" t="n">
        <f aca="false">IF(ISNUMBER(SEARCH("CRITERIO",N42)),1,0)</f>
        <v>0</v>
      </c>
      <c r="S42" s="9" t="str">
        <f aca="false">IF(E42="","Sin dato",LEFT(E42,1))</f>
        <v>A</v>
      </c>
      <c r="T42" s="9" t="n">
        <f aca="false">IFERROR(INDEX(dCriticidad!$G$2:$G$7,MATCH(S42,dCriticidad!$A$2:$A$7,0)),0)</f>
        <v>1</v>
      </c>
      <c r="U42" s="9" t="n">
        <f aca="false">IF(OR(LEFT(C42,3)="GI0",LEFT(C42,3)="GA0"),1,0)</f>
        <v>0</v>
      </c>
      <c r="V42" s="9" t="str">
        <f aca="false">IF(G42="","Sin dato (ID GI)",TRIM(G42))</f>
        <v>TRIBU_CANALES</v>
      </c>
      <c r="W42" s="9" t="str">
        <f aca="false">IF(F42="","Sin dato",F42)</f>
        <v>Nube</v>
      </c>
      <c r="X42" s="9" t="str">
        <f aca="false">IF(M42="","",YEAR(M42))</f>
        <v/>
      </c>
      <c r="Y42" s="10" t="str">
        <f aca="false">IF(M42="","",DATE(YEAR(M42),MONTH(M42),1))</f>
        <v/>
      </c>
      <c r="Z42" s="9" t="n">
        <f aca="false">IF(AND(Q42=0,COUNTIF(dDuplicadosGI!$A$2:$A$60,C42)&gt;0),1,0)</f>
        <v>0</v>
      </c>
      <c r="AA42" s="9" t="n">
        <f aca="false">IF(Q42=0,1,0)</f>
        <v>1</v>
      </c>
    </row>
    <row r="43" customFormat="false" ht="15" hidden="false" customHeight="false" outlineLevel="0" collapsed="false">
      <c r="A43" s="7" t="n">
        <v>42</v>
      </c>
      <c r="B43" s="7" t="s">
        <v>301</v>
      </c>
      <c r="C43" s="7" t="s">
        <v>302</v>
      </c>
      <c r="D43" s="7" t="s">
        <v>303</v>
      </c>
      <c r="E43" s="7" t="s">
        <v>113</v>
      </c>
      <c r="F43" s="7" t="s">
        <v>82</v>
      </c>
      <c r="G43" s="7" t="s">
        <v>166</v>
      </c>
      <c r="H43" s="7" t="s">
        <v>174</v>
      </c>
      <c r="I43" s="7" t="s">
        <v>168</v>
      </c>
      <c r="J43" s="7" t="s">
        <v>167</v>
      </c>
      <c r="K43" s="7" t="s">
        <v>170</v>
      </c>
      <c r="L43" s="7" t="s">
        <v>88</v>
      </c>
      <c r="M43" s="8" t="n">
        <v>46262</v>
      </c>
      <c r="N43" s="7" t="s">
        <v>89</v>
      </c>
      <c r="O43" s="9" t="n">
        <f aca="false">IF(COUNTIFS($B$2:B43,B43,$C$2:C43,C43)=1,1,0)</f>
        <v>1</v>
      </c>
      <c r="P43" s="9" t="str">
        <f aca="false">IFERROR(INDEX(dEtapa!$A$2:$A$6,MATCH(N43,dEtapa!$B$2:$B$6,0)),"Sin etapa")</f>
        <v>Gobernada</v>
      </c>
      <c r="Q43" s="9" t="n">
        <f aca="false">IF(L43="Si",1,0)</f>
        <v>1</v>
      </c>
      <c r="R43" s="9" t="n">
        <f aca="false">IF(ISNUMBER(SEARCH("CRITERIO",N43)),1,0)</f>
        <v>0</v>
      </c>
      <c r="S43" s="9" t="str">
        <f aca="false">IF(E43="","Sin dato",LEFT(E43,1))</f>
        <v>C</v>
      </c>
      <c r="T43" s="9" t="n">
        <f aca="false">IFERROR(INDEX(dCriticidad!$G$2:$G$7,MATCH(S43,dCriticidad!$A$2:$A$7,0)),0)</f>
        <v>1</v>
      </c>
      <c r="U43" s="9" t="n">
        <f aca="false">IF(OR(LEFT(C43,3)="GI0",LEFT(C43,3)="GA0"),1,0)</f>
        <v>0</v>
      </c>
      <c r="V43" s="9" t="str">
        <f aca="false">IF(G43="","Sin dato (ID GI)",TRIM(G43))</f>
        <v>Ciberseguridad</v>
      </c>
      <c r="W43" s="9" t="str">
        <f aca="false">IF(F43="","Sin dato",F43)</f>
        <v>On Premise</v>
      </c>
      <c r="X43" s="9" t="n">
        <f aca="false">IF(M43="","",YEAR(M43))</f>
        <v>2026</v>
      </c>
      <c r="Y43" s="10" t="n">
        <f aca="false">IF(M43="","",DATE(YEAR(M43),MONTH(M43),1))</f>
        <v>46235</v>
      </c>
      <c r="Z43" s="9" t="n">
        <f aca="false">IF(AND(Q43=0,COUNTIF(dDuplicadosGI!$A$2:$A$60,C43)&gt;0),1,0)</f>
        <v>0</v>
      </c>
      <c r="AA43" s="9" t="n">
        <f aca="false">IF(Q43=0,1,0)</f>
        <v>0</v>
      </c>
    </row>
    <row r="44" customFormat="false" ht="15" hidden="false" customHeight="false" outlineLevel="0" collapsed="false">
      <c r="A44" s="7" t="n">
        <v>43</v>
      </c>
      <c r="B44" s="7" t="s">
        <v>304</v>
      </c>
      <c r="C44" s="7" t="s">
        <v>305</v>
      </c>
      <c r="D44" s="7" t="s">
        <v>306</v>
      </c>
      <c r="E44" s="7" t="s">
        <v>119</v>
      </c>
      <c r="F44" s="7" t="s">
        <v>82</v>
      </c>
      <c r="G44" s="7" t="s">
        <v>166</v>
      </c>
      <c r="H44" s="7" t="s">
        <v>188</v>
      </c>
      <c r="I44" s="7" t="s">
        <v>168</v>
      </c>
      <c r="J44" s="7" t="s">
        <v>169</v>
      </c>
      <c r="K44" s="7" t="s">
        <v>170</v>
      </c>
      <c r="L44" s="7" t="s">
        <v>99</v>
      </c>
      <c r="M44" s="8"/>
      <c r="N44" s="7" t="s">
        <v>189</v>
      </c>
      <c r="O44" s="9" t="n">
        <f aca="false">IF(COUNTIFS($B$2:B44,B44,$C$2:C44,C44)=1,1,0)</f>
        <v>1</v>
      </c>
      <c r="P44" s="9" t="str">
        <f aca="false">IFERROR(INDEX(dEtapa!$A$2:$A$6,MATCH(N44,dEtapa!$B$2:$B$6,0)),"Sin etapa")</f>
        <v>Criterio 3</v>
      </c>
      <c r="Q44" s="9" t="n">
        <f aca="false">IF(L44="Si",1,0)</f>
        <v>0</v>
      </c>
      <c r="R44" s="9" t="n">
        <f aca="false">IF(ISNUMBER(SEARCH("CRITERIO",N44)),1,0)</f>
        <v>1</v>
      </c>
      <c r="S44" s="9" t="str">
        <f aca="false">IF(E44="","Sin dato",LEFT(E44,1))</f>
        <v>E</v>
      </c>
      <c r="T44" s="9" t="n">
        <f aca="false">IFERROR(INDEX(dCriticidad!$G$2:$G$7,MATCH(S44,dCriticidad!$A$2:$A$7,0)),0)</f>
        <v>0</v>
      </c>
      <c r="U44" s="9" t="n">
        <f aca="false">IF(OR(LEFT(C44,3)="GI0",LEFT(C44,3)="GA0"),1,0)</f>
        <v>0</v>
      </c>
      <c r="V44" s="9" t="str">
        <f aca="false">IF(G44="","Sin dato (ID GI)",TRIM(G44))</f>
        <v>Ciberseguridad</v>
      </c>
      <c r="W44" s="9" t="str">
        <f aca="false">IF(F44="","Sin dato",F44)</f>
        <v>On Premise</v>
      </c>
      <c r="X44" s="9" t="str">
        <f aca="false">IF(M44="","",YEAR(M44))</f>
        <v/>
      </c>
      <c r="Y44" s="10" t="str">
        <f aca="false">IF(M44="","",DATE(YEAR(M44),MONTH(M44),1))</f>
        <v/>
      </c>
      <c r="Z44" s="9" t="n">
        <f aca="false">IF(AND(Q44=0,COUNTIF(dDuplicadosGI!$A$2:$A$60,C44)&gt;0),1,0)</f>
        <v>0</v>
      </c>
      <c r="AA44" s="9" t="n">
        <f aca="false">IF(Q44=0,1,0)</f>
        <v>1</v>
      </c>
    </row>
    <row r="45" customFormat="false" ht="15" hidden="false" customHeight="false" outlineLevel="0" collapsed="false">
      <c r="A45" s="7" t="n">
        <v>44</v>
      </c>
      <c r="B45" s="7" t="s">
        <v>307</v>
      </c>
      <c r="C45" s="7" t="s">
        <v>308</v>
      </c>
      <c r="D45" s="7" t="s">
        <v>309</v>
      </c>
      <c r="E45" s="7" t="s">
        <v>145</v>
      </c>
      <c r="F45" s="7" t="s">
        <v>82</v>
      </c>
      <c r="G45" s="7" t="s">
        <v>146</v>
      </c>
      <c r="H45" s="7" t="s">
        <v>147</v>
      </c>
      <c r="I45" s="7" t="s">
        <v>148</v>
      </c>
      <c r="J45" s="7" t="s">
        <v>310</v>
      </c>
      <c r="K45" s="7" t="s">
        <v>108</v>
      </c>
      <c r="L45" s="7" t="s">
        <v>88</v>
      </c>
      <c r="M45" s="8" t="n">
        <v>46197</v>
      </c>
      <c r="N45" s="7" t="s">
        <v>89</v>
      </c>
      <c r="O45" s="9" t="n">
        <f aca="false">IF(COUNTIFS($B$2:B45,B45,$C$2:C45,C45)=1,1,0)</f>
        <v>1</v>
      </c>
      <c r="P45" s="9" t="str">
        <f aca="false">IFERROR(INDEX(dEtapa!$A$2:$A$6,MATCH(N45,dEtapa!$B$2:$B$6,0)),"Sin etapa")</f>
        <v>Gobernada</v>
      </c>
      <c r="Q45" s="9" t="n">
        <f aca="false">IF(L45="Si",1,0)</f>
        <v>1</v>
      </c>
      <c r="R45" s="9" t="n">
        <f aca="false">IF(ISNUMBER(SEARCH("CRITERIO",N45)),1,0)</f>
        <v>0</v>
      </c>
      <c r="S45" s="9" t="str">
        <f aca="false">IF(E45="","Sin dato",LEFT(E45,1))</f>
        <v>B</v>
      </c>
      <c r="T45" s="9" t="n">
        <f aca="false">IFERROR(INDEX(dCriticidad!$G$2:$G$7,MATCH(S45,dCriticidad!$A$2:$A$7,0)),0)</f>
        <v>1</v>
      </c>
      <c r="U45" s="9" t="n">
        <f aca="false">IF(OR(LEFT(C45,3)="GI0",LEFT(C45,3)="GA0"),1,0)</f>
        <v>0</v>
      </c>
      <c r="V45" s="9" t="str">
        <f aca="false">IF(G45="","Sin dato (ID GI)",TRIM(G45))</f>
        <v>Tribu_Integraciones_Apis</v>
      </c>
      <c r="W45" s="9" t="str">
        <f aca="false">IF(F45="","Sin dato",F45)</f>
        <v>On Premise</v>
      </c>
      <c r="X45" s="9" t="n">
        <f aca="false">IF(M45="","",YEAR(M45))</f>
        <v>2026</v>
      </c>
      <c r="Y45" s="10" t="n">
        <f aca="false">IF(M45="","",DATE(YEAR(M45),MONTH(M45),1))</f>
        <v>46174</v>
      </c>
      <c r="Z45" s="9" t="n">
        <f aca="false">IF(AND(Q45=0,COUNTIF(dDuplicadosGI!$A$2:$A$60,C45)&gt;0),1,0)</f>
        <v>0</v>
      </c>
      <c r="AA45" s="9" t="n">
        <f aca="false">IF(Q45=0,1,0)</f>
        <v>0</v>
      </c>
    </row>
    <row r="46" customFormat="false" ht="15" hidden="false" customHeight="false" outlineLevel="0" collapsed="false">
      <c r="A46" s="7" t="n">
        <v>45</v>
      </c>
      <c r="B46" s="7" t="s">
        <v>311</v>
      </c>
      <c r="C46" s="7" t="s">
        <v>312</v>
      </c>
      <c r="D46" s="7" t="s">
        <v>151</v>
      </c>
      <c r="E46" s="7" t="s">
        <v>119</v>
      </c>
      <c r="F46" s="7" t="s">
        <v>94</v>
      </c>
      <c r="G46" s="7" t="s">
        <v>166</v>
      </c>
      <c r="H46" s="7" t="s">
        <v>313</v>
      </c>
      <c r="I46" s="7" t="s">
        <v>168</v>
      </c>
      <c r="J46" s="7" t="s">
        <v>314</v>
      </c>
      <c r="K46" s="7" t="s">
        <v>170</v>
      </c>
      <c r="L46" s="7" t="s">
        <v>88</v>
      </c>
      <c r="M46" s="8" t="n">
        <v>46035</v>
      </c>
      <c r="N46" s="7" t="s">
        <v>89</v>
      </c>
      <c r="O46" s="9" t="n">
        <f aca="false">IF(COUNTIFS($B$2:B46,B46,$C$2:C46,C46)=1,1,0)</f>
        <v>1</v>
      </c>
      <c r="P46" s="9" t="str">
        <f aca="false">IFERROR(INDEX(dEtapa!$A$2:$A$6,MATCH(N46,dEtapa!$B$2:$B$6,0)),"Sin etapa")</f>
        <v>Gobernada</v>
      </c>
      <c r="Q46" s="9" t="n">
        <f aca="false">IF(L46="Si",1,0)</f>
        <v>1</v>
      </c>
      <c r="R46" s="9" t="n">
        <f aca="false">IF(ISNUMBER(SEARCH("CRITERIO",N46)),1,0)</f>
        <v>0</v>
      </c>
      <c r="S46" s="9" t="str">
        <f aca="false">IF(E46="","Sin dato",LEFT(E46,1))</f>
        <v>E</v>
      </c>
      <c r="T46" s="9" t="n">
        <f aca="false">IFERROR(INDEX(dCriticidad!$G$2:$G$7,MATCH(S46,dCriticidad!$A$2:$A$7,0)),0)</f>
        <v>0</v>
      </c>
      <c r="U46" s="9" t="n">
        <f aca="false">IF(OR(LEFT(C46,3)="GI0",LEFT(C46,3)="GA0"),1,0)</f>
        <v>0</v>
      </c>
      <c r="V46" s="9" t="str">
        <f aca="false">IF(G46="","Sin dato (ID GI)",TRIM(G46))</f>
        <v>Ciberseguridad</v>
      </c>
      <c r="W46" s="9" t="str">
        <f aca="false">IF(F46="","Sin dato",F46)</f>
        <v>Nube</v>
      </c>
      <c r="X46" s="9" t="n">
        <f aca="false">IF(M46="","",YEAR(M46))</f>
        <v>2026</v>
      </c>
      <c r="Y46" s="10" t="n">
        <f aca="false">IF(M46="","",DATE(YEAR(M46),MONTH(M46),1))</f>
        <v>46023</v>
      </c>
      <c r="Z46" s="9" t="n">
        <f aca="false">IF(AND(Q46=0,COUNTIF(dDuplicadosGI!$A$2:$A$60,C46)&gt;0),1,0)</f>
        <v>0</v>
      </c>
      <c r="AA46" s="9" t="n">
        <f aca="false">IF(Q46=0,1,0)</f>
        <v>0</v>
      </c>
    </row>
    <row r="47" customFormat="false" ht="15" hidden="false" customHeight="false" outlineLevel="0" collapsed="false">
      <c r="A47" s="7" t="n">
        <v>46</v>
      </c>
      <c r="B47" s="7" t="s">
        <v>315</v>
      </c>
      <c r="C47" s="7" t="s">
        <v>316</v>
      </c>
      <c r="D47" s="7" t="s">
        <v>317</v>
      </c>
      <c r="E47" s="7" t="s">
        <v>119</v>
      </c>
      <c r="F47" s="7" t="s">
        <v>82</v>
      </c>
      <c r="G47" s="7" t="s">
        <v>166</v>
      </c>
      <c r="H47" s="7" t="s">
        <v>167</v>
      </c>
      <c r="I47" s="7" t="s">
        <v>168</v>
      </c>
      <c r="J47" s="7" t="s">
        <v>174</v>
      </c>
      <c r="K47" s="7" t="s">
        <v>170</v>
      </c>
      <c r="L47" s="7" t="s">
        <v>88</v>
      </c>
      <c r="M47" s="8" t="n">
        <v>45736</v>
      </c>
      <c r="N47" s="7" t="s">
        <v>89</v>
      </c>
      <c r="O47" s="9" t="n">
        <f aca="false">IF(COUNTIFS($B$2:B47,B47,$C$2:C47,C47)=1,1,0)</f>
        <v>1</v>
      </c>
      <c r="P47" s="9" t="str">
        <f aca="false">IFERROR(INDEX(dEtapa!$A$2:$A$6,MATCH(N47,dEtapa!$B$2:$B$6,0)),"Sin etapa")</f>
        <v>Gobernada</v>
      </c>
      <c r="Q47" s="9" t="n">
        <f aca="false">IF(L47="Si",1,0)</f>
        <v>1</v>
      </c>
      <c r="R47" s="9" t="n">
        <f aca="false">IF(ISNUMBER(SEARCH("CRITERIO",N47)),1,0)</f>
        <v>0</v>
      </c>
      <c r="S47" s="9" t="str">
        <f aca="false">IF(E47="","Sin dato",LEFT(E47,1))</f>
        <v>E</v>
      </c>
      <c r="T47" s="9" t="n">
        <f aca="false">IFERROR(INDEX(dCriticidad!$G$2:$G$7,MATCH(S47,dCriticidad!$A$2:$A$7,0)),0)</f>
        <v>0</v>
      </c>
      <c r="U47" s="9" t="n">
        <f aca="false">IF(OR(LEFT(C47,3)="GI0",LEFT(C47,3)="GA0"),1,0)</f>
        <v>0</v>
      </c>
      <c r="V47" s="9" t="str">
        <f aca="false">IF(G47="","Sin dato (ID GI)",TRIM(G47))</f>
        <v>Ciberseguridad</v>
      </c>
      <c r="W47" s="9" t="str">
        <f aca="false">IF(F47="","Sin dato",F47)</f>
        <v>On Premise</v>
      </c>
      <c r="X47" s="9" t="n">
        <f aca="false">IF(M47="","",YEAR(M47))</f>
        <v>2025</v>
      </c>
      <c r="Y47" s="10" t="n">
        <f aca="false">IF(M47="","",DATE(YEAR(M47),MONTH(M47),1))</f>
        <v>45717</v>
      </c>
      <c r="Z47" s="9" t="n">
        <f aca="false">IF(AND(Q47=0,COUNTIF(dDuplicadosGI!$A$2:$A$60,C47)&gt;0),1,0)</f>
        <v>0</v>
      </c>
      <c r="AA47" s="9" t="n">
        <f aca="false">IF(Q47=0,1,0)</f>
        <v>0</v>
      </c>
    </row>
    <row r="48" customFormat="false" ht="15" hidden="false" customHeight="false" outlineLevel="0" collapsed="false">
      <c r="A48" s="7" t="n">
        <v>47</v>
      </c>
      <c r="B48" s="7" t="s">
        <v>318</v>
      </c>
      <c r="C48" s="7" t="s">
        <v>319</v>
      </c>
      <c r="D48" s="7" t="s">
        <v>320</v>
      </c>
      <c r="E48" s="7" t="s">
        <v>119</v>
      </c>
      <c r="F48" s="7" t="s">
        <v>94</v>
      </c>
      <c r="G48" s="7" t="s">
        <v>83</v>
      </c>
      <c r="H48" s="7" t="s">
        <v>321</v>
      </c>
      <c r="I48" s="7" t="s">
        <v>322</v>
      </c>
      <c r="J48" s="7" t="s">
        <v>323</v>
      </c>
      <c r="K48" s="7" t="s">
        <v>98</v>
      </c>
      <c r="L48" s="7" t="s">
        <v>99</v>
      </c>
      <c r="M48" s="8"/>
      <c r="N48" s="7" t="s">
        <v>109</v>
      </c>
      <c r="O48" s="9" t="n">
        <f aca="false">IF(COUNTIFS($B$2:B48,B48,$C$2:C48,C48)=1,1,0)</f>
        <v>1</v>
      </c>
      <c r="P48" s="9" t="str">
        <f aca="false">IFERROR(INDEX(dEtapa!$A$2:$A$6,MATCH(N48,dEtapa!$B$2:$B$6,0)),"Sin etapa")</f>
        <v>Planificada 2027</v>
      </c>
      <c r="Q48" s="9" t="n">
        <f aca="false">IF(L48="Si",1,0)</f>
        <v>0</v>
      </c>
      <c r="R48" s="9" t="n">
        <f aca="false">IF(ISNUMBER(SEARCH("CRITERIO",N48)),1,0)</f>
        <v>0</v>
      </c>
      <c r="S48" s="9" t="str">
        <f aca="false">IF(E48="","Sin dato",LEFT(E48,1))</f>
        <v>E</v>
      </c>
      <c r="T48" s="9" t="n">
        <f aca="false">IFERROR(INDEX(dCriticidad!$G$2:$G$7,MATCH(S48,dCriticidad!$A$2:$A$7,0)),0)</f>
        <v>0</v>
      </c>
      <c r="U48" s="9" t="n">
        <f aca="false">IF(OR(LEFT(C48,3)="GI0",LEFT(C48,3)="GA0"),1,0)</f>
        <v>0</v>
      </c>
      <c r="V48" s="9" t="str">
        <f aca="false">IF(G48="","Sin dato (ID GI)",TRIM(G48))</f>
        <v>TRIBU_CANALES</v>
      </c>
      <c r="W48" s="9" t="str">
        <f aca="false">IF(F48="","Sin dato",F48)</f>
        <v>Nube</v>
      </c>
      <c r="X48" s="9" t="str">
        <f aca="false">IF(M48="","",YEAR(M48))</f>
        <v/>
      </c>
      <c r="Y48" s="10" t="str">
        <f aca="false">IF(M48="","",DATE(YEAR(M48),MONTH(M48),1))</f>
        <v/>
      </c>
      <c r="Z48" s="9" t="n">
        <f aca="false">IF(AND(Q48=0,COUNTIF(dDuplicadosGI!$A$2:$A$60,C48)&gt;0),1,0)</f>
        <v>0</v>
      </c>
      <c r="AA48" s="9" t="n">
        <f aca="false">IF(Q48=0,1,0)</f>
        <v>1</v>
      </c>
    </row>
    <row r="49" customFormat="false" ht="15" hidden="false" customHeight="false" outlineLevel="0" collapsed="false">
      <c r="A49" s="7" t="n">
        <v>48</v>
      </c>
      <c r="B49" s="7" t="s">
        <v>324</v>
      </c>
      <c r="C49" s="7" t="s">
        <v>325</v>
      </c>
      <c r="D49" s="7" t="s">
        <v>326</v>
      </c>
      <c r="E49" s="7" t="s">
        <v>145</v>
      </c>
      <c r="F49" s="7" t="s">
        <v>82</v>
      </c>
      <c r="G49" s="7" t="s">
        <v>211</v>
      </c>
      <c r="H49" s="7" t="s">
        <v>183</v>
      </c>
      <c r="I49" s="7" t="s">
        <v>327</v>
      </c>
      <c r="J49" s="7" t="s">
        <v>214</v>
      </c>
      <c r="K49" s="7" t="s">
        <v>87</v>
      </c>
      <c r="L49" s="7" t="s">
        <v>88</v>
      </c>
      <c r="M49" s="8" t="n">
        <v>45200</v>
      </c>
      <c r="N49" s="7" t="s">
        <v>89</v>
      </c>
      <c r="O49" s="9" t="n">
        <f aca="false">IF(COUNTIFS($B$2:B49,B49,$C$2:C49,C49)=1,1,0)</f>
        <v>1</v>
      </c>
      <c r="P49" s="9" t="str">
        <f aca="false">IFERROR(INDEX(dEtapa!$A$2:$A$6,MATCH(N49,dEtapa!$B$2:$B$6,0)),"Sin etapa")</f>
        <v>Gobernada</v>
      </c>
      <c r="Q49" s="9" t="n">
        <f aca="false">IF(L49="Si",1,0)</f>
        <v>1</v>
      </c>
      <c r="R49" s="9" t="n">
        <f aca="false">IF(ISNUMBER(SEARCH("CRITERIO",N49)),1,0)</f>
        <v>0</v>
      </c>
      <c r="S49" s="9" t="str">
        <f aca="false">IF(E49="","Sin dato",LEFT(E49,1))</f>
        <v>B</v>
      </c>
      <c r="T49" s="9" t="n">
        <f aca="false">IFERROR(INDEX(dCriticidad!$G$2:$G$7,MATCH(S49,dCriticidad!$A$2:$A$7,0)),0)</f>
        <v>1</v>
      </c>
      <c r="U49" s="9" t="n">
        <f aca="false">IF(OR(LEFT(C49,3)="GI0",LEFT(C49,3)="GA0"),1,0)</f>
        <v>0</v>
      </c>
      <c r="V49" s="9" t="str">
        <f aca="false">IF(G49="","Sin dato (ID GI)",TRIM(G49))</f>
        <v>Tribu Ciberseguridad</v>
      </c>
      <c r="W49" s="9" t="str">
        <f aca="false">IF(F49="","Sin dato",F49)</f>
        <v>On Premise</v>
      </c>
      <c r="X49" s="9" t="n">
        <f aca="false">IF(M49="","",YEAR(M49))</f>
        <v>2023</v>
      </c>
      <c r="Y49" s="10" t="n">
        <f aca="false">IF(M49="","",DATE(YEAR(M49),MONTH(M49),1))</f>
        <v>45200</v>
      </c>
      <c r="Z49" s="9" t="n">
        <f aca="false">IF(AND(Q49=0,COUNTIF(dDuplicadosGI!$A$2:$A$60,C49)&gt;0),1,0)</f>
        <v>0</v>
      </c>
      <c r="AA49" s="9" t="n">
        <f aca="false">IF(Q49=0,1,0)</f>
        <v>0</v>
      </c>
    </row>
    <row r="50" customFormat="false" ht="15" hidden="false" customHeight="false" outlineLevel="0" collapsed="false">
      <c r="A50" s="7" t="n">
        <v>49</v>
      </c>
      <c r="B50" s="7" t="s">
        <v>328</v>
      </c>
      <c r="C50" s="7" t="s">
        <v>329</v>
      </c>
      <c r="D50" s="7" t="s">
        <v>330</v>
      </c>
      <c r="E50" s="7" t="s">
        <v>119</v>
      </c>
      <c r="F50" s="7" t="s">
        <v>94</v>
      </c>
      <c r="G50" s="7" t="s">
        <v>331</v>
      </c>
      <c r="H50" s="7" t="s">
        <v>332</v>
      </c>
      <c r="I50" s="7" t="s">
        <v>333</v>
      </c>
      <c r="J50" s="7" t="s">
        <v>332</v>
      </c>
      <c r="K50" s="7" t="s">
        <v>108</v>
      </c>
      <c r="L50" s="7" t="s">
        <v>99</v>
      </c>
      <c r="M50" s="8"/>
      <c r="N50" s="7" t="s">
        <v>109</v>
      </c>
      <c r="O50" s="9" t="n">
        <f aca="false">IF(COUNTIFS($B$2:B50,B50,$C$2:C50,C50)=1,1,0)</f>
        <v>1</v>
      </c>
      <c r="P50" s="9" t="str">
        <f aca="false">IFERROR(INDEX(dEtapa!$A$2:$A$6,MATCH(N50,dEtapa!$B$2:$B$6,0)),"Sin etapa")</f>
        <v>Planificada 2027</v>
      </c>
      <c r="Q50" s="9" t="n">
        <f aca="false">IF(L50="Si",1,0)</f>
        <v>0</v>
      </c>
      <c r="R50" s="9" t="n">
        <f aca="false">IF(ISNUMBER(SEARCH("CRITERIO",N50)),1,0)</f>
        <v>0</v>
      </c>
      <c r="S50" s="9" t="str">
        <f aca="false">IF(E50="","Sin dato",LEFT(E50,1))</f>
        <v>E</v>
      </c>
      <c r="T50" s="9" t="n">
        <f aca="false">IFERROR(INDEX(dCriticidad!$G$2:$G$7,MATCH(S50,dCriticidad!$A$2:$A$7,0)),0)</f>
        <v>0</v>
      </c>
      <c r="U50" s="9" t="n">
        <f aca="false">IF(OR(LEFT(C50,3)="GI0",LEFT(C50,3)="GA0"),1,0)</f>
        <v>0</v>
      </c>
      <c r="V50" s="9" t="str">
        <f aca="false">IF(G50="","Sin dato (ID GI)",TRIM(G50))</f>
        <v>TRIBU_DE_UNA</v>
      </c>
      <c r="W50" s="9" t="str">
        <f aca="false">IF(F50="","Sin dato",F50)</f>
        <v>Nube</v>
      </c>
      <c r="X50" s="9" t="str">
        <f aca="false">IF(M50="","",YEAR(M50))</f>
        <v/>
      </c>
      <c r="Y50" s="10" t="str">
        <f aca="false">IF(M50="","",DATE(YEAR(M50),MONTH(M50),1))</f>
        <v/>
      </c>
      <c r="Z50" s="9" t="n">
        <f aca="false">IF(AND(Q50=0,COUNTIF(dDuplicadosGI!$A$2:$A$60,C50)&gt;0),1,0)</f>
        <v>0</v>
      </c>
      <c r="AA50" s="9" t="n">
        <f aca="false">IF(Q50=0,1,0)</f>
        <v>1</v>
      </c>
    </row>
    <row r="51" customFormat="false" ht="15" hidden="false" customHeight="false" outlineLevel="0" collapsed="false">
      <c r="A51" s="7" t="n">
        <v>50</v>
      </c>
      <c r="B51" s="7" t="s">
        <v>334</v>
      </c>
      <c r="C51" s="7" t="s">
        <v>335</v>
      </c>
      <c r="D51" s="7" t="s">
        <v>336</v>
      </c>
      <c r="E51" s="7" t="s">
        <v>119</v>
      </c>
      <c r="F51" s="7" t="s">
        <v>82</v>
      </c>
      <c r="G51" s="7" t="s">
        <v>337</v>
      </c>
      <c r="H51" s="7" t="s">
        <v>338</v>
      </c>
      <c r="I51" s="7" t="s">
        <v>338</v>
      </c>
      <c r="J51" s="7" t="s">
        <v>339</v>
      </c>
      <c r="K51" s="7" t="s">
        <v>108</v>
      </c>
      <c r="L51" s="7" t="s">
        <v>99</v>
      </c>
      <c r="M51" s="8"/>
      <c r="N51" s="7" t="s">
        <v>109</v>
      </c>
      <c r="O51" s="9" t="n">
        <f aca="false">IF(COUNTIFS($B$2:B51,B51,$C$2:C51,C51)=1,1,0)</f>
        <v>1</v>
      </c>
      <c r="P51" s="9" t="str">
        <f aca="false">IFERROR(INDEX(dEtapa!$A$2:$A$6,MATCH(N51,dEtapa!$B$2:$B$6,0)),"Sin etapa")</f>
        <v>Planificada 2027</v>
      </c>
      <c r="Q51" s="9" t="n">
        <f aca="false">IF(L51="Si",1,0)</f>
        <v>0</v>
      </c>
      <c r="R51" s="9" t="n">
        <f aca="false">IF(ISNUMBER(SEARCH("CRITERIO",N51)),1,0)</f>
        <v>0</v>
      </c>
      <c r="S51" s="9" t="str">
        <f aca="false">IF(E51="","Sin dato",LEFT(E51,1))</f>
        <v>E</v>
      </c>
      <c r="T51" s="9" t="n">
        <f aca="false">IFERROR(INDEX(dCriticidad!$G$2:$G$7,MATCH(S51,dCriticidad!$A$2:$A$7,0)),0)</f>
        <v>0</v>
      </c>
      <c r="U51" s="9" t="n">
        <f aca="false">IF(OR(LEFT(C51,3)="GI0",LEFT(C51,3)="GA0"),1,0)</f>
        <v>0</v>
      </c>
      <c r="V51" s="9" t="str">
        <f aca="false">IF(G51="","Sin dato (ID GI)",TRIM(G51))</f>
        <v>Gerencia SRE</v>
      </c>
      <c r="W51" s="9" t="str">
        <f aca="false">IF(F51="","Sin dato",F51)</f>
        <v>On Premise</v>
      </c>
      <c r="X51" s="9" t="str">
        <f aca="false">IF(M51="","",YEAR(M51))</f>
        <v/>
      </c>
      <c r="Y51" s="10" t="str">
        <f aca="false">IF(M51="","",DATE(YEAR(M51),MONTH(M51),1))</f>
        <v/>
      </c>
      <c r="Z51" s="9" t="n">
        <f aca="false">IF(AND(Q51=0,COUNTIF(dDuplicadosGI!$A$2:$A$60,C51)&gt;0),1,0)</f>
        <v>0</v>
      </c>
      <c r="AA51" s="9" t="n">
        <f aca="false">IF(Q51=0,1,0)</f>
        <v>1</v>
      </c>
    </row>
    <row r="52" customFormat="false" ht="15" hidden="false" customHeight="false" outlineLevel="0" collapsed="false">
      <c r="A52" s="7" t="n">
        <v>51</v>
      </c>
      <c r="B52" s="7" t="s">
        <v>340</v>
      </c>
      <c r="C52" s="7" t="s">
        <v>341</v>
      </c>
      <c r="D52" s="7" t="s">
        <v>342</v>
      </c>
      <c r="E52" s="7" t="s">
        <v>145</v>
      </c>
      <c r="F52" s="7" t="s">
        <v>94</v>
      </c>
      <c r="G52" s="7" t="s">
        <v>166</v>
      </c>
      <c r="H52" s="7" t="s">
        <v>174</v>
      </c>
      <c r="I52" s="7" t="s">
        <v>168</v>
      </c>
      <c r="J52" s="7" t="s">
        <v>169</v>
      </c>
      <c r="K52" s="7" t="s">
        <v>170</v>
      </c>
      <c r="L52" s="7" t="s">
        <v>88</v>
      </c>
      <c r="M52" s="8" t="n">
        <v>46140</v>
      </c>
      <c r="N52" s="7" t="s">
        <v>89</v>
      </c>
      <c r="O52" s="9" t="n">
        <f aca="false">IF(COUNTIFS($B$2:B52,B52,$C$2:C52,C52)=1,1,0)</f>
        <v>1</v>
      </c>
      <c r="P52" s="9" t="str">
        <f aca="false">IFERROR(INDEX(dEtapa!$A$2:$A$6,MATCH(N52,dEtapa!$B$2:$B$6,0)),"Sin etapa")</f>
        <v>Gobernada</v>
      </c>
      <c r="Q52" s="9" t="n">
        <f aca="false">IF(L52="Si",1,0)</f>
        <v>1</v>
      </c>
      <c r="R52" s="9" t="n">
        <f aca="false">IF(ISNUMBER(SEARCH("CRITERIO",N52)),1,0)</f>
        <v>0</v>
      </c>
      <c r="S52" s="9" t="str">
        <f aca="false">IF(E52="","Sin dato",LEFT(E52,1))</f>
        <v>B</v>
      </c>
      <c r="T52" s="9" t="n">
        <f aca="false">IFERROR(INDEX(dCriticidad!$G$2:$G$7,MATCH(S52,dCriticidad!$A$2:$A$7,0)),0)</f>
        <v>1</v>
      </c>
      <c r="U52" s="9" t="n">
        <f aca="false">IF(OR(LEFT(C52,3)="GI0",LEFT(C52,3)="GA0"),1,0)</f>
        <v>0</v>
      </c>
      <c r="V52" s="9" t="str">
        <f aca="false">IF(G52="","Sin dato (ID GI)",TRIM(G52))</f>
        <v>Ciberseguridad</v>
      </c>
      <c r="W52" s="9" t="str">
        <f aca="false">IF(F52="","Sin dato",F52)</f>
        <v>Nube</v>
      </c>
      <c r="X52" s="9" t="n">
        <f aca="false">IF(M52="","",YEAR(M52))</f>
        <v>2026</v>
      </c>
      <c r="Y52" s="10" t="n">
        <f aca="false">IF(M52="","",DATE(YEAR(M52),MONTH(M52),1))</f>
        <v>46113</v>
      </c>
      <c r="Z52" s="9" t="n">
        <f aca="false">IF(AND(Q52=0,COUNTIF(dDuplicadosGI!$A$2:$A$60,C52)&gt;0),1,0)</f>
        <v>0</v>
      </c>
      <c r="AA52" s="9" t="n">
        <f aca="false">IF(Q52=0,1,0)</f>
        <v>0</v>
      </c>
    </row>
    <row r="53" customFormat="false" ht="15" hidden="false" customHeight="false" outlineLevel="0" collapsed="false">
      <c r="A53" s="7" t="n">
        <v>52</v>
      </c>
      <c r="B53" s="7" t="s">
        <v>343</v>
      </c>
      <c r="C53" s="7" t="s">
        <v>344</v>
      </c>
      <c r="D53" s="7" t="s">
        <v>345</v>
      </c>
      <c r="E53" s="7" t="s">
        <v>145</v>
      </c>
      <c r="F53" s="7" t="s">
        <v>94</v>
      </c>
      <c r="G53" s="7" t="s">
        <v>211</v>
      </c>
      <c r="H53" s="7" t="s">
        <v>212</v>
      </c>
      <c r="I53" s="7" t="s">
        <v>213</v>
      </c>
      <c r="J53" s="7" t="s">
        <v>214</v>
      </c>
      <c r="K53" s="7" t="s">
        <v>170</v>
      </c>
      <c r="L53" s="7" t="s">
        <v>99</v>
      </c>
      <c r="M53" s="8"/>
      <c r="N53" s="7" t="s">
        <v>178</v>
      </c>
      <c r="O53" s="9" t="n">
        <f aca="false">IF(COUNTIFS($B$2:B53,B53,$C$2:C53,C53)=1,1,0)</f>
        <v>1</v>
      </c>
      <c r="P53" s="9" t="str">
        <f aca="false">IFERROR(INDEX(dEtapa!$A$2:$A$6,MATCH(N53,dEtapa!$B$2:$B$6,0)),"Sin etapa")</f>
        <v>Criterio 2</v>
      </c>
      <c r="Q53" s="9" t="n">
        <f aca="false">IF(L53="Si",1,0)</f>
        <v>0</v>
      </c>
      <c r="R53" s="9" t="n">
        <f aca="false">IF(ISNUMBER(SEARCH("CRITERIO",N53)),1,0)</f>
        <v>1</v>
      </c>
      <c r="S53" s="9" t="str">
        <f aca="false">IF(E53="","Sin dato",LEFT(E53,1))</f>
        <v>B</v>
      </c>
      <c r="T53" s="9" t="n">
        <f aca="false">IFERROR(INDEX(dCriticidad!$G$2:$G$7,MATCH(S53,dCriticidad!$A$2:$A$7,0)),0)</f>
        <v>1</v>
      </c>
      <c r="U53" s="9" t="n">
        <f aca="false">IF(OR(LEFT(C53,3)="GI0",LEFT(C53,3)="GA0"),1,0)</f>
        <v>0</v>
      </c>
      <c r="V53" s="9" t="str">
        <f aca="false">IF(G53="","Sin dato (ID GI)",TRIM(G53))</f>
        <v>Tribu Ciberseguridad</v>
      </c>
      <c r="W53" s="9" t="str">
        <f aca="false">IF(F53="","Sin dato",F53)</f>
        <v>Nube</v>
      </c>
      <c r="X53" s="9" t="str">
        <f aca="false">IF(M53="","",YEAR(M53))</f>
        <v/>
      </c>
      <c r="Y53" s="10" t="str">
        <f aca="false">IF(M53="","",DATE(YEAR(M53),MONTH(M53),1))</f>
        <v/>
      </c>
      <c r="Z53" s="9" t="n">
        <f aca="false">IF(AND(Q53=0,COUNTIF(dDuplicadosGI!$A$2:$A$60,C53)&gt;0),1,0)</f>
        <v>0</v>
      </c>
      <c r="AA53" s="9" t="n">
        <f aca="false">IF(Q53=0,1,0)</f>
        <v>1</v>
      </c>
    </row>
    <row r="54" customFormat="false" ht="15" hidden="false" customHeight="false" outlineLevel="0" collapsed="false">
      <c r="A54" s="7" t="n">
        <v>53</v>
      </c>
      <c r="B54" s="7" t="s">
        <v>346</v>
      </c>
      <c r="C54" s="7" t="s">
        <v>347</v>
      </c>
      <c r="D54" s="7" t="s">
        <v>348</v>
      </c>
      <c r="E54" s="7" t="s">
        <v>145</v>
      </c>
      <c r="F54" s="7" t="s">
        <v>94</v>
      </c>
      <c r="G54" s="7" t="s">
        <v>146</v>
      </c>
      <c r="H54" s="7" t="s">
        <v>349</v>
      </c>
      <c r="I54" s="7" t="s">
        <v>350</v>
      </c>
      <c r="J54" s="7" t="s">
        <v>351</v>
      </c>
      <c r="K54" s="7" t="s">
        <v>108</v>
      </c>
      <c r="L54" s="7" t="s">
        <v>88</v>
      </c>
      <c r="M54" s="8" t="n">
        <v>46007</v>
      </c>
      <c r="N54" s="7" t="s">
        <v>89</v>
      </c>
      <c r="O54" s="9" t="n">
        <f aca="false">IF(COUNTIFS($B$2:B54,B54,$C$2:C54,C54)=1,1,0)</f>
        <v>1</v>
      </c>
      <c r="P54" s="9" t="str">
        <f aca="false">IFERROR(INDEX(dEtapa!$A$2:$A$6,MATCH(N54,dEtapa!$B$2:$B$6,0)),"Sin etapa")</f>
        <v>Gobernada</v>
      </c>
      <c r="Q54" s="9" t="n">
        <f aca="false">IF(L54="Si",1,0)</f>
        <v>1</v>
      </c>
      <c r="R54" s="9" t="n">
        <f aca="false">IF(ISNUMBER(SEARCH("CRITERIO",N54)),1,0)</f>
        <v>0</v>
      </c>
      <c r="S54" s="9" t="str">
        <f aca="false">IF(E54="","Sin dato",LEFT(E54,1))</f>
        <v>B</v>
      </c>
      <c r="T54" s="9" t="n">
        <f aca="false">IFERROR(INDEX(dCriticidad!$G$2:$G$7,MATCH(S54,dCriticidad!$A$2:$A$7,0)),0)</f>
        <v>1</v>
      </c>
      <c r="U54" s="9" t="n">
        <f aca="false">IF(OR(LEFT(C54,3)="GI0",LEFT(C54,3)="GA0"),1,0)</f>
        <v>0</v>
      </c>
      <c r="V54" s="9" t="str">
        <f aca="false">IF(G54="","Sin dato (ID GI)",TRIM(G54))</f>
        <v>Tribu_Integraciones_Apis</v>
      </c>
      <c r="W54" s="9" t="str">
        <f aca="false">IF(F54="","Sin dato",F54)</f>
        <v>Nube</v>
      </c>
      <c r="X54" s="9" t="n">
        <f aca="false">IF(M54="","",YEAR(M54))</f>
        <v>2025</v>
      </c>
      <c r="Y54" s="10" t="n">
        <f aca="false">IF(M54="","",DATE(YEAR(M54),MONTH(M54),1))</f>
        <v>45992</v>
      </c>
      <c r="Z54" s="9" t="n">
        <f aca="false">IF(AND(Q54=0,COUNTIF(dDuplicadosGI!$A$2:$A$60,C54)&gt;0),1,0)</f>
        <v>0</v>
      </c>
      <c r="AA54" s="9" t="n">
        <f aca="false">IF(Q54=0,1,0)</f>
        <v>0</v>
      </c>
    </row>
    <row r="55" customFormat="false" ht="15" hidden="false" customHeight="false" outlineLevel="0" collapsed="false">
      <c r="A55" s="7" t="n">
        <v>54</v>
      </c>
      <c r="B55" s="7" t="s">
        <v>352</v>
      </c>
      <c r="C55" s="7" t="s">
        <v>353</v>
      </c>
      <c r="D55" s="7" t="s">
        <v>354</v>
      </c>
      <c r="E55" s="7" t="s">
        <v>145</v>
      </c>
      <c r="F55" s="7" t="s">
        <v>94</v>
      </c>
      <c r="G55" s="7" t="s">
        <v>146</v>
      </c>
      <c r="H55" s="7" t="s">
        <v>147</v>
      </c>
      <c r="I55" s="7" t="s">
        <v>350</v>
      </c>
      <c r="J55" s="7" t="s">
        <v>355</v>
      </c>
      <c r="K55" s="7" t="s">
        <v>108</v>
      </c>
      <c r="L55" s="7" t="s">
        <v>88</v>
      </c>
      <c r="M55" s="8" t="n">
        <v>46028</v>
      </c>
      <c r="N55" s="7" t="s">
        <v>89</v>
      </c>
      <c r="O55" s="9" t="n">
        <f aca="false">IF(COUNTIFS($B$2:B55,B55,$C$2:C55,C55)=1,1,0)</f>
        <v>1</v>
      </c>
      <c r="P55" s="9" t="str">
        <f aca="false">IFERROR(INDEX(dEtapa!$A$2:$A$6,MATCH(N55,dEtapa!$B$2:$B$6,0)),"Sin etapa")</f>
        <v>Gobernada</v>
      </c>
      <c r="Q55" s="9" t="n">
        <f aca="false">IF(L55="Si",1,0)</f>
        <v>1</v>
      </c>
      <c r="R55" s="9" t="n">
        <f aca="false">IF(ISNUMBER(SEARCH("CRITERIO",N55)),1,0)</f>
        <v>0</v>
      </c>
      <c r="S55" s="9" t="str">
        <f aca="false">IF(E55="","Sin dato",LEFT(E55,1))</f>
        <v>B</v>
      </c>
      <c r="T55" s="9" t="n">
        <f aca="false">IFERROR(INDEX(dCriticidad!$G$2:$G$7,MATCH(S55,dCriticidad!$A$2:$A$7,0)),0)</f>
        <v>1</v>
      </c>
      <c r="U55" s="9" t="n">
        <f aca="false">IF(OR(LEFT(C55,3)="GI0",LEFT(C55,3)="GA0"),1,0)</f>
        <v>0</v>
      </c>
      <c r="V55" s="9" t="str">
        <f aca="false">IF(G55="","Sin dato (ID GI)",TRIM(G55))</f>
        <v>Tribu_Integraciones_Apis</v>
      </c>
      <c r="W55" s="9" t="str">
        <f aca="false">IF(F55="","Sin dato",F55)</f>
        <v>Nube</v>
      </c>
      <c r="X55" s="9" t="n">
        <f aca="false">IF(M55="","",YEAR(M55))</f>
        <v>2026</v>
      </c>
      <c r="Y55" s="10" t="n">
        <f aca="false">IF(M55="","",DATE(YEAR(M55),MONTH(M55),1))</f>
        <v>46023</v>
      </c>
      <c r="Z55" s="9" t="n">
        <f aca="false">IF(AND(Q55=0,COUNTIF(dDuplicadosGI!$A$2:$A$60,C55)&gt;0),1,0)</f>
        <v>0</v>
      </c>
      <c r="AA55" s="9" t="n">
        <f aca="false">IF(Q55=0,1,0)</f>
        <v>0</v>
      </c>
    </row>
    <row r="56" customFormat="false" ht="15" hidden="false" customHeight="false" outlineLevel="0" collapsed="false">
      <c r="A56" s="7" t="n">
        <v>55</v>
      </c>
      <c r="B56" s="7" t="s">
        <v>356</v>
      </c>
      <c r="C56" s="7" t="s">
        <v>357</v>
      </c>
      <c r="D56" s="7" t="s">
        <v>358</v>
      </c>
      <c r="E56" s="7" t="s">
        <v>145</v>
      </c>
      <c r="F56" s="7" t="s">
        <v>82</v>
      </c>
      <c r="G56" s="7" t="s">
        <v>166</v>
      </c>
      <c r="H56" s="7" t="s">
        <v>167</v>
      </c>
      <c r="I56" s="7" t="s">
        <v>168</v>
      </c>
      <c r="J56" s="7" t="s">
        <v>174</v>
      </c>
      <c r="K56" s="7" t="s">
        <v>170</v>
      </c>
      <c r="L56" s="7" t="s">
        <v>99</v>
      </c>
      <c r="M56" s="8"/>
      <c r="N56" s="7" t="s">
        <v>178</v>
      </c>
      <c r="O56" s="9" t="n">
        <f aca="false">IF(COUNTIFS($B$2:B56,B56,$C$2:C56,C56)=1,1,0)</f>
        <v>1</v>
      </c>
      <c r="P56" s="9" t="str">
        <f aca="false">IFERROR(INDEX(dEtapa!$A$2:$A$6,MATCH(N56,dEtapa!$B$2:$B$6,0)),"Sin etapa")</f>
        <v>Criterio 2</v>
      </c>
      <c r="Q56" s="9" t="n">
        <f aca="false">IF(L56="Si",1,0)</f>
        <v>0</v>
      </c>
      <c r="R56" s="9" t="n">
        <f aca="false">IF(ISNUMBER(SEARCH("CRITERIO",N56)),1,0)</f>
        <v>1</v>
      </c>
      <c r="S56" s="9" t="str">
        <f aca="false">IF(E56="","Sin dato",LEFT(E56,1))</f>
        <v>B</v>
      </c>
      <c r="T56" s="9" t="n">
        <f aca="false">IFERROR(INDEX(dCriticidad!$G$2:$G$7,MATCH(S56,dCriticidad!$A$2:$A$7,0)),0)</f>
        <v>1</v>
      </c>
      <c r="U56" s="9" t="n">
        <f aca="false">IF(OR(LEFT(C56,3)="GI0",LEFT(C56,3)="GA0"),1,0)</f>
        <v>0</v>
      </c>
      <c r="V56" s="9" t="str">
        <f aca="false">IF(G56="","Sin dato (ID GI)",TRIM(G56))</f>
        <v>Ciberseguridad</v>
      </c>
      <c r="W56" s="9" t="str">
        <f aca="false">IF(F56="","Sin dato",F56)</f>
        <v>On Premise</v>
      </c>
      <c r="X56" s="9" t="str">
        <f aca="false">IF(M56="","",YEAR(M56))</f>
        <v/>
      </c>
      <c r="Y56" s="10" t="str">
        <f aca="false">IF(M56="","",DATE(YEAR(M56),MONTH(M56),1))</f>
        <v/>
      </c>
      <c r="Z56" s="9" t="n">
        <f aca="false">IF(AND(Q56=0,COUNTIF(dDuplicadosGI!$A$2:$A$60,C56)&gt;0),1,0)</f>
        <v>0</v>
      </c>
      <c r="AA56" s="9" t="n">
        <f aca="false">IF(Q56=0,1,0)</f>
        <v>1</v>
      </c>
    </row>
    <row r="57" customFormat="false" ht="15" hidden="false" customHeight="false" outlineLevel="0" collapsed="false">
      <c r="A57" s="7" t="n">
        <v>56</v>
      </c>
      <c r="B57" s="7" t="s">
        <v>359</v>
      </c>
      <c r="C57" s="7" t="s">
        <v>360</v>
      </c>
      <c r="D57" s="7" t="s">
        <v>361</v>
      </c>
      <c r="E57" s="7" t="s">
        <v>119</v>
      </c>
      <c r="F57" s="7" t="s">
        <v>152</v>
      </c>
      <c r="G57" s="7" t="s">
        <v>362</v>
      </c>
      <c r="H57" s="7" t="s">
        <v>363</v>
      </c>
      <c r="I57" s="7" t="s">
        <v>364</v>
      </c>
      <c r="J57" s="7" t="s">
        <v>365</v>
      </c>
      <c r="K57" s="7" t="s">
        <v>87</v>
      </c>
      <c r="L57" s="7" t="s">
        <v>88</v>
      </c>
      <c r="M57" s="8" t="n">
        <v>46107</v>
      </c>
      <c r="N57" s="7" t="s">
        <v>89</v>
      </c>
      <c r="O57" s="9" t="n">
        <f aca="false">IF(COUNTIFS($B$2:B57,B57,$C$2:C57,C57)=1,1,0)</f>
        <v>1</v>
      </c>
      <c r="P57" s="9" t="str">
        <f aca="false">IFERROR(INDEX(dEtapa!$A$2:$A$6,MATCH(N57,dEtapa!$B$2:$B$6,0)),"Sin etapa")</f>
        <v>Gobernada</v>
      </c>
      <c r="Q57" s="9" t="n">
        <f aca="false">IF(L57="Si",1,0)</f>
        <v>1</v>
      </c>
      <c r="R57" s="9" t="n">
        <f aca="false">IF(ISNUMBER(SEARCH("CRITERIO",N57)),1,0)</f>
        <v>0</v>
      </c>
      <c r="S57" s="9" t="str">
        <f aca="false">IF(E57="","Sin dato",LEFT(E57,1))</f>
        <v>E</v>
      </c>
      <c r="T57" s="9" t="n">
        <f aca="false">IFERROR(INDEX(dCriticidad!$G$2:$G$7,MATCH(S57,dCriticidad!$A$2:$A$7,0)),0)</f>
        <v>0</v>
      </c>
      <c r="U57" s="9" t="n">
        <f aca="false">IF(OR(LEFT(C57,3)="GI0",LEFT(C57,3)="GA0"),1,0)</f>
        <v>0</v>
      </c>
      <c r="V57" s="9" t="str">
        <f aca="false">IF(G57="","Sin dato (ID GI)",TRIM(G57))</f>
        <v>COE_TRANSFORMACION_PROCESOS</v>
      </c>
      <c r="W57" s="9" t="str">
        <f aca="false">IF(F57="","Sin dato",F57)</f>
        <v>Terceros</v>
      </c>
      <c r="X57" s="9" t="n">
        <f aca="false">IF(M57="","",YEAR(M57))</f>
        <v>2026</v>
      </c>
      <c r="Y57" s="10" t="n">
        <f aca="false">IF(M57="","",DATE(YEAR(M57),MONTH(M57),1))</f>
        <v>46082</v>
      </c>
      <c r="Z57" s="9" t="n">
        <f aca="false">IF(AND(Q57=0,COUNTIF(dDuplicadosGI!$A$2:$A$60,C57)&gt;0),1,0)</f>
        <v>0</v>
      </c>
      <c r="AA57" s="9" t="n">
        <f aca="false">IF(Q57=0,1,0)</f>
        <v>0</v>
      </c>
    </row>
    <row r="58" customFormat="false" ht="15" hidden="false" customHeight="false" outlineLevel="0" collapsed="false">
      <c r="A58" s="7" t="n">
        <v>57</v>
      </c>
      <c r="B58" s="7" t="s">
        <v>366</v>
      </c>
      <c r="C58" s="7" t="s">
        <v>367</v>
      </c>
      <c r="D58" s="7" t="s">
        <v>368</v>
      </c>
      <c r="E58" s="7" t="s">
        <v>113</v>
      </c>
      <c r="F58" s="7" t="s">
        <v>82</v>
      </c>
      <c r="G58" s="7" t="s">
        <v>369</v>
      </c>
      <c r="H58" s="7" t="s">
        <v>147</v>
      </c>
      <c r="I58" s="7" t="s">
        <v>370</v>
      </c>
      <c r="J58" s="7" t="s">
        <v>147</v>
      </c>
      <c r="K58" s="7" t="s">
        <v>87</v>
      </c>
      <c r="L58" s="7" t="s">
        <v>88</v>
      </c>
      <c r="M58" s="8" t="n">
        <v>45200</v>
      </c>
      <c r="N58" s="7" t="s">
        <v>89</v>
      </c>
      <c r="O58" s="9" t="n">
        <f aca="false">IF(COUNTIFS($B$2:B58,B58,$C$2:C58,C58)=1,1,0)</f>
        <v>1</v>
      </c>
      <c r="P58" s="9" t="str">
        <f aca="false">IFERROR(INDEX(dEtapa!$A$2:$A$6,MATCH(N58,dEtapa!$B$2:$B$6,0)),"Sin etapa")</f>
        <v>Gobernada</v>
      </c>
      <c r="Q58" s="9" t="n">
        <f aca="false">IF(L58="Si",1,0)</f>
        <v>1</v>
      </c>
      <c r="R58" s="9" t="n">
        <f aca="false">IF(ISNUMBER(SEARCH("CRITERIO",N58)),1,0)</f>
        <v>0</v>
      </c>
      <c r="S58" s="9" t="str">
        <f aca="false">IF(E58="","Sin dato",LEFT(E58,1))</f>
        <v>C</v>
      </c>
      <c r="T58" s="9" t="n">
        <f aca="false">IFERROR(INDEX(dCriticidad!$G$2:$G$7,MATCH(S58,dCriticidad!$A$2:$A$7,0)),0)</f>
        <v>1</v>
      </c>
      <c r="U58" s="9" t="n">
        <f aca="false">IF(OR(LEFT(C58,3)="GI0",LEFT(C58,3)="GA0"),1,0)</f>
        <v>0</v>
      </c>
      <c r="V58" s="9" t="str">
        <f aca="false">IF(G58="","Sin dato (ID GI)",TRIM(G58))</f>
        <v>Tribu_Cores_Transacciones</v>
      </c>
      <c r="W58" s="9" t="str">
        <f aca="false">IF(F58="","Sin dato",F58)</f>
        <v>On Premise</v>
      </c>
      <c r="X58" s="9" t="n">
        <f aca="false">IF(M58="","",YEAR(M58))</f>
        <v>2023</v>
      </c>
      <c r="Y58" s="10" t="n">
        <f aca="false">IF(M58="","",DATE(YEAR(M58),MONTH(M58),1))</f>
        <v>45200</v>
      </c>
      <c r="Z58" s="9" t="n">
        <f aca="false">IF(AND(Q58=0,COUNTIF(dDuplicadosGI!$A$2:$A$60,C58)&gt;0),1,0)</f>
        <v>0</v>
      </c>
      <c r="AA58" s="9" t="n">
        <f aca="false">IF(Q58=0,1,0)</f>
        <v>0</v>
      </c>
    </row>
    <row r="59" customFormat="false" ht="15" hidden="false" customHeight="false" outlineLevel="0" collapsed="false">
      <c r="A59" s="7" t="n">
        <v>58</v>
      </c>
      <c r="B59" s="7" t="s">
        <v>371</v>
      </c>
      <c r="C59" s="7" t="s">
        <v>372</v>
      </c>
      <c r="D59" s="7" t="s">
        <v>373</v>
      </c>
      <c r="E59" s="7" t="s">
        <v>145</v>
      </c>
      <c r="F59" s="7" t="s">
        <v>94</v>
      </c>
      <c r="G59" s="7" t="s">
        <v>211</v>
      </c>
      <c r="H59" s="7" t="s">
        <v>212</v>
      </c>
      <c r="I59" s="7" t="s">
        <v>327</v>
      </c>
      <c r="J59" s="7" t="s">
        <v>214</v>
      </c>
      <c r="K59" s="7" t="s">
        <v>170</v>
      </c>
      <c r="L59" s="7" t="s">
        <v>99</v>
      </c>
      <c r="M59" s="8"/>
      <c r="N59" s="7" t="s">
        <v>109</v>
      </c>
      <c r="O59" s="9" t="n">
        <f aca="false">IF(COUNTIFS($B$2:B59,B59,$C$2:C59,C59)=1,1,0)</f>
        <v>1</v>
      </c>
      <c r="P59" s="9" t="str">
        <f aca="false">IFERROR(INDEX(dEtapa!$A$2:$A$6,MATCH(N59,dEtapa!$B$2:$B$6,0)),"Sin etapa")</f>
        <v>Planificada 2027</v>
      </c>
      <c r="Q59" s="9" t="n">
        <f aca="false">IF(L59="Si",1,0)</f>
        <v>0</v>
      </c>
      <c r="R59" s="9" t="n">
        <f aca="false">IF(ISNUMBER(SEARCH("CRITERIO",N59)),1,0)</f>
        <v>0</v>
      </c>
      <c r="S59" s="9" t="str">
        <f aca="false">IF(E59="","Sin dato",LEFT(E59,1))</f>
        <v>B</v>
      </c>
      <c r="T59" s="9" t="n">
        <f aca="false">IFERROR(INDEX(dCriticidad!$G$2:$G$7,MATCH(S59,dCriticidad!$A$2:$A$7,0)),0)</f>
        <v>1</v>
      </c>
      <c r="U59" s="9" t="n">
        <f aca="false">IF(OR(LEFT(C59,3)="GI0",LEFT(C59,3)="GA0"),1,0)</f>
        <v>0</v>
      </c>
      <c r="V59" s="9" t="str">
        <f aca="false">IF(G59="","Sin dato (ID GI)",TRIM(G59))</f>
        <v>Tribu Ciberseguridad</v>
      </c>
      <c r="W59" s="9" t="str">
        <f aca="false">IF(F59="","Sin dato",F59)</f>
        <v>Nube</v>
      </c>
      <c r="X59" s="9" t="str">
        <f aca="false">IF(M59="","",YEAR(M59))</f>
        <v/>
      </c>
      <c r="Y59" s="10" t="str">
        <f aca="false">IF(M59="","",DATE(YEAR(M59),MONTH(M59),1))</f>
        <v/>
      </c>
      <c r="Z59" s="9" t="n">
        <f aca="false">IF(AND(Q59=0,COUNTIF(dDuplicadosGI!$A$2:$A$60,C59)&gt;0),1,0)</f>
        <v>0</v>
      </c>
      <c r="AA59" s="9" t="n">
        <f aca="false">IF(Q59=0,1,0)</f>
        <v>1</v>
      </c>
    </row>
    <row r="60" customFormat="false" ht="15" hidden="false" customHeight="false" outlineLevel="0" collapsed="false">
      <c r="A60" s="7" t="n">
        <v>59</v>
      </c>
      <c r="B60" s="7" t="s">
        <v>374</v>
      </c>
      <c r="C60" s="7" t="s">
        <v>375</v>
      </c>
      <c r="D60" s="7" t="s">
        <v>376</v>
      </c>
      <c r="E60" s="7" t="s">
        <v>119</v>
      </c>
      <c r="F60" s="7" t="s">
        <v>82</v>
      </c>
      <c r="G60" s="7" t="s">
        <v>211</v>
      </c>
      <c r="H60" s="7" t="s">
        <v>212</v>
      </c>
      <c r="I60" s="7" t="s">
        <v>213</v>
      </c>
      <c r="J60" s="7" t="s">
        <v>214</v>
      </c>
      <c r="K60" s="7" t="s">
        <v>98</v>
      </c>
      <c r="L60" s="7" t="s">
        <v>99</v>
      </c>
      <c r="M60" s="8"/>
      <c r="N60" s="7" t="s">
        <v>189</v>
      </c>
      <c r="O60" s="9" t="n">
        <f aca="false">IF(COUNTIFS($B$2:B60,B60,$C$2:C60,C60)=1,1,0)</f>
        <v>1</v>
      </c>
      <c r="P60" s="9" t="str">
        <f aca="false">IFERROR(INDEX(dEtapa!$A$2:$A$6,MATCH(N60,dEtapa!$B$2:$B$6,0)),"Sin etapa")</f>
        <v>Criterio 3</v>
      </c>
      <c r="Q60" s="9" t="n">
        <f aca="false">IF(L60="Si",1,0)</f>
        <v>0</v>
      </c>
      <c r="R60" s="9" t="n">
        <f aca="false">IF(ISNUMBER(SEARCH("CRITERIO",N60)),1,0)</f>
        <v>1</v>
      </c>
      <c r="S60" s="9" t="str">
        <f aca="false">IF(E60="","Sin dato",LEFT(E60,1))</f>
        <v>E</v>
      </c>
      <c r="T60" s="9" t="n">
        <f aca="false">IFERROR(INDEX(dCriticidad!$G$2:$G$7,MATCH(S60,dCriticidad!$A$2:$A$7,0)),0)</f>
        <v>0</v>
      </c>
      <c r="U60" s="9" t="n">
        <f aca="false">IF(OR(LEFT(C60,3)="GI0",LEFT(C60,3)="GA0"),1,0)</f>
        <v>0</v>
      </c>
      <c r="V60" s="9" t="str">
        <f aca="false">IF(G60="","Sin dato (ID GI)",TRIM(G60))</f>
        <v>Tribu Ciberseguridad</v>
      </c>
      <c r="W60" s="9" t="str">
        <f aca="false">IF(F60="","Sin dato",F60)</f>
        <v>On Premise</v>
      </c>
      <c r="X60" s="9" t="str">
        <f aca="false">IF(M60="","",YEAR(M60))</f>
        <v/>
      </c>
      <c r="Y60" s="10" t="str">
        <f aca="false">IF(M60="","",DATE(YEAR(M60),MONTH(M60),1))</f>
        <v/>
      </c>
      <c r="Z60" s="9" t="n">
        <f aca="false">IF(AND(Q60=0,COUNTIF(dDuplicadosGI!$A$2:$A$60,C60)&gt;0),1,0)</f>
        <v>0</v>
      </c>
      <c r="AA60" s="9" t="n">
        <f aca="false">IF(Q60=0,1,0)</f>
        <v>1</v>
      </c>
    </row>
    <row r="61" customFormat="false" ht="15" hidden="false" customHeight="false" outlineLevel="0" collapsed="false">
      <c r="A61" s="7" t="n">
        <v>60</v>
      </c>
      <c r="B61" s="7" t="s">
        <v>377</v>
      </c>
      <c r="C61" s="7" t="s">
        <v>378</v>
      </c>
      <c r="D61" s="7" t="s">
        <v>379</v>
      </c>
      <c r="E61" s="7" t="s">
        <v>145</v>
      </c>
      <c r="F61" s="7" t="s">
        <v>94</v>
      </c>
      <c r="G61" s="7" t="s">
        <v>104</v>
      </c>
      <c r="H61" s="7" t="s">
        <v>105</v>
      </c>
      <c r="I61" s="7" t="s">
        <v>380</v>
      </c>
      <c r="J61" s="7" t="s">
        <v>381</v>
      </c>
      <c r="K61" s="7" t="s">
        <v>170</v>
      </c>
      <c r="L61" s="7" t="s">
        <v>99</v>
      </c>
      <c r="M61" s="8"/>
      <c r="N61" s="7" t="s">
        <v>100</v>
      </c>
      <c r="O61" s="9" t="n">
        <f aca="false">IF(COUNTIFS($B$2:B61,B61,$C$2:C61,C61)=1,1,0)</f>
        <v>1</v>
      </c>
      <c r="P61" s="9" t="str">
        <f aca="false">IFERROR(INDEX(dEtapa!$A$2:$A$6,MATCH(N61,dEtapa!$B$2:$B$6,0)),"Sin etapa")</f>
        <v>Criterio 1</v>
      </c>
      <c r="Q61" s="9" t="n">
        <f aca="false">IF(L61="Si",1,0)</f>
        <v>0</v>
      </c>
      <c r="R61" s="9" t="n">
        <f aca="false">IF(ISNUMBER(SEARCH("CRITERIO",N61)),1,0)</f>
        <v>1</v>
      </c>
      <c r="S61" s="9" t="str">
        <f aca="false">IF(E61="","Sin dato",LEFT(E61,1))</f>
        <v>B</v>
      </c>
      <c r="T61" s="9" t="n">
        <f aca="false">IFERROR(INDEX(dCriticidad!$G$2:$G$7,MATCH(S61,dCriticidad!$A$2:$A$7,0)),0)</f>
        <v>1</v>
      </c>
      <c r="U61" s="9" t="n">
        <f aca="false">IF(OR(LEFT(C61,3)="GI0",LEFT(C61,3)="GA0"),1,0)</f>
        <v>0</v>
      </c>
      <c r="V61" s="9" t="str">
        <f aca="false">IF(G61="","Sin dato (ID GI)",TRIM(G61))</f>
        <v>INFRAESTRUCTURA</v>
      </c>
      <c r="W61" s="9" t="str">
        <f aca="false">IF(F61="","Sin dato",F61)</f>
        <v>Nube</v>
      </c>
      <c r="X61" s="9" t="str">
        <f aca="false">IF(M61="","",YEAR(M61))</f>
        <v/>
      </c>
      <c r="Y61" s="10" t="str">
        <f aca="false">IF(M61="","",DATE(YEAR(M61),MONTH(M61),1))</f>
        <v/>
      </c>
      <c r="Z61" s="9" t="n">
        <f aca="false">IF(AND(Q61=0,COUNTIF(dDuplicadosGI!$A$2:$A$60,C61)&gt;0),1,0)</f>
        <v>0</v>
      </c>
      <c r="AA61" s="9" t="n">
        <f aca="false">IF(Q61=0,1,0)</f>
        <v>1</v>
      </c>
    </row>
    <row r="62" customFormat="false" ht="15" hidden="false" customHeight="false" outlineLevel="0" collapsed="false">
      <c r="A62" s="7" t="n">
        <v>61</v>
      </c>
      <c r="B62" s="7" t="s">
        <v>382</v>
      </c>
      <c r="C62" s="7" t="s">
        <v>383</v>
      </c>
      <c r="D62" s="7" t="s">
        <v>384</v>
      </c>
      <c r="E62" s="7" t="s">
        <v>145</v>
      </c>
      <c r="F62" s="7" t="s">
        <v>82</v>
      </c>
      <c r="G62" s="7" t="s">
        <v>83</v>
      </c>
      <c r="H62" s="7" t="s">
        <v>84</v>
      </c>
      <c r="I62" s="7" t="s">
        <v>289</v>
      </c>
      <c r="J62" s="7" t="s">
        <v>290</v>
      </c>
      <c r="K62" s="7" t="s">
        <v>98</v>
      </c>
      <c r="L62" s="7" t="s">
        <v>99</v>
      </c>
      <c r="M62" s="8"/>
      <c r="N62" s="7" t="s">
        <v>178</v>
      </c>
      <c r="O62" s="9" t="n">
        <f aca="false">IF(COUNTIFS($B$2:B62,B62,$C$2:C62,C62)=1,1,0)</f>
        <v>1</v>
      </c>
      <c r="P62" s="9" t="str">
        <f aca="false">IFERROR(INDEX(dEtapa!$A$2:$A$6,MATCH(N62,dEtapa!$B$2:$B$6,0)),"Sin etapa")</f>
        <v>Criterio 2</v>
      </c>
      <c r="Q62" s="9" t="n">
        <f aca="false">IF(L62="Si",1,0)</f>
        <v>0</v>
      </c>
      <c r="R62" s="9" t="n">
        <f aca="false">IF(ISNUMBER(SEARCH("CRITERIO",N62)),1,0)</f>
        <v>1</v>
      </c>
      <c r="S62" s="9" t="str">
        <f aca="false">IF(E62="","Sin dato",LEFT(E62,1))</f>
        <v>B</v>
      </c>
      <c r="T62" s="9" t="n">
        <f aca="false">IFERROR(INDEX(dCriticidad!$G$2:$G$7,MATCH(S62,dCriticidad!$A$2:$A$7,0)),0)</f>
        <v>1</v>
      </c>
      <c r="U62" s="9" t="n">
        <f aca="false">IF(OR(LEFT(C62,3)="GI0",LEFT(C62,3)="GA0"),1,0)</f>
        <v>0</v>
      </c>
      <c r="V62" s="9" t="str">
        <f aca="false">IF(G62="","Sin dato (ID GI)",TRIM(G62))</f>
        <v>TRIBU_CANALES</v>
      </c>
      <c r="W62" s="9" t="str">
        <f aca="false">IF(F62="","Sin dato",F62)</f>
        <v>On Premise</v>
      </c>
      <c r="X62" s="9" t="str">
        <f aca="false">IF(M62="","",YEAR(M62))</f>
        <v/>
      </c>
      <c r="Y62" s="10" t="str">
        <f aca="false">IF(M62="","",DATE(YEAR(M62),MONTH(M62),1))</f>
        <v/>
      </c>
      <c r="Z62" s="9" t="n">
        <f aca="false">IF(AND(Q62=0,COUNTIF(dDuplicadosGI!$A$2:$A$60,C62)&gt;0),1,0)</f>
        <v>0</v>
      </c>
      <c r="AA62" s="9" t="n">
        <f aca="false">IF(Q62=0,1,0)</f>
        <v>1</v>
      </c>
    </row>
    <row r="63" customFormat="false" ht="15" hidden="false" customHeight="false" outlineLevel="0" collapsed="false">
      <c r="A63" s="7" t="n">
        <v>62</v>
      </c>
      <c r="B63" s="7" t="s">
        <v>385</v>
      </c>
      <c r="C63" s="7" t="s">
        <v>386</v>
      </c>
      <c r="D63" s="7" t="s">
        <v>387</v>
      </c>
      <c r="E63" s="7" t="s">
        <v>119</v>
      </c>
      <c r="F63" s="7" t="s">
        <v>82</v>
      </c>
      <c r="G63" s="7" t="s">
        <v>104</v>
      </c>
      <c r="H63" s="7" t="s">
        <v>105</v>
      </c>
      <c r="I63" s="7" t="s">
        <v>388</v>
      </c>
      <c r="J63" s="7" t="s">
        <v>389</v>
      </c>
      <c r="K63" s="7" t="s">
        <v>108</v>
      </c>
      <c r="L63" s="7" t="s">
        <v>99</v>
      </c>
      <c r="M63" s="8"/>
      <c r="N63" s="7" t="s">
        <v>109</v>
      </c>
      <c r="O63" s="9" t="n">
        <f aca="false">IF(COUNTIFS($B$2:B63,B63,$C$2:C63,C63)=1,1,0)</f>
        <v>1</v>
      </c>
      <c r="P63" s="9" t="str">
        <f aca="false">IFERROR(INDEX(dEtapa!$A$2:$A$6,MATCH(N63,dEtapa!$B$2:$B$6,0)),"Sin etapa")</f>
        <v>Planificada 2027</v>
      </c>
      <c r="Q63" s="9" t="n">
        <f aca="false">IF(L63="Si",1,0)</f>
        <v>0</v>
      </c>
      <c r="R63" s="9" t="n">
        <f aca="false">IF(ISNUMBER(SEARCH("CRITERIO",N63)),1,0)</f>
        <v>0</v>
      </c>
      <c r="S63" s="9" t="str">
        <f aca="false">IF(E63="","Sin dato",LEFT(E63,1))</f>
        <v>E</v>
      </c>
      <c r="T63" s="9" t="n">
        <f aca="false">IFERROR(INDEX(dCriticidad!$G$2:$G$7,MATCH(S63,dCriticidad!$A$2:$A$7,0)),0)</f>
        <v>0</v>
      </c>
      <c r="U63" s="9" t="n">
        <f aca="false">IF(OR(LEFT(C63,3)="GI0",LEFT(C63,3)="GA0"),1,0)</f>
        <v>0</v>
      </c>
      <c r="V63" s="9" t="str">
        <f aca="false">IF(G63="","Sin dato (ID GI)",TRIM(G63))</f>
        <v>INFRAESTRUCTURA</v>
      </c>
      <c r="W63" s="9" t="str">
        <f aca="false">IF(F63="","Sin dato",F63)</f>
        <v>On Premise</v>
      </c>
      <c r="X63" s="9" t="str">
        <f aca="false">IF(M63="","",YEAR(M63))</f>
        <v/>
      </c>
      <c r="Y63" s="10" t="str">
        <f aca="false">IF(M63="","",DATE(YEAR(M63),MONTH(M63),1))</f>
        <v/>
      </c>
      <c r="Z63" s="9" t="n">
        <f aca="false">IF(AND(Q63=0,COUNTIF(dDuplicadosGI!$A$2:$A$60,C63)&gt;0),1,0)</f>
        <v>0</v>
      </c>
      <c r="AA63" s="9" t="n">
        <f aca="false">IF(Q63=0,1,0)</f>
        <v>1</v>
      </c>
    </row>
    <row r="64" customFormat="false" ht="15" hidden="false" customHeight="false" outlineLevel="0" collapsed="false">
      <c r="A64" s="7" t="n">
        <v>63</v>
      </c>
      <c r="B64" s="7" t="s">
        <v>390</v>
      </c>
      <c r="C64" s="7" t="s">
        <v>391</v>
      </c>
      <c r="D64" s="7" t="s">
        <v>392</v>
      </c>
      <c r="E64" s="7" t="s">
        <v>113</v>
      </c>
      <c r="F64" s="7" t="s">
        <v>82</v>
      </c>
      <c r="G64" s="7" t="s">
        <v>243</v>
      </c>
      <c r="H64" s="7" t="s">
        <v>133</v>
      </c>
      <c r="I64" s="7" t="s">
        <v>393</v>
      </c>
      <c r="J64" s="7" t="s">
        <v>249</v>
      </c>
      <c r="K64" s="7" t="s">
        <v>87</v>
      </c>
      <c r="L64" s="7" t="s">
        <v>88</v>
      </c>
      <c r="M64" s="8" t="n">
        <v>45200</v>
      </c>
      <c r="N64" s="7" t="s">
        <v>89</v>
      </c>
      <c r="O64" s="9" t="n">
        <f aca="false">IF(COUNTIFS($B$2:B64,B64,$C$2:C64,C64)=1,1,0)</f>
        <v>1</v>
      </c>
      <c r="P64" s="9" t="str">
        <f aca="false">IFERROR(INDEX(dEtapa!$A$2:$A$6,MATCH(N64,dEtapa!$B$2:$B$6,0)),"Sin etapa")</f>
        <v>Gobernada</v>
      </c>
      <c r="Q64" s="9" t="n">
        <f aca="false">IF(L64="Si",1,0)</f>
        <v>1</v>
      </c>
      <c r="R64" s="9" t="n">
        <f aca="false">IF(ISNUMBER(SEARCH("CRITERIO",N64)),1,0)</f>
        <v>0</v>
      </c>
      <c r="S64" s="9" t="str">
        <f aca="false">IF(E64="","Sin dato",LEFT(E64,1))</f>
        <v>C</v>
      </c>
      <c r="T64" s="9" t="n">
        <f aca="false">IFERROR(INDEX(dCriticidad!$G$2:$G$7,MATCH(S64,dCriticidad!$A$2:$A$7,0)),0)</f>
        <v>1</v>
      </c>
      <c r="U64" s="9" t="n">
        <f aca="false">IF(OR(LEFT(C64,3)="GI0",LEFT(C64,3)="GA0"),1,0)</f>
        <v>0</v>
      </c>
      <c r="V64" s="9" t="str">
        <f aca="false">IF(G64="","Sin dato (ID GI)",TRIM(G64))</f>
        <v>MICROFINANZAS</v>
      </c>
      <c r="W64" s="9" t="str">
        <f aca="false">IF(F64="","Sin dato",F64)</f>
        <v>On Premise</v>
      </c>
      <c r="X64" s="9" t="n">
        <f aca="false">IF(M64="","",YEAR(M64))</f>
        <v>2023</v>
      </c>
      <c r="Y64" s="10" t="n">
        <f aca="false">IF(M64="","",DATE(YEAR(M64),MONTH(M64),1))</f>
        <v>45200</v>
      </c>
      <c r="Z64" s="9" t="n">
        <f aca="false">IF(AND(Q64=0,COUNTIF(dDuplicadosGI!$A$2:$A$60,C64)&gt;0),1,0)</f>
        <v>0</v>
      </c>
      <c r="AA64" s="9" t="n">
        <f aca="false">IF(Q64=0,1,0)</f>
        <v>0</v>
      </c>
    </row>
    <row r="65" customFormat="false" ht="15" hidden="false" customHeight="false" outlineLevel="0" collapsed="false">
      <c r="A65" s="7" t="n">
        <v>64</v>
      </c>
      <c r="B65" s="7" t="s">
        <v>394</v>
      </c>
      <c r="C65" s="7" t="s">
        <v>395</v>
      </c>
      <c r="D65" s="7" t="s">
        <v>396</v>
      </c>
      <c r="E65" s="7" t="s">
        <v>113</v>
      </c>
      <c r="F65" s="7" t="s">
        <v>82</v>
      </c>
      <c r="G65" s="7" t="s">
        <v>166</v>
      </c>
      <c r="H65" s="7" t="s">
        <v>313</v>
      </c>
      <c r="I65" s="7" t="s">
        <v>168</v>
      </c>
      <c r="J65" s="7" t="s">
        <v>397</v>
      </c>
      <c r="K65" s="7" t="s">
        <v>170</v>
      </c>
      <c r="L65" s="7" t="s">
        <v>88</v>
      </c>
      <c r="M65" s="8" t="n">
        <v>46104</v>
      </c>
      <c r="N65" s="7" t="s">
        <v>89</v>
      </c>
      <c r="O65" s="9" t="n">
        <f aca="false">IF(COUNTIFS($B$2:B65,B65,$C$2:C65,C65)=1,1,0)</f>
        <v>1</v>
      </c>
      <c r="P65" s="9" t="str">
        <f aca="false">IFERROR(INDEX(dEtapa!$A$2:$A$6,MATCH(N65,dEtapa!$B$2:$B$6,0)),"Sin etapa")</f>
        <v>Gobernada</v>
      </c>
      <c r="Q65" s="9" t="n">
        <f aca="false">IF(L65="Si",1,0)</f>
        <v>1</v>
      </c>
      <c r="R65" s="9" t="n">
        <f aca="false">IF(ISNUMBER(SEARCH("CRITERIO",N65)),1,0)</f>
        <v>0</v>
      </c>
      <c r="S65" s="9" t="str">
        <f aca="false">IF(E65="","Sin dato",LEFT(E65,1))</f>
        <v>C</v>
      </c>
      <c r="T65" s="9" t="n">
        <f aca="false">IFERROR(INDEX(dCriticidad!$G$2:$G$7,MATCH(S65,dCriticidad!$A$2:$A$7,0)),0)</f>
        <v>1</v>
      </c>
      <c r="U65" s="9" t="n">
        <f aca="false">IF(OR(LEFT(C65,3)="GI0",LEFT(C65,3)="GA0"),1,0)</f>
        <v>0</v>
      </c>
      <c r="V65" s="9" t="str">
        <f aca="false">IF(G65="","Sin dato (ID GI)",TRIM(G65))</f>
        <v>Ciberseguridad</v>
      </c>
      <c r="W65" s="9" t="str">
        <f aca="false">IF(F65="","Sin dato",F65)</f>
        <v>On Premise</v>
      </c>
      <c r="X65" s="9" t="n">
        <f aca="false">IF(M65="","",YEAR(M65))</f>
        <v>2026</v>
      </c>
      <c r="Y65" s="10" t="n">
        <f aca="false">IF(M65="","",DATE(YEAR(M65),MONTH(M65),1))</f>
        <v>46082</v>
      </c>
      <c r="Z65" s="9" t="n">
        <f aca="false">IF(AND(Q65=0,COUNTIF(dDuplicadosGI!$A$2:$A$60,C65)&gt;0),1,0)</f>
        <v>0</v>
      </c>
      <c r="AA65" s="9" t="n">
        <f aca="false">IF(Q65=0,1,0)</f>
        <v>0</v>
      </c>
    </row>
    <row r="66" customFormat="false" ht="15" hidden="false" customHeight="false" outlineLevel="0" collapsed="false">
      <c r="A66" s="7" t="n">
        <v>65</v>
      </c>
      <c r="B66" s="7" t="s">
        <v>398</v>
      </c>
      <c r="C66" s="7" t="s">
        <v>399</v>
      </c>
      <c r="D66" s="7" t="s">
        <v>400</v>
      </c>
      <c r="E66" s="7" t="s">
        <v>93</v>
      </c>
      <c r="F66" s="7" t="s">
        <v>82</v>
      </c>
      <c r="G66" s="7" t="s">
        <v>401</v>
      </c>
      <c r="H66" s="7" t="s">
        <v>402</v>
      </c>
      <c r="I66" s="7" t="s">
        <v>403</v>
      </c>
      <c r="J66" s="7" t="s">
        <v>404</v>
      </c>
      <c r="K66" s="7" t="s">
        <v>98</v>
      </c>
      <c r="L66" s="7" t="s">
        <v>88</v>
      </c>
      <c r="M66" s="8" t="n">
        <v>45199</v>
      </c>
      <c r="N66" s="7" t="s">
        <v>89</v>
      </c>
      <c r="O66" s="9" t="n">
        <f aca="false">IF(COUNTIFS($B$2:B66,B66,$C$2:C66,C66)=1,1,0)</f>
        <v>1</v>
      </c>
      <c r="P66" s="9" t="str">
        <f aca="false">IFERROR(INDEX(dEtapa!$A$2:$A$6,MATCH(N66,dEtapa!$B$2:$B$6,0)),"Sin etapa")</f>
        <v>Gobernada</v>
      </c>
      <c r="Q66" s="9" t="n">
        <f aca="false">IF(L66="Si",1,0)</f>
        <v>1</v>
      </c>
      <c r="R66" s="9" t="n">
        <f aca="false">IF(ISNUMBER(SEARCH("CRITERIO",N66)),1,0)</f>
        <v>0</v>
      </c>
      <c r="S66" s="9" t="str">
        <f aca="false">IF(E66="","Sin dato",LEFT(E66,1))</f>
        <v>D</v>
      </c>
      <c r="T66" s="9" t="n">
        <f aca="false">IFERROR(INDEX(dCriticidad!$G$2:$G$7,MATCH(S66,dCriticidad!$A$2:$A$7,0)),0)</f>
        <v>0</v>
      </c>
      <c r="U66" s="9" t="n">
        <f aca="false">IF(OR(LEFT(C66,3)="GI0",LEFT(C66,3)="GA0"),1,0)</f>
        <v>0</v>
      </c>
      <c r="V66" s="9" t="str">
        <f aca="false">IF(G66="","Sin dato (ID GI)",TRIM(G66))</f>
        <v>EMPRESAS</v>
      </c>
      <c r="W66" s="9" t="str">
        <f aca="false">IF(F66="","Sin dato",F66)</f>
        <v>On Premise</v>
      </c>
      <c r="X66" s="9" t="n">
        <f aca="false">IF(M66="","",YEAR(M66))</f>
        <v>2023</v>
      </c>
      <c r="Y66" s="10" t="n">
        <f aca="false">IF(M66="","",DATE(YEAR(M66),MONTH(M66),1))</f>
        <v>45170</v>
      </c>
      <c r="Z66" s="9" t="n">
        <f aca="false">IF(AND(Q66=0,COUNTIF(dDuplicadosGI!$A$2:$A$60,C66)&gt;0),1,0)</f>
        <v>0</v>
      </c>
      <c r="AA66" s="9" t="n">
        <f aca="false">IF(Q66=0,1,0)</f>
        <v>0</v>
      </c>
    </row>
    <row r="67" customFormat="false" ht="15" hidden="false" customHeight="false" outlineLevel="0" collapsed="false">
      <c r="A67" s="7" t="n">
        <v>66</v>
      </c>
      <c r="B67" s="7" t="s">
        <v>405</v>
      </c>
      <c r="C67" s="7" t="s">
        <v>406</v>
      </c>
      <c r="D67" s="7" t="s">
        <v>407</v>
      </c>
      <c r="E67" s="7" t="s">
        <v>119</v>
      </c>
      <c r="F67" s="7" t="s">
        <v>82</v>
      </c>
      <c r="G67" s="7" t="s">
        <v>132</v>
      </c>
      <c r="H67" s="7" t="s">
        <v>133</v>
      </c>
      <c r="I67" s="7" t="s">
        <v>140</v>
      </c>
      <c r="J67" s="7" t="s">
        <v>408</v>
      </c>
      <c r="K67" s="7" t="s">
        <v>98</v>
      </c>
      <c r="L67" s="7" t="s">
        <v>88</v>
      </c>
      <c r="M67" s="8" t="n">
        <v>46282</v>
      </c>
      <c r="N67" s="7" t="s">
        <v>89</v>
      </c>
      <c r="O67" s="9" t="n">
        <f aca="false">IF(COUNTIFS($B$2:B67,B67,$C$2:C67,C67)=1,1,0)</f>
        <v>1</v>
      </c>
      <c r="P67" s="9" t="str">
        <f aca="false">IFERROR(INDEX(dEtapa!$A$2:$A$6,MATCH(N67,dEtapa!$B$2:$B$6,0)),"Sin etapa")</f>
        <v>Gobernada</v>
      </c>
      <c r="Q67" s="9" t="n">
        <f aca="false">IF(L67="Si",1,0)</f>
        <v>1</v>
      </c>
      <c r="R67" s="9" t="n">
        <f aca="false">IF(ISNUMBER(SEARCH("CRITERIO",N67)),1,0)</f>
        <v>0</v>
      </c>
      <c r="S67" s="9" t="str">
        <f aca="false">IF(E67="","Sin dato",LEFT(E67,1))</f>
        <v>E</v>
      </c>
      <c r="T67" s="9" t="n">
        <f aca="false">IFERROR(INDEX(dCriticidad!$G$2:$G$7,MATCH(S67,dCriticidad!$A$2:$A$7,0)),0)</f>
        <v>0</v>
      </c>
      <c r="U67" s="9" t="n">
        <f aca="false">IF(OR(LEFT(C67,3)="GI0",LEFT(C67,3)="GA0"),1,0)</f>
        <v>0</v>
      </c>
      <c r="V67" s="9" t="str">
        <f aca="false">IF(G67="","Sin dato (ID GI)",TRIM(G67))</f>
        <v>ACTIVOS</v>
      </c>
      <c r="W67" s="9" t="str">
        <f aca="false">IF(F67="","Sin dato",F67)</f>
        <v>On Premise</v>
      </c>
      <c r="X67" s="9" t="n">
        <f aca="false">IF(M67="","",YEAR(M67))</f>
        <v>2026</v>
      </c>
      <c r="Y67" s="10" t="n">
        <f aca="false">IF(M67="","",DATE(YEAR(M67),MONTH(M67),1))</f>
        <v>46266</v>
      </c>
      <c r="Z67" s="9" t="n">
        <f aca="false">IF(AND(Q67=0,COUNTIF(dDuplicadosGI!$A$2:$A$60,C67)&gt;0),1,0)</f>
        <v>0</v>
      </c>
      <c r="AA67" s="9" t="n">
        <f aca="false">IF(Q67=0,1,0)</f>
        <v>0</v>
      </c>
    </row>
    <row r="68" customFormat="false" ht="15" hidden="false" customHeight="false" outlineLevel="0" collapsed="false">
      <c r="A68" s="7" t="n">
        <v>67</v>
      </c>
      <c r="B68" s="7" t="s">
        <v>409</v>
      </c>
      <c r="C68" s="7" t="s">
        <v>410</v>
      </c>
      <c r="D68" s="7" t="s">
        <v>411</v>
      </c>
      <c r="E68" s="7" t="s">
        <v>93</v>
      </c>
      <c r="F68" s="7" t="s">
        <v>152</v>
      </c>
      <c r="G68" s="7" t="s">
        <v>153</v>
      </c>
      <c r="H68" s="7" t="s">
        <v>154</v>
      </c>
      <c r="I68" s="7" t="s">
        <v>412</v>
      </c>
      <c r="J68" s="7" t="s">
        <v>413</v>
      </c>
      <c r="K68" s="7" t="s">
        <v>87</v>
      </c>
      <c r="L68" s="7" t="s">
        <v>99</v>
      </c>
      <c r="M68" s="8"/>
      <c r="N68" s="7" t="s">
        <v>109</v>
      </c>
      <c r="O68" s="9" t="n">
        <f aca="false">IF(COUNTIFS($B$2:B68,B68,$C$2:C68,C68)=1,1,0)</f>
        <v>1</v>
      </c>
      <c r="P68" s="9" t="str">
        <f aca="false">IFERROR(INDEX(dEtapa!$A$2:$A$6,MATCH(N68,dEtapa!$B$2:$B$6,0)),"Sin etapa")</f>
        <v>Planificada 2027</v>
      </c>
      <c r="Q68" s="9" t="n">
        <f aca="false">IF(L68="Si",1,0)</f>
        <v>0</v>
      </c>
      <c r="R68" s="9" t="n">
        <f aca="false">IF(ISNUMBER(SEARCH("CRITERIO",N68)),1,0)</f>
        <v>0</v>
      </c>
      <c r="S68" s="9" t="str">
        <f aca="false">IF(E68="","Sin dato",LEFT(E68,1))</f>
        <v>D</v>
      </c>
      <c r="T68" s="9" t="n">
        <f aca="false">IFERROR(INDEX(dCriticidad!$G$2:$G$7,MATCH(S68,dCriticidad!$A$2:$A$7,0)),0)</f>
        <v>0</v>
      </c>
      <c r="U68" s="9" t="n">
        <f aca="false">IF(OR(LEFT(C68,3)="GI0",LEFT(C68,3)="GA0"),1,0)</f>
        <v>0</v>
      </c>
      <c r="V68" s="9" t="str">
        <f aca="false">IF(G68="","Sin dato (ID GI)",TRIM(G68))</f>
        <v>MEDIOS_DE_PAGO</v>
      </c>
      <c r="W68" s="9" t="str">
        <f aca="false">IF(F68="","Sin dato",F68)</f>
        <v>Terceros</v>
      </c>
      <c r="X68" s="9" t="str">
        <f aca="false">IF(M68="","",YEAR(M68))</f>
        <v/>
      </c>
      <c r="Y68" s="10" t="str">
        <f aca="false">IF(M68="","",DATE(YEAR(M68),MONTH(M68),1))</f>
        <v/>
      </c>
      <c r="Z68" s="9" t="n">
        <f aca="false">IF(AND(Q68=0,COUNTIF(dDuplicadosGI!$A$2:$A$60,C68)&gt;0),1,0)</f>
        <v>0</v>
      </c>
      <c r="AA68" s="9" t="n">
        <f aca="false">IF(Q68=0,1,0)</f>
        <v>1</v>
      </c>
    </row>
    <row r="69" customFormat="false" ht="15" hidden="false" customHeight="false" outlineLevel="0" collapsed="false">
      <c r="A69" s="7" t="n">
        <v>68</v>
      </c>
      <c r="B69" s="7" t="s">
        <v>414</v>
      </c>
      <c r="C69" s="7" t="s">
        <v>415</v>
      </c>
      <c r="D69" s="7" t="s">
        <v>411</v>
      </c>
      <c r="E69" s="7" t="s">
        <v>93</v>
      </c>
      <c r="F69" s="7" t="s">
        <v>152</v>
      </c>
      <c r="G69" s="7" t="s">
        <v>153</v>
      </c>
      <c r="H69" s="7" t="s">
        <v>154</v>
      </c>
      <c r="I69" s="7" t="s">
        <v>412</v>
      </c>
      <c r="J69" s="7" t="s">
        <v>413</v>
      </c>
      <c r="K69" s="7" t="s">
        <v>87</v>
      </c>
      <c r="L69" s="7" t="s">
        <v>99</v>
      </c>
      <c r="M69" s="8"/>
      <c r="N69" s="7" t="s">
        <v>109</v>
      </c>
      <c r="O69" s="9" t="n">
        <f aca="false">IF(COUNTIFS($B$2:B69,B69,$C$2:C69,C69)=1,1,0)</f>
        <v>1</v>
      </c>
      <c r="P69" s="9" t="str">
        <f aca="false">IFERROR(INDEX(dEtapa!$A$2:$A$6,MATCH(N69,dEtapa!$B$2:$B$6,0)),"Sin etapa")</f>
        <v>Planificada 2027</v>
      </c>
      <c r="Q69" s="9" t="n">
        <f aca="false">IF(L69="Si",1,0)</f>
        <v>0</v>
      </c>
      <c r="R69" s="9" t="n">
        <f aca="false">IF(ISNUMBER(SEARCH("CRITERIO",N69)),1,0)</f>
        <v>0</v>
      </c>
      <c r="S69" s="9" t="str">
        <f aca="false">IF(E69="","Sin dato",LEFT(E69,1))</f>
        <v>D</v>
      </c>
      <c r="T69" s="9" t="n">
        <f aca="false">IFERROR(INDEX(dCriticidad!$G$2:$G$7,MATCH(S69,dCriticidad!$A$2:$A$7,0)),0)</f>
        <v>0</v>
      </c>
      <c r="U69" s="9" t="n">
        <f aca="false">IF(OR(LEFT(C69,3)="GI0",LEFT(C69,3)="GA0"),1,0)</f>
        <v>0</v>
      </c>
      <c r="V69" s="9" t="str">
        <f aca="false">IF(G69="","Sin dato (ID GI)",TRIM(G69))</f>
        <v>MEDIOS_DE_PAGO</v>
      </c>
      <c r="W69" s="9" t="str">
        <f aca="false">IF(F69="","Sin dato",F69)</f>
        <v>Terceros</v>
      </c>
      <c r="X69" s="9" t="str">
        <f aca="false">IF(M69="","",YEAR(M69))</f>
        <v/>
      </c>
      <c r="Y69" s="10" t="str">
        <f aca="false">IF(M69="","",DATE(YEAR(M69),MONTH(M69),1))</f>
        <v/>
      </c>
      <c r="Z69" s="9" t="n">
        <f aca="false">IF(AND(Q69=0,COUNTIF(dDuplicadosGI!$A$2:$A$60,C69)&gt;0),1,0)</f>
        <v>0</v>
      </c>
      <c r="AA69" s="9" t="n">
        <f aca="false">IF(Q69=0,1,0)</f>
        <v>1</v>
      </c>
    </row>
    <row r="70" customFormat="false" ht="15" hidden="false" customHeight="false" outlineLevel="0" collapsed="false">
      <c r="A70" s="7" t="n">
        <v>69</v>
      </c>
      <c r="B70" s="7" t="s">
        <v>416</v>
      </c>
      <c r="C70" s="7" t="s">
        <v>417</v>
      </c>
      <c r="D70" s="7" t="s">
        <v>418</v>
      </c>
      <c r="E70" s="7" t="s">
        <v>145</v>
      </c>
      <c r="F70" s="7" t="s">
        <v>82</v>
      </c>
      <c r="G70" s="7" t="s">
        <v>211</v>
      </c>
      <c r="H70" s="7" t="s">
        <v>419</v>
      </c>
      <c r="I70" s="7" t="s">
        <v>213</v>
      </c>
      <c r="J70" s="7" t="s">
        <v>214</v>
      </c>
      <c r="K70" s="7" t="s">
        <v>170</v>
      </c>
      <c r="L70" s="7" t="s">
        <v>88</v>
      </c>
      <c r="M70" s="8" t="n">
        <v>45200</v>
      </c>
      <c r="N70" s="7" t="s">
        <v>89</v>
      </c>
      <c r="O70" s="9" t="n">
        <f aca="false">IF(COUNTIFS($B$2:B70,B70,$C$2:C70,C70)=1,1,0)</f>
        <v>1</v>
      </c>
      <c r="P70" s="9" t="str">
        <f aca="false">IFERROR(INDEX(dEtapa!$A$2:$A$6,MATCH(N70,dEtapa!$B$2:$B$6,0)),"Sin etapa")</f>
        <v>Gobernada</v>
      </c>
      <c r="Q70" s="9" t="n">
        <f aca="false">IF(L70="Si",1,0)</f>
        <v>1</v>
      </c>
      <c r="R70" s="9" t="n">
        <f aca="false">IF(ISNUMBER(SEARCH("CRITERIO",N70)),1,0)</f>
        <v>0</v>
      </c>
      <c r="S70" s="9" t="str">
        <f aca="false">IF(E70="","Sin dato",LEFT(E70,1))</f>
        <v>B</v>
      </c>
      <c r="T70" s="9" t="n">
        <f aca="false">IFERROR(INDEX(dCriticidad!$G$2:$G$7,MATCH(S70,dCriticidad!$A$2:$A$7,0)),0)</f>
        <v>1</v>
      </c>
      <c r="U70" s="9" t="n">
        <f aca="false">IF(OR(LEFT(C70,3)="GI0",LEFT(C70,3)="GA0"),1,0)</f>
        <v>0</v>
      </c>
      <c r="V70" s="9" t="str">
        <f aca="false">IF(G70="","Sin dato (ID GI)",TRIM(G70))</f>
        <v>Tribu Ciberseguridad</v>
      </c>
      <c r="W70" s="9" t="str">
        <f aca="false">IF(F70="","Sin dato",F70)</f>
        <v>On Premise</v>
      </c>
      <c r="X70" s="9" t="n">
        <f aca="false">IF(M70="","",YEAR(M70))</f>
        <v>2023</v>
      </c>
      <c r="Y70" s="10" t="n">
        <f aca="false">IF(M70="","",DATE(YEAR(M70),MONTH(M70),1))</f>
        <v>45200</v>
      </c>
      <c r="Z70" s="9" t="n">
        <f aca="false">IF(AND(Q70=0,COUNTIF(dDuplicadosGI!$A$2:$A$60,C70)&gt;0),1,0)</f>
        <v>0</v>
      </c>
      <c r="AA70" s="9" t="n">
        <f aca="false">IF(Q70=0,1,0)</f>
        <v>0</v>
      </c>
    </row>
    <row r="71" customFormat="false" ht="15" hidden="false" customHeight="false" outlineLevel="0" collapsed="false">
      <c r="A71" s="7" t="n">
        <v>70</v>
      </c>
      <c r="B71" s="7" t="s">
        <v>420</v>
      </c>
      <c r="C71" s="7" t="s">
        <v>421</v>
      </c>
      <c r="D71" s="7" t="s">
        <v>151</v>
      </c>
      <c r="E71" s="7" t="s">
        <v>119</v>
      </c>
      <c r="F71" s="7" t="s">
        <v>94</v>
      </c>
      <c r="G71" s="7" t="s">
        <v>146</v>
      </c>
      <c r="H71" s="7" t="s">
        <v>148</v>
      </c>
      <c r="I71" s="7" t="s">
        <v>422</v>
      </c>
      <c r="J71" s="7" t="s">
        <v>148</v>
      </c>
      <c r="K71" s="7" t="s">
        <v>98</v>
      </c>
      <c r="L71" s="7" t="s">
        <v>99</v>
      </c>
      <c r="M71" s="8"/>
      <c r="N71" s="7" t="s">
        <v>100</v>
      </c>
      <c r="O71" s="9" t="n">
        <f aca="false">IF(COUNTIFS($B$2:B71,B71,$C$2:C71,C71)=1,1,0)</f>
        <v>1</v>
      </c>
      <c r="P71" s="9" t="str">
        <f aca="false">IFERROR(INDEX(dEtapa!$A$2:$A$6,MATCH(N71,dEtapa!$B$2:$B$6,0)),"Sin etapa")</f>
        <v>Criterio 1</v>
      </c>
      <c r="Q71" s="9" t="n">
        <f aca="false">IF(L71="Si",1,0)</f>
        <v>0</v>
      </c>
      <c r="R71" s="9" t="n">
        <f aca="false">IF(ISNUMBER(SEARCH("CRITERIO",N71)),1,0)</f>
        <v>1</v>
      </c>
      <c r="S71" s="9" t="str">
        <f aca="false">IF(E71="","Sin dato",LEFT(E71,1))</f>
        <v>E</v>
      </c>
      <c r="T71" s="9" t="n">
        <f aca="false">IFERROR(INDEX(dCriticidad!$G$2:$G$7,MATCH(S71,dCriticidad!$A$2:$A$7,0)),0)</f>
        <v>0</v>
      </c>
      <c r="U71" s="9" t="n">
        <f aca="false">IF(OR(LEFT(C71,3)="GI0",LEFT(C71,3)="GA0"),1,0)</f>
        <v>0</v>
      </c>
      <c r="V71" s="9" t="str">
        <f aca="false">IF(G71="","Sin dato (ID GI)",TRIM(G71))</f>
        <v>Tribu_Integraciones_Apis</v>
      </c>
      <c r="W71" s="9" t="str">
        <f aca="false">IF(F71="","Sin dato",F71)</f>
        <v>Nube</v>
      </c>
      <c r="X71" s="9" t="str">
        <f aca="false">IF(M71="","",YEAR(M71))</f>
        <v/>
      </c>
      <c r="Y71" s="10" t="str">
        <f aca="false">IF(M71="","",DATE(YEAR(M71),MONTH(M71),1))</f>
        <v/>
      </c>
      <c r="Z71" s="9" t="n">
        <f aca="false">IF(AND(Q71=0,COUNTIF(dDuplicadosGI!$A$2:$A$60,C71)&gt;0),1,0)</f>
        <v>0</v>
      </c>
      <c r="AA71" s="9" t="n">
        <f aca="false">IF(Q71=0,1,0)</f>
        <v>1</v>
      </c>
    </row>
    <row r="72" customFormat="false" ht="15" hidden="false" customHeight="false" outlineLevel="0" collapsed="false">
      <c r="A72" s="7" t="n">
        <v>71</v>
      </c>
      <c r="B72" s="7" t="s">
        <v>423</v>
      </c>
      <c r="C72" s="7" t="s">
        <v>424</v>
      </c>
      <c r="D72" s="7" t="s">
        <v>425</v>
      </c>
      <c r="E72" s="7" t="s">
        <v>113</v>
      </c>
      <c r="F72" s="7" t="s">
        <v>269</v>
      </c>
      <c r="G72" s="7" t="s">
        <v>426</v>
      </c>
      <c r="H72" s="7" t="s">
        <v>427</v>
      </c>
      <c r="I72" s="7" t="s">
        <v>428</v>
      </c>
      <c r="J72" s="7" t="s">
        <v>128</v>
      </c>
      <c r="K72" s="7" t="s">
        <v>108</v>
      </c>
      <c r="L72" s="7" t="s">
        <v>99</v>
      </c>
      <c r="M72" s="8"/>
      <c r="N72" s="7" t="s">
        <v>178</v>
      </c>
      <c r="O72" s="9" t="n">
        <f aca="false">IF(COUNTIFS($B$2:B72,B72,$C$2:C72,C72)=1,1,0)</f>
        <v>1</v>
      </c>
      <c r="P72" s="9" t="str">
        <f aca="false">IFERROR(INDEX(dEtapa!$A$2:$A$6,MATCH(N72,dEtapa!$B$2:$B$6,0)),"Sin etapa")</f>
        <v>Criterio 2</v>
      </c>
      <c r="Q72" s="9" t="n">
        <f aca="false">IF(L72="Si",1,0)</f>
        <v>0</v>
      </c>
      <c r="R72" s="9" t="n">
        <f aca="false">IF(ISNUMBER(SEARCH("CRITERIO",N72)),1,0)</f>
        <v>1</v>
      </c>
      <c r="S72" s="9" t="str">
        <f aca="false">IF(E72="","Sin dato",LEFT(E72,1))</f>
        <v>C</v>
      </c>
      <c r="T72" s="9" t="n">
        <f aca="false">IFERROR(INDEX(dCriticidad!$G$2:$G$7,MATCH(S72,dCriticidad!$A$2:$A$7,0)),0)</f>
        <v>1</v>
      </c>
      <c r="U72" s="9" t="n">
        <f aca="false">IF(OR(LEFT(C72,3)="GI0",LEFT(C72,3)="GA0"),1,0)</f>
        <v>0</v>
      </c>
      <c r="V72" s="9" t="str">
        <f aca="false">IF(G72="","Sin dato (ID GI)",TRIM(G72))</f>
        <v>Gerencia Servicios Producción Tecnológica</v>
      </c>
      <c r="W72" s="9" t="str">
        <f aca="false">IF(F72="","Sin dato",F72)</f>
        <v>Híbrida</v>
      </c>
      <c r="X72" s="9" t="str">
        <f aca="false">IF(M72="","",YEAR(M72))</f>
        <v/>
      </c>
      <c r="Y72" s="10" t="str">
        <f aca="false">IF(M72="","",DATE(YEAR(M72),MONTH(M72),1))</f>
        <v/>
      </c>
      <c r="Z72" s="9" t="n">
        <f aca="false">IF(AND(Q72=0,COUNTIF(dDuplicadosGI!$A$2:$A$60,C72)&gt;0),1,0)</f>
        <v>0</v>
      </c>
      <c r="AA72" s="9" t="n">
        <f aca="false">IF(Q72=0,1,0)</f>
        <v>1</v>
      </c>
    </row>
    <row r="73" customFormat="false" ht="15" hidden="false" customHeight="false" outlineLevel="0" collapsed="false">
      <c r="A73" s="7" t="n">
        <v>72</v>
      </c>
      <c r="B73" s="7" t="s">
        <v>429</v>
      </c>
      <c r="C73" s="7" t="s">
        <v>430</v>
      </c>
      <c r="D73" s="7" t="s">
        <v>431</v>
      </c>
      <c r="E73" s="7" t="s">
        <v>113</v>
      </c>
      <c r="F73" s="7" t="s">
        <v>82</v>
      </c>
      <c r="G73" s="7" t="s">
        <v>104</v>
      </c>
      <c r="H73" s="7" t="s">
        <v>105</v>
      </c>
      <c r="I73" s="7" t="s">
        <v>106</v>
      </c>
      <c r="J73" s="7" t="s">
        <v>432</v>
      </c>
      <c r="K73" s="7" t="s">
        <v>108</v>
      </c>
      <c r="L73" s="7" t="s">
        <v>99</v>
      </c>
      <c r="M73" s="8"/>
      <c r="N73" s="7" t="s">
        <v>109</v>
      </c>
      <c r="O73" s="9" t="n">
        <f aca="false">IF(COUNTIFS($B$2:B73,B73,$C$2:C73,C73)=1,1,0)</f>
        <v>1</v>
      </c>
      <c r="P73" s="9" t="str">
        <f aca="false">IFERROR(INDEX(dEtapa!$A$2:$A$6,MATCH(N73,dEtapa!$B$2:$B$6,0)),"Sin etapa")</f>
        <v>Planificada 2027</v>
      </c>
      <c r="Q73" s="9" t="n">
        <f aca="false">IF(L73="Si",1,0)</f>
        <v>0</v>
      </c>
      <c r="R73" s="9" t="n">
        <f aca="false">IF(ISNUMBER(SEARCH("CRITERIO",N73)),1,0)</f>
        <v>0</v>
      </c>
      <c r="S73" s="9" t="str">
        <f aca="false">IF(E73="","Sin dato",LEFT(E73,1))</f>
        <v>C</v>
      </c>
      <c r="T73" s="9" t="n">
        <f aca="false">IFERROR(INDEX(dCriticidad!$G$2:$G$7,MATCH(S73,dCriticidad!$A$2:$A$7,0)),0)</f>
        <v>1</v>
      </c>
      <c r="U73" s="9" t="n">
        <f aca="false">IF(OR(LEFT(C73,3)="GI0",LEFT(C73,3)="GA0"),1,0)</f>
        <v>0</v>
      </c>
      <c r="V73" s="9" t="str">
        <f aca="false">IF(G73="","Sin dato (ID GI)",TRIM(G73))</f>
        <v>INFRAESTRUCTURA</v>
      </c>
      <c r="W73" s="9" t="str">
        <f aca="false">IF(F73="","Sin dato",F73)</f>
        <v>On Premise</v>
      </c>
      <c r="X73" s="9" t="str">
        <f aca="false">IF(M73="","",YEAR(M73))</f>
        <v/>
      </c>
      <c r="Y73" s="10" t="str">
        <f aca="false">IF(M73="","",DATE(YEAR(M73),MONTH(M73),1))</f>
        <v/>
      </c>
      <c r="Z73" s="9" t="n">
        <f aca="false">IF(AND(Q73=0,COUNTIF(dDuplicadosGI!$A$2:$A$60,C73)&gt;0),1,0)</f>
        <v>0</v>
      </c>
      <c r="AA73" s="9" t="n">
        <f aca="false">IF(Q73=0,1,0)</f>
        <v>1</v>
      </c>
    </row>
    <row r="74" customFormat="false" ht="15" hidden="false" customHeight="false" outlineLevel="0" collapsed="false">
      <c r="A74" s="7" t="n">
        <v>73</v>
      </c>
      <c r="B74" s="7" t="s">
        <v>433</v>
      </c>
      <c r="C74" s="7" t="s">
        <v>434</v>
      </c>
      <c r="D74" s="7" t="s">
        <v>435</v>
      </c>
      <c r="E74" s="7" t="s">
        <v>113</v>
      </c>
      <c r="F74" s="7" t="s">
        <v>82</v>
      </c>
      <c r="G74" s="7" t="s">
        <v>166</v>
      </c>
      <c r="H74" s="7" t="s">
        <v>314</v>
      </c>
      <c r="I74" s="7" t="s">
        <v>168</v>
      </c>
      <c r="J74" s="7" t="s">
        <v>313</v>
      </c>
      <c r="K74" s="7" t="s">
        <v>170</v>
      </c>
      <c r="L74" s="7" t="s">
        <v>88</v>
      </c>
      <c r="M74" s="8" t="n">
        <v>45911</v>
      </c>
      <c r="N74" s="7" t="s">
        <v>89</v>
      </c>
      <c r="O74" s="9" t="n">
        <f aca="false">IF(COUNTIFS($B$2:B74,B74,$C$2:C74,C74)=1,1,0)</f>
        <v>1</v>
      </c>
      <c r="P74" s="9" t="str">
        <f aca="false">IFERROR(INDEX(dEtapa!$A$2:$A$6,MATCH(N74,dEtapa!$B$2:$B$6,0)),"Sin etapa")</f>
        <v>Gobernada</v>
      </c>
      <c r="Q74" s="9" t="n">
        <f aca="false">IF(L74="Si",1,0)</f>
        <v>1</v>
      </c>
      <c r="R74" s="9" t="n">
        <f aca="false">IF(ISNUMBER(SEARCH("CRITERIO",N74)),1,0)</f>
        <v>0</v>
      </c>
      <c r="S74" s="9" t="str">
        <f aca="false">IF(E74="","Sin dato",LEFT(E74,1))</f>
        <v>C</v>
      </c>
      <c r="T74" s="9" t="n">
        <f aca="false">IFERROR(INDEX(dCriticidad!$G$2:$G$7,MATCH(S74,dCriticidad!$A$2:$A$7,0)),0)</f>
        <v>1</v>
      </c>
      <c r="U74" s="9" t="n">
        <f aca="false">IF(OR(LEFT(C74,3)="GI0",LEFT(C74,3)="GA0"),1,0)</f>
        <v>0</v>
      </c>
      <c r="V74" s="9" t="str">
        <f aca="false">IF(G74="","Sin dato (ID GI)",TRIM(G74))</f>
        <v>Ciberseguridad</v>
      </c>
      <c r="W74" s="9" t="str">
        <f aca="false">IF(F74="","Sin dato",F74)</f>
        <v>On Premise</v>
      </c>
      <c r="X74" s="9" t="n">
        <f aca="false">IF(M74="","",YEAR(M74))</f>
        <v>2025</v>
      </c>
      <c r="Y74" s="10" t="n">
        <f aca="false">IF(M74="","",DATE(YEAR(M74),MONTH(M74),1))</f>
        <v>45901</v>
      </c>
      <c r="Z74" s="9" t="n">
        <f aca="false">IF(AND(Q74=0,COUNTIF(dDuplicadosGI!$A$2:$A$60,C74)&gt;0),1,0)</f>
        <v>0</v>
      </c>
      <c r="AA74" s="9" t="n">
        <f aca="false">IF(Q74=0,1,0)</f>
        <v>0</v>
      </c>
    </row>
    <row r="75" customFormat="false" ht="15" hidden="false" customHeight="false" outlineLevel="0" collapsed="false">
      <c r="A75" s="7" t="n">
        <v>74</v>
      </c>
      <c r="B75" s="7" t="s">
        <v>436</v>
      </c>
      <c r="C75" s="7" t="s">
        <v>437</v>
      </c>
      <c r="D75" s="7" t="s">
        <v>438</v>
      </c>
      <c r="E75" s="7" t="s">
        <v>119</v>
      </c>
      <c r="F75" s="7" t="s">
        <v>94</v>
      </c>
      <c r="G75" s="7" t="s">
        <v>253</v>
      </c>
      <c r="H75" s="7" t="s">
        <v>254</v>
      </c>
      <c r="I75" s="7" t="s">
        <v>255</v>
      </c>
      <c r="J75" s="7" t="s">
        <v>439</v>
      </c>
      <c r="K75" s="7" t="s">
        <v>87</v>
      </c>
      <c r="L75" s="7" t="s">
        <v>88</v>
      </c>
      <c r="M75" s="8" t="n">
        <v>45200</v>
      </c>
      <c r="N75" s="7" t="s">
        <v>89</v>
      </c>
      <c r="O75" s="9" t="n">
        <f aca="false">IF(COUNTIFS($B$2:B75,B75,$C$2:C75,C75)=1,1,0)</f>
        <v>1</v>
      </c>
      <c r="P75" s="9" t="str">
        <f aca="false">IFERROR(INDEX(dEtapa!$A$2:$A$6,MATCH(N75,dEtapa!$B$2:$B$6,0)),"Sin etapa")</f>
        <v>Gobernada</v>
      </c>
      <c r="Q75" s="9" t="n">
        <f aca="false">IF(L75="Si",1,0)</f>
        <v>1</v>
      </c>
      <c r="R75" s="9" t="n">
        <f aca="false">IF(ISNUMBER(SEARCH("CRITERIO",N75)),1,0)</f>
        <v>0</v>
      </c>
      <c r="S75" s="9" t="str">
        <f aca="false">IF(E75="","Sin dato",LEFT(E75,1))</f>
        <v>E</v>
      </c>
      <c r="T75" s="9" t="n">
        <f aca="false">IFERROR(INDEX(dCriticidad!$G$2:$G$7,MATCH(S75,dCriticidad!$A$2:$A$7,0)),0)</f>
        <v>0</v>
      </c>
      <c r="U75" s="9" t="n">
        <f aca="false">IF(OR(LEFT(C75,3)="GI0",LEFT(C75,3)="GA0"),1,0)</f>
        <v>0</v>
      </c>
      <c r="V75" s="9" t="str">
        <f aca="false">IF(G75="","Sin dato (ID GI)",TRIM(G75))</f>
        <v>Tribu Administración de Créditos</v>
      </c>
      <c r="W75" s="9" t="str">
        <f aca="false">IF(F75="","Sin dato",F75)</f>
        <v>Nube</v>
      </c>
      <c r="X75" s="9" t="n">
        <f aca="false">IF(M75="","",YEAR(M75))</f>
        <v>2023</v>
      </c>
      <c r="Y75" s="10" t="n">
        <f aca="false">IF(M75="","",DATE(YEAR(M75),MONTH(M75),1))</f>
        <v>45200</v>
      </c>
      <c r="Z75" s="9" t="n">
        <f aca="false">IF(AND(Q75=0,COUNTIF(dDuplicadosGI!$A$2:$A$60,C75)&gt;0),1,0)</f>
        <v>0</v>
      </c>
      <c r="AA75" s="9" t="n">
        <f aca="false">IF(Q75=0,1,0)</f>
        <v>0</v>
      </c>
    </row>
    <row r="76" customFormat="false" ht="15" hidden="false" customHeight="false" outlineLevel="0" collapsed="false">
      <c r="A76" s="7" t="n">
        <v>75</v>
      </c>
      <c r="B76" s="7" t="s">
        <v>440</v>
      </c>
      <c r="C76" s="7" t="s">
        <v>441</v>
      </c>
      <c r="D76" s="7" t="s">
        <v>442</v>
      </c>
      <c r="E76" s="7" t="s">
        <v>93</v>
      </c>
      <c r="F76" s="7" t="s">
        <v>94</v>
      </c>
      <c r="G76" s="7" t="s">
        <v>132</v>
      </c>
      <c r="H76" s="7" t="s">
        <v>133</v>
      </c>
      <c r="I76" s="7" t="s">
        <v>443</v>
      </c>
      <c r="J76" s="7" t="s">
        <v>135</v>
      </c>
      <c r="K76" s="7" t="s">
        <v>87</v>
      </c>
      <c r="L76" s="7" t="s">
        <v>99</v>
      </c>
      <c r="M76" s="8"/>
      <c r="N76" s="7" t="s">
        <v>109</v>
      </c>
      <c r="O76" s="9" t="n">
        <f aca="false">IF(COUNTIFS($B$2:B76,B76,$C$2:C76,C76)=1,1,0)</f>
        <v>1</v>
      </c>
      <c r="P76" s="9" t="str">
        <f aca="false">IFERROR(INDEX(dEtapa!$A$2:$A$6,MATCH(N76,dEtapa!$B$2:$B$6,0)),"Sin etapa")</f>
        <v>Planificada 2027</v>
      </c>
      <c r="Q76" s="9" t="n">
        <f aca="false">IF(L76="Si",1,0)</f>
        <v>0</v>
      </c>
      <c r="R76" s="9" t="n">
        <f aca="false">IF(ISNUMBER(SEARCH("CRITERIO",N76)),1,0)</f>
        <v>0</v>
      </c>
      <c r="S76" s="9" t="str">
        <f aca="false">IF(E76="","Sin dato",LEFT(E76,1))</f>
        <v>D</v>
      </c>
      <c r="T76" s="9" t="n">
        <f aca="false">IFERROR(INDEX(dCriticidad!$G$2:$G$7,MATCH(S76,dCriticidad!$A$2:$A$7,0)),0)</f>
        <v>0</v>
      </c>
      <c r="U76" s="9" t="n">
        <f aca="false">IF(OR(LEFT(C76,3)="GI0",LEFT(C76,3)="GA0"),1,0)</f>
        <v>0</v>
      </c>
      <c r="V76" s="9" t="str">
        <f aca="false">IF(G76="","Sin dato (ID GI)",TRIM(G76))</f>
        <v>ACTIVOS</v>
      </c>
      <c r="W76" s="9" t="str">
        <f aca="false">IF(F76="","Sin dato",F76)</f>
        <v>Nube</v>
      </c>
      <c r="X76" s="9" t="str">
        <f aca="false">IF(M76="","",YEAR(M76))</f>
        <v/>
      </c>
      <c r="Y76" s="10" t="str">
        <f aca="false">IF(M76="","",DATE(YEAR(M76),MONTH(M76),1))</f>
        <v/>
      </c>
      <c r="Z76" s="9" t="n">
        <f aca="false">IF(AND(Q76=0,COUNTIF(dDuplicadosGI!$A$2:$A$60,C76)&gt;0),1,0)</f>
        <v>0</v>
      </c>
      <c r="AA76" s="9" t="n">
        <f aca="false">IF(Q76=0,1,0)</f>
        <v>1</v>
      </c>
    </row>
    <row r="77" customFormat="false" ht="15" hidden="false" customHeight="false" outlineLevel="0" collapsed="false">
      <c r="A77" s="7" t="n">
        <v>76</v>
      </c>
      <c r="B77" s="7" t="s">
        <v>444</v>
      </c>
      <c r="C77" s="7" t="s">
        <v>445</v>
      </c>
      <c r="D77" s="7" t="s">
        <v>446</v>
      </c>
      <c r="E77" s="7" t="s">
        <v>119</v>
      </c>
      <c r="F77" s="7" t="s">
        <v>94</v>
      </c>
      <c r="G77" s="7" t="s">
        <v>132</v>
      </c>
      <c r="H77" s="7" t="s">
        <v>133</v>
      </c>
      <c r="I77" s="7" t="s">
        <v>447</v>
      </c>
      <c r="J77" s="7" t="s">
        <v>135</v>
      </c>
      <c r="K77" s="7" t="s">
        <v>87</v>
      </c>
      <c r="L77" s="7" t="s">
        <v>99</v>
      </c>
      <c r="M77" s="8"/>
      <c r="N77" s="7" t="s">
        <v>109</v>
      </c>
      <c r="O77" s="9" t="n">
        <f aca="false">IF(COUNTIFS($B$2:B77,B77,$C$2:C77,C77)=1,1,0)</f>
        <v>1</v>
      </c>
      <c r="P77" s="9" t="str">
        <f aca="false">IFERROR(INDEX(dEtapa!$A$2:$A$6,MATCH(N77,dEtapa!$B$2:$B$6,0)),"Sin etapa")</f>
        <v>Planificada 2027</v>
      </c>
      <c r="Q77" s="9" t="n">
        <f aca="false">IF(L77="Si",1,0)</f>
        <v>0</v>
      </c>
      <c r="R77" s="9" t="n">
        <f aca="false">IF(ISNUMBER(SEARCH("CRITERIO",N77)),1,0)</f>
        <v>0</v>
      </c>
      <c r="S77" s="9" t="str">
        <f aca="false">IF(E77="","Sin dato",LEFT(E77,1))</f>
        <v>E</v>
      </c>
      <c r="T77" s="9" t="n">
        <f aca="false">IFERROR(INDEX(dCriticidad!$G$2:$G$7,MATCH(S77,dCriticidad!$A$2:$A$7,0)),0)</f>
        <v>0</v>
      </c>
      <c r="U77" s="9" t="n">
        <f aca="false">IF(OR(LEFT(C77,3)="GI0",LEFT(C77,3)="GA0"),1,0)</f>
        <v>0</v>
      </c>
      <c r="V77" s="9" t="str">
        <f aca="false">IF(G77="","Sin dato (ID GI)",TRIM(G77))</f>
        <v>ACTIVOS</v>
      </c>
      <c r="W77" s="9" t="str">
        <f aca="false">IF(F77="","Sin dato",F77)</f>
        <v>Nube</v>
      </c>
      <c r="X77" s="9" t="str">
        <f aca="false">IF(M77="","",YEAR(M77))</f>
        <v/>
      </c>
      <c r="Y77" s="10" t="str">
        <f aca="false">IF(M77="","",DATE(YEAR(M77),MONTH(M77),1))</f>
        <v/>
      </c>
      <c r="Z77" s="9" t="n">
        <f aca="false">IF(AND(Q77=0,COUNTIF(dDuplicadosGI!$A$2:$A$60,C77)&gt;0),1,0)</f>
        <v>0</v>
      </c>
      <c r="AA77" s="9" t="n">
        <f aca="false">IF(Q77=0,1,0)</f>
        <v>1</v>
      </c>
    </row>
    <row r="78" customFormat="false" ht="15" hidden="false" customHeight="false" outlineLevel="0" collapsed="false">
      <c r="A78" s="7" t="n">
        <v>77</v>
      </c>
      <c r="B78" s="7" t="s">
        <v>448</v>
      </c>
      <c r="C78" s="7" t="s">
        <v>449</v>
      </c>
      <c r="D78" s="7" t="s">
        <v>450</v>
      </c>
      <c r="E78" s="7" t="s">
        <v>119</v>
      </c>
      <c r="F78" s="7" t="s">
        <v>94</v>
      </c>
      <c r="G78" s="7" t="s">
        <v>451</v>
      </c>
      <c r="H78" s="7" t="s">
        <v>452</v>
      </c>
      <c r="I78" s="7" t="s">
        <v>452</v>
      </c>
      <c r="J78" s="7" t="s">
        <v>452</v>
      </c>
      <c r="K78" s="7" t="s">
        <v>108</v>
      </c>
      <c r="L78" s="7" t="s">
        <v>99</v>
      </c>
      <c r="M78" s="8"/>
      <c r="N78" s="7" t="s">
        <v>100</v>
      </c>
      <c r="O78" s="9" t="n">
        <f aca="false">IF(COUNTIFS($B$2:B78,B78,$C$2:C78,C78)=1,1,0)</f>
        <v>1</v>
      </c>
      <c r="P78" s="9" t="str">
        <f aca="false">IFERROR(INDEX(dEtapa!$A$2:$A$6,MATCH(N78,dEtapa!$B$2:$B$6,0)),"Sin etapa")</f>
        <v>Criterio 1</v>
      </c>
      <c r="Q78" s="9" t="n">
        <f aca="false">IF(L78="Si",1,0)</f>
        <v>0</v>
      </c>
      <c r="R78" s="9" t="n">
        <f aca="false">IF(ISNUMBER(SEARCH("CRITERIO",N78)),1,0)</f>
        <v>1</v>
      </c>
      <c r="S78" s="9" t="str">
        <f aca="false">IF(E78="","Sin dato",LEFT(E78,1))</f>
        <v>E</v>
      </c>
      <c r="T78" s="9" t="n">
        <f aca="false">IFERROR(INDEX(dCriticidad!$G$2:$G$7,MATCH(S78,dCriticidad!$A$2:$A$7,0)),0)</f>
        <v>0</v>
      </c>
      <c r="U78" s="9" t="n">
        <f aca="false">IF(OR(LEFT(C78,3)="GI0",LEFT(C78,3)="GA0"),1,0)</f>
        <v>0</v>
      </c>
      <c r="V78" s="9" t="str">
        <f aca="false">IF(G78="","Sin dato (ID GI)",TRIM(G78))</f>
        <v>COE de Ingeniería</v>
      </c>
      <c r="W78" s="9" t="str">
        <f aca="false">IF(F78="","Sin dato",F78)</f>
        <v>Nube</v>
      </c>
      <c r="X78" s="9" t="str">
        <f aca="false">IF(M78="","",YEAR(M78))</f>
        <v/>
      </c>
      <c r="Y78" s="10" t="str">
        <f aca="false">IF(M78="","",DATE(YEAR(M78),MONTH(M78),1))</f>
        <v/>
      </c>
      <c r="Z78" s="9" t="n">
        <f aca="false">IF(AND(Q78=0,COUNTIF(dDuplicadosGI!$A$2:$A$60,C78)&gt;0),1,0)</f>
        <v>0</v>
      </c>
      <c r="AA78" s="9" t="n">
        <f aca="false">IF(Q78=0,1,0)</f>
        <v>1</v>
      </c>
    </row>
    <row r="79" customFormat="false" ht="15" hidden="false" customHeight="false" outlineLevel="0" collapsed="false">
      <c r="A79" s="7" t="n">
        <v>78</v>
      </c>
      <c r="B79" s="7" t="s">
        <v>453</v>
      </c>
      <c r="C79" s="7" t="s">
        <v>454</v>
      </c>
      <c r="D79" s="7" t="s">
        <v>455</v>
      </c>
      <c r="E79" s="7" t="s">
        <v>93</v>
      </c>
      <c r="F79" s="7" t="s">
        <v>94</v>
      </c>
      <c r="G79" s="7" t="s">
        <v>331</v>
      </c>
      <c r="H79" s="7" t="s">
        <v>332</v>
      </c>
      <c r="I79" s="7" t="s">
        <v>333</v>
      </c>
      <c r="J79" s="7" t="s">
        <v>332</v>
      </c>
      <c r="K79" s="7" t="s">
        <v>87</v>
      </c>
      <c r="L79" s="7" t="s">
        <v>99</v>
      </c>
      <c r="M79" s="8"/>
      <c r="N79" s="7" t="s">
        <v>109</v>
      </c>
      <c r="O79" s="9" t="n">
        <f aca="false">IF(COUNTIFS($B$2:B79,B79,$C$2:C79,C79)=1,1,0)</f>
        <v>1</v>
      </c>
      <c r="P79" s="9" t="str">
        <f aca="false">IFERROR(INDEX(dEtapa!$A$2:$A$6,MATCH(N79,dEtapa!$B$2:$B$6,0)),"Sin etapa")</f>
        <v>Planificada 2027</v>
      </c>
      <c r="Q79" s="9" t="n">
        <f aca="false">IF(L79="Si",1,0)</f>
        <v>0</v>
      </c>
      <c r="R79" s="9" t="n">
        <f aca="false">IF(ISNUMBER(SEARCH("CRITERIO",N79)),1,0)</f>
        <v>0</v>
      </c>
      <c r="S79" s="9" t="str">
        <f aca="false">IF(E79="","Sin dato",LEFT(E79,1))</f>
        <v>D</v>
      </c>
      <c r="T79" s="9" t="n">
        <f aca="false">IFERROR(INDEX(dCriticidad!$G$2:$G$7,MATCH(S79,dCriticidad!$A$2:$A$7,0)),0)</f>
        <v>0</v>
      </c>
      <c r="U79" s="9" t="n">
        <f aca="false">IF(OR(LEFT(C79,3)="GI0",LEFT(C79,3)="GA0"),1,0)</f>
        <v>0</v>
      </c>
      <c r="V79" s="9" t="str">
        <f aca="false">IF(G79="","Sin dato (ID GI)",TRIM(G79))</f>
        <v>TRIBU_DE_UNA</v>
      </c>
      <c r="W79" s="9" t="str">
        <f aca="false">IF(F79="","Sin dato",F79)</f>
        <v>Nube</v>
      </c>
      <c r="X79" s="9" t="str">
        <f aca="false">IF(M79="","",YEAR(M79))</f>
        <v/>
      </c>
      <c r="Y79" s="10" t="str">
        <f aca="false">IF(M79="","",DATE(YEAR(M79),MONTH(M79),1))</f>
        <v/>
      </c>
      <c r="Z79" s="9" t="n">
        <f aca="false">IF(AND(Q79=0,COUNTIF(dDuplicadosGI!$A$2:$A$60,C79)&gt;0),1,0)</f>
        <v>0</v>
      </c>
      <c r="AA79" s="9" t="n">
        <f aca="false">IF(Q79=0,1,0)</f>
        <v>1</v>
      </c>
    </row>
    <row r="80" customFormat="false" ht="15" hidden="false" customHeight="false" outlineLevel="0" collapsed="false">
      <c r="A80" s="7" t="n">
        <v>79</v>
      </c>
      <c r="B80" s="7" t="s">
        <v>456</v>
      </c>
      <c r="C80" s="7" t="s">
        <v>457</v>
      </c>
      <c r="D80" s="7" t="s">
        <v>458</v>
      </c>
      <c r="E80" s="7" t="s">
        <v>119</v>
      </c>
      <c r="F80" s="7" t="s">
        <v>269</v>
      </c>
      <c r="G80" s="7" t="s">
        <v>192</v>
      </c>
      <c r="H80" s="7" t="s">
        <v>193</v>
      </c>
      <c r="I80" s="7" t="s">
        <v>459</v>
      </c>
      <c r="J80" s="7" t="s">
        <v>239</v>
      </c>
      <c r="K80" s="7" t="s">
        <v>87</v>
      </c>
      <c r="L80" s="7" t="s">
        <v>99</v>
      </c>
      <c r="M80" s="8"/>
      <c r="N80" s="7" t="s">
        <v>109</v>
      </c>
      <c r="O80" s="9" t="n">
        <f aca="false">IF(COUNTIFS($B$2:B80,B80,$C$2:C80,C80)=1,1,0)</f>
        <v>1</v>
      </c>
      <c r="P80" s="9" t="str">
        <f aca="false">IFERROR(INDEX(dEtapa!$A$2:$A$6,MATCH(N80,dEtapa!$B$2:$B$6,0)),"Sin etapa")</f>
        <v>Planificada 2027</v>
      </c>
      <c r="Q80" s="9" t="n">
        <f aca="false">IF(L80="Si",1,0)</f>
        <v>0</v>
      </c>
      <c r="R80" s="9" t="n">
        <f aca="false">IF(ISNUMBER(SEARCH("CRITERIO",N80)),1,0)</f>
        <v>0</v>
      </c>
      <c r="S80" s="9" t="str">
        <f aca="false">IF(E80="","Sin dato",LEFT(E80,1))</f>
        <v>E</v>
      </c>
      <c r="T80" s="9" t="n">
        <f aca="false">IFERROR(INDEX(dCriticidad!$G$2:$G$7,MATCH(S80,dCriticidad!$A$2:$A$7,0)),0)</f>
        <v>0</v>
      </c>
      <c r="U80" s="9" t="n">
        <f aca="false">IF(OR(LEFT(C80,3)="GI0",LEFT(C80,3)="GA0"),1,0)</f>
        <v>0</v>
      </c>
      <c r="V80" s="9" t="str">
        <f aca="false">IF(G80="","Sin dato (ID GI)",TRIM(G80))</f>
        <v>AREAS_DE_APOYO</v>
      </c>
      <c r="W80" s="9" t="str">
        <f aca="false">IF(F80="","Sin dato",F80)</f>
        <v>Híbrida</v>
      </c>
      <c r="X80" s="9" t="str">
        <f aca="false">IF(M80="","",YEAR(M80))</f>
        <v/>
      </c>
      <c r="Y80" s="10" t="str">
        <f aca="false">IF(M80="","",DATE(YEAR(M80),MONTH(M80),1))</f>
        <v/>
      </c>
      <c r="Z80" s="9" t="n">
        <f aca="false">IF(AND(Q80=0,COUNTIF(dDuplicadosGI!$A$2:$A$60,C80)&gt;0),1,0)</f>
        <v>0</v>
      </c>
      <c r="AA80" s="9" t="n">
        <f aca="false">IF(Q80=0,1,0)</f>
        <v>1</v>
      </c>
    </row>
    <row r="81" customFormat="false" ht="15" hidden="false" customHeight="false" outlineLevel="0" collapsed="false">
      <c r="A81" s="7" t="n">
        <v>80</v>
      </c>
      <c r="B81" s="7" t="s">
        <v>460</v>
      </c>
      <c r="C81" s="7" t="s">
        <v>461</v>
      </c>
      <c r="D81" s="7" t="s">
        <v>462</v>
      </c>
      <c r="E81" s="7" t="s">
        <v>145</v>
      </c>
      <c r="F81" s="7" t="s">
        <v>82</v>
      </c>
      <c r="G81" s="7" t="s">
        <v>369</v>
      </c>
      <c r="H81" s="7" t="s">
        <v>147</v>
      </c>
      <c r="I81" s="7" t="s">
        <v>310</v>
      </c>
      <c r="J81" s="7" t="s">
        <v>147</v>
      </c>
      <c r="K81" s="7" t="s">
        <v>463</v>
      </c>
      <c r="L81" s="7" t="s">
        <v>99</v>
      </c>
      <c r="M81" s="8"/>
      <c r="N81" s="7" t="s">
        <v>109</v>
      </c>
      <c r="O81" s="9" t="n">
        <f aca="false">IF(COUNTIFS($B$2:B81,B81,$C$2:C81,C81)=1,1,0)</f>
        <v>1</v>
      </c>
      <c r="P81" s="9" t="str">
        <f aca="false">IFERROR(INDEX(dEtapa!$A$2:$A$6,MATCH(N81,dEtapa!$B$2:$B$6,0)),"Sin etapa")</f>
        <v>Planificada 2027</v>
      </c>
      <c r="Q81" s="9" t="n">
        <f aca="false">IF(L81="Si",1,0)</f>
        <v>0</v>
      </c>
      <c r="R81" s="9" t="n">
        <f aca="false">IF(ISNUMBER(SEARCH("CRITERIO",N81)),1,0)</f>
        <v>0</v>
      </c>
      <c r="S81" s="9" t="str">
        <f aca="false">IF(E81="","Sin dato",LEFT(E81,1))</f>
        <v>B</v>
      </c>
      <c r="T81" s="9" t="n">
        <f aca="false">IFERROR(INDEX(dCriticidad!$G$2:$G$7,MATCH(S81,dCriticidad!$A$2:$A$7,0)),0)</f>
        <v>1</v>
      </c>
      <c r="U81" s="9" t="n">
        <f aca="false">IF(OR(LEFT(C81,3)="GI0",LEFT(C81,3)="GA0"),1,0)</f>
        <v>0</v>
      </c>
      <c r="V81" s="9" t="str">
        <f aca="false">IF(G81="","Sin dato (ID GI)",TRIM(G81))</f>
        <v>Tribu_Cores_Transacciones</v>
      </c>
      <c r="W81" s="9" t="str">
        <f aca="false">IF(F81="","Sin dato",F81)</f>
        <v>On Premise</v>
      </c>
      <c r="X81" s="9" t="str">
        <f aca="false">IF(M81="","",YEAR(M81))</f>
        <v/>
      </c>
      <c r="Y81" s="10" t="str">
        <f aca="false">IF(M81="","",DATE(YEAR(M81),MONTH(M81),1))</f>
        <v/>
      </c>
      <c r="Z81" s="9" t="n">
        <f aca="false">IF(AND(Q81=0,COUNTIF(dDuplicadosGI!$A$2:$A$60,C81)&gt;0),1,0)</f>
        <v>0</v>
      </c>
      <c r="AA81" s="9" t="n">
        <f aca="false">IF(Q81=0,1,0)</f>
        <v>1</v>
      </c>
    </row>
    <row r="82" customFormat="false" ht="15" hidden="false" customHeight="false" outlineLevel="0" collapsed="false">
      <c r="A82" s="7" t="n">
        <v>81</v>
      </c>
      <c r="B82" s="7" t="s">
        <v>464</v>
      </c>
      <c r="C82" s="7" t="s">
        <v>465</v>
      </c>
      <c r="D82" s="7" t="s">
        <v>466</v>
      </c>
      <c r="E82" s="7" t="s">
        <v>145</v>
      </c>
      <c r="F82" s="7" t="s">
        <v>82</v>
      </c>
      <c r="G82" s="7" t="s">
        <v>369</v>
      </c>
      <c r="H82" s="7" t="s">
        <v>147</v>
      </c>
      <c r="I82" s="7" t="s">
        <v>310</v>
      </c>
      <c r="J82" s="7" t="s">
        <v>147</v>
      </c>
      <c r="K82" s="7" t="s">
        <v>87</v>
      </c>
      <c r="L82" s="7" t="s">
        <v>88</v>
      </c>
      <c r="M82" s="8" t="n">
        <v>45200</v>
      </c>
      <c r="N82" s="7" t="s">
        <v>89</v>
      </c>
      <c r="O82" s="9" t="n">
        <f aca="false">IF(COUNTIFS($B$2:B82,B82,$C$2:C82,C82)=1,1,0)</f>
        <v>1</v>
      </c>
      <c r="P82" s="9" t="str">
        <f aca="false">IFERROR(INDEX(dEtapa!$A$2:$A$6,MATCH(N82,dEtapa!$B$2:$B$6,0)),"Sin etapa")</f>
        <v>Gobernada</v>
      </c>
      <c r="Q82" s="9" t="n">
        <f aca="false">IF(L82="Si",1,0)</f>
        <v>1</v>
      </c>
      <c r="R82" s="9" t="n">
        <f aca="false">IF(ISNUMBER(SEARCH("CRITERIO",N82)),1,0)</f>
        <v>0</v>
      </c>
      <c r="S82" s="9" t="str">
        <f aca="false">IF(E82="","Sin dato",LEFT(E82,1))</f>
        <v>B</v>
      </c>
      <c r="T82" s="9" t="n">
        <f aca="false">IFERROR(INDEX(dCriticidad!$G$2:$G$7,MATCH(S82,dCriticidad!$A$2:$A$7,0)),0)</f>
        <v>1</v>
      </c>
      <c r="U82" s="9" t="n">
        <f aca="false">IF(OR(LEFT(C82,3)="GI0",LEFT(C82,3)="GA0"),1,0)</f>
        <v>0</v>
      </c>
      <c r="V82" s="9" t="str">
        <f aca="false">IF(G82="","Sin dato (ID GI)",TRIM(G82))</f>
        <v>Tribu_Cores_Transacciones</v>
      </c>
      <c r="W82" s="9" t="str">
        <f aca="false">IF(F82="","Sin dato",F82)</f>
        <v>On Premise</v>
      </c>
      <c r="X82" s="9" t="n">
        <f aca="false">IF(M82="","",YEAR(M82))</f>
        <v>2023</v>
      </c>
      <c r="Y82" s="10" t="n">
        <f aca="false">IF(M82="","",DATE(YEAR(M82),MONTH(M82),1))</f>
        <v>45200</v>
      </c>
      <c r="Z82" s="9" t="n">
        <f aca="false">IF(AND(Q82=0,COUNTIF(dDuplicadosGI!$A$2:$A$60,C82)&gt;0),1,0)</f>
        <v>0</v>
      </c>
      <c r="AA82" s="9" t="n">
        <f aca="false">IF(Q82=0,1,0)</f>
        <v>0</v>
      </c>
    </row>
    <row r="83" customFormat="false" ht="15" hidden="false" customHeight="false" outlineLevel="0" collapsed="false">
      <c r="A83" s="7" t="n">
        <v>82</v>
      </c>
      <c r="B83" s="7" t="s">
        <v>467</v>
      </c>
      <c r="C83" s="7" t="s">
        <v>468</v>
      </c>
      <c r="D83" s="7" t="s">
        <v>469</v>
      </c>
      <c r="E83" s="7" t="s">
        <v>119</v>
      </c>
      <c r="F83" s="7" t="s">
        <v>94</v>
      </c>
      <c r="G83" s="7" t="s">
        <v>125</v>
      </c>
      <c r="H83" s="7" t="s">
        <v>126</v>
      </c>
      <c r="I83" s="7" t="s">
        <v>470</v>
      </c>
      <c r="J83" s="7" t="s">
        <v>126</v>
      </c>
      <c r="K83" s="7" t="s">
        <v>471</v>
      </c>
      <c r="L83" s="7" t="s">
        <v>99</v>
      </c>
      <c r="M83" s="8"/>
      <c r="N83" s="7" t="s">
        <v>109</v>
      </c>
      <c r="O83" s="9" t="n">
        <f aca="false">IF(COUNTIFS($B$2:B83,B83,$C$2:C83,C83)=1,1,0)</f>
        <v>1</v>
      </c>
      <c r="P83" s="9" t="str">
        <f aca="false">IFERROR(INDEX(dEtapa!$A$2:$A$6,MATCH(N83,dEtapa!$B$2:$B$6,0)),"Sin etapa")</f>
        <v>Planificada 2027</v>
      </c>
      <c r="Q83" s="9" t="n">
        <f aca="false">IF(L83="Si",1,0)</f>
        <v>0</v>
      </c>
      <c r="R83" s="9" t="n">
        <f aca="false">IF(ISNUMBER(SEARCH("CRITERIO",N83)),1,0)</f>
        <v>0</v>
      </c>
      <c r="S83" s="9" t="str">
        <f aca="false">IF(E83="","Sin dato",LEFT(E83,1))</f>
        <v>E</v>
      </c>
      <c r="T83" s="9" t="n">
        <f aca="false">IFERROR(INDEX(dCriticidad!$G$2:$G$7,MATCH(S83,dCriticidad!$A$2:$A$7,0)),0)</f>
        <v>0</v>
      </c>
      <c r="U83" s="9" t="n">
        <f aca="false">IF(OR(LEFT(C83,3)="GI0",LEFT(C83,3)="GA0"),1,0)</f>
        <v>0</v>
      </c>
      <c r="V83" s="9" t="str">
        <f aca="false">IF(G83="","Sin dato (ID GI)",TRIM(G83))</f>
        <v>Negocios y Monetización</v>
      </c>
      <c r="W83" s="9" t="str">
        <f aca="false">IF(F83="","Sin dato",F83)</f>
        <v>Nube</v>
      </c>
      <c r="X83" s="9" t="str">
        <f aca="false">IF(M83="","",YEAR(M83))</f>
        <v/>
      </c>
      <c r="Y83" s="10" t="str">
        <f aca="false">IF(M83="","",DATE(YEAR(M83),MONTH(M83),1))</f>
        <v/>
      </c>
      <c r="Z83" s="9" t="n">
        <f aca="false">IF(AND(Q83=0,COUNTIF(dDuplicadosGI!$A$2:$A$60,C83)&gt;0),1,0)</f>
        <v>0</v>
      </c>
      <c r="AA83" s="9" t="n">
        <f aca="false">IF(Q83=0,1,0)</f>
        <v>1</v>
      </c>
    </row>
    <row r="84" customFormat="false" ht="15" hidden="false" customHeight="false" outlineLevel="0" collapsed="false">
      <c r="A84" s="7" t="n">
        <v>83</v>
      </c>
      <c r="B84" s="7" t="s">
        <v>472</v>
      </c>
      <c r="C84" s="7" t="s">
        <v>473</v>
      </c>
      <c r="D84" s="7" t="s">
        <v>348</v>
      </c>
      <c r="E84" s="7" t="s">
        <v>119</v>
      </c>
      <c r="F84" s="7" t="s">
        <v>152</v>
      </c>
      <c r="G84" s="7" t="s">
        <v>146</v>
      </c>
      <c r="H84" s="7" t="s">
        <v>147</v>
      </c>
      <c r="I84" s="7" t="s">
        <v>474</v>
      </c>
      <c r="J84" s="7" t="s">
        <v>475</v>
      </c>
      <c r="K84" s="7" t="s">
        <v>87</v>
      </c>
      <c r="L84" s="7" t="s">
        <v>99</v>
      </c>
      <c r="M84" s="8"/>
      <c r="N84" s="7" t="s">
        <v>109</v>
      </c>
      <c r="O84" s="9" t="n">
        <f aca="false">IF(COUNTIFS($B$2:B84,B84,$C$2:C84,C84)=1,1,0)</f>
        <v>1</v>
      </c>
      <c r="P84" s="9" t="str">
        <f aca="false">IFERROR(INDEX(dEtapa!$A$2:$A$6,MATCH(N84,dEtapa!$B$2:$B$6,0)),"Sin etapa")</f>
        <v>Planificada 2027</v>
      </c>
      <c r="Q84" s="9" t="n">
        <f aca="false">IF(L84="Si",1,0)</f>
        <v>0</v>
      </c>
      <c r="R84" s="9" t="n">
        <f aca="false">IF(ISNUMBER(SEARCH("CRITERIO",N84)),1,0)</f>
        <v>0</v>
      </c>
      <c r="S84" s="9" t="str">
        <f aca="false">IF(E84="","Sin dato",LEFT(E84,1))</f>
        <v>E</v>
      </c>
      <c r="T84" s="9" t="n">
        <f aca="false">IFERROR(INDEX(dCriticidad!$G$2:$G$7,MATCH(S84,dCriticidad!$A$2:$A$7,0)),0)</f>
        <v>0</v>
      </c>
      <c r="U84" s="9" t="n">
        <f aca="false">IF(OR(LEFT(C84,3)="GI0",LEFT(C84,3)="GA0"),1,0)</f>
        <v>0</v>
      </c>
      <c r="V84" s="9" t="str">
        <f aca="false">IF(G84="","Sin dato (ID GI)",TRIM(G84))</f>
        <v>Tribu_Integraciones_Apis</v>
      </c>
      <c r="W84" s="9" t="str">
        <f aca="false">IF(F84="","Sin dato",F84)</f>
        <v>Terceros</v>
      </c>
      <c r="X84" s="9" t="str">
        <f aca="false">IF(M84="","",YEAR(M84))</f>
        <v/>
      </c>
      <c r="Y84" s="10" t="str">
        <f aca="false">IF(M84="","",DATE(YEAR(M84),MONTH(M84),1))</f>
        <v/>
      </c>
      <c r="Z84" s="9" t="n">
        <f aca="false">IF(AND(Q84=0,COUNTIF(dDuplicadosGI!$A$2:$A$60,C84)&gt;0),1,0)</f>
        <v>0</v>
      </c>
      <c r="AA84" s="9" t="n">
        <f aca="false">IF(Q84=0,1,0)</f>
        <v>1</v>
      </c>
    </row>
    <row r="85" customFormat="false" ht="15" hidden="false" customHeight="false" outlineLevel="0" collapsed="false">
      <c r="A85" s="7" t="n">
        <v>84</v>
      </c>
      <c r="B85" s="7" t="s">
        <v>476</v>
      </c>
      <c r="C85" s="7" t="s">
        <v>477</v>
      </c>
      <c r="D85" s="7" t="s">
        <v>478</v>
      </c>
      <c r="E85" s="7" t="s">
        <v>93</v>
      </c>
      <c r="F85" s="7" t="s">
        <v>82</v>
      </c>
      <c r="G85" s="7" t="s">
        <v>260</v>
      </c>
      <c r="H85" s="7" t="s">
        <v>479</v>
      </c>
      <c r="I85" s="7" t="s">
        <v>479</v>
      </c>
      <c r="J85" s="7" t="s">
        <v>479</v>
      </c>
      <c r="K85" s="7" t="s">
        <v>480</v>
      </c>
      <c r="L85" s="7" t="s">
        <v>99</v>
      </c>
      <c r="M85" s="8"/>
      <c r="N85" s="7" t="s">
        <v>109</v>
      </c>
      <c r="O85" s="9" t="n">
        <f aca="false">IF(COUNTIFS($B$2:B85,B85,$C$2:C85,C85)=1,1,0)</f>
        <v>1</v>
      </c>
      <c r="P85" s="9" t="str">
        <f aca="false">IFERROR(INDEX(dEtapa!$A$2:$A$6,MATCH(N85,dEtapa!$B$2:$B$6,0)),"Sin etapa")</f>
        <v>Planificada 2027</v>
      </c>
      <c r="Q85" s="9" t="n">
        <f aca="false">IF(L85="Si",1,0)</f>
        <v>0</v>
      </c>
      <c r="R85" s="9" t="n">
        <f aca="false">IF(ISNUMBER(SEARCH("CRITERIO",N85)),1,0)</f>
        <v>0</v>
      </c>
      <c r="S85" s="9" t="str">
        <f aca="false">IF(E85="","Sin dato",LEFT(E85,1))</f>
        <v>D</v>
      </c>
      <c r="T85" s="9" t="n">
        <f aca="false">IFERROR(INDEX(dCriticidad!$G$2:$G$7,MATCH(S85,dCriticidad!$A$2:$A$7,0)),0)</f>
        <v>0</v>
      </c>
      <c r="U85" s="9" t="n">
        <f aca="false">IF(OR(LEFT(C85,3)="GI0",LEFT(C85,3)="GA0"),1,0)</f>
        <v>0</v>
      </c>
      <c r="V85" s="9" t="str">
        <f aca="false">IF(G85="","Sin dato (ID GI)",TRIM(G85))</f>
        <v>COE DATOS&amp;ANALITICA</v>
      </c>
      <c r="W85" s="9" t="str">
        <f aca="false">IF(F85="","Sin dato",F85)</f>
        <v>On Premise</v>
      </c>
      <c r="X85" s="9" t="str">
        <f aca="false">IF(M85="","",YEAR(M85))</f>
        <v/>
      </c>
      <c r="Y85" s="10" t="str">
        <f aca="false">IF(M85="","",DATE(YEAR(M85),MONTH(M85),1))</f>
        <v/>
      </c>
      <c r="Z85" s="9" t="n">
        <f aca="false">IF(AND(Q85=0,COUNTIF(dDuplicadosGI!$A$2:$A$60,C85)&gt;0),1,0)</f>
        <v>0</v>
      </c>
      <c r="AA85" s="9" t="n">
        <f aca="false">IF(Q85=0,1,0)</f>
        <v>1</v>
      </c>
    </row>
    <row r="86" customFormat="false" ht="15" hidden="false" customHeight="false" outlineLevel="0" collapsed="false">
      <c r="A86" s="7" t="n">
        <v>85</v>
      </c>
      <c r="B86" s="7" t="s">
        <v>481</v>
      </c>
      <c r="C86" s="7" t="s">
        <v>482</v>
      </c>
      <c r="D86" s="7" t="s">
        <v>483</v>
      </c>
      <c r="E86" s="7" t="s">
        <v>113</v>
      </c>
      <c r="F86" s="7" t="s">
        <v>94</v>
      </c>
      <c r="G86" s="7" t="s">
        <v>253</v>
      </c>
      <c r="H86" s="7" t="s">
        <v>254</v>
      </c>
      <c r="I86" s="7" t="s">
        <v>255</v>
      </c>
      <c r="J86" s="7" t="s">
        <v>439</v>
      </c>
      <c r="K86" s="7" t="s">
        <v>98</v>
      </c>
      <c r="L86" s="7" t="s">
        <v>99</v>
      </c>
      <c r="M86" s="8"/>
      <c r="N86" s="7" t="s">
        <v>109</v>
      </c>
      <c r="O86" s="9" t="n">
        <f aca="false">IF(COUNTIFS($B$2:B86,B86,$C$2:C86,C86)=1,1,0)</f>
        <v>1</v>
      </c>
      <c r="P86" s="9" t="str">
        <f aca="false">IFERROR(INDEX(dEtapa!$A$2:$A$6,MATCH(N86,dEtapa!$B$2:$B$6,0)),"Sin etapa")</f>
        <v>Planificada 2027</v>
      </c>
      <c r="Q86" s="9" t="n">
        <f aca="false">IF(L86="Si",1,0)</f>
        <v>0</v>
      </c>
      <c r="R86" s="9" t="n">
        <f aca="false">IF(ISNUMBER(SEARCH("CRITERIO",N86)),1,0)</f>
        <v>0</v>
      </c>
      <c r="S86" s="9" t="str">
        <f aca="false">IF(E86="","Sin dato",LEFT(E86,1))</f>
        <v>C</v>
      </c>
      <c r="T86" s="9" t="n">
        <f aca="false">IFERROR(INDEX(dCriticidad!$G$2:$G$7,MATCH(S86,dCriticidad!$A$2:$A$7,0)),0)</f>
        <v>1</v>
      </c>
      <c r="U86" s="9" t="n">
        <f aca="false">IF(OR(LEFT(C86,3)="GI0",LEFT(C86,3)="GA0"),1,0)</f>
        <v>0</v>
      </c>
      <c r="V86" s="9" t="str">
        <f aca="false">IF(G86="","Sin dato (ID GI)",TRIM(G86))</f>
        <v>Tribu Administración de Créditos</v>
      </c>
      <c r="W86" s="9" t="str">
        <f aca="false">IF(F86="","Sin dato",F86)</f>
        <v>Nube</v>
      </c>
      <c r="X86" s="9" t="str">
        <f aca="false">IF(M86="","",YEAR(M86))</f>
        <v/>
      </c>
      <c r="Y86" s="10" t="str">
        <f aca="false">IF(M86="","",DATE(YEAR(M86),MONTH(M86),1))</f>
        <v/>
      </c>
      <c r="Z86" s="9" t="n">
        <f aca="false">IF(AND(Q86=0,COUNTIF(dDuplicadosGI!$A$2:$A$60,C86)&gt;0),1,0)</f>
        <v>0</v>
      </c>
      <c r="AA86" s="9" t="n">
        <f aca="false">IF(Q86=0,1,0)</f>
        <v>1</v>
      </c>
    </row>
    <row r="87" customFormat="false" ht="15" hidden="false" customHeight="false" outlineLevel="0" collapsed="false">
      <c r="A87" s="7" t="n">
        <v>86</v>
      </c>
      <c r="B87" s="7" t="s">
        <v>484</v>
      </c>
      <c r="C87" s="7" t="s">
        <v>485</v>
      </c>
      <c r="D87" s="7" t="s">
        <v>486</v>
      </c>
      <c r="E87" s="7" t="s">
        <v>119</v>
      </c>
      <c r="F87" s="7" t="s">
        <v>94</v>
      </c>
      <c r="G87" s="7" t="s">
        <v>331</v>
      </c>
      <c r="H87" s="7" t="s">
        <v>332</v>
      </c>
      <c r="I87" s="7" t="s">
        <v>333</v>
      </c>
      <c r="J87" s="7" t="s">
        <v>332</v>
      </c>
      <c r="K87" s="7" t="s">
        <v>87</v>
      </c>
      <c r="L87" s="7" t="s">
        <v>99</v>
      </c>
      <c r="M87" s="8"/>
      <c r="N87" s="7" t="s">
        <v>109</v>
      </c>
      <c r="O87" s="9" t="n">
        <f aca="false">IF(COUNTIFS($B$2:B87,B87,$C$2:C87,C87)=1,1,0)</f>
        <v>1</v>
      </c>
      <c r="P87" s="9" t="str">
        <f aca="false">IFERROR(INDEX(dEtapa!$A$2:$A$6,MATCH(N87,dEtapa!$B$2:$B$6,0)),"Sin etapa")</f>
        <v>Planificada 2027</v>
      </c>
      <c r="Q87" s="9" t="n">
        <f aca="false">IF(L87="Si",1,0)</f>
        <v>0</v>
      </c>
      <c r="R87" s="9" t="n">
        <f aca="false">IF(ISNUMBER(SEARCH("CRITERIO",N87)),1,0)</f>
        <v>0</v>
      </c>
      <c r="S87" s="9" t="str">
        <f aca="false">IF(E87="","Sin dato",LEFT(E87,1))</f>
        <v>E</v>
      </c>
      <c r="T87" s="9" t="n">
        <f aca="false">IFERROR(INDEX(dCriticidad!$G$2:$G$7,MATCH(S87,dCriticidad!$A$2:$A$7,0)),0)</f>
        <v>0</v>
      </c>
      <c r="U87" s="9" t="n">
        <f aca="false">IF(OR(LEFT(C87,3)="GI0",LEFT(C87,3)="GA0"),1,0)</f>
        <v>0</v>
      </c>
      <c r="V87" s="9" t="str">
        <f aca="false">IF(G87="","Sin dato (ID GI)",TRIM(G87))</f>
        <v>TRIBU_DE_UNA</v>
      </c>
      <c r="W87" s="9" t="str">
        <f aca="false">IF(F87="","Sin dato",F87)</f>
        <v>Nube</v>
      </c>
      <c r="X87" s="9" t="str">
        <f aca="false">IF(M87="","",YEAR(M87))</f>
        <v/>
      </c>
      <c r="Y87" s="10" t="str">
        <f aca="false">IF(M87="","",DATE(YEAR(M87),MONTH(M87),1))</f>
        <v/>
      </c>
      <c r="Z87" s="9" t="n">
        <f aca="false">IF(AND(Q87=0,COUNTIF(dDuplicadosGI!$A$2:$A$60,C87)&gt;0),1,0)</f>
        <v>0</v>
      </c>
      <c r="AA87" s="9" t="n">
        <f aca="false">IF(Q87=0,1,0)</f>
        <v>1</v>
      </c>
    </row>
    <row r="88" customFormat="false" ht="15" hidden="false" customHeight="false" outlineLevel="0" collapsed="false">
      <c r="A88" s="7" t="n">
        <v>87</v>
      </c>
      <c r="B88" s="7" t="s">
        <v>487</v>
      </c>
      <c r="C88" s="7" t="s">
        <v>488</v>
      </c>
      <c r="D88" s="7" t="s">
        <v>489</v>
      </c>
      <c r="E88" s="7" t="s">
        <v>113</v>
      </c>
      <c r="F88" s="7" t="s">
        <v>94</v>
      </c>
      <c r="G88" s="7" t="s">
        <v>211</v>
      </c>
      <c r="H88" s="7" t="s">
        <v>183</v>
      </c>
      <c r="I88" s="7" t="s">
        <v>490</v>
      </c>
      <c r="J88" s="7" t="s">
        <v>490</v>
      </c>
      <c r="K88" s="7" t="s">
        <v>170</v>
      </c>
      <c r="L88" s="7" t="s">
        <v>88</v>
      </c>
      <c r="M88" s="8" t="n">
        <v>45448</v>
      </c>
      <c r="N88" s="7" t="s">
        <v>89</v>
      </c>
      <c r="O88" s="9" t="n">
        <f aca="false">IF(COUNTIFS($B$2:B88,B88,$C$2:C88,C88)=1,1,0)</f>
        <v>1</v>
      </c>
      <c r="P88" s="9" t="str">
        <f aca="false">IFERROR(INDEX(dEtapa!$A$2:$A$6,MATCH(N88,dEtapa!$B$2:$B$6,0)),"Sin etapa")</f>
        <v>Gobernada</v>
      </c>
      <c r="Q88" s="9" t="n">
        <f aca="false">IF(L88="Si",1,0)</f>
        <v>1</v>
      </c>
      <c r="R88" s="9" t="n">
        <f aca="false">IF(ISNUMBER(SEARCH("CRITERIO",N88)),1,0)</f>
        <v>0</v>
      </c>
      <c r="S88" s="9" t="str">
        <f aca="false">IF(E88="","Sin dato",LEFT(E88,1))</f>
        <v>C</v>
      </c>
      <c r="T88" s="9" t="n">
        <f aca="false">IFERROR(INDEX(dCriticidad!$G$2:$G$7,MATCH(S88,dCriticidad!$A$2:$A$7,0)),0)</f>
        <v>1</v>
      </c>
      <c r="U88" s="9" t="n">
        <f aca="false">IF(OR(LEFT(C88,3)="GI0",LEFT(C88,3)="GA0"),1,0)</f>
        <v>0</v>
      </c>
      <c r="V88" s="9" t="str">
        <f aca="false">IF(G88="","Sin dato (ID GI)",TRIM(G88))</f>
        <v>Tribu Ciberseguridad</v>
      </c>
      <c r="W88" s="9" t="str">
        <f aca="false">IF(F88="","Sin dato",F88)</f>
        <v>Nube</v>
      </c>
      <c r="X88" s="9" t="n">
        <f aca="false">IF(M88="","",YEAR(M88))</f>
        <v>2024</v>
      </c>
      <c r="Y88" s="10" t="n">
        <f aca="false">IF(M88="","",DATE(YEAR(M88),MONTH(M88),1))</f>
        <v>45444</v>
      </c>
      <c r="Z88" s="9" t="n">
        <f aca="false">IF(AND(Q88=0,COUNTIF(dDuplicadosGI!$A$2:$A$60,C88)&gt;0),1,0)</f>
        <v>0</v>
      </c>
      <c r="AA88" s="9" t="n">
        <f aca="false">IF(Q88=0,1,0)</f>
        <v>0</v>
      </c>
    </row>
    <row r="89" customFormat="false" ht="15" hidden="false" customHeight="false" outlineLevel="0" collapsed="false">
      <c r="A89" s="7" t="n">
        <v>88</v>
      </c>
      <c r="B89" s="7" t="s">
        <v>491</v>
      </c>
      <c r="C89" s="7" t="s">
        <v>492</v>
      </c>
      <c r="D89" s="7" t="s">
        <v>493</v>
      </c>
      <c r="E89" s="7" t="s">
        <v>119</v>
      </c>
      <c r="F89" s="7" t="s">
        <v>82</v>
      </c>
      <c r="G89" s="7" t="s">
        <v>494</v>
      </c>
      <c r="H89" s="7" t="s">
        <v>338</v>
      </c>
      <c r="I89" s="7" t="s">
        <v>495</v>
      </c>
      <c r="J89" s="7" t="s">
        <v>496</v>
      </c>
      <c r="K89" s="7" t="s">
        <v>108</v>
      </c>
      <c r="L89" s="7" t="s">
        <v>99</v>
      </c>
      <c r="M89" s="8"/>
      <c r="N89" s="7" t="s">
        <v>109</v>
      </c>
      <c r="O89" s="9" t="n">
        <f aca="false">IF(COUNTIFS($B$2:B89,B89,$C$2:C89,C89)=1,1,0)</f>
        <v>1</v>
      </c>
      <c r="P89" s="9" t="str">
        <f aca="false">IFERROR(INDEX(dEtapa!$A$2:$A$6,MATCH(N89,dEtapa!$B$2:$B$6,0)),"Sin etapa")</f>
        <v>Planificada 2027</v>
      </c>
      <c r="Q89" s="9" t="n">
        <f aca="false">IF(L89="Si",1,0)</f>
        <v>0</v>
      </c>
      <c r="R89" s="9" t="n">
        <f aca="false">IF(ISNUMBER(SEARCH("CRITERIO",N89)),1,0)</f>
        <v>0</v>
      </c>
      <c r="S89" s="9" t="str">
        <f aca="false">IF(E89="","Sin dato",LEFT(E89,1))</f>
        <v>E</v>
      </c>
      <c r="T89" s="9" t="n">
        <f aca="false">IFERROR(INDEX(dCriticidad!$G$2:$G$7,MATCH(S89,dCriticidad!$A$2:$A$7,0)),0)</f>
        <v>0</v>
      </c>
      <c r="U89" s="9" t="n">
        <f aca="false">IF(OR(LEFT(C89,3)="GI0",LEFT(C89,3)="GA0"),1,0)</f>
        <v>0</v>
      </c>
      <c r="V89" s="9" t="str">
        <f aca="false">IF(G89="","Sin dato (ID GI)",TRIM(G89))</f>
        <v>Gerencia Ingeniería de Seguridad Tecnológica</v>
      </c>
      <c r="W89" s="9" t="str">
        <f aca="false">IF(F89="","Sin dato",F89)</f>
        <v>On Premise</v>
      </c>
      <c r="X89" s="9" t="str">
        <f aca="false">IF(M89="","",YEAR(M89))</f>
        <v/>
      </c>
      <c r="Y89" s="10" t="str">
        <f aca="false">IF(M89="","",DATE(YEAR(M89),MONTH(M89),1))</f>
        <v/>
      </c>
      <c r="Z89" s="9" t="n">
        <f aca="false">IF(AND(Q89=0,COUNTIF(dDuplicadosGI!$A$2:$A$60,C89)&gt;0),1,0)</f>
        <v>0</v>
      </c>
      <c r="AA89" s="9" t="n">
        <f aca="false">IF(Q89=0,1,0)</f>
        <v>1</v>
      </c>
    </row>
    <row r="90" customFormat="false" ht="15" hidden="false" customHeight="false" outlineLevel="0" collapsed="false">
      <c r="A90" s="7" t="n">
        <v>89</v>
      </c>
      <c r="B90" s="7" t="s">
        <v>497</v>
      </c>
      <c r="C90" s="7" t="s">
        <v>498</v>
      </c>
      <c r="D90" s="7" t="s">
        <v>499</v>
      </c>
      <c r="E90" s="7" t="s">
        <v>81</v>
      </c>
      <c r="F90" s="7" t="s">
        <v>94</v>
      </c>
      <c r="G90" s="7" t="s">
        <v>83</v>
      </c>
      <c r="H90" s="7" t="s">
        <v>84</v>
      </c>
      <c r="I90" s="7" t="s">
        <v>300</v>
      </c>
      <c r="J90" s="7" t="s">
        <v>84</v>
      </c>
      <c r="K90" s="7" t="s">
        <v>87</v>
      </c>
      <c r="L90" s="7" t="s">
        <v>99</v>
      </c>
      <c r="M90" s="8"/>
      <c r="N90" s="7" t="s">
        <v>109</v>
      </c>
      <c r="O90" s="9" t="n">
        <f aca="false">IF(COUNTIFS($B$2:B90,B90,$C$2:C90,C90)=1,1,0)</f>
        <v>1</v>
      </c>
      <c r="P90" s="9" t="str">
        <f aca="false">IFERROR(INDEX(dEtapa!$A$2:$A$6,MATCH(N90,dEtapa!$B$2:$B$6,0)),"Sin etapa")</f>
        <v>Planificada 2027</v>
      </c>
      <c r="Q90" s="9" t="n">
        <f aca="false">IF(L90="Si",1,0)</f>
        <v>0</v>
      </c>
      <c r="R90" s="9" t="n">
        <f aca="false">IF(ISNUMBER(SEARCH("CRITERIO",N90)),1,0)</f>
        <v>0</v>
      </c>
      <c r="S90" s="9" t="str">
        <f aca="false">IF(E90="","Sin dato",LEFT(E90,1))</f>
        <v>A</v>
      </c>
      <c r="T90" s="9" t="n">
        <f aca="false">IFERROR(INDEX(dCriticidad!$G$2:$G$7,MATCH(S90,dCriticidad!$A$2:$A$7,0)),0)</f>
        <v>1</v>
      </c>
      <c r="U90" s="9" t="n">
        <f aca="false">IF(OR(LEFT(C90,3)="GI0",LEFT(C90,3)="GA0"),1,0)</f>
        <v>0</v>
      </c>
      <c r="V90" s="9" t="str">
        <f aca="false">IF(G90="","Sin dato (ID GI)",TRIM(G90))</f>
        <v>TRIBU_CANALES</v>
      </c>
      <c r="W90" s="9" t="str">
        <f aca="false">IF(F90="","Sin dato",F90)</f>
        <v>Nube</v>
      </c>
      <c r="X90" s="9" t="str">
        <f aca="false">IF(M90="","",YEAR(M90))</f>
        <v/>
      </c>
      <c r="Y90" s="10" t="str">
        <f aca="false">IF(M90="","",DATE(YEAR(M90),MONTH(M90),1))</f>
        <v/>
      </c>
      <c r="Z90" s="9" t="n">
        <f aca="false">IF(AND(Q90=0,COUNTIF(dDuplicadosGI!$A$2:$A$60,C90)&gt;0),1,0)</f>
        <v>0</v>
      </c>
      <c r="AA90" s="9" t="n">
        <f aca="false">IF(Q90=0,1,0)</f>
        <v>1</v>
      </c>
    </row>
    <row r="91" customFormat="false" ht="15" hidden="false" customHeight="false" outlineLevel="0" collapsed="false">
      <c r="A91" s="7" t="n">
        <v>90</v>
      </c>
      <c r="B91" s="7" t="s">
        <v>500</v>
      </c>
      <c r="C91" s="7" t="s">
        <v>501</v>
      </c>
      <c r="D91" s="7" t="s">
        <v>502</v>
      </c>
      <c r="E91" s="7" t="s">
        <v>145</v>
      </c>
      <c r="F91" s="7" t="s">
        <v>94</v>
      </c>
      <c r="G91" s="7" t="s">
        <v>83</v>
      </c>
      <c r="H91" s="7" t="s">
        <v>84</v>
      </c>
      <c r="I91" s="7" t="s">
        <v>503</v>
      </c>
      <c r="J91" s="7" t="s">
        <v>504</v>
      </c>
      <c r="K91" s="7" t="s">
        <v>87</v>
      </c>
      <c r="L91" s="7" t="s">
        <v>99</v>
      </c>
      <c r="M91" s="8"/>
      <c r="N91" s="7" t="s">
        <v>100</v>
      </c>
      <c r="O91" s="9" t="n">
        <f aca="false">IF(COUNTIFS($B$2:B91,B91,$C$2:C91,C91)=1,1,0)</f>
        <v>1</v>
      </c>
      <c r="P91" s="9" t="str">
        <f aca="false">IFERROR(INDEX(dEtapa!$A$2:$A$6,MATCH(N91,dEtapa!$B$2:$B$6,0)),"Sin etapa")</f>
        <v>Criterio 1</v>
      </c>
      <c r="Q91" s="9" t="n">
        <f aca="false">IF(L91="Si",1,0)</f>
        <v>0</v>
      </c>
      <c r="R91" s="9" t="n">
        <f aca="false">IF(ISNUMBER(SEARCH("CRITERIO",N91)),1,0)</f>
        <v>1</v>
      </c>
      <c r="S91" s="9" t="str">
        <f aca="false">IF(E91="","Sin dato",LEFT(E91,1))</f>
        <v>B</v>
      </c>
      <c r="T91" s="9" t="n">
        <f aca="false">IFERROR(INDEX(dCriticidad!$G$2:$G$7,MATCH(S91,dCriticidad!$A$2:$A$7,0)),0)</f>
        <v>1</v>
      </c>
      <c r="U91" s="9" t="n">
        <f aca="false">IF(OR(LEFT(C91,3)="GI0",LEFT(C91,3)="GA0"),1,0)</f>
        <v>0</v>
      </c>
      <c r="V91" s="9" t="str">
        <f aca="false">IF(G91="","Sin dato (ID GI)",TRIM(G91))</f>
        <v>TRIBU_CANALES</v>
      </c>
      <c r="W91" s="9" t="str">
        <f aca="false">IF(F91="","Sin dato",F91)</f>
        <v>Nube</v>
      </c>
      <c r="X91" s="9" t="str">
        <f aca="false">IF(M91="","",YEAR(M91))</f>
        <v/>
      </c>
      <c r="Y91" s="10" t="str">
        <f aca="false">IF(M91="","",DATE(YEAR(M91),MONTH(M91),1))</f>
        <v/>
      </c>
      <c r="Z91" s="9" t="n">
        <f aca="false">IF(AND(Q91=0,COUNTIF(dDuplicadosGI!$A$2:$A$60,C91)&gt;0),1,0)</f>
        <v>0</v>
      </c>
      <c r="AA91" s="9" t="n">
        <f aca="false">IF(Q91=0,1,0)</f>
        <v>1</v>
      </c>
    </row>
    <row r="92" customFormat="false" ht="15" hidden="false" customHeight="false" outlineLevel="0" collapsed="false">
      <c r="A92" s="7" t="n">
        <v>91</v>
      </c>
      <c r="B92" s="7" t="s">
        <v>505</v>
      </c>
      <c r="C92" s="7" t="s">
        <v>506</v>
      </c>
      <c r="D92" s="7" t="s">
        <v>507</v>
      </c>
      <c r="E92" s="7" t="s">
        <v>145</v>
      </c>
      <c r="F92" s="7" t="s">
        <v>94</v>
      </c>
      <c r="G92" s="7" t="s">
        <v>192</v>
      </c>
      <c r="H92" s="7" t="s">
        <v>193</v>
      </c>
      <c r="I92" s="7" t="s">
        <v>508</v>
      </c>
      <c r="J92" s="7" t="s">
        <v>195</v>
      </c>
      <c r="K92" s="7" t="s">
        <v>87</v>
      </c>
      <c r="L92" s="7" t="s">
        <v>88</v>
      </c>
      <c r="M92" s="8" t="n">
        <v>45834</v>
      </c>
      <c r="N92" s="7" t="s">
        <v>89</v>
      </c>
      <c r="O92" s="9" t="n">
        <f aca="false">IF(COUNTIFS($B$2:B92,B92,$C$2:C92,C92)=1,1,0)</f>
        <v>1</v>
      </c>
      <c r="P92" s="9" t="str">
        <f aca="false">IFERROR(INDEX(dEtapa!$A$2:$A$6,MATCH(N92,dEtapa!$B$2:$B$6,0)),"Sin etapa")</f>
        <v>Gobernada</v>
      </c>
      <c r="Q92" s="9" t="n">
        <f aca="false">IF(L92="Si",1,0)</f>
        <v>1</v>
      </c>
      <c r="R92" s="9" t="n">
        <f aca="false">IF(ISNUMBER(SEARCH("CRITERIO",N92)),1,0)</f>
        <v>0</v>
      </c>
      <c r="S92" s="9" t="str">
        <f aca="false">IF(E92="","Sin dato",LEFT(E92,1))</f>
        <v>B</v>
      </c>
      <c r="T92" s="9" t="n">
        <f aca="false">IFERROR(INDEX(dCriticidad!$G$2:$G$7,MATCH(S92,dCriticidad!$A$2:$A$7,0)),0)</f>
        <v>1</v>
      </c>
      <c r="U92" s="9" t="n">
        <f aca="false">IF(OR(LEFT(C92,3)="GI0",LEFT(C92,3)="GA0"),1,0)</f>
        <v>0</v>
      </c>
      <c r="V92" s="9" t="str">
        <f aca="false">IF(G92="","Sin dato (ID GI)",TRIM(G92))</f>
        <v>AREAS_DE_APOYO</v>
      </c>
      <c r="W92" s="9" t="str">
        <f aca="false">IF(F92="","Sin dato",F92)</f>
        <v>Nube</v>
      </c>
      <c r="X92" s="9" t="n">
        <f aca="false">IF(M92="","",YEAR(M92))</f>
        <v>2025</v>
      </c>
      <c r="Y92" s="10" t="n">
        <f aca="false">IF(M92="","",DATE(YEAR(M92),MONTH(M92),1))</f>
        <v>45809</v>
      </c>
      <c r="Z92" s="9" t="n">
        <f aca="false">IF(AND(Q92=0,COUNTIF(dDuplicadosGI!$A$2:$A$60,C92)&gt;0),1,0)</f>
        <v>0</v>
      </c>
      <c r="AA92" s="9" t="n">
        <f aca="false">IF(Q92=0,1,0)</f>
        <v>0</v>
      </c>
    </row>
    <row r="93" customFormat="false" ht="15" hidden="false" customHeight="false" outlineLevel="0" collapsed="false">
      <c r="A93" s="7" t="n">
        <v>92</v>
      </c>
      <c r="B93" s="7" t="s">
        <v>509</v>
      </c>
      <c r="C93" s="7" t="s">
        <v>510</v>
      </c>
      <c r="D93" s="7" t="s">
        <v>511</v>
      </c>
      <c r="E93" s="7" t="s">
        <v>119</v>
      </c>
      <c r="F93" s="7" t="s">
        <v>94</v>
      </c>
      <c r="G93" s="7" t="s">
        <v>139</v>
      </c>
      <c r="H93" s="7" t="s">
        <v>97</v>
      </c>
      <c r="I93" s="7" t="s">
        <v>140</v>
      </c>
      <c r="J93" s="7" t="s">
        <v>141</v>
      </c>
      <c r="K93" s="7" t="s">
        <v>87</v>
      </c>
      <c r="L93" s="7" t="s">
        <v>99</v>
      </c>
      <c r="M93" s="8"/>
      <c r="N93" s="7" t="s">
        <v>109</v>
      </c>
      <c r="O93" s="9" t="n">
        <f aca="false">IF(COUNTIFS($B$2:B93,B93,$C$2:C93,C93)=1,1,0)</f>
        <v>1</v>
      </c>
      <c r="P93" s="9" t="str">
        <f aca="false">IFERROR(INDEX(dEtapa!$A$2:$A$6,MATCH(N93,dEtapa!$B$2:$B$6,0)),"Sin etapa")</f>
        <v>Planificada 2027</v>
      </c>
      <c r="Q93" s="9" t="n">
        <f aca="false">IF(L93="Si",1,0)</f>
        <v>0</v>
      </c>
      <c r="R93" s="9" t="n">
        <f aca="false">IF(ISNUMBER(SEARCH("CRITERIO",N93)),1,0)</f>
        <v>0</v>
      </c>
      <c r="S93" s="9" t="str">
        <f aca="false">IF(E93="","Sin dato",LEFT(E93,1))</f>
        <v>E</v>
      </c>
      <c r="T93" s="9" t="n">
        <f aca="false">IFERROR(INDEX(dCriticidad!$G$2:$G$7,MATCH(S93,dCriticidad!$A$2:$A$7,0)),0)</f>
        <v>0</v>
      </c>
      <c r="U93" s="9" t="n">
        <f aca="false">IF(OR(LEFT(C93,3)="GI0",LEFT(C93,3)="GA0"),1,0)</f>
        <v>0</v>
      </c>
      <c r="V93" s="9" t="str">
        <f aca="false">IF(G93="","Sin dato (ID GI)",TRIM(G93))</f>
        <v>Frente de Soluciones Empresariales</v>
      </c>
      <c r="W93" s="9" t="str">
        <f aca="false">IF(F93="","Sin dato",F93)</f>
        <v>Nube</v>
      </c>
      <c r="X93" s="9" t="str">
        <f aca="false">IF(M93="","",YEAR(M93))</f>
        <v/>
      </c>
      <c r="Y93" s="10" t="str">
        <f aca="false">IF(M93="","",DATE(YEAR(M93),MONTH(M93),1))</f>
        <v/>
      </c>
      <c r="Z93" s="9" t="n">
        <f aca="false">IF(AND(Q93=0,COUNTIF(dDuplicadosGI!$A$2:$A$60,C93)&gt;0),1,0)</f>
        <v>0</v>
      </c>
      <c r="AA93" s="9" t="n">
        <f aca="false">IF(Q93=0,1,0)</f>
        <v>1</v>
      </c>
    </row>
    <row r="94" customFormat="false" ht="15" hidden="false" customHeight="false" outlineLevel="0" collapsed="false">
      <c r="A94" s="7" t="n">
        <v>93</v>
      </c>
      <c r="B94" s="7" t="s">
        <v>512</v>
      </c>
      <c r="C94" s="7" t="s">
        <v>513</v>
      </c>
      <c r="D94" s="7" t="s">
        <v>514</v>
      </c>
      <c r="E94" s="7" t="s">
        <v>145</v>
      </c>
      <c r="F94" s="7" t="s">
        <v>82</v>
      </c>
      <c r="G94" s="7" t="s">
        <v>153</v>
      </c>
      <c r="H94" s="7" t="s">
        <v>154</v>
      </c>
      <c r="I94" s="7" t="s">
        <v>412</v>
      </c>
      <c r="J94" s="7" t="s">
        <v>413</v>
      </c>
      <c r="K94" s="7" t="s">
        <v>87</v>
      </c>
      <c r="L94" s="7" t="s">
        <v>99</v>
      </c>
      <c r="M94" s="8"/>
      <c r="N94" s="7" t="s">
        <v>178</v>
      </c>
      <c r="O94" s="9" t="n">
        <f aca="false">IF(COUNTIFS($B$2:B94,B94,$C$2:C94,C94)=1,1,0)</f>
        <v>1</v>
      </c>
      <c r="P94" s="9" t="str">
        <f aca="false">IFERROR(INDEX(dEtapa!$A$2:$A$6,MATCH(N94,dEtapa!$B$2:$B$6,0)),"Sin etapa")</f>
        <v>Criterio 2</v>
      </c>
      <c r="Q94" s="9" t="n">
        <f aca="false">IF(L94="Si",1,0)</f>
        <v>0</v>
      </c>
      <c r="R94" s="9" t="n">
        <f aca="false">IF(ISNUMBER(SEARCH("CRITERIO",N94)),1,0)</f>
        <v>1</v>
      </c>
      <c r="S94" s="9" t="str">
        <f aca="false">IF(E94="","Sin dato",LEFT(E94,1))</f>
        <v>B</v>
      </c>
      <c r="T94" s="9" t="n">
        <f aca="false">IFERROR(INDEX(dCriticidad!$G$2:$G$7,MATCH(S94,dCriticidad!$A$2:$A$7,0)),0)</f>
        <v>1</v>
      </c>
      <c r="U94" s="9" t="n">
        <f aca="false">IF(OR(LEFT(C94,3)="GI0",LEFT(C94,3)="GA0"),1,0)</f>
        <v>0</v>
      </c>
      <c r="V94" s="9" t="str">
        <f aca="false">IF(G94="","Sin dato (ID GI)",TRIM(G94))</f>
        <v>MEDIOS_DE_PAGO</v>
      </c>
      <c r="W94" s="9" t="str">
        <f aca="false">IF(F94="","Sin dato",F94)</f>
        <v>On Premise</v>
      </c>
      <c r="X94" s="9" t="str">
        <f aca="false">IF(M94="","",YEAR(M94))</f>
        <v/>
      </c>
      <c r="Y94" s="10" t="str">
        <f aca="false">IF(M94="","",DATE(YEAR(M94),MONTH(M94),1))</f>
        <v/>
      </c>
      <c r="Z94" s="9" t="n">
        <f aca="false">IF(AND(Q94=0,COUNTIF(dDuplicadosGI!$A$2:$A$60,C94)&gt;0),1,0)</f>
        <v>0</v>
      </c>
      <c r="AA94" s="9" t="n">
        <f aca="false">IF(Q94=0,1,0)</f>
        <v>1</v>
      </c>
    </row>
    <row r="95" customFormat="false" ht="15" hidden="false" customHeight="false" outlineLevel="0" collapsed="false">
      <c r="A95" s="7" t="n">
        <v>94</v>
      </c>
      <c r="B95" s="7" t="s">
        <v>515</v>
      </c>
      <c r="C95" s="7" t="s">
        <v>516</v>
      </c>
      <c r="D95" s="7" t="s">
        <v>517</v>
      </c>
      <c r="E95" s="7" t="s">
        <v>119</v>
      </c>
      <c r="F95" s="7" t="s">
        <v>94</v>
      </c>
      <c r="G95" s="7" t="s">
        <v>253</v>
      </c>
      <c r="H95" s="7" t="s">
        <v>254</v>
      </c>
      <c r="I95" s="7" t="s">
        <v>496</v>
      </c>
      <c r="J95" s="7" t="s">
        <v>256</v>
      </c>
      <c r="K95" s="7" t="s">
        <v>98</v>
      </c>
      <c r="L95" s="7" t="s">
        <v>99</v>
      </c>
      <c r="M95" s="8"/>
      <c r="N95" s="7" t="s">
        <v>109</v>
      </c>
      <c r="O95" s="9" t="n">
        <f aca="false">IF(COUNTIFS($B$2:B95,B95,$C$2:C95,C95)=1,1,0)</f>
        <v>1</v>
      </c>
      <c r="P95" s="9" t="str">
        <f aca="false">IFERROR(INDEX(dEtapa!$A$2:$A$6,MATCH(N95,dEtapa!$B$2:$B$6,0)),"Sin etapa")</f>
        <v>Planificada 2027</v>
      </c>
      <c r="Q95" s="9" t="n">
        <f aca="false">IF(L95="Si",1,0)</f>
        <v>0</v>
      </c>
      <c r="R95" s="9" t="n">
        <f aca="false">IF(ISNUMBER(SEARCH("CRITERIO",N95)),1,0)</f>
        <v>0</v>
      </c>
      <c r="S95" s="9" t="str">
        <f aca="false">IF(E95="","Sin dato",LEFT(E95,1))</f>
        <v>E</v>
      </c>
      <c r="T95" s="9" t="n">
        <f aca="false">IFERROR(INDEX(dCriticidad!$G$2:$G$7,MATCH(S95,dCriticidad!$A$2:$A$7,0)),0)</f>
        <v>0</v>
      </c>
      <c r="U95" s="9" t="n">
        <f aca="false">IF(OR(LEFT(C95,3)="GI0",LEFT(C95,3)="GA0"),1,0)</f>
        <v>0</v>
      </c>
      <c r="V95" s="9" t="str">
        <f aca="false">IF(G95="","Sin dato (ID GI)",TRIM(G95))</f>
        <v>Tribu Administración de Créditos</v>
      </c>
      <c r="W95" s="9" t="str">
        <f aca="false">IF(F95="","Sin dato",F95)</f>
        <v>Nube</v>
      </c>
      <c r="X95" s="9" t="str">
        <f aca="false">IF(M95="","",YEAR(M95))</f>
        <v/>
      </c>
      <c r="Y95" s="10" t="str">
        <f aca="false">IF(M95="","",DATE(YEAR(M95),MONTH(M95),1))</f>
        <v/>
      </c>
      <c r="Z95" s="9" t="n">
        <f aca="false">IF(AND(Q95=0,COUNTIF(dDuplicadosGI!$A$2:$A$60,C95)&gt;0),1,0)</f>
        <v>0</v>
      </c>
      <c r="AA95" s="9" t="n">
        <f aca="false">IF(Q95=0,1,0)</f>
        <v>1</v>
      </c>
    </row>
    <row r="96" customFormat="false" ht="15" hidden="false" customHeight="false" outlineLevel="0" collapsed="false">
      <c r="A96" s="7" t="n">
        <v>95</v>
      </c>
      <c r="B96" s="7" t="s">
        <v>518</v>
      </c>
      <c r="C96" s="7" t="s">
        <v>519</v>
      </c>
      <c r="D96" s="7" t="s">
        <v>520</v>
      </c>
      <c r="E96" s="7" t="s">
        <v>113</v>
      </c>
      <c r="F96" s="7" t="s">
        <v>94</v>
      </c>
      <c r="G96" s="7" t="s">
        <v>362</v>
      </c>
      <c r="H96" s="7" t="s">
        <v>363</v>
      </c>
      <c r="I96" s="7" t="s">
        <v>364</v>
      </c>
      <c r="J96" s="7" t="s">
        <v>365</v>
      </c>
      <c r="K96" s="7" t="s">
        <v>87</v>
      </c>
      <c r="L96" s="7" t="s">
        <v>99</v>
      </c>
      <c r="M96" s="8"/>
      <c r="N96" s="7" t="s">
        <v>178</v>
      </c>
      <c r="O96" s="9" t="n">
        <f aca="false">IF(COUNTIFS($B$2:B96,B96,$C$2:C96,C96)=1,1,0)</f>
        <v>1</v>
      </c>
      <c r="P96" s="9" t="str">
        <f aca="false">IFERROR(INDEX(dEtapa!$A$2:$A$6,MATCH(N96,dEtapa!$B$2:$B$6,0)),"Sin etapa")</f>
        <v>Criterio 2</v>
      </c>
      <c r="Q96" s="9" t="n">
        <f aca="false">IF(L96="Si",1,0)</f>
        <v>0</v>
      </c>
      <c r="R96" s="9" t="n">
        <f aca="false">IF(ISNUMBER(SEARCH("CRITERIO",N96)),1,0)</f>
        <v>1</v>
      </c>
      <c r="S96" s="9" t="str">
        <f aca="false">IF(E96="","Sin dato",LEFT(E96,1))</f>
        <v>C</v>
      </c>
      <c r="T96" s="9" t="n">
        <f aca="false">IFERROR(INDEX(dCriticidad!$G$2:$G$7,MATCH(S96,dCriticidad!$A$2:$A$7,0)),0)</f>
        <v>1</v>
      </c>
      <c r="U96" s="9" t="n">
        <f aca="false">IF(OR(LEFT(C96,3)="GI0",LEFT(C96,3)="GA0"),1,0)</f>
        <v>0</v>
      </c>
      <c r="V96" s="9" t="str">
        <f aca="false">IF(G96="","Sin dato (ID GI)",TRIM(G96))</f>
        <v>COE_TRANSFORMACION_PROCESOS</v>
      </c>
      <c r="W96" s="9" t="str">
        <f aca="false">IF(F96="","Sin dato",F96)</f>
        <v>Nube</v>
      </c>
      <c r="X96" s="9" t="str">
        <f aca="false">IF(M96="","",YEAR(M96))</f>
        <v/>
      </c>
      <c r="Y96" s="10" t="str">
        <f aca="false">IF(M96="","",DATE(YEAR(M96),MONTH(M96),1))</f>
        <v/>
      </c>
      <c r="Z96" s="9" t="n">
        <f aca="false">IF(AND(Q96=0,COUNTIF(dDuplicadosGI!$A$2:$A$60,C96)&gt;0),1,0)</f>
        <v>1</v>
      </c>
      <c r="AA96" s="9" t="n">
        <f aca="false">IF(Q96=0,1,0)</f>
        <v>1</v>
      </c>
    </row>
    <row r="97" customFormat="false" ht="15" hidden="false" customHeight="false" outlineLevel="0" collapsed="false">
      <c r="A97" s="7" t="n">
        <v>96</v>
      </c>
      <c r="B97" s="7" t="s">
        <v>521</v>
      </c>
      <c r="C97" s="7" t="s">
        <v>522</v>
      </c>
      <c r="D97" s="7" t="s">
        <v>523</v>
      </c>
      <c r="E97" s="7" t="s">
        <v>119</v>
      </c>
      <c r="F97" s="7" t="s">
        <v>94</v>
      </c>
      <c r="G97" s="7" t="s">
        <v>253</v>
      </c>
      <c r="H97" s="7" t="s">
        <v>254</v>
      </c>
      <c r="I97" s="7" t="s">
        <v>255</v>
      </c>
      <c r="J97" s="7" t="s">
        <v>256</v>
      </c>
      <c r="K97" s="7" t="s">
        <v>98</v>
      </c>
      <c r="L97" s="7" t="s">
        <v>99</v>
      </c>
      <c r="M97" s="8"/>
      <c r="N97" s="7" t="s">
        <v>109</v>
      </c>
      <c r="O97" s="9" t="n">
        <f aca="false">IF(COUNTIFS($B$2:B97,B97,$C$2:C97,C97)=1,1,0)</f>
        <v>1</v>
      </c>
      <c r="P97" s="9" t="str">
        <f aca="false">IFERROR(INDEX(dEtapa!$A$2:$A$6,MATCH(N97,dEtapa!$B$2:$B$6,0)),"Sin etapa")</f>
        <v>Planificada 2027</v>
      </c>
      <c r="Q97" s="9" t="n">
        <f aca="false">IF(L97="Si",1,0)</f>
        <v>0</v>
      </c>
      <c r="R97" s="9" t="n">
        <f aca="false">IF(ISNUMBER(SEARCH("CRITERIO",N97)),1,0)</f>
        <v>0</v>
      </c>
      <c r="S97" s="9" t="str">
        <f aca="false">IF(E97="","Sin dato",LEFT(E97,1))</f>
        <v>E</v>
      </c>
      <c r="T97" s="9" t="n">
        <f aca="false">IFERROR(INDEX(dCriticidad!$G$2:$G$7,MATCH(S97,dCriticidad!$A$2:$A$7,0)),0)</f>
        <v>0</v>
      </c>
      <c r="U97" s="9" t="n">
        <f aca="false">IF(OR(LEFT(C97,3)="GI0",LEFT(C97,3)="GA0"),1,0)</f>
        <v>0</v>
      </c>
      <c r="V97" s="9" t="str">
        <f aca="false">IF(G97="","Sin dato (ID GI)",TRIM(G97))</f>
        <v>Tribu Administración de Créditos</v>
      </c>
      <c r="W97" s="9" t="str">
        <f aca="false">IF(F97="","Sin dato",F97)</f>
        <v>Nube</v>
      </c>
      <c r="X97" s="9" t="str">
        <f aca="false">IF(M97="","",YEAR(M97))</f>
        <v/>
      </c>
      <c r="Y97" s="10" t="str">
        <f aca="false">IF(M97="","",DATE(YEAR(M97),MONTH(M97),1))</f>
        <v/>
      </c>
      <c r="Z97" s="9" t="n">
        <f aca="false">IF(AND(Q97=0,COUNTIF(dDuplicadosGI!$A$2:$A$60,C97)&gt;0),1,0)</f>
        <v>0</v>
      </c>
      <c r="AA97" s="9" t="n">
        <f aca="false">IF(Q97=0,1,0)</f>
        <v>1</v>
      </c>
    </row>
    <row r="98" customFormat="false" ht="15" hidden="false" customHeight="false" outlineLevel="0" collapsed="false">
      <c r="A98" s="7" t="n">
        <v>97</v>
      </c>
      <c r="B98" s="7" t="s">
        <v>524</v>
      </c>
      <c r="C98" s="7" t="s">
        <v>525</v>
      </c>
      <c r="D98" s="7" t="s">
        <v>526</v>
      </c>
      <c r="E98" s="7" t="s">
        <v>113</v>
      </c>
      <c r="F98" s="7" t="s">
        <v>82</v>
      </c>
      <c r="G98" s="7" t="s">
        <v>153</v>
      </c>
      <c r="H98" s="7" t="s">
        <v>154</v>
      </c>
      <c r="I98" s="7" t="s">
        <v>412</v>
      </c>
      <c r="J98" s="7" t="s">
        <v>413</v>
      </c>
      <c r="K98" s="7" t="s">
        <v>87</v>
      </c>
      <c r="L98" s="7" t="s">
        <v>88</v>
      </c>
      <c r="M98" s="8" t="n">
        <v>45199</v>
      </c>
      <c r="N98" s="7" t="s">
        <v>89</v>
      </c>
      <c r="O98" s="9" t="n">
        <f aca="false">IF(COUNTIFS($B$2:B98,B98,$C$2:C98,C98)=1,1,0)</f>
        <v>1</v>
      </c>
      <c r="P98" s="9" t="str">
        <f aca="false">IFERROR(INDEX(dEtapa!$A$2:$A$6,MATCH(N98,dEtapa!$B$2:$B$6,0)),"Sin etapa")</f>
        <v>Gobernada</v>
      </c>
      <c r="Q98" s="9" t="n">
        <f aca="false">IF(L98="Si",1,0)</f>
        <v>1</v>
      </c>
      <c r="R98" s="9" t="n">
        <f aca="false">IF(ISNUMBER(SEARCH("CRITERIO",N98)),1,0)</f>
        <v>0</v>
      </c>
      <c r="S98" s="9" t="str">
        <f aca="false">IF(E98="","Sin dato",LEFT(E98,1))</f>
        <v>C</v>
      </c>
      <c r="T98" s="9" t="n">
        <f aca="false">IFERROR(INDEX(dCriticidad!$G$2:$G$7,MATCH(S98,dCriticidad!$A$2:$A$7,0)),0)</f>
        <v>1</v>
      </c>
      <c r="U98" s="9" t="n">
        <f aca="false">IF(OR(LEFT(C98,3)="GI0",LEFT(C98,3)="GA0"),1,0)</f>
        <v>0</v>
      </c>
      <c r="V98" s="9" t="str">
        <f aca="false">IF(G98="","Sin dato (ID GI)",TRIM(G98))</f>
        <v>MEDIOS_DE_PAGO</v>
      </c>
      <c r="W98" s="9" t="str">
        <f aca="false">IF(F98="","Sin dato",F98)</f>
        <v>On Premise</v>
      </c>
      <c r="X98" s="9" t="n">
        <f aca="false">IF(M98="","",YEAR(M98))</f>
        <v>2023</v>
      </c>
      <c r="Y98" s="10" t="n">
        <f aca="false">IF(M98="","",DATE(YEAR(M98),MONTH(M98),1))</f>
        <v>45170</v>
      </c>
      <c r="Z98" s="9" t="n">
        <f aca="false">IF(AND(Q98=0,COUNTIF(dDuplicadosGI!$A$2:$A$60,C98)&gt;0),1,0)</f>
        <v>0</v>
      </c>
      <c r="AA98" s="9" t="n">
        <f aca="false">IF(Q98=0,1,0)</f>
        <v>0</v>
      </c>
    </row>
    <row r="99" customFormat="false" ht="15" hidden="false" customHeight="false" outlineLevel="0" collapsed="false">
      <c r="A99" s="7" t="n">
        <v>98</v>
      </c>
      <c r="B99" s="7" t="s">
        <v>527</v>
      </c>
      <c r="C99" s="7" t="s">
        <v>528</v>
      </c>
      <c r="D99" s="7" t="s">
        <v>320</v>
      </c>
      <c r="E99" s="7" t="s">
        <v>119</v>
      </c>
      <c r="F99" s="7" t="s">
        <v>82</v>
      </c>
      <c r="G99" s="7" t="s">
        <v>253</v>
      </c>
      <c r="H99" s="7" t="s">
        <v>254</v>
      </c>
      <c r="I99" s="7" t="s">
        <v>255</v>
      </c>
      <c r="J99" s="7" t="s">
        <v>256</v>
      </c>
      <c r="K99" s="7" t="s">
        <v>87</v>
      </c>
      <c r="L99" s="7" t="s">
        <v>99</v>
      </c>
      <c r="M99" s="8"/>
      <c r="N99" s="7" t="s">
        <v>100</v>
      </c>
      <c r="O99" s="9" t="n">
        <f aca="false">IF(COUNTIFS($B$2:B99,B99,$C$2:C99,C99)=1,1,0)</f>
        <v>1</v>
      </c>
      <c r="P99" s="9" t="str">
        <f aca="false">IFERROR(INDEX(dEtapa!$A$2:$A$6,MATCH(N99,dEtapa!$B$2:$B$6,0)),"Sin etapa")</f>
        <v>Criterio 1</v>
      </c>
      <c r="Q99" s="9" t="n">
        <f aca="false">IF(L99="Si",1,0)</f>
        <v>0</v>
      </c>
      <c r="R99" s="9" t="n">
        <f aca="false">IF(ISNUMBER(SEARCH("CRITERIO",N99)),1,0)</f>
        <v>1</v>
      </c>
      <c r="S99" s="9" t="str">
        <f aca="false">IF(E99="","Sin dato",LEFT(E99,1))</f>
        <v>E</v>
      </c>
      <c r="T99" s="9" t="n">
        <f aca="false">IFERROR(INDEX(dCriticidad!$G$2:$G$7,MATCH(S99,dCriticidad!$A$2:$A$7,0)),0)</f>
        <v>0</v>
      </c>
      <c r="U99" s="9" t="n">
        <f aca="false">IF(OR(LEFT(C99,3)="GI0",LEFT(C99,3)="GA0"),1,0)</f>
        <v>0</v>
      </c>
      <c r="V99" s="9" t="str">
        <f aca="false">IF(G99="","Sin dato (ID GI)",TRIM(G99))</f>
        <v>Tribu Administración de Créditos</v>
      </c>
      <c r="W99" s="9" t="str">
        <f aca="false">IF(F99="","Sin dato",F99)</f>
        <v>On Premise</v>
      </c>
      <c r="X99" s="9" t="str">
        <f aca="false">IF(M99="","",YEAR(M99))</f>
        <v/>
      </c>
      <c r="Y99" s="10" t="str">
        <f aca="false">IF(M99="","",DATE(YEAR(M99),MONTH(M99),1))</f>
        <v/>
      </c>
      <c r="Z99" s="9" t="n">
        <f aca="false">IF(AND(Q99=0,COUNTIF(dDuplicadosGI!$A$2:$A$60,C99)&gt;0),1,0)</f>
        <v>0</v>
      </c>
      <c r="AA99" s="9" t="n">
        <f aca="false">IF(Q99=0,1,0)</f>
        <v>1</v>
      </c>
    </row>
    <row r="100" customFormat="false" ht="15" hidden="false" customHeight="false" outlineLevel="0" collapsed="false">
      <c r="A100" s="7" t="n">
        <v>99</v>
      </c>
      <c r="B100" s="7" t="s">
        <v>529</v>
      </c>
      <c r="C100" s="7" t="s">
        <v>530</v>
      </c>
      <c r="D100" s="7" t="s">
        <v>531</v>
      </c>
      <c r="E100" s="7" t="s">
        <v>81</v>
      </c>
      <c r="F100" s="7" t="s">
        <v>82</v>
      </c>
      <c r="G100" s="7" t="s">
        <v>139</v>
      </c>
      <c r="H100" s="7" t="s">
        <v>97</v>
      </c>
      <c r="I100" s="7" t="s">
        <v>532</v>
      </c>
      <c r="J100" s="7" t="s">
        <v>97</v>
      </c>
      <c r="K100" s="7" t="s">
        <v>87</v>
      </c>
      <c r="L100" s="7" t="s">
        <v>88</v>
      </c>
      <c r="M100" s="8" t="n">
        <v>45200</v>
      </c>
      <c r="N100" s="7" t="s">
        <v>89</v>
      </c>
      <c r="O100" s="9" t="n">
        <f aca="false">IF(COUNTIFS($B$2:B100,B100,$C$2:C100,C100)=1,1,0)</f>
        <v>1</v>
      </c>
      <c r="P100" s="9" t="str">
        <f aca="false">IFERROR(INDEX(dEtapa!$A$2:$A$6,MATCH(N100,dEtapa!$B$2:$B$6,0)),"Sin etapa")</f>
        <v>Gobernada</v>
      </c>
      <c r="Q100" s="9" t="n">
        <f aca="false">IF(L100="Si",1,0)</f>
        <v>1</v>
      </c>
      <c r="R100" s="9" t="n">
        <f aca="false">IF(ISNUMBER(SEARCH("CRITERIO",N100)),1,0)</f>
        <v>0</v>
      </c>
      <c r="S100" s="9" t="str">
        <f aca="false">IF(E100="","Sin dato",LEFT(E100,1))</f>
        <v>A</v>
      </c>
      <c r="T100" s="9" t="n">
        <f aca="false">IFERROR(INDEX(dCriticidad!$G$2:$G$7,MATCH(S100,dCriticidad!$A$2:$A$7,0)),0)</f>
        <v>1</v>
      </c>
      <c r="U100" s="9" t="n">
        <f aca="false">IF(OR(LEFT(C100,3)="GI0",LEFT(C100,3)="GA0"),1,0)</f>
        <v>0</v>
      </c>
      <c r="V100" s="9" t="str">
        <f aca="false">IF(G100="","Sin dato (ID GI)",TRIM(G100))</f>
        <v>Frente de Soluciones Empresariales</v>
      </c>
      <c r="W100" s="9" t="str">
        <f aca="false">IF(F100="","Sin dato",F100)</f>
        <v>On Premise</v>
      </c>
      <c r="X100" s="9" t="n">
        <f aca="false">IF(M100="","",YEAR(M100))</f>
        <v>2023</v>
      </c>
      <c r="Y100" s="10" t="n">
        <f aca="false">IF(M100="","",DATE(YEAR(M100),MONTH(M100),1))</f>
        <v>45200</v>
      </c>
      <c r="Z100" s="9" t="n">
        <f aca="false">IF(AND(Q100=0,COUNTIF(dDuplicadosGI!$A$2:$A$60,C100)&gt;0),1,0)</f>
        <v>0</v>
      </c>
      <c r="AA100" s="9" t="n">
        <f aca="false">IF(Q100=0,1,0)</f>
        <v>0</v>
      </c>
    </row>
    <row r="101" customFormat="false" ht="15" hidden="false" customHeight="false" outlineLevel="0" collapsed="false">
      <c r="A101" s="7" t="n">
        <v>100</v>
      </c>
      <c r="B101" s="7" t="s">
        <v>533</v>
      </c>
      <c r="C101" s="7" t="s">
        <v>534</v>
      </c>
      <c r="D101" s="7" t="s">
        <v>535</v>
      </c>
      <c r="E101" s="7" t="s">
        <v>119</v>
      </c>
      <c r="F101" s="7" t="s">
        <v>94</v>
      </c>
      <c r="G101" s="7" t="s">
        <v>362</v>
      </c>
      <c r="H101" s="7" t="s">
        <v>363</v>
      </c>
      <c r="I101" s="7" t="s">
        <v>536</v>
      </c>
      <c r="J101" s="7" t="s">
        <v>365</v>
      </c>
      <c r="K101" s="7" t="s">
        <v>98</v>
      </c>
      <c r="L101" s="7" t="s">
        <v>99</v>
      </c>
      <c r="M101" s="8"/>
      <c r="N101" s="7" t="s">
        <v>109</v>
      </c>
      <c r="O101" s="9" t="n">
        <f aca="false">IF(COUNTIFS($B$2:B101,B101,$C$2:C101,C101)=1,1,0)</f>
        <v>1</v>
      </c>
      <c r="P101" s="9" t="str">
        <f aca="false">IFERROR(INDEX(dEtapa!$A$2:$A$6,MATCH(N101,dEtapa!$B$2:$B$6,0)),"Sin etapa")</f>
        <v>Planificada 2027</v>
      </c>
      <c r="Q101" s="9" t="n">
        <f aca="false">IF(L101="Si",1,0)</f>
        <v>0</v>
      </c>
      <c r="R101" s="9" t="n">
        <f aca="false">IF(ISNUMBER(SEARCH("CRITERIO",N101)),1,0)</f>
        <v>0</v>
      </c>
      <c r="S101" s="9" t="str">
        <f aca="false">IF(E101="","Sin dato",LEFT(E101,1))</f>
        <v>E</v>
      </c>
      <c r="T101" s="9" t="n">
        <f aca="false">IFERROR(INDEX(dCriticidad!$G$2:$G$7,MATCH(S101,dCriticidad!$A$2:$A$7,0)),0)</f>
        <v>0</v>
      </c>
      <c r="U101" s="9" t="n">
        <f aca="false">IF(OR(LEFT(C101,3)="GI0",LEFT(C101,3)="GA0"),1,0)</f>
        <v>0</v>
      </c>
      <c r="V101" s="9" t="str">
        <f aca="false">IF(G101="","Sin dato (ID GI)",TRIM(G101))</f>
        <v>COE_TRANSFORMACION_PROCESOS</v>
      </c>
      <c r="W101" s="9" t="str">
        <f aca="false">IF(F101="","Sin dato",F101)</f>
        <v>Nube</v>
      </c>
      <c r="X101" s="9" t="str">
        <f aca="false">IF(M101="","",YEAR(M101))</f>
        <v/>
      </c>
      <c r="Y101" s="10" t="str">
        <f aca="false">IF(M101="","",DATE(YEAR(M101),MONTH(M101),1))</f>
        <v/>
      </c>
      <c r="Z101" s="9" t="n">
        <f aca="false">IF(AND(Q101=0,COUNTIF(dDuplicadosGI!$A$2:$A$60,C101)&gt;0),1,0)</f>
        <v>0</v>
      </c>
      <c r="AA101" s="9" t="n">
        <f aca="false">IF(Q101=0,1,0)</f>
        <v>1</v>
      </c>
    </row>
    <row r="102" customFormat="false" ht="15" hidden="false" customHeight="false" outlineLevel="0" collapsed="false">
      <c r="A102" s="7" t="n">
        <v>101</v>
      </c>
      <c r="B102" s="7" t="s">
        <v>537</v>
      </c>
      <c r="C102" s="7" t="s">
        <v>538</v>
      </c>
      <c r="D102" s="7" t="s">
        <v>539</v>
      </c>
      <c r="E102" s="7" t="s">
        <v>145</v>
      </c>
      <c r="F102" s="7" t="s">
        <v>82</v>
      </c>
      <c r="G102" s="7" t="s">
        <v>160</v>
      </c>
      <c r="H102" s="7" t="s">
        <v>133</v>
      </c>
      <c r="I102" s="7" t="s">
        <v>540</v>
      </c>
      <c r="J102" s="7" t="s">
        <v>162</v>
      </c>
      <c r="K102" s="7" t="s">
        <v>87</v>
      </c>
      <c r="L102" s="7" t="s">
        <v>88</v>
      </c>
      <c r="M102" s="8" t="n">
        <v>45199</v>
      </c>
      <c r="N102" s="7" t="s">
        <v>89</v>
      </c>
      <c r="O102" s="9" t="n">
        <f aca="false">IF(COUNTIFS($B$2:B102,B102,$C$2:C102,C102)=1,1,0)</f>
        <v>1</v>
      </c>
      <c r="P102" s="9" t="str">
        <f aca="false">IFERROR(INDEX(dEtapa!$A$2:$A$6,MATCH(N102,dEtapa!$B$2:$B$6,0)),"Sin etapa")</f>
        <v>Gobernada</v>
      </c>
      <c r="Q102" s="9" t="n">
        <f aca="false">IF(L102="Si",1,0)</f>
        <v>1</v>
      </c>
      <c r="R102" s="9" t="n">
        <f aca="false">IF(ISNUMBER(SEARCH("CRITERIO",N102)),1,0)</f>
        <v>0</v>
      </c>
      <c r="S102" s="9" t="str">
        <f aca="false">IF(E102="","Sin dato",LEFT(E102,1))</f>
        <v>B</v>
      </c>
      <c r="T102" s="9" t="n">
        <f aca="false">IFERROR(INDEX(dCriticidad!$G$2:$G$7,MATCH(S102,dCriticidad!$A$2:$A$7,0)),0)</f>
        <v>1</v>
      </c>
      <c r="U102" s="9" t="n">
        <f aca="false">IF(OR(LEFT(C102,3)="GI0",LEFT(C102,3)="GA0"),1,0)</f>
        <v>0</v>
      </c>
      <c r="V102" s="9" t="str">
        <f aca="false">IF(G102="","Sin dato (ID GI)",TRIM(G102))</f>
        <v>PASIVOS Y SEGUROS</v>
      </c>
      <c r="W102" s="9" t="str">
        <f aca="false">IF(F102="","Sin dato",F102)</f>
        <v>On Premise</v>
      </c>
      <c r="X102" s="9" t="n">
        <f aca="false">IF(M102="","",YEAR(M102))</f>
        <v>2023</v>
      </c>
      <c r="Y102" s="10" t="n">
        <f aca="false">IF(M102="","",DATE(YEAR(M102),MONTH(M102),1))</f>
        <v>45170</v>
      </c>
      <c r="Z102" s="9" t="n">
        <f aca="false">IF(AND(Q102=0,COUNTIF(dDuplicadosGI!$A$2:$A$60,C102)&gt;0),1,0)</f>
        <v>0</v>
      </c>
      <c r="AA102" s="9" t="n">
        <f aca="false">IF(Q102=0,1,0)</f>
        <v>0</v>
      </c>
    </row>
    <row r="103" customFormat="false" ht="15" hidden="false" customHeight="false" outlineLevel="0" collapsed="false">
      <c r="A103" s="7" t="n">
        <v>102</v>
      </c>
      <c r="B103" s="7" t="s">
        <v>541</v>
      </c>
      <c r="C103" s="7" t="s">
        <v>542</v>
      </c>
      <c r="D103" s="7" t="s">
        <v>543</v>
      </c>
      <c r="E103" s="7" t="s">
        <v>119</v>
      </c>
      <c r="F103" s="7" t="s">
        <v>94</v>
      </c>
      <c r="G103" s="7" t="s">
        <v>192</v>
      </c>
      <c r="H103" s="7" t="s">
        <v>193</v>
      </c>
      <c r="I103" s="7" t="s">
        <v>194</v>
      </c>
      <c r="J103" s="7" t="s">
        <v>195</v>
      </c>
      <c r="K103" s="7" t="s">
        <v>98</v>
      </c>
      <c r="L103" s="7" t="s">
        <v>99</v>
      </c>
      <c r="M103" s="8"/>
      <c r="N103" s="7" t="s">
        <v>109</v>
      </c>
      <c r="O103" s="9" t="n">
        <f aca="false">IF(COUNTIFS($B$2:B103,B103,$C$2:C103,C103)=1,1,0)</f>
        <v>1</v>
      </c>
      <c r="P103" s="9" t="str">
        <f aca="false">IFERROR(INDEX(dEtapa!$A$2:$A$6,MATCH(N103,dEtapa!$B$2:$B$6,0)),"Sin etapa")</f>
        <v>Planificada 2027</v>
      </c>
      <c r="Q103" s="9" t="n">
        <f aca="false">IF(L103="Si",1,0)</f>
        <v>0</v>
      </c>
      <c r="R103" s="9" t="n">
        <f aca="false">IF(ISNUMBER(SEARCH("CRITERIO",N103)),1,0)</f>
        <v>0</v>
      </c>
      <c r="S103" s="9" t="str">
        <f aca="false">IF(E103="","Sin dato",LEFT(E103,1))</f>
        <v>E</v>
      </c>
      <c r="T103" s="9" t="n">
        <f aca="false">IFERROR(INDEX(dCriticidad!$G$2:$G$7,MATCH(S103,dCriticidad!$A$2:$A$7,0)),0)</f>
        <v>0</v>
      </c>
      <c r="U103" s="9" t="n">
        <f aca="false">IF(OR(LEFT(C103,3)="GI0",LEFT(C103,3)="GA0"),1,0)</f>
        <v>0</v>
      </c>
      <c r="V103" s="9" t="str">
        <f aca="false">IF(G103="","Sin dato (ID GI)",TRIM(G103))</f>
        <v>AREAS_DE_APOYO</v>
      </c>
      <c r="W103" s="9" t="str">
        <f aca="false">IF(F103="","Sin dato",F103)</f>
        <v>Nube</v>
      </c>
      <c r="X103" s="9" t="str">
        <f aca="false">IF(M103="","",YEAR(M103))</f>
        <v/>
      </c>
      <c r="Y103" s="10" t="str">
        <f aca="false">IF(M103="","",DATE(YEAR(M103),MONTH(M103),1))</f>
        <v/>
      </c>
      <c r="Z103" s="9" t="n">
        <f aca="false">IF(AND(Q103=0,COUNTIF(dDuplicadosGI!$A$2:$A$60,C103)&gt;0),1,0)</f>
        <v>0</v>
      </c>
      <c r="AA103" s="9" t="n">
        <f aca="false">IF(Q103=0,1,0)</f>
        <v>1</v>
      </c>
    </row>
    <row r="104" customFormat="false" ht="15" hidden="false" customHeight="false" outlineLevel="0" collapsed="false">
      <c r="A104" s="7" t="n">
        <v>103</v>
      </c>
      <c r="B104" s="7" t="s">
        <v>544</v>
      </c>
      <c r="C104" s="7" t="s">
        <v>545</v>
      </c>
      <c r="D104" s="7" t="s">
        <v>546</v>
      </c>
      <c r="E104" s="7" t="s">
        <v>145</v>
      </c>
      <c r="F104" s="7" t="s">
        <v>82</v>
      </c>
      <c r="G104" s="7" t="s">
        <v>104</v>
      </c>
      <c r="H104" s="7" t="s">
        <v>105</v>
      </c>
      <c r="I104" s="7" t="s">
        <v>120</v>
      </c>
      <c r="J104" s="7" t="s">
        <v>265</v>
      </c>
      <c r="K104" s="7" t="s">
        <v>170</v>
      </c>
      <c r="L104" s="7" t="s">
        <v>88</v>
      </c>
      <c r="M104" s="8" t="n">
        <v>45200</v>
      </c>
      <c r="N104" s="7" t="s">
        <v>89</v>
      </c>
      <c r="O104" s="9" t="n">
        <f aca="false">IF(COUNTIFS($B$2:B104,B104,$C$2:C104,C104)=1,1,0)</f>
        <v>1</v>
      </c>
      <c r="P104" s="9" t="str">
        <f aca="false">IFERROR(INDEX(dEtapa!$A$2:$A$6,MATCH(N104,dEtapa!$B$2:$B$6,0)),"Sin etapa")</f>
        <v>Gobernada</v>
      </c>
      <c r="Q104" s="9" t="n">
        <f aca="false">IF(L104="Si",1,0)</f>
        <v>1</v>
      </c>
      <c r="R104" s="9" t="n">
        <f aca="false">IF(ISNUMBER(SEARCH("CRITERIO",N104)),1,0)</f>
        <v>0</v>
      </c>
      <c r="S104" s="9" t="str">
        <f aca="false">IF(E104="","Sin dato",LEFT(E104,1))</f>
        <v>B</v>
      </c>
      <c r="T104" s="9" t="n">
        <f aca="false">IFERROR(INDEX(dCriticidad!$G$2:$G$7,MATCH(S104,dCriticidad!$A$2:$A$7,0)),0)</f>
        <v>1</v>
      </c>
      <c r="U104" s="9" t="n">
        <f aca="false">IF(OR(LEFT(C104,3)="GI0",LEFT(C104,3)="GA0"),1,0)</f>
        <v>0</v>
      </c>
      <c r="V104" s="9" t="str">
        <f aca="false">IF(G104="","Sin dato (ID GI)",TRIM(G104))</f>
        <v>INFRAESTRUCTURA</v>
      </c>
      <c r="W104" s="9" t="str">
        <f aca="false">IF(F104="","Sin dato",F104)</f>
        <v>On Premise</v>
      </c>
      <c r="X104" s="9" t="n">
        <f aca="false">IF(M104="","",YEAR(M104))</f>
        <v>2023</v>
      </c>
      <c r="Y104" s="10" t="n">
        <f aca="false">IF(M104="","",DATE(YEAR(M104),MONTH(M104),1))</f>
        <v>45200</v>
      </c>
      <c r="Z104" s="9" t="n">
        <f aca="false">IF(AND(Q104=0,COUNTIF(dDuplicadosGI!$A$2:$A$60,C104)&gt;0),1,0)</f>
        <v>0</v>
      </c>
      <c r="AA104" s="9" t="n">
        <f aca="false">IF(Q104=0,1,0)</f>
        <v>0</v>
      </c>
    </row>
    <row r="105" customFormat="false" ht="15" hidden="false" customHeight="false" outlineLevel="0" collapsed="false">
      <c r="A105" s="7" t="n">
        <v>104</v>
      </c>
      <c r="B105" s="7" t="s">
        <v>547</v>
      </c>
      <c r="C105" s="7" t="s">
        <v>548</v>
      </c>
      <c r="D105" s="7" t="s">
        <v>549</v>
      </c>
      <c r="E105" s="7" t="s">
        <v>119</v>
      </c>
      <c r="F105" s="7" t="s">
        <v>82</v>
      </c>
      <c r="G105" s="7" t="s">
        <v>253</v>
      </c>
      <c r="H105" s="7" t="s">
        <v>254</v>
      </c>
      <c r="I105" s="7" t="s">
        <v>496</v>
      </c>
      <c r="J105" s="7" t="s">
        <v>256</v>
      </c>
      <c r="K105" s="7" t="s">
        <v>87</v>
      </c>
      <c r="L105" s="7" t="s">
        <v>88</v>
      </c>
      <c r="M105" s="8" t="n">
        <v>45200</v>
      </c>
      <c r="N105" s="7" t="s">
        <v>89</v>
      </c>
      <c r="O105" s="9" t="n">
        <f aca="false">IF(COUNTIFS($B$2:B105,B105,$C$2:C105,C105)=1,1,0)</f>
        <v>1</v>
      </c>
      <c r="P105" s="9" t="str">
        <f aca="false">IFERROR(INDEX(dEtapa!$A$2:$A$6,MATCH(N105,dEtapa!$B$2:$B$6,0)),"Sin etapa")</f>
        <v>Gobernada</v>
      </c>
      <c r="Q105" s="9" t="n">
        <f aca="false">IF(L105="Si",1,0)</f>
        <v>1</v>
      </c>
      <c r="R105" s="9" t="n">
        <f aca="false">IF(ISNUMBER(SEARCH("CRITERIO",N105)),1,0)</f>
        <v>0</v>
      </c>
      <c r="S105" s="9" t="str">
        <f aca="false">IF(E105="","Sin dato",LEFT(E105,1))</f>
        <v>E</v>
      </c>
      <c r="T105" s="9" t="n">
        <f aca="false">IFERROR(INDEX(dCriticidad!$G$2:$G$7,MATCH(S105,dCriticidad!$A$2:$A$7,0)),0)</f>
        <v>0</v>
      </c>
      <c r="U105" s="9" t="n">
        <f aca="false">IF(OR(LEFT(C105,3)="GI0",LEFT(C105,3)="GA0"),1,0)</f>
        <v>0</v>
      </c>
      <c r="V105" s="9" t="str">
        <f aca="false">IF(G105="","Sin dato (ID GI)",TRIM(G105))</f>
        <v>Tribu Administración de Créditos</v>
      </c>
      <c r="W105" s="9" t="str">
        <f aca="false">IF(F105="","Sin dato",F105)</f>
        <v>On Premise</v>
      </c>
      <c r="X105" s="9" t="n">
        <f aca="false">IF(M105="","",YEAR(M105))</f>
        <v>2023</v>
      </c>
      <c r="Y105" s="10" t="n">
        <f aca="false">IF(M105="","",DATE(YEAR(M105),MONTH(M105),1))</f>
        <v>45200</v>
      </c>
      <c r="Z105" s="9" t="n">
        <f aca="false">IF(AND(Q105=0,COUNTIF(dDuplicadosGI!$A$2:$A$60,C105)&gt;0),1,0)</f>
        <v>0</v>
      </c>
      <c r="AA105" s="9" t="n">
        <f aca="false">IF(Q105=0,1,0)</f>
        <v>0</v>
      </c>
    </row>
    <row r="106" customFormat="false" ht="15" hidden="false" customHeight="false" outlineLevel="0" collapsed="false">
      <c r="A106" s="7" t="n">
        <v>105</v>
      </c>
      <c r="B106" s="7" t="s">
        <v>550</v>
      </c>
      <c r="C106" s="7" t="s">
        <v>551</v>
      </c>
      <c r="D106" s="7" t="s">
        <v>552</v>
      </c>
      <c r="E106" s="7" t="s">
        <v>119</v>
      </c>
      <c r="F106" s="7" t="s">
        <v>94</v>
      </c>
      <c r="G106" s="7" t="s">
        <v>253</v>
      </c>
      <c r="H106" s="7" t="s">
        <v>254</v>
      </c>
      <c r="I106" s="7" t="s">
        <v>496</v>
      </c>
      <c r="J106" s="7" t="s">
        <v>256</v>
      </c>
      <c r="K106" s="7" t="s">
        <v>87</v>
      </c>
      <c r="L106" s="7" t="s">
        <v>99</v>
      </c>
      <c r="M106" s="8"/>
      <c r="N106" s="7" t="s">
        <v>109</v>
      </c>
      <c r="O106" s="9" t="n">
        <f aca="false">IF(COUNTIFS($B$2:B106,B106,$C$2:C106,C106)=1,1,0)</f>
        <v>1</v>
      </c>
      <c r="P106" s="9" t="str">
        <f aca="false">IFERROR(INDEX(dEtapa!$A$2:$A$6,MATCH(N106,dEtapa!$B$2:$B$6,0)),"Sin etapa")</f>
        <v>Planificada 2027</v>
      </c>
      <c r="Q106" s="9" t="n">
        <f aca="false">IF(L106="Si",1,0)</f>
        <v>0</v>
      </c>
      <c r="R106" s="9" t="n">
        <f aca="false">IF(ISNUMBER(SEARCH("CRITERIO",N106)),1,0)</f>
        <v>0</v>
      </c>
      <c r="S106" s="9" t="str">
        <f aca="false">IF(E106="","Sin dato",LEFT(E106,1))</f>
        <v>E</v>
      </c>
      <c r="T106" s="9" t="n">
        <f aca="false">IFERROR(INDEX(dCriticidad!$G$2:$G$7,MATCH(S106,dCriticidad!$A$2:$A$7,0)),0)</f>
        <v>0</v>
      </c>
      <c r="U106" s="9" t="n">
        <f aca="false">IF(OR(LEFT(C106,3)="GI0",LEFT(C106,3)="GA0"),1,0)</f>
        <v>0</v>
      </c>
      <c r="V106" s="9" t="str">
        <f aca="false">IF(G106="","Sin dato (ID GI)",TRIM(G106))</f>
        <v>Tribu Administración de Créditos</v>
      </c>
      <c r="W106" s="9" t="str">
        <f aca="false">IF(F106="","Sin dato",F106)</f>
        <v>Nube</v>
      </c>
      <c r="X106" s="9" t="str">
        <f aca="false">IF(M106="","",YEAR(M106))</f>
        <v/>
      </c>
      <c r="Y106" s="10" t="str">
        <f aca="false">IF(M106="","",DATE(YEAR(M106),MONTH(M106),1))</f>
        <v/>
      </c>
      <c r="Z106" s="9" t="n">
        <f aca="false">IF(AND(Q106=0,COUNTIF(dDuplicadosGI!$A$2:$A$60,C106)&gt;0),1,0)</f>
        <v>0</v>
      </c>
      <c r="AA106" s="9" t="n">
        <f aca="false">IF(Q106=0,1,0)</f>
        <v>1</v>
      </c>
    </row>
    <row r="107" customFormat="false" ht="15" hidden="false" customHeight="false" outlineLevel="0" collapsed="false">
      <c r="A107" s="7" t="n">
        <v>106</v>
      </c>
      <c r="B107" s="7" t="s">
        <v>553</v>
      </c>
      <c r="C107" s="7" t="s">
        <v>554</v>
      </c>
      <c r="D107" s="7" t="s">
        <v>555</v>
      </c>
      <c r="E107" s="7" t="s">
        <v>119</v>
      </c>
      <c r="F107" s="7" t="s">
        <v>82</v>
      </c>
      <c r="G107" s="7" t="s">
        <v>253</v>
      </c>
      <c r="H107" s="7" t="s">
        <v>254</v>
      </c>
      <c r="I107" s="7" t="s">
        <v>496</v>
      </c>
      <c r="J107" s="7" t="s">
        <v>256</v>
      </c>
      <c r="K107" s="7" t="s">
        <v>87</v>
      </c>
      <c r="L107" s="7" t="s">
        <v>88</v>
      </c>
      <c r="M107" s="8" t="n">
        <v>45199</v>
      </c>
      <c r="N107" s="7" t="s">
        <v>89</v>
      </c>
      <c r="O107" s="9" t="n">
        <f aca="false">IF(COUNTIFS($B$2:B107,B107,$C$2:C107,C107)=1,1,0)</f>
        <v>1</v>
      </c>
      <c r="P107" s="9" t="str">
        <f aca="false">IFERROR(INDEX(dEtapa!$A$2:$A$6,MATCH(N107,dEtapa!$B$2:$B$6,0)),"Sin etapa")</f>
        <v>Gobernada</v>
      </c>
      <c r="Q107" s="9" t="n">
        <f aca="false">IF(L107="Si",1,0)</f>
        <v>1</v>
      </c>
      <c r="R107" s="9" t="n">
        <f aca="false">IF(ISNUMBER(SEARCH("CRITERIO",N107)),1,0)</f>
        <v>0</v>
      </c>
      <c r="S107" s="9" t="str">
        <f aca="false">IF(E107="","Sin dato",LEFT(E107,1))</f>
        <v>E</v>
      </c>
      <c r="T107" s="9" t="n">
        <f aca="false">IFERROR(INDEX(dCriticidad!$G$2:$G$7,MATCH(S107,dCriticidad!$A$2:$A$7,0)),0)</f>
        <v>0</v>
      </c>
      <c r="U107" s="9" t="n">
        <f aca="false">IF(OR(LEFT(C107,3)="GI0",LEFT(C107,3)="GA0"),1,0)</f>
        <v>0</v>
      </c>
      <c r="V107" s="9" t="str">
        <f aca="false">IF(G107="","Sin dato (ID GI)",TRIM(G107))</f>
        <v>Tribu Administración de Créditos</v>
      </c>
      <c r="W107" s="9" t="str">
        <f aca="false">IF(F107="","Sin dato",F107)</f>
        <v>On Premise</v>
      </c>
      <c r="X107" s="9" t="n">
        <f aca="false">IF(M107="","",YEAR(M107))</f>
        <v>2023</v>
      </c>
      <c r="Y107" s="10" t="n">
        <f aca="false">IF(M107="","",DATE(YEAR(M107),MONTH(M107),1))</f>
        <v>45170</v>
      </c>
      <c r="Z107" s="9" t="n">
        <f aca="false">IF(AND(Q107=0,COUNTIF(dDuplicadosGI!$A$2:$A$60,C107)&gt;0),1,0)</f>
        <v>0</v>
      </c>
      <c r="AA107" s="9" t="n">
        <f aca="false">IF(Q107=0,1,0)</f>
        <v>0</v>
      </c>
    </row>
    <row r="108" customFormat="false" ht="15" hidden="false" customHeight="false" outlineLevel="0" collapsed="false">
      <c r="A108" s="7" t="n">
        <v>107</v>
      </c>
      <c r="B108" s="7" t="s">
        <v>556</v>
      </c>
      <c r="C108" s="7" t="s">
        <v>557</v>
      </c>
      <c r="D108" s="7" t="s">
        <v>558</v>
      </c>
      <c r="E108" s="7" t="s">
        <v>113</v>
      </c>
      <c r="F108" s="7" t="s">
        <v>82</v>
      </c>
      <c r="G108" s="7" t="s">
        <v>153</v>
      </c>
      <c r="H108" s="7" t="s">
        <v>154</v>
      </c>
      <c r="I108" s="7" t="s">
        <v>559</v>
      </c>
      <c r="J108" s="7" t="s">
        <v>560</v>
      </c>
      <c r="K108" s="7" t="s">
        <v>87</v>
      </c>
      <c r="L108" s="7" t="s">
        <v>99</v>
      </c>
      <c r="M108" s="8"/>
      <c r="N108" s="7" t="s">
        <v>178</v>
      </c>
      <c r="O108" s="9" t="n">
        <f aca="false">IF(COUNTIFS($B$2:B108,B108,$C$2:C108,C108)=1,1,0)</f>
        <v>1</v>
      </c>
      <c r="P108" s="9" t="str">
        <f aca="false">IFERROR(INDEX(dEtapa!$A$2:$A$6,MATCH(N108,dEtapa!$B$2:$B$6,0)),"Sin etapa")</f>
        <v>Criterio 2</v>
      </c>
      <c r="Q108" s="9" t="n">
        <f aca="false">IF(L108="Si",1,0)</f>
        <v>0</v>
      </c>
      <c r="R108" s="9" t="n">
        <f aca="false">IF(ISNUMBER(SEARCH("CRITERIO",N108)),1,0)</f>
        <v>1</v>
      </c>
      <c r="S108" s="9" t="str">
        <f aca="false">IF(E108="","Sin dato",LEFT(E108,1))</f>
        <v>C</v>
      </c>
      <c r="T108" s="9" t="n">
        <f aca="false">IFERROR(INDEX(dCriticidad!$G$2:$G$7,MATCH(S108,dCriticidad!$A$2:$A$7,0)),0)</f>
        <v>1</v>
      </c>
      <c r="U108" s="9" t="n">
        <f aca="false">IF(OR(LEFT(C108,3)="GI0",LEFT(C108,3)="GA0"),1,0)</f>
        <v>0</v>
      </c>
      <c r="V108" s="9" t="str">
        <f aca="false">IF(G108="","Sin dato (ID GI)",TRIM(G108))</f>
        <v>MEDIOS_DE_PAGO</v>
      </c>
      <c r="W108" s="9" t="str">
        <f aca="false">IF(F108="","Sin dato",F108)</f>
        <v>On Premise</v>
      </c>
      <c r="X108" s="9" t="str">
        <f aca="false">IF(M108="","",YEAR(M108))</f>
        <v/>
      </c>
      <c r="Y108" s="10" t="str">
        <f aca="false">IF(M108="","",DATE(YEAR(M108),MONTH(M108),1))</f>
        <v/>
      </c>
      <c r="Z108" s="9" t="n">
        <f aca="false">IF(AND(Q108=0,COUNTIF(dDuplicadosGI!$A$2:$A$60,C108)&gt;0),1,0)</f>
        <v>0</v>
      </c>
      <c r="AA108" s="9" t="n">
        <f aca="false">IF(Q108=0,1,0)</f>
        <v>1</v>
      </c>
    </row>
    <row r="109" customFormat="false" ht="15" hidden="false" customHeight="false" outlineLevel="0" collapsed="false">
      <c r="A109" s="7" t="n">
        <v>108</v>
      </c>
      <c r="B109" s="7" t="s">
        <v>561</v>
      </c>
      <c r="C109" s="7" t="s">
        <v>562</v>
      </c>
      <c r="D109" s="7" t="s">
        <v>563</v>
      </c>
      <c r="E109" s="7" t="s">
        <v>113</v>
      </c>
      <c r="F109" s="7" t="s">
        <v>82</v>
      </c>
      <c r="G109" s="7" t="s">
        <v>83</v>
      </c>
      <c r="H109" s="7" t="s">
        <v>84</v>
      </c>
      <c r="I109" s="7" t="s">
        <v>300</v>
      </c>
      <c r="J109" s="7" t="s">
        <v>84</v>
      </c>
      <c r="K109" s="7" t="s">
        <v>87</v>
      </c>
      <c r="L109" s="7" t="s">
        <v>88</v>
      </c>
      <c r="M109" s="8" t="n">
        <v>45200</v>
      </c>
      <c r="N109" s="7" t="s">
        <v>89</v>
      </c>
      <c r="O109" s="9" t="n">
        <f aca="false">IF(COUNTIFS($B$2:B109,B109,$C$2:C109,C109)=1,1,0)</f>
        <v>1</v>
      </c>
      <c r="P109" s="9" t="str">
        <f aca="false">IFERROR(INDEX(dEtapa!$A$2:$A$6,MATCH(N109,dEtapa!$B$2:$B$6,0)),"Sin etapa")</f>
        <v>Gobernada</v>
      </c>
      <c r="Q109" s="9" t="n">
        <f aca="false">IF(L109="Si",1,0)</f>
        <v>1</v>
      </c>
      <c r="R109" s="9" t="n">
        <f aca="false">IF(ISNUMBER(SEARCH("CRITERIO",N109)),1,0)</f>
        <v>0</v>
      </c>
      <c r="S109" s="9" t="str">
        <f aca="false">IF(E109="","Sin dato",LEFT(E109,1))</f>
        <v>C</v>
      </c>
      <c r="T109" s="9" t="n">
        <f aca="false">IFERROR(INDEX(dCriticidad!$G$2:$G$7,MATCH(S109,dCriticidad!$A$2:$A$7,0)),0)</f>
        <v>1</v>
      </c>
      <c r="U109" s="9" t="n">
        <f aca="false">IF(OR(LEFT(C109,3)="GI0",LEFT(C109,3)="GA0"),1,0)</f>
        <v>0</v>
      </c>
      <c r="V109" s="9" t="str">
        <f aca="false">IF(G109="","Sin dato (ID GI)",TRIM(G109))</f>
        <v>TRIBU_CANALES</v>
      </c>
      <c r="W109" s="9" t="str">
        <f aca="false">IF(F109="","Sin dato",F109)</f>
        <v>On Premise</v>
      </c>
      <c r="X109" s="9" t="n">
        <f aca="false">IF(M109="","",YEAR(M109))</f>
        <v>2023</v>
      </c>
      <c r="Y109" s="10" t="n">
        <f aca="false">IF(M109="","",DATE(YEAR(M109),MONTH(M109),1))</f>
        <v>45200</v>
      </c>
      <c r="Z109" s="9" t="n">
        <f aca="false">IF(AND(Q109=0,COUNTIF(dDuplicadosGI!$A$2:$A$60,C109)&gt;0),1,0)</f>
        <v>0</v>
      </c>
      <c r="AA109" s="9" t="n">
        <f aca="false">IF(Q109=0,1,0)</f>
        <v>0</v>
      </c>
    </row>
    <row r="110" customFormat="false" ht="15" hidden="false" customHeight="false" outlineLevel="0" collapsed="false">
      <c r="A110" s="7" t="n">
        <v>109</v>
      </c>
      <c r="B110" s="7" t="s">
        <v>564</v>
      </c>
      <c r="C110" s="7" t="s">
        <v>565</v>
      </c>
      <c r="D110" s="7" t="s">
        <v>566</v>
      </c>
      <c r="E110" s="7" t="s">
        <v>119</v>
      </c>
      <c r="F110" s="7" t="s">
        <v>82</v>
      </c>
      <c r="G110" s="7" t="s">
        <v>401</v>
      </c>
      <c r="H110" s="7" t="s">
        <v>402</v>
      </c>
      <c r="I110" s="7" t="s">
        <v>140</v>
      </c>
      <c r="J110" s="7" t="s">
        <v>567</v>
      </c>
      <c r="K110" s="7" t="s">
        <v>87</v>
      </c>
      <c r="L110" s="7" t="s">
        <v>88</v>
      </c>
      <c r="M110" s="8" t="n">
        <v>45199</v>
      </c>
      <c r="N110" s="7" t="s">
        <v>89</v>
      </c>
      <c r="O110" s="9" t="n">
        <f aca="false">IF(COUNTIFS($B$2:B110,B110,$C$2:C110,C110)=1,1,0)</f>
        <v>1</v>
      </c>
      <c r="P110" s="9" t="str">
        <f aca="false">IFERROR(INDEX(dEtapa!$A$2:$A$6,MATCH(N110,dEtapa!$B$2:$B$6,0)),"Sin etapa")</f>
        <v>Gobernada</v>
      </c>
      <c r="Q110" s="9" t="n">
        <f aca="false">IF(L110="Si",1,0)</f>
        <v>1</v>
      </c>
      <c r="R110" s="9" t="n">
        <f aca="false">IF(ISNUMBER(SEARCH("CRITERIO",N110)),1,0)</f>
        <v>0</v>
      </c>
      <c r="S110" s="9" t="str">
        <f aca="false">IF(E110="","Sin dato",LEFT(E110,1))</f>
        <v>E</v>
      </c>
      <c r="T110" s="9" t="n">
        <f aca="false">IFERROR(INDEX(dCriticidad!$G$2:$G$7,MATCH(S110,dCriticidad!$A$2:$A$7,0)),0)</f>
        <v>0</v>
      </c>
      <c r="U110" s="9" t="n">
        <f aca="false">IF(OR(LEFT(C110,3)="GI0",LEFT(C110,3)="GA0"),1,0)</f>
        <v>0</v>
      </c>
      <c r="V110" s="9" t="str">
        <f aca="false">IF(G110="","Sin dato (ID GI)",TRIM(G110))</f>
        <v>EMPRESAS</v>
      </c>
      <c r="W110" s="9" t="str">
        <f aca="false">IF(F110="","Sin dato",F110)</f>
        <v>On Premise</v>
      </c>
      <c r="X110" s="9" t="n">
        <f aca="false">IF(M110="","",YEAR(M110))</f>
        <v>2023</v>
      </c>
      <c r="Y110" s="10" t="n">
        <f aca="false">IF(M110="","",DATE(YEAR(M110),MONTH(M110),1))</f>
        <v>45170</v>
      </c>
      <c r="Z110" s="9" t="n">
        <f aca="false">IF(AND(Q110=0,COUNTIF(dDuplicadosGI!$A$2:$A$60,C110)&gt;0),1,0)</f>
        <v>0</v>
      </c>
      <c r="AA110" s="9" t="n">
        <f aca="false">IF(Q110=0,1,0)</f>
        <v>0</v>
      </c>
    </row>
    <row r="111" customFormat="false" ht="15" hidden="false" customHeight="false" outlineLevel="0" collapsed="false">
      <c r="A111" s="7" t="n">
        <v>110</v>
      </c>
      <c r="B111" s="7" t="s">
        <v>568</v>
      </c>
      <c r="C111" s="7" t="s">
        <v>569</v>
      </c>
      <c r="D111" s="7" t="s">
        <v>570</v>
      </c>
      <c r="E111" s="7" t="s">
        <v>119</v>
      </c>
      <c r="F111" s="7" t="s">
        <v>82</v>
      </c>
      <c r="G111" s="7" t="s">
        <v>571</v>
      </c>
      <c r="H111" s="7" t="s">
        <v>572</v>
      </c>
      <c r="I111" s="7" t="s">
        <v>572</v>
      </c>
      <c r="J111" s="7" t="s">
        <v>572</v>
      </c>
      <c r="K111" s="7" t="s">
        <v>87</v>
      </c>
      <c r="L111" s="7" t="s">
        <v>99</v>
      </c>
      <c r="M111" s="8"/>
      <c r="N111" s="7" t="s">
        <v>109</v>
      </c>
      <c r="O111" s="9" t="n">
        <f aca="false">IF(COUNTIFS($B$2:B111,B111,$C$2:C111,C111)=1,1,0)</f>
        <v>1</v>
      </c>
      <c r="P111" s="9" t="str">
        <f aca="false">IFERROR(INDEX(dEtapa!$A$2:$A$6,MATCH(N111,dEtapa!$B$2:$B$6,0)),"Sin etapa")</f>
        <v>Planificada 2027</v>
      </c>
      <c r="Q111" s="9" t="n">
        <f aca="false">IF(L111="Si",1,0)</f>
        <v>0</v>
      </c>
      <c r="R111" s="9" t="n">
        <f aca="false">IF(ISNUMBER(SEARCH("CRITERIO",N111)),1,0)</f>
        <v>0</v>
      </c>
      <c r="S111" s="9" t="str">
        <f aca="false">IF(E111="","Sin dato",LEFT(E111,1))</f>
        <v>E</v>
      </c>
      <c r="T111" s="9" t="n">
        <f aca="false">IFERROR(INDEX(dCriticidad!$G$2:$G$7,MATCH(S111,dCriticidad!$A$2:$A$7,0)),0)</f>
        <v>0</v>
      </c>
      <c r="U111" s="9" t="n">
        <f aca="false">IF(OR(LEFT(C111,3)="GI0",LEFT(C111,3)="GA0"),1,0)</f>
        <v>0</v>
      </c>
      <c r="V111" s="9" t="str">
        <f aca="false">IF(G111="","Sin dato (ID GI)",TRIM(G111))</f>
        <v>Operación y Mantenimiento de Datos</v>
      </c>
      <c r="W111" s="9" t="str">
        <f aca="false">IF(F111="","Sin dato",F111)</f>
        <v>On Premise</v>
      </c>
      <c r="X111" s="9" t="str">
        <f aca="false">IF(M111="","",YEAR(M111))</f>
        <v/>
      </c>
      <c r="Y111" s="10" t="str">
        <f aca="false">IF(M111="","",DATE(YEAR(M111),MONTH(M111),1))</f>
        <v/>
      </c>
      <c r="Z111" s="9" t="n">
        <f aca="false">IF(AND(Q111=0,COUNTIF(dDuplicadosGI!$A$2:$A$60,C111)&gt;0),1,0)</f>
        <v>0</v>
      </c>
      <c r="AA111" s="9" t="n">
        <f aca="false">IF(Q111=0,1,0)</f>
        <v>1</v>
      </c>
    </row>
    <row r="112" customFormat="false" ht="15" hidden="false" customHeight="false" outlineLevel="0" collapsed="false">
      <c r="A112" s="7" t="n">
        <v>111</v>
      </c>
      <c r="B112" s="7" t="s">
        <v>573</v>
      </c>
      <c r="C112" s="7" t="s">
        <v>574</v>
      </c>
      <c r="D112" s="7" t="s">
        <v>575</v>
      </c>
      <c r="E112" s="7" t="s">
        <v>119</v>
      </c>
      <c r="F112" s="7" t="s">
        <v>94</v>
      </c>
      <c r="G112" s="7" t="s">
        <v>232</v>
      </c>
      <c r="H112" s="7" t="s">
        <v>126</v>
      </c>
      <c r="I112" s="7" t="s">
        <v>233</v>
      </c>
      <c r="J112" s="7" t="s">
        <v>233</v>
      </c>
      <c r="K112" s="7" t="s">
        <v>234</v>
      </c>
      <c r="L112" s="7" t="s">
        <v>99</v>
      </c>
      <c r="M112" s="8"/>
      <c r="N112" s="7" t="s">
        <v>109</v>
      </c>
      <c r="O112" s="9" t="n">
        <f aca="false">IF(COUNTIFS($B$2:B112,B112,$C$2:C112,C112)=1,1,0)</f>
        <v>1</v>
      </c>
      <c r="P112" s="9" t="str">
        <f aca="false">IFERROR(INDEX(dEtapa!$A$2:$A$6,MATCH(N112,dEtapa!$B$2:$B$6,0)),"Sin etapa")</f>
        <v>Planificada 2027</v>
      </c>
      <c r="Q112" s="9" t="n">
        <f aca="false">IF(L112="Si",1,0)</f>
        <v>0</v>
      </c>
      <c r="R112" s="9" t="n">
        <f aca="false">IF(ISNUMBER(SEARCH("CRITERIO",N112)),1,0)</f>
        <v>0</v>
      </c>
      <c r="S112" s="9" t="str">
        <f aca="false">IF(E112="","Sin dato",LEFT(E112,1))</f>
        <v>E</v>
      </c>
      <c r="T112" s="9" t="n">
        <f aca="false">IFERROR(INDEX(dCriticidad!$G$2:$G$7,MATCH(S112,dCriticidad!$A$2:$A$7,0)),0)</f>
        <v>0</v>
      </c>
      <c r="U112" s="9" t="n">
        <f aca="false">IF(OR(LEFT(C112,3)="GI0",LEFT(C112,3)="GA0"),1,0)</f>
        <v>0</v>
      </c>
      <c r="V112" s="9" t="str">
        <f aca="false">IF(G112="","Sin dato (ID GI)",TRIM(G112))</f>
        <v>COE Experiencia</v>
      </c>
      <c r="W112" s="9" t="str">
        <f aca="false">IF(F112="","Sin dato",F112)</f>
        <v>Nube</v>
      </c>
      <c r="X112" s="9" t="str">
        <f aca="false">IF(M112="","",YEAR(M112))</f>
        <v/>
      </c>
      <c r="Y112" s="10" t="str">
        <f aca="false">IF(M112="","",DATE(YEAR(M112),MONTH(M112),1))</f>
        <v/>
      </c>
      <c r="Z112" s="9" t="n">
        <f aca="false">IF(AND(Q112=0,COUNTIF(dDuplicadosGI!$A$2:$A$60,C112)&gt;0),1,0)</f>
        <v>0</v>
      </c>
      <c r="AA112" s="9" t="n">
        <f aca="false">IF(Q112=0,1,0)</f>
        <v>1</v>
      </c>
    </row>
    <row r="113" customFormat="false" ht="15" hidden="false" customHeight="false" outlineLevel="0" collapsed="false">
      <c r="A113" s="7" t="n">
        <v>112</v>
      </c>
      <c r="B113" s="7" t="s">
        <v>576</v>
      </c>
      <c r="C113" s="7" t="s">
        <v>577</v>
      </c>
      <c r="D113" s="7" t="s">
        <v>151</v>
      </c>
      <c r="E113" s="7" t="s">
        <v>145</v>
      </c>
      <c r="F113" s="7" t="s">
        <v>94</v>
      </c>
      <c r="G113" s="7" t="s">
        <v>166</v>
      </c>
      <c r="H113" s="7" t="s">
        <v>182</v>
      </c>
      <c r="I113" s="7" t="s">
        <v>168</v>
      </c>
      <c r="J113" s="7" t="s">
        <v>187</v>
      </c>
      <c r="K113" s="7" t="s">
        <v>170</v>
      </c>
      <c r="L113" s="7" t="s">
        <v>88</v>
      </c>
      <c r="M113" s="8" t="n">
        <v>45730</v>
      </c>
      <c r="N113" s="7" t="s">
        <v>89</v>
      </c>
      <c r="O113" s="9" t="n">
        <f aca="false">IF(COUNTIFS($B$2:B113,B113,$C$2:C113,C113)=1,1,0)</f>
        <v>1</v>
      </c>
      <c r="P113" s="9" t="str">
        <f aca="false">IFERROR(INDEX(dEtapa!$A$2:$A$6,MATCH(N113,dEtapa!$B$2:$B$6,0)),"Sin etapa")</f>
        <v>Gobernada</v>
      </c>
      <c r="Q113" s="9" t="n">
        <f aca="false">IF(L113="Si",1,0)</f>
        <v>1</v>
      </c>
      <c r="R113" s="9" t="n">
        <f aca="false">IF(ISNUMBER(SEARCH("CRITERIO",N113)),1,0)</f>
        <v>0</v>
      </c>
      <c r="S113" s="9" t="str">
        <f aca="false">IF(E113="","Sin dato",LEFT(E113,1))</f>
        <v>B</v>
      </c>
      <c r="T113" s="9" t="n">
        <f aca="false">IFERROR(INDEX(dCriticidad!$G$2:$G$7,MATCH(S113,dCriticidad!$A$2:$A$7,0)),0)</f>
        <v>1</v>
      </c>
      <c r="U113" s="9" t="n">
        <f aca="false">IF(OR(LEFT(C113,3)="GI0",LEFT(C113,3)="GA0"),1,0)</f>
        <v>0</v>
      </c>
      <c r="V113" s="9" t="str">
        <f aca="false">IF(G113="","Sin dato (ID GI)",TRIM(G113))</f>
        <v>Ciberseguridad</v>
      </c>
      <c r="W113" s="9" t="str">
        <f aca="false">IF(F113="","Sin dato",F113)</f>
        <v>Nube</v>
      </c>
      <c r="X113" s="9" t="n">
        <f aca="false">IF(M113="","",YEAR(M113))</f>
        <v>2025</v>
      </c>
      <c r="Y113" s="10" t="n">
        <f aca="false">IF(M113="","",DATE(YEAR(M113),MONTH(M113),1))</f>
        <v>45717</v>
      </c>
      <c r="Z113" s="9" t="n">
        <f aca="false">IF(AND(Q113=0,COUNTIF(dDuplicadosGI!$A$2:$A$60,C113)&gt;0),1,0)</f>
        <v>0</v>
      </c>
      <c r="AA113" s="9" t="n">
        <f aca="false">IF(Q113=0,1,0)</f>
        <v>0</v>
      </c>
    </row>
    <row r="114" customFormat="false" ht="15" hidden="false" customHeight="false" outlineLevel="0" collapsed="false">
      <c r="A114" s="7" t="n">
        <v>113</v>
      </c>
      <c r="B114" s="7" t="s">
        <v>578</v>
      </c>
      <c r="C114" s="7" t="s">
        <v>579</v>
      </c>
      <c r="D114" s="7" t="s">
        <v>580</v>
      </c>
      <c r="E114" s="7" t="s">
        <v>119</v>
      </c>
      <c r="F114" s="7" t="s">
        <v>82</v>
      </c>
      <c r="G114" s="7" t="s">
        <v>166</v>
      </c>
      <c r="H114" s="7" t="s">
        <v>397</v>
      </c>
      <c r="I114" s="7" t="s">
        <v>168</v>
      </c>
      <c r="J114" s="7" t="s">
        <v>314</v>
      </c>
      <c r="K114" s="7" t="s">
        <v>98</v>
      </c>
      <c r="L114" s="7" t="s">
        <v>99</v>
      </c>
      <c r="M114" s="8"/>
      <c r="N114" s="7" t="s">
        <v>189</v>
      </c>
      <c r="O114" s="9" t="n">
        <f aca="false">IF(COUNTIFS($B$2:B114,B114,$C$2:C114,C114)=1,1,0)</f>
        <v>1</v>
      </c>
      <c r="P114" s="9" t="str">
        <f aca="false">IFERROR(INDEX(dEtapa!$A$2:$A$6,MATCH(N114,dEtapa!$B$2:$B$6,0)),"Sin etapa")</f>
        <v>Criterio 3</v>
      </c>
      <c r="Q114" s="9" t="n">
        <f aca="false">IF(L114="Si",1,0)</f>
        <v>0</v>
      </c>
      <c r="R114" s="9" t="n">
        <f aca="false">IF(ISNUMBER(SEARCH("CRITERIO",N114)),1,0)</f>
        <v>1</v>
      </c>
      <c r="S114" s="9" t="str">
        <f aca="false">IF(E114="","Sin dato",LEFT(E114,1))</f>
        <v>E</v>
      </c>
      <c r="T114" s="9" t="n">
        <f aca="false">IFERROR(INDEX(dCriticidad!$G$2:$G$7,MATCH(S114,dCriticidad!$A$2:$A$7,0)),0)</f>
        <v>0</v>
      </c>
      <c r="U114" s="9" t="n">
        <f aca="false">IF(OR(LEFT(C114,3)="GI0",LEFT(C114,3)="GA0"),1,0)</f>
        <v>0</v>
      </c>
      <c r="V114" s="9" t="str">
        <f aca="false">IF(G114="","Sin dato (ID GI)",TRIM(G114))</f>
        <v>Ciberseguridad</v>
      </c>
      <c r="W114" s="9" t="str">
        <f aca="false">IF(F114="","Sin dato",F114)</f>
        <v>On Premise</v>
      </c>
      <c r="X114" s="9" t="str">
        <f aca="false">IF(M114="","",YEAR(M114))</f>
        <v/>
      </c>
      <c r="Y114" s="10" t="str">
        <f aca="false">IF(M114="","",DATE(YEAR(M114),MONTH(M114),1))</f>
        <v/>
      </c>
      <c r="Z114" s="9" t="n">
        <f aca="false">IF(AND(Q114=0,COUNTIF(dDuplicadosGI!$A$2:$A$60,C114)&gt;0),1,0)</f>
        <v>0</v>
      </c>
      <c r="AA114" s="9" t="n">
        <f aca="false">IF(Q114=0,1,0)</f>
        <v>1</v>
      </c>
    </row>
    <row r="115" customFormat="false" ht="15" hidden="false" customHeight="false" outlineLevel="0" collapsed="false">
      <c r="A115" s="7" t="n">
        <v>114</v>
      </c>
      <c r="B115" s="7" t="s">
        <v>581</v>
      </c>
      <c r="C115" s="7" t="s">
        <v>582</v>
      </c>
      <c r="D115" s="7" t="s">
        <v>583</v>
      </c>
      <c r="E115" s="7" t="s">
        <v>119</v>
      </c>
      <c r="F115" s="7" t="s">
        <v>82</v>
      </c>
      <c r="G115" s="7" t="s">
        <v>166</v>
      </c>
      <c r="H115" s="7" t="s">
        <v>169</v>
      </c>
      <c r="I115" s="7" t="s">
        <v>168</v>
      </c>
      <c r="J115" s="7" t="s">
        <v>188</v>
      </c>
      <c r="K115" s="7" t="s">
        <v>170</v>
      </c>
      <c r="L115" s="7" t="s">
        <v>88</v>
      </c>
      <c r="M115" s="8" t="n">
        <v>45665</v>
      </c>
      <c r="N115" s="7" t="s">
        <v>89</v>
      </c>
      <c r="O115" s="9" t="n">
        <f aca="false">IF(COUNTIFS($B$2:B115,B115,$C$2:C115,C115)=1,1,0)</f>
        <v>1</v>
      </c>
      <c r="P115" s="9" t="str">
        <f aca="false">IFERROR(INDEX(dEtapa!$A$2:$A$6,MATCH(N115,dEtapa!$B$2:$B$6,0)),"Sin etapa")</f>
        <v>Gobernada</v>
      </c>
      <c r="Q115" s="9" t="n">
        <f aca="false">IF(L115="Si",1,0)</f>
        <v>1</v>
      </c>
      <c r="R115" s="9" t="n">
        <f aca="false">IF(ISNUMBER(SEARCH("CRITERIO",N115)),1,0)</f>
        <v>0</v>
      </c>
      <c r="S115" s="9" t="str">
        <f aca="false">IF(E115="","Sin dato",LEFT(E115,1))</f>
        <v>E</v>
      </c>
      <c r="T115" s="9" t="n">
        <f aca="false">IFERROR(INDEX(dCriticidad!$G$2:$G$7,MATCH(S115,dCriticidad!$A$2:$A$7,0)),0)</f>
        <v>0</v>
      </c>
      <c r="U115" s="9" t="n">
        <f aca="false">IF(OR(LEFT(C115,3)="GI0",LEFT(C115,3)="GA0"),1,0)</f>
        <v>0</v>
      </c>
      <c r="V115" s="9" t="str">
        <f aca="false">IF(G115="","Sin dato (ID GI)",TRIM(G115))</f>
        <v>Ciberseguridad</v>
      </c>
      <c r="W115" s="9" t="str">
        <f aca="false">IF(F115="","Sin dato",F115)</f>
        <v>On Premise</v>
      </c>
      <c r="X115" s="9" t="n">
        <f aca="false">IF(M115="","",YEAR(M115))</f>
        <v>2025</v>
      </c>
      <c r="Y115" s="10" t="n">
        <f aca="false">IF(M115="","",DATE(YEAR(M115),MONTH(M115),1))</f>
        <v>45658</v>
      </c>
      <c r="Z115" s="9" t="n">
        <f aca="false">IF(AND(Q115=0,COUNTIF(dDuplicadosGI!$A$2:$A$60,C115)&gt;0),1,0)</f>
        <v>0</v>
      </c>
      <c r="AA115" s="9" t="n">
        <f aca="false">IF(Q115=0,1,0)</f>
        <v>0</v>
      </c>
    </row>
    <row r="116" customFormat="false" ht="15" hidden="false" customHeight="false" outlineLevel="0" collapsed="false">
      <c r="A116" s="7" t="n">
        <v>115</v>
      </c>
      <c r="B116" s="7" t="s">
        <v>584</v>
      </c>
      <c r="C116" s="7" t="s">
        <v>585</v>
      </c>
      <c r="D116" s="7" t="s">
        <v>586</v>
      </c>
      <c r="E116" s="7" t="s">
        <v>119</v>
      </c>
      <c r="F116" s="7" t="s">
        <v>82</v>
      </c>
      <c r="G116" s="7" t="s">
        <v>166</v>
      </c>
      <c r="H116" s="7" t="s">
        <v>187</v>
      </c>
      <c r="I116" s="7" t="s">
        <v>168</v>
      </c>
      <c r="J116" s="7" t="s">
        <v>188</v>
      </c>
      <c r="K116" s="7" t="s">
        <v>170</v>
      </c>
      <c r="L116" s="7" t="s">
        <v>88</v>
      </c>
      <c r="M116" s="8" t="n">
        <v>45657</v>
      </c>
      <c r="N116" s="7" t="s">
        <v>89</v>
      </c>
      <c r="O116" s="9" t="n">
        <f aca="false">IF(COUNTIFS($B$2:B116,B116,$C$2:C116,C116)=1,1,0)</f>
        <v>1</v>
      </c>
      <c r="P116" s="9" t="str">
        <f aca="false">IFERROR(INDEX(dEtapa!$A$2:$A$6,MATCH(N116,dEtapa!$B$2:$B$6,0)),"Sin etapa")</f>
        <v>Gobernada</v>
      </c>
      <c r="Q116" s="9" t="n">
        <f aca="false">IF(L116="Si",1,0)</f>
        <v>1</v>
      </c>
      <c r="R116" s="9" t="n">
        <f aca="false">IF(ISNUMBER(SEARCH("CRITERIO",N116)),1,0)</f>
        <v>0</v>
      </c>
      <c r="S116" s="9" t="str">
        <f aca="false">IF(E116="","Sin dato",LEFT(E116,1))</f>
        <v>E</v>
      </c>
      <c r="T116" s="9" t="n">
        <f aca="false">IFERROR(INDEX(dCriticidad!$G$2:$G$7,MATCH(S116,dCriticidad!$A$2:$A$7,0)),0)</f>
        <v>0</v>
      </c>
      <c r="U116" s="9" t="n">
        <f aca="false">IF(OR(LEFT(C116,3)="GI0",LEFT(C116,3)="GA0"),1,0)</f>
        <v>0</v>
      </c>
      <c r="V116" s="9" t="str">
        <f aca="false">IF(G116="","Sin dato (ID GI)",TRIM(G116))</f>
        <v>Ciberseguridad</v>
      </c>
      <c r="W116" s="9" t="str">
        <f aca="false">IF(F116="","Sin dato",F116)</f>
        <v>On Premise</v>
      </c>
      <c r="X116" s="9" t="n">
        <f aca="false">IF(M116="","",YEAR(M116))</f>
        <v>2024</v>
      </c>
      <c r="Y116" s="10" t="n">
        <f aca="false">IF(M116="","",DATE(YEAR(M116),MONTH(M116),1))</f>
        <v>45627</v>
      </c>
      <c r="Z116" s="9" t="n">
        <f aca="false">IF(AND(Q116=0,COUNTIF(dDuplicadosGI!$A$2:$A$60,C116)&gt;0),1,0)</f>
        <v>0</v>
      </c>
      <c r="AA116" s="9" t="n">
        <f aca="false">IF(Q116=0,1,0)</f>
        <v>0</v>
      </c>
    </row>
    <row r="117" customFormat="false" ht="15" hidden="false" customHeight="false" outlineLevel="0" collapsed="false">
      <c r="A117" s="7" t="n">
        <v>116</v>
      </c>
      <c r="B117" s="7" t="s">
        <v>587</v>
      </c>
      <c r="C117" s="7" t="s">
        <v>588</v>
      </c>
      <c r="D117" s="7" t="s">
        <v>589</v>
      </c>
      <c r="E117" s="7" t="s">
        <v>119</v>
      </c>
      <c r="F117" s="7" t="s">
        <v>94</v>
      </c>
      <c r="G117" s="7" t="s">
        <v>232</v>
      </c>
      <c r="H117" s="7" t="s">
        <v>126</v>
      </c>
      <c r="I117" s="7" t="s">
        <v>233</v>
      </c>
      <c r="J117" s="7" t="s">
        <v>590</v>
      </c>
      <c r="K117" s="7" t="s">
        <v>234</v>
      </c>
      <c r="L117" s="7" t="s">
        <v>99</v>
      </c>
      <c r="M117" s="8"/>
      <c r="N117" s="7" t="s">
        <v>109</v>
      </c>
      <c r="O117" s="9" t="n">
        <f aca="false">IF(COUNTIFS($B$2:B117,B117,$C$2:C117,C117)=1,1,0)</f>
        <v>1</v>
      </c>
      <c r="P117" s="9" t="str">
        <f aca="false">IFERROR(INDEX(dEtapa!$A$2:$A$6,MATCH(N117,dEtapa!$B$2:$B$6,0)),"Sin etapa")</f>
        <v>Planificada 2027</v>
      </c>
      <c r="Q117" s="9" t="n">
        <f aca="false">IF(L117="Si",1,0)</f>
        <v>0</v>
      </c>
      <c r="R117" s="9" t="n">
        <f aca="false">IF(ISNUMBER(SEARCH("CRITERIO",N117)),1,0)</f>
        <v>0</v>
      </c>
      <c r="S117" s="9" t="str">
        <f aca="false">IF(E117="","Sin dato",LEFT(E117,1))</f>
        <v>E</v>
      </c>
      <c r="T117" s="9" t="n">
        <f aca="false">IFERROR(INDEX(dCriticidad!$G$2:$G$7,MATCH(S117,dCriticidad!$A$2:$A$7,0)),0)</f>
        <v>0</v>
      </c>
      <c r="U117" s="9" t="n">
        <f aca="false">IF(OR(LEFT(C117,3)="GI0",LEFT(C117,3)="GA0"),1,0)</f>
        <v>0</v>
      </c>
      <c r="V117" s="9" t="str">
        <f aca="false">IF(G117="","Sin dato (ID GI)",TRIM(G117))</f>
        <v>COE Experiencia</v>
      </c>
      <c r="W117" s="9" t="str">
        <f aca="false">IF(F117="","Sin dato",F117)</f>
        <v>Nube</v>
      </c>
      <c r="X117" s="9" t="str">
        <f aca="false">IF(M117="","",YEAR(M117))</f>
        <v/>
      </c>
      <c r="Y117" s="10" t="str">
        <f aca="false">IF(M117="","",DATE(YEAR(M117),MONTH(M117),1))</f>
        <v/>
      </c>
      <c r="Z117" s="9" t="n">
        <f aca="false">IF(AND(Q117=0,COUNTIF(dDuplicadosGI!$A$2:$A$60,C117)&gt;0),1,0)</f>
        <v>0</v>
      </c>
      <c r="AA117" s="9" t="n">
        <f aca="false">IF(Q117=0,1,0)</f>
        <v>1</v>
      </c>
    </row>
    <row r="118" customFormat="false" ht="15" hidden="false" customHeight="false" outlineLevel="0" collapsed="false">
      <c r="A118" s="7" t="n">
        <v>117</v>
      </c>
      <c r="B118" s="7" t="s">
        <v>591</v>
      </c>
      <c r="C118" s="7" t="s">
        <v>592</v>
      </c>
      <c r="D118" s="7" t="s">
        <v>593</v>
      </c>
      <c r="E118" s="7" t="s">
        <v>113</v>
      </c>
      <c r="F118" s="7" t="s">
        <v>82</v>
      </c>
      <c r="G118" s="7" t="s">
        <v>369</v>
      </c>
      <c r="H118" s="7" t="s">
        <v>147</v>
      </c>
      <c r="I118" s="7" t="s">
        <v>594</v>
      </c>
      <c r="J118" s="7" t="s">
        <v>147</v>
      </c>
      <c r="K118" s="7" t="s">
        <v>87</v>
      </c>
      <c r="L118" s="7" t="s">
        <v>88</v>
      </c>
      <c r="M118" s="8" t="n">
        <v>45200</v>
      </c>
      <c r="N118" s="7" t="s">
        <v>89</v>
      </c>
      <c r="O118" s="9" t="n">
        <f aca="false">IF(COUNTIFS($B$2:B118,B118,$C$2:C118,C118)=1,1,0)</f>
        <v>1</v>
      </c>
      <c r="P118" s="9" t="str">
        <f aca="false">IFERROR(INDEX(dEtapa!$A$2:$A$6,MATCH(N118,dEtapa!$B$2:$B$6,0)),"Sin etapa")</f>
        <v>Gobernada</v>
      </c>
      <c r="Q118" s="9" t="n">
        <f aca="false">IF(L118="Si",1,0)</f>
        <v>1</v>
      </c>
      <c r="R118" s="9" t="n">
        <f aca="false">IF(ISNUMBER(SEARCH("CRITERIO",N118)),1,0)</f>
        <v>0</v>
      </c>
      <c r="S118" s="9" t="str">
        <f aca="false">IF(E118="","Sin dato",LEFT(E118,1))</f>
        <v>C</v>
      </c>
      <c r="T118" s="9" t="n">
        <f aca="false">IFERROR(INDEX(dCriticidad!$G$2:$G$7,MATCH(S118,dCriticidad!$A$2:$A$7,0)),0)</f>
        <v>1</v>
      </c>
      <c r="U118" s="9" t="n">
        <f aca="false">IF(OR(LEFT(C118,3)="GI0",LEFT(C118,3)="GA0"),1,0)</f>
        <v>0</v>
      </c>
      <c r="V118" s="9" t="str">
        <f aca="false">IF(G118="","Sin dato (ID GI)",TRIM(G118))</f>
        <v>Tribu_Cores_Transacciones</v>
      </c>
      <c r="W118" s="9" t="str">
        <f aca="false">IF(F118="","Sin dato",F118)</f>
        <v>On Premise</v>
      </c>
      <c r="X118" s="9" t="n">
        <f aca="false">IF(M118="","",YEAR(M118))</f>
        <v>2023</v>
      </c>
      <c r="Y118" s="10" t="n">
        <f aca="false">IF(M118="","",DATE(YEAR(M118),MONTH(M118),1))</f>
        <v>45200</v>
      </c>
      <c r="Z118" s="9" t="n">
        <f aca="false">IF(AND(Q118=0,COUNTIF(dDuplicadosGI!$A$2:$A$60,C118)&gt;0),1,0)</f>
        <v>0</v>
      </c>
      <c r="AA118" s="9" t="n">
        <f aca="false">IF(Q118=0,1,0)</f>
        <v>0</v>
      </c>
    </row>
    <row r="119" customFormat="false" ht="15" hidden="false" customHeight="false" outlineLevel="0" collapsed="false">
      <c r="A119" s="7" t="n">
        <v>118</v>
      </c>
      <c r="B119" s="7" t="s">
        <v>595</v>
      </c>
      <c r="C119" s="7" t="s">
        <v>596</v>
      </c>
      <c r="D119" s="7" t="s">
        <v>597</v>
      </c>
      <c r="E119" s="7" t="s">
        <v>93</v>
      </c>
      <c r="F119" s="7" t="s">
        <v>94</v>
      </c>
      <c r="G119" s="7" t="s">
        <v>192</v>
      </c>
      <c r="H119" s="7" t="s">
        <v>193</v>
      </c>
      <c r="I119" s="7" t="s">
        <v>238</v>
      </c>
      <c r="J119" s="7" t="s">
        <v>218</v>
      </c>
      <c r="K119" s="7" t="s">
        <v>87</v>
      </c>
      <c r="L119" s="7" t="s">
        <v>88</v>
      </c>
      <c r="M119" s="8" t="n">
        <v>45200</v>
      </c>
      <c r="N119" s="7" t="s">
        <v>89</v>
      </c>
      <c r="O119" s="9" t="n">
        <f aca="false">IF(COUNTIFS($B$2:B119,B119,$C$2:C119,C119)=1,1,0)</f>
        <v>1</v>
      </c>
      <c r="P119" s="9" t="str">
        <f aca="false">IFERROR(INDEX(dEtapa!$A$2:$A$6,MATCH(N119,dEtapa!$B$2:$B$6,0)),"Sin etapa")</f>
        <v>Gobernada</v>
      </c>
      <c r="Q119" s="9" t="n">
        <f aca="false">IF(L119="Si",1,0)</f>
        <v>1</v>
      </c>
      <c r="R119" s="9" t="n">
        <f aca="false">IF(ISNUMBER(SEARCH("CRITERIO",N119)),1,0)</f>
        <v>0</v>
      </c>
      <c r="S119" s="9" t="str">
        <f aca="false">IF(E119="","Sin dato",LEFT(E119,1))</f>
        <v>D</v>
      </c>
      <c r="T119" s="9" t="n">
        <f aca="false">IFERROR(INDEX(dCriticidad!$G$2:$G$7,MATCH(S119,dCriticidad!$A$2:$A$7,0)),0)</f>
        <v>0</v>
      </c>
      <c r="U119" s="9" t="n">
        <f aca="false">IF(OR(LEFT(C119,3)="GI0",LEFT(C119,3)="GA0"),1,0)</f>
        <v>0</v>
      </c>
      <c r="V119" s="9" t="str">
        <f aca="false">IF(G119="","Sin dato (ID GI)",TRIM(G119))</f>
        <v>AREAS_DE_APOYO</v>
      </c>
      <c r="W119" s="9" t="str">
        <f aca="false">IF(F119="","Sin dato",F119)</f>
        <v>Nube</v>
      </c>
      <c r="X119" s="9" t="n">
        <f aca="false">IF(M119="","",YEAR(M119))</f>
        <v>2023</v>
      </c>
      <c r="Y119" s="10" t="n">
        <f aca="false">IF(M119="","",DATE(YEAR(M119),MONTH(M119),1))</f>
        <v>45200</v>
      </c>
      <c r="Z119" s="9" t="n">
        <f aca="false">IF(AND(Q119=0,COUNTIF(dDuplicadosGI!$A$2:$A$60,C119)&gt;0),1,0)</f>
        <v>0</v>
      </c>
      <c r="AA119" s="9" t="n">
        <f aca="false">IF(Q119=0,1,0)</f>
        <v>0</v>
      </c>
    </row>
    <row r="120" customFormat="false" ht="15" hidden="false" customHeight="false" outlineLevel="0" collapsed="false">
      <c r="A120" s="7" t="n">
        <v>119</v>
      </c>
      <c r="B120" s="7" t="s">
        <v>598</v>
      </c>
      <c r="C120" s="7" t="s">
        <v>599</v>
      </c>
      <c r="D120" s="7" t="s">
        <v>600</v>
      </c>
      <c r="E120" s="7" t="s">
        <v>81</v>
      </c>
      <c r="F120" s="7" t="s">
        <v>94</v>
      </c>
      <c r="G120" s="7" t="s">
        <v>83</v>
      </c>
      <c r="H120" s="7" t="s">
        <v>84</v>
      </c>
      <c r="I120" s="7" t="s">
        <v>601</v>
      </c>
      <c r="J120" s="7" t="s">
        <v>602</v>
      </c>
      <c r="K120" s="7" t="s">
        <v>87</v>
      </c>
      <c r="L120" s="7" t="s">
        <v>88</v>
      </c>
      <c r="M120" s="8" t="n">
        <v>45200</v>
      </c>
      <c r="N120" s="7" t="s">
        <v>89</v>
      </c>
      <c r="O120" s="9" t="n">
        <f aca="false">IF(COUNTIFS($B$2:B120,B120,$C$2:C120,C120)=1,1,0)</f>
        <v>1</v>
      </c>
      <c r="P120" s="9" t="str">
        <f aca="false">IFERROR(INDEX(dEtapa!$A$2:$A$6,MATCH(N120,dEtapa!$B$2:$B$6,0)),"Sin etapa")</f>
        <v>Gobernada</v>
      </c>
      <c r="Q120" s="9" t="n">
        <f aca="false">IF(L120="Si",1,0)</f>
        <v>1</v>
      </c>
      <c r="R120" s="9" t="n">
        <f aca="false">IF(ISNUMBER(SEARCH("CRITERIO",N120)),1,0)</f>
        <v>0</v>
      </c>
      <c r="S120" s="9" t="str">
        <f aca="false">IF(E120="","Sin dato",LEFT(E120,1))</f>
        <v>A</v>
      </c>
      <c r="T120" s="9" t="n">
        <f aca="false">IFERROR(INDEX(dCriticidad!$G$2:$G$7,MATCH(S120,dCriticidad!$A$2:$A$7,0)),0)</f>
        <v>1</v>
      </c>
      <c r="U120" s="9" t="n">
        <f aca="false">IF(OR(LEFT(C120,3)="GI0",LEFT(C120,3)="GA0"),1,0)</f>
        <v>0</v>
      </c>
      <c r="V120" s="9" t="str">
        <f aca="false">IF(G120="","Sin dato (ID GI)",TRIM(G120))</f>
        <v>TRIBU_CANALES</v>
      </c>
      <c r="W120" s="9" t="str">
        <f aca="false">IF(F120="","Sin dato",F120)</f>
        <v>Nube</v>
      </c>
      <c r="X120" s="9" t="n">
        <f aca="false">IF(M120="","",YEAR(M120))</f>
        <v>2023</v>
      </c>
      <c r="Y120" s="10" t="n">
        <f aca="false">IF(M120="","",DATE(YEAR(M120),MONTH(M120),1))</f>
        <v>45200</v>
      </c>
      <c r="Z120" s="9" t="n">
        <f aca="false">IF(AND(Q120=0,COUNTIF(dDuplicadosGI!$A$2:$A$60,C120)&gt;0),1,0)</f>
        <v>0</v>
      </c>
      <c r="AA120" s="9" t="n">
        <f aca="false">IF(Q120=0,1,0)</f>
        <v>0</v>
      </c>
    </row>
    <row r="121" customFormat="false" ht="15" hidden="false" customHeight="false" outlineLevel="0" collapsed="false">
      <c r="A121" s="7" t="n">
        <v>120</v>
      </c>
      <c r="B121" s="7" t="s">
        <v>603</v>
      </c>
      <c r="C121" s="7" t="s">
        <v>604</v>
      </c>
      <c r="D121" s="7" t="s">
        <v>605</v>
      </c>
      <c r="E121" s="7" t="s">
        <v>113</v>
      </c>
      <c r="F121" s="7" t="s">
        <v>94</v>
      </c>
      <c r="G121" s="7" t="s">
        <v>192</v>
      </c>
      <c r="H121" s="7" t="s">
        <v>193</v>
      </c>
      <c r="I121" s="7" t="s">
        <v>459</v>
      </c>
      <c r="J121" s="7" t="s">
        <v>239</v>
      </c>
      <c r="K121" s="7" t="s">
        <v>87</v>
      </c>
      <c r="L121" s="7" t="s">
        <v>88</v>
      </c>
      <c r="M121" s="8" t="n">
        <v>46067</v>
      </c>
      <c r="N121" s="7" t="s">
        <v>89</v>
      </c>
      <c r="O121" s="9" t="n">
        <f aca="false">IF(COUNTIFS($B$2:B121,B121,$C$2:C121,C121)=1,1,0)</f>
        <v>1</v>
      </c>
      <c r="P121" s="9" t="str">
        <f aca="false">IFERROR(INDEX(dEtapa!$A$2:$A$6,MATCH(N121,dEtapa!$B$2:$B$6,0)),"Sin etapa")</f>
        <v>Gobernada</v>
      </c>
      <c r="Q121" s="9" t="n">
        <f aca="false">IF(L121="Si",1,0)</f>
        <v>1</v>
      </c>
      <c r="R121" s="9" t="n">
        <f aca="false">IF(ISNUMBER(SEARCH("CRITERIO",N121)),1,0)</f>
        <v>0</v>
      </c>
      <c r="S121" s="9" t="str">
        <f aca="false">IF(E121="","Sin dato",LEFT(E121,1))</f>
        <v>C</v>
      </c>
      <c r="T121" s="9" t="n">
        <f aca="false">IFERROR(INDEX(dCriticidad!$G$2:$G$7,MATCH(S121,dCriticidad!$A$2:$A$7,0)),0)</f>
        <v>1</v>
      </c>
      <c r="U121" s="9" t="n">
        <f aca="false">IF(OR(LEFT(C121,3)="GI0",LEFT(C121,3)="GA0"),1,0)</f>
        <v>0</v>
      </c>
      <c r="V121" s="9" t="str">
        <f aca="false">IF(G121="","Sin dato (ID GI)",TRIM(G121))</f>
        <v>AREAS_DE_APOYO</v>
      </c>
      <c r="W121" s="9" t="str">
        <f aca="false">IF(F121="","Sin dato",F121)</f>
        <v>Nube</v>
      </c>
      <c r="X121" s="9" t="n">
        <f aca="false">IF(M121="","",YEAR(M121))</f>
        <v>2026</v>
      </c>
      <c r="Y121" s="10" t="n">
        <f aca="false">IF(M121="","",DATE(YEAR(M121),MONTH(M121),1))</f>
        <v>46054</v>
      </c>
      <c r="Z121" s="9" t="n">
        <f aca="false">IF(AND(Q121=0,COUNTIF(dDuplicadosGI!$A$2:$A$60,C121)&gt;0),1,0)</f>
        <v>0</v>
      </c>
      <c r="AA121" s="9" t="n">
        <f aca="false">IF(Q121=0,1,0)</f>
        <v>0</v>
      </c>
    </row>
    <row r="122" customFormat="false" ht="15" hidden="false" customHeight="false" outlineLevel="0" collapsed="false">
      <c r="A122" s="7" t="n">
        <v>121</v>
      </c>
      <c r="B122" s="7" t="s">
        <v>606</v>
      </c>
      <c r="C122" s="7" t="s">
        <v>607</v>
      </c>
      <c r="D122" s="7" t="s">
        <v>608</v>
      </c>
      <c r="E122" s="7" t="s">
        <v>113</v>
      </c>
      <c r="F122" s="7" t="s">
        <v>94</v>
      </c>
      <c r="G122" s="7" t="s">
        <v>192</v>
      </c>
      <c r="H122" s="7" t="s">
        <v>193</v>
      </c>
      <c r="I122" s="7" t="s">
        <v>218</v>
      </c>
      <c r="J122" s="7" t="s">
        <v>218</v>
      </c>
      <c r="K122" s="7" t="s">
        <v>87</v>
      </c>
      <c r="L122" s="7" t="s">
        <v>88</v>
      </c>
      <c r="M122" s="8" t="n">
        <v>46028</v>
      </c>
      <c r="N122" s="7" t="s">
        <v>89</v>
      </c>
      <c r="O122" s="9" t="n">
        <f aca="false">IF(COUNTIFS($B$2:B122,B122,$C$2:C122,C122)=1,1,0)</f>
        <v>1</v>
      </c>
      <c r="P122" s="9" t="str">
        <f aca="false">IFERROR(INDEX(dEtapa!$A$2:$A$6,MATCH(N122,dEtapa!$B$2:$B$6,0)),"Sin etapa")</f>
        <v>Gobernada</v>
      </c>
      <c r="Q122" s="9" t="n">
        <f aca="false">IF(L122="Si",1,0)</f>
        <v>1</v>
      </c>
      <c r="R122" s="9" t="n">
        <f aca="false">IF(ISNUMBER(SEARCH("CRITERIO",N122)),1,0)</f>
        <v>0</v>
      </c>
      <c r="S122" s="9" t="str">
        <f aca="false">IF(E122="","Sin dato",LEFT(E122,1))</f>
        <v>C</v>
      </c>
      <c r="T122" s="9" t="n">
        <f aca="false">IFERROR(INDEX(dCriticidad!$G$2:$G$7,MATCH(S122,dCriticidad!$A$2:$A$7,0)),0)</f>
        <v>1</v>
      </c>
      <c r="U122" s="9" t="n">
        <f aca="false">IF(OR(LEFT(C122,3)="GI0",LEFT(C122,3)="GA0"),1,0)</f>
        <v>0</v>
      </c>
      <c r="V122" s="9" t="str">
        <f aca="false">IF(G122="","Sin dato (ID GI)",TRIM(G122))</f>
        <v>AREAS_DE_APOYO</v>
      </c>
      <c r="W122" s="9" t="str">
        <f aca="false">IF(F122="","Sin dato",F122)</f>
        <v>Nube</v>
      </c>
      <c r="X122" s="9" t="n">
        <f aca="false">IF(M122="","",YEAR(M122))</f>
        <v>2026</v>
      </c>
      <c r="Y122" s="10" t="n">
        <f aca="false">IF(M122="","",DATE(YEAR(M122),MONTH(M122),1))</f>
        <v>46023</v>
      </c>
      <c r="Z122" s="9" t="n">
        <f aca="false">IF(AND(Q122=0,COUNTIF(dDuplicadosGI!$A$2:$A$60,C122)&gt;0),1,0)</f>
        <v>0</v>
      </c>
      <c r="AA122" s="9" t="n">
        <f aca="false">IF(Q122=0,1,0)</f>
        <v>0</v>
      </c>
    </row>
    <row r="123" customFormat="false" ht="15" hidden="false" customHeight="false" outlineLevel="0" collapsed="false">
      <c r="A123" s="7" t="n">
        <v>122</v>
      </c>
      <c r="B123" s="7" t="s">
        <v>609</v>
      </c>
      <c r="C123" s="7" t="s">
        <v>610</v>
      </c>
      <c r="D123" s="7" t="s">
        <v>611</v>
      </c>
      <c r="E123" s="7" t="s">
        <v>119</v>
      </c>
      <c r="F123" s="7" t="s">
        <v>82</v>
      </c>
      <c r="G123" s="7" t="s">
        <v>166</v>
      </c>
      <c r="H123" s="7" t="s">
        <v>174</v>
      </c>
      <c r="I123" s="7" t="s">
        <v>168</v>
      </c>
      <c r="J123" s="7" t="s">
        <v>188</v>
      </c>
      <c r="K123" s="7" t="s">
        <v>170</v>
      </c>
      <c r="L123" s="7" t="s">
        <v>99</v>
      </c>
      <c r="M123" s="8"/>
      <c r="N123" s="7" t="s">
        <v>109</v>
      </c>
      <c r="O123" s="9" t="n">
        <f aca="false">IF(COUNTIFS($B$2:B123,B123,$C$2:C123,C123)=1,1,0)</f>
        <v>1</v>
      </c>
      <c r="P123" s="9" t="str">
        <f aca="false">IFERROR(INDEX(dEtapa!$A$2:$A$6,MATCH(N123,dEtapa!$B$2:$B$6,0)),"Sin etapa")</f>
        <v>Planificada 2027</v>
      </c>
      <c r="Q123" s="9" t="n">
        <f aca="false">IF(L123="Si",1,0)</f>
        <v>0</v>
      </c>
      <c r="R123" s="9" t="n">
        <f aca="false">IF(ISNUMBER(SEARCH("CRITERIO",N123)),1,0)</f>
        <v>0</v>
      </c>
      <c r="S123" s="9" t="str">
        <f aca="false">IF(E123="","Sin dato",LEFT(E123,1))</f>
        <v>E</v>
      </c>
      <c r="T123" s="9" t="n">
        <f aca="false">IFERROR(INDEX(dCriticidad!$G$2:$G$7,MATCH(S123,dCriticidad!$A$2:$A$7,0)),0)</f>
        <v>0</v>
      </c>
      <c r="U123" s="9" t="n">
        <f aca="false">IF(OR(LEFT(C123,3)="GI0",LEFT(C123,3)="GA0"),1,0)</f>
        <v>0</v>
      </c>
      <c r="V123" s="9" t="str">
        <f aca="false">IF(G123="","Sin dato (ID GI)",TRIM(G123))</f>
        <v>Ciberseguridad</v>
      </c>
      <c r="W123" s="9" t="str">
        <f aca="false">IF(F123="","Sin dato",F123)</f>
        <v>On Premise</v>
      </c>
      <c r="X123" s="9" t="str">
        <f aca="false">IF(M123="","",YEAR(M123))</f>
        <v/>
      </c>
      <c r="Y123" s="10" t="str">
        <f aca="false">IF(M123="","",DATE(YEAR(M123),MONTH(M123),1))</f>
        <v/>
      </c>
      <c r="Z123" s="9" t="n">
        <f aca="false">IF(AND(Q123=0,COUNTIF(dDuplicadosGI!$A$2:$A$60,C123)&gt;0),1,0)</f>
        <v>0</v>
      </c>
      <c r="AA123" s="9" t="n">
        <f aca="false">IF(Q123=0,1,0)</f>
        <v>1</v>
      </c>
    </row>
    <row r="124" customFormat="false" ht="15" hidden="false" customHeight="false" outlineLevel="0" collapsed="false">
      <c r="A124" s="7" t="n">
        <v>123</v>
      </c>
      <c r="B124" s="7" t="s">
        <v>612</v>
      </c>
      <c r="C124" s="7" t="s">
        <v>613</v>
      </c>
      <c r="D124" s="7" t="s">
        <v>614</v>
      </c>
      <c r="E124" s="7" t="s">
        <v>119</v>
      </c>
      <c r="F124" s="7" t="s">
        <v>82</v>
      </c>
      <c r="G124" s="7" t="s">
        <v>494</v>
      </c>
      <c r="H124" s="7" t="s">
        <v>338</v>
      </c>
      <c r="I124" s="7" t="s">
        <v>615</v>
      </c>
      <c r="J124" s="7" t="s">
        <v>496</v>
      </c>
      <c r="K124" s="7" t="s">
        <v>108</v>
      </c>
      <c r="L124" s="7" t="s">
        <v>99</v>
      </c>
      <c r="M124" s="8"/>
      <c r="N124" s="7" t="s">
        <v>109</v>
      </c>
      <c r="O124" s="9" t="n">
        <f aca="false">IF(COUNTIFS($B$2:B124,B124,$C$2:C124,C124)=1,1,0)</f>
        <v>1</v>
      </c>
      <c r="P124" s="9" t="str">
        <f aca="false">IFERROR(INDEX(dEtapa!$A$2:$A$6,MATCH(N124,dEtapa!$B$2:$B$6,0)),"Sin etapa")</f>
        <v>Planificada 2027</v>
      </c>
      <c r="Q124" s="9" t="n">
        <f aca="false">IF(L124="Si",1,0)</f>
        <v>0</v>
      </c>
      <c r="R124" s="9" t="n">
        <f aca="false">IF(ISNUMBER(SEARCH("CRITERIO",N124)),1,0)</f>
        <v>0</v>
      </c>
      <c r="S124" s="9" t="str">
        <f aca="false">IF(E124="","Sin dato",LEFT(E124,1))</f>
        <v>E</v>
      </c>
      <c r="T124" s="9" t="n">
        <f aca="false">IFERROR(INDEX(dCriticidad!$G$2:$G$7,MATCH(S124,dCriticidad!$A$2:$A$7,0)),0)</f>
        <v>0</v>
      </c>
      <c r="U124" s="9" t="n">
        <f aca="false">IF(OR(LEFT(C124,3)="GI0",LEFT(C124,3)="GA0"),1,0)</f>
        <v>0</v>
      </c>
      <c r="V124" s="9" t="str">
        <f aca="false">IF(G124="","Sin dato (ID GI)",TRIM(G124))</f>
        <v>Gerencia Ingeniería de Seguridad Tecnológica</v>
      </c>
      <c r="W124" s="9" t="str">
        <f aca="false">IF(F124="","Sin dato",F124)</f>
        <v>On Premise</v>
      </c>
      <c r="X124" s="9" t="str">
        <f aca="false">IF(M124="","",YEAR(M124))</f>
        <v/>
      </c>
      <c r="Y124" s="10" t="str">
        <f aca="false">IF(M124="","",DATE(YEAR(M124),MONTH(M124),1))</f>
        <v/>
      </c>
      <c r="Z124" s="9" t="n">
        <f aca="false">IF(AND(Q124=0,COUNTIF(dDuplicadosGI!$A$2:$A$60,C124)&gt;0),1,0)</f>
        <v>0</v>
      </c>
      <c r="AA124" s="9" t="n">
        <f aca="false">IF(Q124=0,1,0)</f>
        <v>1</v>
      </c>
    </row>
    <row r="125" customFormat="false" ht="15" hidden="false" customHeight="false" outlineLevel="0" collapsed="false">
      <c r="A125" s="7" t="n">
        <v>124</v>
      </c>
      <c r="B125" s="7" t="s">
        <v>616</v>
      </c>
      <c r="C125" s="7" t="s">
        <v>617</v>
      </c>
      <c r="D125" s="7" t="s">
        <v>618</v>
      </c>
      <c r="E125" s="7" t="s">
        <v>113</v>
      </c>
      <c r="F125" s="7" t="s">
        <v>82</v>
      </c>
      <c r="G125" s="7" t="s">
        <v>494</v>
      </c>
      <c r="H125" s="7" t="s">
        <v>338</v>
      </c>
      <c r="I125" s="7" t="s">
        <v>615</v>
      </c>
      <c r="J125" s="7" t="s">
        <v>619</v>
      </c>
      <c r="K125" s="7" t="s">
        <v>108</v>
      </c>
      <c r="L125" s="7" t="s">
        <v>88</v>
      </c>
      <c r="M125" s="8" t="n">
        <v>45200</v>
      </c>
      <c r="N125" s="7" t="s">
        <v>89</v>
      </c>
      <c r="O125" s="9" t="n">
        <f aca="false">IF(COUNTIFS($B$2:B125,B125,$C$2:C125,C125)=1,1,0)</f>
        <v>1</v>
      </c>
      <c r="P125" s="9" t="str">
        <f aca="false">IFERROR(INDEX(dEtapa!$A$2:$A$6,MATCH(N125,dEtapa!$B$2:$B$6,0)),"Sin etapa")</f>
        <v>Gobernada</v>
      </c>
      <c r="Q125" s="9" t="n">
        <f aca="false">IF(L125="Si",1,0)</f>
        <v>1</v>
      </c>
      <c r="R125" s="9" t="n">
        <f aca="false">IF(ISNUMBER(SEARCH("CRITERIO",N125)),1,0)</f>
        <v>0</v>
      </c>
      <c r="S125" s="9" t="str">
        <f aca="false">IF(E125="","Sin dato",LEFT(E125,1))</f>
        <v>C</v>
      </c>
      <c r="T125" s="9" t="n">
        <f aca="false">IFERROR(INDEX(dCriticidad!$G$2:$G$7,MATCH(S125,dCriticidad!$A$2:$A$7,0)),0)</f>
        <v>1</v>
      </c>
      <c r="U125" s="9" t="n">
        <f aca="false">IF(OR(LEFT(C125,3)="GI0",LEFT(C125,3)="GA0"),1,0)</f>
        <v>0</v>
      </c>
      <c r="V125" s="9" t="str">
        <f aca="false">IF(G125="","Sin dato (ID GI)",TRIM(G125))</f>
        <v>Gerencia Ingeniería de Seguridad Tecnológica</v>
      </c>
      <c r="W125" s="9" t="str">
        <f aca="false">IF(F125="","Sin dato",F125)</f>
        <v>On Premise</v>
      </c>
      <c r="X125" s="9" t="n">
        <f aca="false">IF(M125="","",YEAR(M125))</f>
        <v>2023</v>
      </c>
      <c r="Y125" s="10" t="n">
        <f aca="false">IF(M125="","",DATE(YEAR(M125),MONTH(M125),1))</f>
        <v>45200</v>
      </c>
      <c r="Z125" s="9" t="n">
        <f aca="false">IF(AND(Q125=0,COUNTIF(dDuplicadosGI!$A$2:$A$60,C125)&gt;0),1,0)</f>
        <v>0</v>
      </c>
      <c r="AA125" s="9" t="n">
        <f aca="false">IF(Q125=0,1,0)</f>
        <v>0</v>
      </c>
    </row>
    <row r="126" customFormat="false" ht="15" hidden="false" customHeight="false" outlineLevel="0" collapsed="false">
      <c r="A126" s="7" t="n">
        <v>125</v>
      </c>
      <c r="B126" s="7" t="s">
        <v>620</v>
      </c>
      <c r="C126" s="7" t="s">
        <v>621</v>
      </c>
      <c r="D126" s="7" t="s">
        <v>622</v>
      </c>
      <c r="E126" s="7" t="s">
        <v>145</v>
      </c>
      <c r="F126" s="7" t="s">
        <v>82</v>
      </c>
      <c r="G126" s="7" t="s">
        <v>104</v>
      </c>
      <c r="H126" s="7" t="s">
        <v>105</v>
      </c>
      <c r="I126" s="7" t="s">
        <v>106</v>
      </c>
      <c r="J126" s="7" t="s">
        <v>623</v>
      </c>
      <c r="K126" s="7" t="s">
        <v>480</v>
      </c>
      <c r="L126" s="7" t="s">
        <v>99</v>
      </c>
      <c r="M126" s="8"/>
      <c r="N126" s="7" t="s">
        <v>178</v>
      </c>
      <c r="O126" s="9" t="n">
        <f aca="false">IF(COUNTIFS($B$2:B126,B126,$C$2:C126,C126)=1,1,0)</f>
        <v>1</v>
      </c>
      <c r="P126" s="9" t="str">
        <f aca="false">IFERROR(INDEX(dEtapa!$A$2:$A$6,MATCH(N126,dEtapa!$B$2:$B$6,0)),"Sin etapa")</f>
        <v>Criterio 2</v>
      </c>
      <c r="Q126" s="9" t="n">
        <f aca="false">IF(L126="Si",1,0)</f>
        <v>0</v>
      </c>
      <c r="R126" s="9" t="n">
        <f aca="false">IF(ISNUMBER(SEARCH("CRITERIO",N126)),1,0)</f>
        <v>1</v>
      </c>
      <c r="S126" s="9" t="str">
        <f aca="false">IF(E126="","Sin dato",LEFT(E126,1))</f>
        <v>B</v>
      </c>
      <c r="T126" s="9" t="n">
        <f aca="false">IFERROR(INDEX(dCriticidad!$G$2:$G$7,MATCH(S126,dCriticidad!$A$2:$A$7,0)),0)</f>
        <v>1</v>
      </c>
      <c r="U126" s="9" t="n">
        <f aca="false">IF(OR(LEFT(C126,3)="GI0",LEFT(C126,3)="GA0"),1,0)</f>
        <v>0</v>
      </c>
      <c r="V126" s="9" t="str">
        <f aca="false">IF(G126="","Sin dato (ID GI)",TRIM(G126))</f>
        <v>INFRAESTRUCTURA</v>
      </c>
      <c r="W126" s="9" t="str">
        <f aca="false">IF(F126="","Sin dato",F126)</f>
        <v>On Premise</v>
      </c>
      <c r="X126" s="9" t="str">
        <f aca="false">IF(M126="","",YEAR(M126))</f>
        <v/>
      </c>
      <c r="Y126" s="10" t="str">
        <f aca="false">IF(M126="","",DATE(YEAR(M126),MONTH(M126),1))</f>
        <v/>
      </c>
      <c r="Z126" s="9" t="n">
        <f aca="false">IF(AND(Q126=0,COUNTIF(dDuplicadosGI!$A$2:$A$60,C126)&gt;0),1,0)</f>
        <v>0</v>
      </c>
      <c r="AA126" s="9" t="n">
        <f aca="false">IF(Q126=0,1,0)</f>
        <v>1</v>
      </c>
    </row>
    <row r="127" customFormat="false" ht="15" hidden="false" customHeight="false" outlineLevel="0" collapsed="false">
      <c r="A127" s="7" t="n">
        <v>126</v>
      </c>
      <c r="B127" s="7" t="s">
        <v>624</v>
      </c>
      <c r="C127" s="7" t="s">
        <v>625</v>
      </c>
      <c r="D127" s="7" t="s">
        <v>151</v>
      </c>
      <c r="E127" s="7" t="s">
        <v>93</v>
      </c>
      <c r="F127" s="7" t="s">
        <v>94</v>
      </c>
      <c r="G127" s="7" t="s">
        <v>232</v>
      </c>
      <c r="H127" s="7" t="s">
        <v>626</v>
      </c>
      <c r="I127" s="7"/>
      <c r="J127" s="7"/>
      <c r="K127" s="7" t="s">
        <v>98</v>
      </c>
      <c r="L127" s="7" t="s">
        <v>99</v>
      </c>
      <c r="M127" s="8"/>
      <c r="N127" s="7" t="s">
        <v>109</v>
      </c>
      <c r="O127" s="9" t="n">
        <f aca="false">IF(COUNTIFS($B$2:B127,B127,$C$2:C127,C127)=1,1,0)</f>
        <v>1</v>
      </c>
      <c r="P127" s="9" t="str">
        <f aca="false">IFERROR(INDEX(dEtapa!$A$2:$A$6,MATCH(N127,dEtapa!$B$2:$B$6,0)),"Sin etapa")</f>
        <v>Planificada 2027</v>
      </c>
      <c r="Q127" s="9" t="n">
        <f aca="false">IF(L127="Si",1,0)</f>
        <v>0</v>
      </c>
      <c r="R127" s="9" t="n">
        <f aca="false">IF(ISNUMBER(SEARCH("CRITERIO",N127)),1,0)</f>
        <v>0</v>
      </c>
      <c r="S127" s="9" t="str">
        <f aca="false">IF(E127="","Sin dato",LEFT(E127,1))</f>
        <v>D</v>
      </c>
      <c r="T127" s="9" t="n">
        <f aca="false">IFERROR(INDEX(dCriticidad!$G$2:$G$7,MATCH(S127,dCriticidad!$A$2:$A$7,0)),0)</f>
        <v>0</v>
      </c>
      <c r="U127" s="9" t="n">
        <f aca="false">IF(OR(LEFT(C127,3)="GI0",LEFT(C127,3)="GA0"),1,0)</f>
        <v>0</v>
      </c>
      <c r="V127" s="9" t="str">
        <f aca="false">IF(G127="","Sin dato (ID GI)",TRIM(G127))</f>
        <v>COE Experiencia</v>
      </c>
      <c r="W127" s="9" t="str">
        <f aca="false">IF(F127="","Sin dato",F127)</f>
        <v>Nube</v>
      </c>
      <c r="X127" s="9" t="str">
        <f aca="false">IF(M127="","",YEAR(M127))</f>
        <v/>
      </c>
      <c r="Y127" s="10" t="str">
        <f aca="false">IF(M127="","",DATE(YEAR(M127),MONTH(M127),1))</f>
        <v/>
      </c>
      <c r="Z127" s="9" t="n">
        <f aca="false">IF(AND(Q127=0,COUNTIF(dDuplicadosGI!$A$2:$A$60,C127)&gt;0),1,0)</f>
        <v>0</v>
      </c>
      <c r="AA127" s="9" t="n">
        <f aca="false">IF(Q127=0,1,0)</f>
        <v>1</v>
      </c>
    </row>
    <row r="128" customFormat="false" ht="15" hidden="false" customHeight="false" outlineLevel="0" collapsed="false">
      <c r="A128" s="7" t="n">
        <v>127</v>
      </c>
      <c r="B128" s="7" t="s">
        <v>627</v>
      </c>
      <c r="C128" s="7" t="s">
        <v>628</v>
      </c>
      <c r="D128" s="7" t="s">
        <v>629</v>
      </c>
      <c r="E128" s="7" t="s">
        <v>113</v>
      </c>
      <c r="F128" s="7" t="s">
        <v>82</v>
      </c>
      <c r="G128" s="7" t="s">
        <v>337</v>
      </c>
      <c r="H128" s="7" t="s">
        <v>630</v>
      </c>
      <c r="I128" s="7" t="s">
        <v>631</v>
      </c>
      <c r="J128" s="7" t="s">
        <v>630</v>
      </c>
      <c r="K128" s="7" t="s">
        <v>108</v>
      </c>
      <c r="L128" s="7" t="s">
        <v>99</v>
      </c>
      <c r="M128" s="8"/>
      <c r="N128" s="7" t="s">
        <v>100</v>
      </c>
      <c r="O128" s="9" t="n">
        <f aca="false">IF(COUNTIFS($B$2:B128,B128,$C$2:C128,C128)=1,1,0)</f>
        <v>1</v>
      </c>
      <c r="P128" s="9" t="str">
        <f aca="false">IFERROR(INDEX(dEtapa!$A$2:$A$6,MATCH(N128,dEtapa!$B$2:$B$6,0)),"Sin etapa")</f>
        <v>Criterio 1</v>
      </c>
      <c r="Q128" s="9" t="n">
        <f aca="false">IF(L128="Si",1,0)</f>
        <v>0</v>
      </c>
      <c r="R128" s="9" t="n">
        <f aca="false">IF(ISNUMBER(SEARCH("CRITERIO",N128)),1,0)</f>
        <v>1</v>
      </c>
      <c r="S128" s="9" t="str">
        <f aca="false">IF(E128="","Sin dato",LEFT(E128,1))</f>
        <v>C</v>
      </c>
      <c r="T128" s="9" t="n">
        <f aca="false">IFERROR(INDEX(dCriticidad!$G$2:$G$7,MATCH(S128,dCriticidad!$A$2:$A$7,0)),0)</f>
        <v>1</v>
      </c>
      <c r="U128" s="9" t="n">
        <f aca="false">IF(OR(LEFT(C128,3)="GI0",LEFT(C128,3)="GA0"),1,0)</f>
        <v>0</v>
      </c>
      <c r="V128" s="9" t="str">
        <f aca="false">IF(G128="","Sin dato (ID GI)",TRIM(G128))</f>
        <v>Gerencia SRE</v>
      </c>
      <c r="W128" s="9" t="str">
        <f aca="false">IF(F128="","Sin dato",F128)</f>
        <v>On Premise</v>
      </c>
      <c r="X128" s="9" t="str">
        <f aca="false">IF(M128="","",YEAR(M128))</f>
        <v/>
      </c>
      <c r="Y128" s="10" t="str">
        <f aca="false">IF(M128="","",DATE(YEAR(M128),MONTH(M128),1))</f>
        <v/>
      </c>
      <c r="Z128" s="9" t="n">
        <f aca="false">IF(AND(Q128=0,COUNTIF(dDuplicadosGI!$A$2:$A$60,C128)&gt;0),1,0)</f>
        <v>0</v>
      </c>
      <c r="AA128" s="9" t="n">
        <f aca="false">IF(Q128=0,1,0)</f>
        <v>1</v>
      </c>
    </row>
    <row r="129" customFormat="false" ht="15" hidden="false" customHeight="false" outlineLevel="0" collapsed="false">
      <c r="A129" s="7" t="n">
        <v>128</v>
      </c>
      <c r="B129" s="7" t="s">
        <v>632</v>
      </c>
      <c r="C129" s="7" t="s">
        <v>633</v>
      </c>
      <c r="D129" s="7" t="s">
        <v>634</v>
      </c>
      <c r="E129" s="7" t="s">
        <v>119</v>
      </c>
      <c r="F129" s="7" t="s">
        <v>82</v>
      </c>
      <c r="G129" s="7" t="s">
        <v>104</v>
      </c>
      <c r="H129" s="7" t="s">
        <v>105</v>
      </c>
      <c r="I129" s="7" t="s">
        <v>106</v>
      </c>
      <c r="J129" s="7" t="s">
        <v>432</v>
      </c>
      <c r="K129" s="7" t="s">
        <v>108</v>
      </c>
      <c r="L129" s="7" t="s">
        <v>99</v>
      </c>
      <c r="M129" s="8"/>
      <c r="N129" s="7" t="s">
        <v>109</v>
      </c>
      <c r="O129" s="9" t="n">
        <f aca="false">IF(COUNTIFS($B$2:B129,B129,$C$2:C129,C129)=1,1,0)</f>
        <v>1</v>
      </c>
      <c r="P129" s="9" t="str">
        <f aca="false">IFERROR(INDEX(dEtapa!$A$2:$A$6,MATCH(N129,dEtapa!$B$2:$B$6,0)),"Sin etapa")</f>
        <v>Planificada 2027</v>
      </c>
      <c r="Q129" s="9" t="n">
        <f aca="false">IF(L129="Si",1,0)</f>
        <v>0</v>
      </c>
      <c r="R129" s="9" t="n">
        <f aca="false">IF(ISNUMBER(SEARCH("CRITERIO",N129)),1,0)</f>
        <v>0</v>
      </c>
      <c r="S129" s="9" t="str">
        <f aca="false">IF(E129="","Sin dato",LEFT(E129,1))</f>
        <v>E</v>
      </c>
      <c r="T129" s="9" t="n">
        <f aca="false">IFERROR(INDEX(dCriticidad!$G$2:$G$7,MATCH(S129,dCriticidad!$A$2:$A$7,0)),0)</f>
        <v>0</v>
      </c>
      <c r="U129" s="9" t="n">
        <f aca="false">IF(OR(LEFT(C129,3)="GI0",LEFT(C129,3)="GA0"),1,0)</f>
        <v>0</v>
      </c>
      <c r="V129" s="9" t="str">
        <f aca="false">IF(G129="","Sin dato (ID GI)",TRIM(G129))</f>
        <v>INFRAESTRUCTURA</v>
      </c>
      <c r="W129" s="9" t="str">
        <f aca="false">IF(F129="","Sin dato",F129)</f>
        <v>On Premise</v>
      </c>
      <c r="X129" s="9" t="str">
        <f aca="false">IF(M129="","",YEAR(M129))</f>
        <v/>
      </c>
      <c r="Y129" s="10" t="str">
        <f aca="false">IF(M129="","",DATE(YEAR(M129),MONTH(M129),1))</f>
        <v/>
      </c>
      <c r="Z129" s="9" t="n">
        <f aca="false">IF(AND(Q129=0,COUNTIF(dDuplicadosGI!$A$2:$A$60,C129)&gt;0),1,0)</f>
        <v>0</v>
      </c>
      <c r="AA129" s="9" t="n">
        <f aca="false">IF(Q129=0,1,0)</f>
        <v>1</v>
      </c>
    </row>
    <row r="130" customFormat="false" ht="15" hidden="false" customHeight="false" outlineLevel="0" collapsed="false">
      <c r="A130" s="7" t="n">
        <v>129</v>
      </c>
      <c r="B130" s="7" t="s">
        <v>635</v>
      </c>
      <c r="C130" s="7" t="s">
        <v>636</v>
      </c>
      <c r="D130" s="7" t="s">
        <v>637</v>
      </c>
      <c r="E130" s="7" t="s">
        <v>119</v>
      </c>
      <c r="F130" s="7" t="s">
        <v>82</v>
      </c>
      <c r="G130" s="7" t="s">
        <v>104</v>
      </c>
      <c r="H130" s="7" t="s">
        <v>105</v>
      </c>
      <c r="I130" s="7" t="s">
        <v>106</v>
      </c>
      <c r="J130" s="7" t="s">
        <v>432</v>
      </c>
      <c r="K130" s="7" t="s">
        <v>108</v>
      </c>
      <c r="L130" s="7" t="s">
        <v>99</v>
      </c>
      <c r="M130" s="8"/>
      <c r="N130" s="7" t="s">
        <v>109</v>
      </c>
      <c r="O130" s="9" t="n">
        <f aca="false">IF(COUNTIFS($B$2:B130,B130,$C$2:C130,C130)=1,1,0)</f>
        <v>1</v>
      </c>
      <c r="P130" s="9" t="str">
        <f aca="false">IFERROR(INDEX(dEtapa!$A$2:$A$6,MATCH(N130,dEtapa!$B$2:$B$6,0)),"Sin etapa")</f>
        <v>Planificada 2027</v>
      </c>
      <c r="Q130" s="9" t="n">
        <f aca="false">IF(L130="Si",1,0)</f>
        <v>0</v>
      </c>
      <c r="R130" s="9" t="n">
        <f aca="false">IF(ISNUMBER(SEARCH("CRITERIO",N130)),1,0)</f>
        <v>0</v>
      </c>
      <c r="S130" s="9" t="str">
        <f aca="false">IF(E130="","Sin dato",LEFT(E130,1))</f>
        <v>E</v>
      </c>
      <c r="T130" s="9" t="n">
        <f aca="false">IFERROR(INDEX(dCriticidad!$G$2:$G$7,MATCH(S130,dCriticidad!$A$2:$A$7,0)),0)</f>
        <v>0</v>
      </c>
      <c r="U130" s="9" t="n">
        <f aca="false">IF(OR(LEFT(C130,3)="GI0",LEFT(C130,3)="GA0"),1,0)</f>
        <v>0</v>
      </c>
      <c r="V130" s="9" t="str">
        <f aca="false">IF(G130="","Sin dato (ID GI)",TRIM(G130))</f>
        <v>INFRAESTRUCTURA</v>
      </c>
      <c r="W130" s="9" t="str">
        <f aca="false">IF(F130="","Sin dato",F130)</f>
        <v>On Premise</v>
      </c>
      <c r="X130" s="9" t="str">
        <f aca="false">IF(M130="","",YEAR(M130))</f>
        <v/>
      </c>
      <c r="Y130" s="10" t="str">
        <f aca="false">IF(M130="","",DATE(YEAR(M130),MONTH(M130),1))</f>
        <v/>
      </c>
      <c r="Z130" s="9" t="n">
        <f aca="false">IF(AND(Q130=0,COUNTIF(dDuplicadosGI!$A$2:$A$60,C130)&gt;0),1,0)</f>
        <v>0</v>
      </c>
      <c r="AA130" s="9" t="n">
        <f aca="false">IF(Q130=0,1,0)</f>
        <v>1</v>
      </c>
    </row>
    <row r="131" customFormat="false" ht="15" hidden="false" customHeight="false" outlineLevel="0" collapsed="false">
      <c r="A131" s="7" t="n">
        <v>130</v>
      </c>
      <c r="B131" s="7" t="s">
        <v>638</v>
      </c>
      <c r="C131" s="7" t="s">
        <v>639</v>
      </c>
      <c r="D131" s="7" t="s">
        <v>640</v>
      </c>
      <c r="E131" s="7" t="s">
        <v>119</v>
      </c>
      <c r="F131" s="7" t="s">
        <v>82</v>
      </c>
      <c r="G131" s="7" t="s">
        <v>104</v>
      </c>
      <c r="H131" s="7" t="s">
        <v>105</v>
      </c>
      <c r="I131" s="7" t="s">
        <v>120</v>
      </c>
      <c r="J131" s="7" t="s">
        <v>641</v>
      </c>
      <c r="K131" s="7" t="s">
        <v>108</v>
      </c>
      <c r="L131" s="7" t="s">
        <v>99</v>
      </c>
      <c r="M131" s="8"/>
      <c r="N131" s="7" t="s">
        <v>100</v>
      </c>
      <c r="O131" s="9" t="n">
        <f aca="false">IF(COUNTIFS($B$2:B131,B131,$C$2:C131,C131)=1,1,0)</f>
        <v>1</v>
      </c>
      <c r="P131" s="9" t="str">
        <f aca="false">IFERROR(INDEX(dEtapa!$A$2:$A$6,MATCH(N131,dEtapa!$B$2:$B$6,0)),"Sin etapa")</f>
        <v>Criterio 1</v>
      </c>
      <c r="Q131" s="9" t="n">
        <f aca="false">IF(L131="Si",1,0)</f>
        <v>0</v>
      </c>
      <c r="R131" s="9" t="n">
        <f aca="false">IF(ISNUMBER(SEARCH("CRITERIO",N131)),1,0)</f>
        <v>1</v>
      </c>
      <c r="S131" s="9" t="str">
        <f aca="false">IF(E131="","Sin dato",LEFT(E131,1))</f>
        <v>E</v>
      </c>
      <c r="T131" s="9" t="n">
        <f aca="false">IFERROR(INDEX(dCriticidad!$G$2:$G$7,MATCH(S131,dCriticidad!$A$2:$A$7,0)),0)</f>
        <v>0</v>
      </c>
      <c r="U131" s="9" t="n">
        <f aca="false">IF(OR(LEFT(C131,3)="GI0",LEFT(C131,3)="GA0"),1,0)</f>
        <v>0</v>
      </c>
      <c r="V131" s="9" t="str">
        <f aca="false">IF(G131="","Sin dato (ID GI)",TRIM(G131))</f>
        <v>INFRAESTRUCTURA</v>
      </c>
      <c r="W131" s="9" t="str">
        <f aca="false">IF(F131="","Sin dato",F131)</f>
        <v>On Premise</v>
      </c>
      <c r="X131" s="9" t="str">
        <f aca="false">IF(M131="","",YEAR(M131))</f>
        <v/>
      </c>
      <c r="Y131" s="10" t="str">
        <f aca="false">IF(M131="","",DATE(YEAR(M131),MONTH(M131),1))</f>
        <v/>
      </c>
      <c r="Z131" s="9" t="n">
        <f aca="false">IF(AND(Q131=0,COUNTIF(dDuplicadosGI!$A$2:$A$60,C131)&gt;0),1,0)</f>
        <v>0</v>
      </c>
      <c r="AA131" s="9" t="n">
        <f aca="false">IF(Q131=0,1,0)</f>
        <v>1</v>
      </c>
    </row>
    <row r="132" customFormat="false" ht="15" hidden="false" customHeight="false" outlineLevel="0" collapsed="false">
      <c r="A132" s="7" t="n">
        <v>131</v>
      </c>
      <c r="B132" s="7" t="s">
        <v>642</v>
      </c>
      <c r="C132" s="7" t="s">
        <v>643</v>
      </c>
      <c r="D132" s="7" t="s">
        <v>151</v>
      </c>
      <c r="E132" s="7" t="s">
        <v>119</v>
      </c>
      <c r="F132" s="7" t="s">
        <v>94</v>
      </c>
      <c r="G132" s="7" t="s">
        <v>95</v>
      </c>
      <c r="H132" s="7" t="s">
        <v>644</v>
      </c>
      <c r="I132" s="7" t="s">
        <v>645</v>
      </c>
      <c r="J132" s="7" t="s">
        <v>645</v>
      </c>
      <c r="K132" s="7" t="s">
        <v>234</v>
      </c>
      <c r="L132" s="7" t="s">
        <v>99</v>
      </c>
      <c r="M132" s="8"/>
      <c r="N132" s="7" t="s">
        <v>109</v>
      </c>
      <c r="O132" s="9" t="n">
        <f aca="false">IF(COUNTIFS($B$2:B132,B132,$C$2:C132,C132)=1,1,0)</f>
        <v>1</v>
      </c>
      <c r="P132" s="9" t="str">
        <f aca="false">IFERROR(INDEX(dEtapa!$A$2:$A$6,MATCH(N132,dEtapa!$B$2:$B$6,0)),"Sin etapa")</f>
        <v>Planificada 2027</v>
      </c>
      <c r="Q132" s="9" t="n">
        <f aca="false">IF(L132="Si",1,0)</f>
        <v>0</v>
      </c>
      <c r="R132" s="9" t="n">
        <f aca="false">IF(ISNUMBER(SEARCH("CRITERIO",N132)),1,0)</f>
        <v>0</v>
      </c>
      <c r="S132" s="9" t="str">
        <f aca="false">IF(E132="","Sin dato",LEFT(E132,1))</f>
        <v>E</v>
      </c>
      <c r="T132" s="9" t="n">
        <f aca="false">IFERROR(INDEX(dCriticidad!$G$2:$G$7,MATCH(S132,dCriticidad!$A$2:$A$7,0)),0)</f>
        <v>0</v>
      </c>
      <c r="U132" s="9" t="n">
        <f aca="false">IF(OR(LEFT(C132,3)="GI0",LEFT(C132,3)="GA0"),1,0)</f>
        <v>0</v>
      </c>
      <c r="V132" s="9" t="str">
        <f aca="false">IF(G132="","Sin dato (ID GI)",TRIM(G132))</f>
        <v>COE ARQUITECTURA</v>
      </c>
      <c r="W132" s="9" t="str">
        <f aca="false">IF(F132="","Sin dato",F132)</f>
        <v>Nube</v>
      </c>
      <c r="X132" s="9" t="str">
        <f aca="false">IF(M132="","",YEAR(M132))</f>
        <v/>
      </c>
      <c r="Y132" s="10" t="str">
        <f aca="false">IF(M132="","",DATE(YEAR(M132),MONTH(M132),1))</f>
        <v/>
      </c>
      <c r="Z132" s="9" t="n">
        <f aca="false">IF(AND(Q132=0,COUNTIF(dDuplicadosGI!$A$2:$A$60,C132)&gt;0),1,0)</f>
        <v>0</v>
      </c>
      <c r="AA132" s="9" t="n">
        <f aca="false">IF(Q132=0,1,0)</f>
        <v>1</v>
      </c>
    </row>
    <row r="133" customFormat="false" ht="15" hidden="false" customHeight="false" outlineLevel="0" collapsed="false">
      <c r="A133" s="7" t="n">
        <v>132</v>
      </c>
      <c r="B133" s="7" t="s">
        <v>646</v>
      </c>
      <c r="C133" s="7" t="s">
        <v>647</v>
      </c>
      <c r="D133" s="7" t="s">
        <v>648</v>
      </c>
      <c r="E133" s="7" t="s">
        <v>119</v>
      </c>
      <c r="F133" s="7" t="s">
        <v>82</v>
      </c>
      <c r="G133" s="7" t="s">
        <v>192</v>
      </c>
      <c r="H133" s="7" t="s">
        <v>193</v>
      </c>
      <c r="I133" s="7" t="s">
        <v>238</v>
      </c>
      <c r="J133" s="7" t="s">
        <v>218</v>
      </c>
      <c r="K133" s="7" t="s">
        <v>98</v>
      </c>
      <c r="L133" s="7" t="s">
        <v>99</v>
      </c>
      <c r="M133" s="8"/>
      <c r="N133" s="7" t="s">
        <v>109</v>
      </c>
      <c r="O133" s="9" t="n">
        <f aca="false">IF(COUNTIFS($B$2:B133,B133,$C$2:C133,C133)=1,1,0)</f>
        <v>1</v>
      </c>
      <c r="P133" s="9" t="str">
        <f aca="false">IFERROR(INDEX(dEtapa!$A$2:$A$6,MATCH(N133,dEtapa!$B$2:$B$6,0)),"Sin etapa")</f>
        <v>Planificada 2027</v>
      </c>
      <c r="Q133" s="9" t="n">
        <f aca="false">IF(L133="Si",1,0)</f>
        <v>0</v>
      </c>
      <c r="R133" s="9" t="n">
        <f aca="false">IF(ISNUMBER(SEARCH("CRITERIO",N133)),1,0)</f>
        <v>0</v>
      </c>
      <c r="S133" s="9" t="str">
        <f aca="false">IF(E133="","Sin dato",LEFT(E133,1))</f>
        <v>E</v>
      </c>
      <c r="T133" s="9" t="n">
        <f aca="false">IFERROR(INDEX(dCriticidad!$G$2:$G$7,MATCH(S133,dCriticidad!$A$2:$A$7,0)),0)</f>
        <v>0</v>
      </c>
      <c r="U133" s="9" t="n">
        <f aca="false">IF(OR(LEFT(C133,3)="GI0",LEFT(C133,3)="GA0"),1,0)</f>
        <v>0</v>
      </c>
      <c r="V133" s="9" t="str">
        <f aca="false">IF(G133="","Sin dato (ID GI)",TRIM(G133))</f>
        <v>AREAS_DE_APOYO</v>
      </c>
      <c r="W133" s="9" t="str">
        <f aca="false">IF(F133="","Sin dato",F133)</f>
        <v>On Premise</v>
      </c>
      <c r="X133" s="9" t="str">
        <f aca="false">IF(M133="","",YEAR(M133))</f>
        <v/>
      </c>
      <c r="Y133" s="10" t="str">
        <f aca="false">IF(M133="","",DATE(YEAR(M133),MONTH(M133),1))</f>
        <v/>
      </c>
      <c r="Z133" s="9" t="n">
        <f aca="false">IF(AND(Q133=0,COUNTIF(dDuplicadosGI!$A$2:$A$60,C133)&gt;0),1,0)</f>
        <v>0</v>
      </c>
      <c r="AA133" s="9" t="n">
        <f aca="false">IF(Q133=0,1,0)</f>
        <v>1</v>
      </c>
    </row>
    <row r="134" customFormat="false" ht="15" hidden="false" customHeight="false" outlineLevel="0" collapsed="false">
      <c r="A134" s="7" t="n">
        <v>133</v>
      </c>
      <c r="B134" s="7" t="s">
        <v>649</v>
      </c>
      <c r="C134" s="7" t="s">
        <v>650</v>
      </c>
      <c r="D134" s="7" t="s">
        <v>651</v>
      </c>
      <c r="E134" s="7" t="s">
        <v>119</v>
      </c>
      <c r="F134" s="7" t="s">
        <v>94</v>
      </c>
      <c r="G134" s="7" t="s">
        <v>166</v>
      </c>
      <c r="H134" s="7" t="s">
        <v>652</v>
      </c>
      <c r="I134" s="7" t="s">
        <v>653</v>
      </c>
      <c r="J134" s="7" t="s">
        <v>652</v>
      </c>
      <c r="K134" s="7" t="s">
        <v>170</v>
      </c>
      <c r="L134" s="7" t="s">
        <v>88</v>
      </c>
      <c r="M134" s="8" t="n">
        <v>46077</v>
      </c>
      <c r="N134" s="7" t="s">
        <v>89</v>
      </c>
      <c r="O134" s="9" t="n">
        <f aca="false">IF(COUNTIFS($B$2:B134,B134,$C$2:C134,C134)=1,1,0)</f>
        <v>1</v>
      </c>
      <c r="P134" s="9" t="str">
        <f aca="false">IFERROR(INDEX(dEtapa!$A$2:$A$6,MATCH(N134,dEtapa!$B$2:$B$6,0)),"Sin etapa")</f>
        <v>Gobernada</v>
      </c>
      <c r="Q134" s="9" t="n">
        <f aca="false">IF(L134="Si",1,0)</f>
        <v>1</v>
      </c>
      <c r="R134" s="9" t="n">
        <f aca="false">IF(ISNUMBER(SEARCH("CRITERIO",N134)),1,0)</f>
        <v>0</v>
      </c>
      <c r="S134" s="9" t="str">
        <f aca="false">IF(E134="","Sin dato",LEFT(E134,1))</f>
        <v>E</v>
      </c>
      <c r="T134" s="9" t="n">
        <f aca="false">IFERROR(INDEX(dCriticidad!$G$2:$G$7,MATCH(S134,dCriticidad!$A$2:$A$7,0)),0)</f>
        <v>0</v>
      </c>
      <c r="U134" s="9" t="n">
        <f aca="false">IF(OR(LEFT(C134,3)="GI0",LEFT(C134,3)="GA0"),1,0)</f>
        <v>0</v>
      </c>
      <c r="V134" s="9" t="str">
        <f aca="false">IF(G134="","Sin dato (ID GI)",TRIM(G134))</f>
        <v>Ciberseguridad</v>
      </c>
      <c r="W134" s="9" t="str">
        <f aca="false">IF(F134="","Sin dato",F134)</f>
        <v>Nube</v>
      </c>
      <c r="X134" s="9" t="n">
        <f aca="false">IF(M134="","",YEAR(M134))</f>
        <v>2026</v>
      </c>
      <c r="Y134" s="10" t="n">
        <f aca="false">IF(M134="","",DATE(YEAR(M134),MONTH(M134),1))</f>
        <v>46054</v>
      </c>
      <c r="Z134" s="9" t="n">
        <f aca="false">IF(AND(Q134=0,COUNTIF(dDuplicadosGI!$A$2:$A$60,C134)&gt;0),1,0)</f>
        <v>0</v>
      </c>
      <c r="AA134" s="9" t="n">
        <f aca="false">IF(Q134=0,1,0)</f>
        <v>0</v>
      </c>
    </row>
    <row r="135" customFormat="false" ht="15" hidden="false" customHeight="false" outlineLevel="0" collapsed="false">
      <c r="A135" s="7" t="n">
        <v>134</v>
      </c>
      <c r="B135" s="7" t="s">
        <v>654</v>
      </c>
      <c r="C135" s="7" t="s">
        <v>655</v>
      </c>
      <c r="D135" s="7" t="s">
        <v>656</v>
      </c>
      <c r="E135" s="7" t="s">
        <v>119</v>
      </c>
      <c r="F135" s="7" t="s">
        <v>82</v>
      </c>
      <c r="G135" s="7" t="s">
        <v>657</v>
      </c>
      <c r="H135" s="7" t="s">
        <v>147</v>
      </c>
      <c r="I135" s="7" t="s">
        <v>351</v>
      </c>
      <c r="J135" s="7" t="s">
        <v>658</v>
      </c>
      <c r="K135" s="7" t="s">
        <v>87</v>
      </c>
      <c r="L135" s="7" t="s">
        <v>88</v>
      </c>
      <c r="M135" s="8" t="n">
        <v>45199</v>
      </c>
      <c r="N135" s="7" t="s">
        <v>89</v>
      </c>
      <c r="O135" s="9" t="n">
        <f aca="false">IF(COUNTIFS($B$2:B135,B135,$C$2:C135,C135)=1,1,0)</f>
        <v>1</v>
      </c>
      <c r="P135" s="9" t="str">
        <f aca="false">IFERROR(INDEX(dEtapa!$A$2:$A$6,MATCH(N135,dEtapa!$B$2:$B$6,0)),"Sin etapa")</f>
        <v>Gobernada</v>
      </c>
      <c r="Q135" s="9" t="n">
        <f aca="false">IF(L135="Si",1,0)</f>
        <v>1</v>
      </c>
      <c r="R135" s="9" t="n">
        <f aca="false">IF(ISNUMBER(SEARCH("CRITERIO",N135)),1,0)</f>
        <v>0</v>
      </c>
      <c r="S135" s="9" t="str">
        <f aca="false">IF(E135="","Sin dato",LEFT(E135,1))</f>
        <v>E</v>
      </c>
      <c r="T135" s="9" t="n">
        <f aca="false">IFERROR(INDEX(dCriticidad!$G$2:$G$7,MATCH(S135,dCriticidad!$A$2:$A$7,0)),0)</f>
        <v>0</v>
      </c>
      <c r="U135" s="9" t="n">
        <f aca="false">IF(OR(LEFT(C135,3)="GI0",LEFT(C135,3)="GA0"),1,0)</f>
        <v>0</v>
      </c>
      <c r="V135" s="9" t="str">
        <f aca="false">IF(G135="","Sin dato (ID GI)",TRIM(G135))</f>
        <v>PLATAFORMA</v>
      </c>
      <c r="W135" s="9" t="str">
        <f aca="false">IF(F135="","Sin dato",F135)</f>
        <v>On Premise</v>
      </c>
      <c r="X135" s="9" t="n">
        <f aca="false">IF(M135="","",YEAR(M135))</f>
        <v>2023</v>
      </c>
      <c r="Y135" s="10" t="n">
        <f aca="false">IF(M135="","",DATE(YEAR(M135),MONTH(M135),1))</f>
        <v>45170</v>
      </c>
      <c r="Z135" s="9" t="n">
        <f aca="false">IF(AND(Q135=0,COUNTIF(dDuplicadosGI!$A$2:$A$60,C135)&gt;0),1,0)</f>
        <v>0</v>
      </c>
      <c r="AA135" s="9" t="n">
        <f aca="false">IF(Q135=0,1,0)</f>
        <v>0</v>
      </c>
    </row>
    <row r="136" customFormat="false" ht="15" hidden="false" customHeight="false" outlineLevel="0" collapsed="false">
      <c r="A136" s="7" t="n">
        <v>135</v>
      </c>
      <c r="B136" s="7" t="s">
        <v>659</v>
      </c>
      <c r="C136" s="7" t="s">
        <v>660</v>
      </c>
      <c r="D136" s="7" t="s">
        <v>661</v>
      </c>
      <c r="E136" s="7" t="s">
        <v>145</v>
      </c>
      <c r="F136" s="7" t="s">
        <v>82</v>
      </c>
      <c r="G136" s="7" t="s">
        <v>362</v>
      </c>
      <c r="H136" s="7" t="s">
        <v>363</v>
      </c>
      <c r="I136" s="7" t="s">
        <v>364</v>
      </c>
      <c r="J136" s="7" t="s">
        <v>365</v>
      </c>
      <c r="K136" s="7" t="s">
        <v>87</v>
      </c>
      <c r="L136" s="7" t="s">
        <v>88</v>
      </c>
      <c r="M136" s="8" t="n">
        <v>45200</v>
      </c>
      <c r="N136" s="7" t="s">
        <v>89</v>
      </c>
      <c r="O136" s="9" t="n">
        <f aca="false">IF(COUNTIFS($B$2:B136,B136,$C$2:C136,C136)=1,1,0)</f>
        <v>1</v>
      </c>
      <c r="P136" s="9" t="str">
        <f aca="false">IFERROR(INDEX(dEtapa!$A$2:$A$6,MATCH(N136,dEtapa!$B$2:$B$6,0)),"Sin etapa")</f>
        <v>Gobernada</v>
      </c>
      <c r="Q136" s="9" t="n">
        <f aca="false">IF(L136="Si",1,0)</f>
        <v>1</v>
      </c>
      <c r="R136" s="9" t="n">
        <f aca="false">IF(ISNUMBER(SEARCH("CRITERIO",N136)),1,0)</f>
        <v>0</v>
      </c>
      <c r="S136" s="9" t="str">
        <f aca="false">IF(E136="","Sin dato",LEFT(E136,1))</f>
        <v>B</v>
      </c>
      <c r="T136" s="9" t="n">
        <f aca="false">IFERROR(INDEX(dCriticidad!$G$2:$G$7,MATCH(S136,dCriticidad!$A$2:$A$7,0)),0)</f>
        <v>1</v>
      </c>
      <c r="U136" s="9" t="n">
        <f aca="false">IF(OR(LEFT(C136,3)="GI0",LEFT(C136,3)="GA0"),1,0)</f>
        <v>0</v>
      </c>
      <c r="V136" s="9" t="str">
        <f aca="false">IF(G136="","Sin dato (ID GI)",TRIM(G136))</f>
        <v>COE_TRANSFORMACION_PROCESOS</v>
      </c>
      <c r="W136" s="9" t="str">
        <f aca="false">IF(F136="","Sin dato",F136)</f>
        <v>On Premise</v>
      </c>
      <c r="X136" s="9" t="n">
        <f aca="false">IF(M136="","",YEAR(M136))</f>
        <v>2023</v>
      </c>
      <c r="Y136" s="10" t="n">
        <f aca="false">IF(M136="","",DATE(YEAR(M136),MONTH(M136),1))</f>
        <v>45200</v>
      </c>
      <c r="Z136" s="9" t="n">
        <f aca="false">IF(AND(Q136=0,COUNTIF(dDuplicadosGI!$A$2:$A$60,C136)&gt;0),1,0)</f>
        <v>0</v>
      </c>
      <c r="AA136" s="9" t="n">
        <f aca="false">IF(Q136=0,1,0)</f>
        <v>0</v>
      </c>
    </row>
    <row r="137" customFormat="false" ht="15" hidden="false" customHeight="false" outlineLevel="0" collapsed="false">
      <c r="A137" s="7" t="n">
        <v>136</v>
      </c>
      <c r="B137" s="7" t="s">
        <v>662</v>
      </c>
      <c r="C137" s="7" t="s">
        <v>663</v>
      </c>
      <c r="D137" s="7" t="s">
        <v>664</v>
      </c>
      <c r="E137" s="7" t="s">
        <v>145</v>
      </c>
      <c r="F137" s="7" t="s">
        <v>82</v>
      </c>
      <c r="G137" s="7" t="s">
        <v>146</v>
      </c>
      <c r="H137" s="7" t="s">
        <v>148</v>
      </c>
      <c r="I137" s="7" t="s">
        <v>148</v>
      </c>
      <c r="J137" s="7" t="s">
        <v>665</v>
      </c>
      <c r="K137" s="7" t="s">
        <v>108</v>
      </c>
      <c r="L137" s="7" t="s">
        <v>88</v>
      </c>
      <c r="M137" s="8" t="n">
        <v>46197</v>
      </c>
      <c r="N137" s="7" t="s">
        <v>89</v>
      </c>
      <c r="O137" s="9" t="n">
        <f aca="false">IF(COUNTIFS($B$2:B137,B137,$C$2:C137,C137)=1,1,0)</f>
        <v>1</v>
      </c>
      <c r="P137" s="9" t="str">
        <f aca="false">IFERROR(INDEX(dEtapa!$A$2:$A$6,MATCH(N137,dEtapa!$B$2:$B$6,0)),"Sin etapa")</f>
        <v>Gobernada</v>
      </c>
      <c r="Q137" s="9" t="n">
        <f aca="false">IF(L137="Si",1,0)</f>
        <v>1</v>
      </c>
      <c r="R137" s="9" t="n">
        <f aca="false">IF(ISNUMBER(SEARCH("CRITERIO",N137)),1,0)</f>
        <v>0</v>
      </c>
      <c r="S137" s="9" t="str">
        <f aca="false">IF(E137="","Sin dato",LEFT(E137,1))</f>
        <v>B</v>
      </c>
      <c r="T137" s="9" t="n">
        <f aca="false">IFERROR(INDEX(dCriticidad!$G$2:$G$7,MATCH(S137,dCriticidad!$A$2:$A$7,0)),0)</f>
        <v>1</v>
      </c>
      <c r="U137" s="9" t="n">
        <f aca="false">IF(OR(LEFT(C137,3)="GI0",LEFT(C137,3)="GA0"),1,0)</f>
        <v>0</v>
      </c>
      <c r="V137" s="9" t="str">
        <f aca="false">IF(G137="","Sin dato (ID GI)",TRIM(G137))</f>
        <v>Tribu_Integraciones_Apis</v>
      </c>
      <c r="W137" s="9" t="str">
        <f aca="false">IF(F137="","Sin dato",F137)</f>
        <v>On Premise</v>
      </c>
      <c r="X137" s="9" t="n">
        <f aca="false">IF(M137="","",YEAR(M137))</f>
        <v>2026</v>
      </c>
      <c r="Y137" s="10" t="n">
        <f aca="false">IF(M137="","",DATE(YEAR(M137),MONTH(M137),1))</f>
        <v>46174</v>
      </c>
      <c r="Z137" s="9" t="n">
        <f aca="false">IF(AND(Q137=0,COUNTIF(dDuplicadosGI!$A$2:$A$60,C137)&gt;0),1,0)</f>
        <v>0</v>
      </c>
      <c r="AA137" s="9" t="n">
        <f aca="false">IF(Q137=0,1,0)</f>
        <v>0</v>
      </c>
    </row>
    <row r="138" customFormat="false" ht="15" hidden="false" customHeight="false" outlineLevel="0" collapsed="false">
      <c r="A138" s="7" t="n">
        <v>137</v>
      </c>
      <c r="B138" s="7" t="s">
        <v>666</v>
      </c>
      <c r="C138" s="7" t="s">
        <v>667</v>
      </c>
      <c r="D138" s="7" t="s">
        <v>668</v>
      </c>
      <c r="E138" s="7" t="s">
        <v>119</v>
      </c>
      <c r="F138" s="7" t="s">
        <v>82</v>
      </c>
      <c r="G138" s="7" t="s">
        <v>104</v>
      </c>
      <c r="H138" s="7" t="s">
        <v>105</v>
      </c>
      <c r="I138" s="7" t="s">
        <v>106</v>
      </c>
      <c r="J138" s="7" t="s">
        <v>432</v>
      </c>
      <c r="K138" s="7" t="s">
        <v>108</v>
      </c>
      <c r="L138" s="7" t="s">
        <v>99</v>
      </c>
      <c r="M138" s="8"/>
      <c r="N138" s="7" t="s">
        <v>109</v>
      </c>
      <c r="O138" s="9" t="n">
        <f aca="false">IF(COUNTIFS($B$2:B138,B138,$C$2:C138,C138)=1,1,0)</f>
        <v>1</v>
      </c>
      <c r="P138" s="9" t="str">
        <f aca="false">IFERROR(INDEX(dEtapa!$A$2:$A$6,MATCH(N138,dEtapa!$B$2:$B$6,0)),"Sin etapa")</f>
        <v>Planificada 2027</v>
      </c>
      <c r="Q138" s="9" t="n">
        <f aca="false">IF(L138="Si",1,0)</f>
        <v>0</v>
      </c>
      <c r="R138" s="9" t="n">
        <f aca="false">IF(ISNUMBER(SEARCH("CRITERIO",N138)),1,0)</f>
        <v>0</v>
      </c>
      <c r="S138" s="9" t="str">
        <f aca="false">IF(E138="","Sin dato",LEFT(E138,1))</f>
        <v>E</v>
      </c>
      <c r="T138" s="9" t="n">
        <f aca="false">IFERROR(INDEX(dCriticidad!$G$2:$G$7,MATCH(S138,dCriticidad!$A$2:$A$7,0)),0)</f>
        <v>0</v>
      </c>
      <c r="U138" s="9" t="n">
        <f aca="false">IF(OR(LEFT(C138,3)="GI0",LEFT(C138,3)="GA0"),1,0)</f>
        <v>0</v>
      </c>
      <c r="V138" s="9" t="str">
        <f aca="false">IF(G138="","Sin dato (ID GI)",TRIM(G138))</f>
        <v>INFRAESTRUCTURA</v>
      </c>
      <c r="W138" s="9" t="str">
        <f aca="false">IF(F138="","Sin dato",F138)</f>
        <v>On Premise</v>
      </c>
      <c r="X138" s="9" t="str">
        <f aca="false">IF(M138="","",YEAR(M138))</f>
        <v/>
      </c>
      <c r="Y138" s="10" t="str">
        <f aca="false">IF(M138="","",DATE(YEAR(M138),MONTH(M138),1))</f>
        <v/>
      </c>
      <c r="Z138" s="9" t="n">
        <f aca="false">IF(AND(Q138=0,COUNTIF(dDuplicadosGI!$A$2:$A$60,C138)&gt;0),1,0)</f>
        <v>0</v>
      </c>
      <c r="AA138" s="9" t="n">
        <f aca="false">IF(Q138=0,1,0)</f>
        <v>1</v>
      </c>
    </row>
    <row r="139" customFormat="false" ht="15" hidden="false" customHeight="false" outlineLevel="0" collapsed="false">
      <c r="A139" s="7" t="n">
        <v>138</v>
      </c>
      <c r="B139" s="7" t="s">
        <v>669</v>
      </c>
      <c r="C139" s="7" t="s">
        <v>670</v>
      </c>
      <c r="D139" s="11" t="s">
        <v>671</v>
      </c>
      <c r="E139" s="7" t="s">
        <v>119</v>
      </c>
      <c r="F139" s="7" t="s">
        <v>94</v>
      </c>
      <c r="G139" s="7" t="s">
        <v>451</v>
      </c>
      <c r="H139" s="7" t="s">
        <v>672</v>
      </c>
      <c r="I139" s="7" t="s">
        <v>673</v>
      </c>
      <c r="J139" s="7" t="s">
        <v>128</v>
      </c>
      <c r="K139" s="7" t="s">
        <v>98</v>
      </c>
      <c r="L139" s="7" t="s">
        <v>99</v>
      </c>
      <c r="M139" s="8"/>
      <c r="N139" s="7" t="s">
        <v>109</v>
      </c>
      <c r="O139" s="9" t="n">
        <f aca="false">IF(COUNTIFS($B$2:B139,B139,$C$2:C139,C139)=1,1,0)</f>
        <v>1</v>
      </c>
      <c r="P139" s="9" t="str">
        <f aca="false">IFERROR(INDEX(dEtapa!$A$2:$A$6,MATCH(N139,dEtapa!$B$2:$B$6,0)),"Sin etapa")</f>
        <v>Planificada 2027</v>
      </c>
      <c r="Q139" s="9" t="n">
        <f aca="false">IF(L139="Si",1,0)</f>
        <v>0</v>
      </c>
      <c r="R139" s="9" t="n">
        <f aca="false">IF(ISNUMBER(SEARCH("CRITERIO",N139)),1,0)</f>
        <v>0</v>
      </c>
      <c r="S139" s="9" t="str">
        <f aca="false">IF(E139="","Sin dato",LEFT(E139,1))</f>
        <v>E</v>
      </c>
      <c r="T139" s="9" t="n">
        <f aca="false">IFERROR(INDEX(dCriticidad!$G$2:$G$7,MATCH(S139,dCriticidad!$A$2:$A$7,0)),0)</f>
        <v>0</v>
      </c>
      <c r="U139" s="9" t="n">
        <f aca="false">IF(OR(LEFT(C139,3)="GI0",LEFT(C139,3)="GA0"),1,0)</f>
        <v>0</v>
      </c>
      <c r="V139" s="9" t="str">
        <f aca="false">IF(G139="","Sin dato (ID GI)",TRIM(G139))</f>
        <v>COE de Ingeniería</v>
      </c>
      <c r="W139" s="9" t="str">
        <f aca="false">IF(F139="","Sin dato",F139)</f>
        <v>Nube</v>
      </c>
      <c r="X139" s="9" t="str">
        <f aca="false">IF(M139="","",YEAR(M139))</f>
        <v/>
      </c>
      <c r="Y139" s="10" t="str">
        <f aca="false">IF(M139="","",DATE(YEAR(M139),MONTH(M139),1))</f>
        <v/>
      </c>
      <c r="Z139" s="9" t="n">
        <f aca="false">IF(AND(Q139=0,COUNTIF(dDuplicadosGI!$A$2:$A$60,C139)&gt;0),1,0)</f>
        <v>0</v>
      </c>
      <c r="AA139" s="9" t="n">
        <f aca="false">IF(Q139=0,1,0)</f>
        <v>1</v>
      </c>
    </row>
    <row r="140" customFormat="false" ht="15" hidden="false" customHeight="false" outlineLevel="0" collapsed="false">
      <c r="A140" s="7" t="n">
        <v>139</v>
      </c>
      <c r="B140" s="7" t="s">
        <v>674</v>
      </c>
      <c r="C140" s="7" t="s">
        <v>675</v>
      </c>
      <c r="D140" s="7"/>
      <c r="E140" s="7" t="s">
        <v>113</v>
      </c>
      <c r="F140" s="7" t="s">
        <v>94</v>
      </c>
      <c r="G140" s="7" t="s">
        <v>125</v>
      </c>
      <c r="H140" s="7" t="s">
        <v>126</v>
      </c>
      <c r="I140" s="7" t="s">
        <v>278</v>
      </c>
      <c r="J140" s="7" t="s">
        <v>279</v>
      </c>
      <c r="K140" s="7" t="s">
        <v>87</v>
      </c>
      <c r="L140" s="7" t="s">
        <v>88</v>
      </c>
      <c r="M140" s="8" t="n">
        <v>45404</v>
      </c>
      <c r="N140" s="7" t="s">
        <v>89</v>
      </c>
      <c r="O140" s="9" t="n">
        <f aca="false">IF(COUNTIFS($B$2:B140,B140,$C$2:C140,C140)=1,1,0)</f>
        <v>1</v>
      </c>
      <c r="P140" s="9" t="str">
        <f aca="false">IFERROR(INDEX(dEtapa!$A$2:$A$6,MATCH(N140,dEtapa!$B$2:$B$6,0)),"Sin etapa")</f>
        <v>Gobernada</v>
      </c>
      <c r="Q140" s="9" t="n">
        <f aca="false">IF(L140="Si",1,0)</f>
        <v>1</v>
      </c>
      <c r="R140" s="9" t="n">
        <f aca="false">IF(ISNUMBER(SEARCH("CRITERIO",N140)),1,0)</f>
        <v>0</v>
      </c>
      <c r="S140" s="9" t="str">
        <f aca="false">IF(E140="","Sin dato",LEFT(E140,1))</f>
        <v>C</v>
      </c>
      <c r="T140" s="9" t="n">
        <f aca="false">IFERROR(INDEX(dCriticidad!$G$2:$G$7,MATCH(S140,dCriticidad!$A$2:$A$7,0)),0)</f>
        <v>1</v>
      </c>
      <c r="U140" s="9" t="n">
        <f aca="false">IF(OR(LEFT(C140,3)="GI0",LEFT(C140,3)="GA0"),1,0)</f>
        <v>0</v>
      </c>
      <c r="V140" s="9" t="str">
        <f aca="false">IF(G140="","Sin dato (ID GI)",TRIM(G140))</f>
        <v>Negocios y Monetización</v>
      </c>
      <c r="W140" s="9" t="str">
        <f aca="false">IF(F140="","Sin dato",F140)</f>
        <v>Nube</v>
      </c>
      <c r="X140" s="9" t="n">
        <f aca="false">IF(M140="","",YEAR(M140))</f>
        <v>2024</v>
      </c>
      <c r="Y140" s="10" t="n">
        <f aca="false">IF(M140="","",DATE(YEAR(M140),MONTH(M140),1))</f>
        <v>45383</v>
      </c>
      <c r="Z140" s="9" t="n">
        <f aca="false">IF(AND(Q140=0,COUNTIF(dDuplicadosGI!$A$2:$A$60,C140)&gt;0),1,0)</f>
        <v>0</v>
      </c>
      <c r="AA140" s="9" t="n">
        <f aca="false">IF(Q140=0,1,0)</f>
        <v>0</v>
      </c>
    </row>
    <row r="141" customFormat="false" ht="15" hidden="false" customHeight="false" outlineLevel="0" collapsed="false">
      <c r="A141" s="7" t="n">
        <v>140</v>
      </c>
      <c r="B141" s="7" t="s">
        <v>676</v>
      </c>
      <c r="C141" s="7" t="s">
        <v>677</v>
      </c>
      <c r="D141" s="7"/>
      <c r="E141" s="7" t="s">
        <v>145</v>
      </c>
      <c r="F141" s="7" t="s">
        <v>82</v>
      </c>
      <c r="G141" s="7" t="s">
        <v>166</v>
      </c>
      <c r="H141" s="7" t="s">
        <v>188</v>
      </c>
      <c r="I141" s="7" t="s">
        <v>168</v>
      </c>
      <c r="J141" s="7" t="s">
        <v>169</v>
      </c>
      <c r="K141" s="7" t="s">
        <v>170</v>
      </c>
      <c r="L141" s="7" t="s">
        <v>88</v>
      </c>
      <c r="M141" s="8" t="n">
        <v>45786</v>
      </c>
      <c r="N141" s="7" t="s">
        <v>89</v>
      </c>
      <c r="O141" s="9" t="n">
        <f aca="false">IF(COUNTIFS($B$2:B141,B141,$C$2:C141,C141)=1,1,0)</f>
        <v>1</v>
      </c>
      <c r="P141" s="9" t="str">
        <f aca="false">IFERROR(INDEX(dEtapa!$A$2:$A$6,MATCH(N141,dEtapa!$B$2:$B$6,0)),"Sin etapa")</f>
        <v>Gobernada</v>
      </c>
      <c r="Q141" s="9" t="n">
        <f aca="false">IF(L141="Si",1,0)</f>
        <v>1</v>
      </c>
      <c r="R141" s="9" t="n">
        <f aca="false">IF(ISNUMBER(SEARCH("CRITERIO",N141)),1,0)</f>
        <v>0</v>
      </c>
      <c r="S141" s="9" t="str">
        <f aca="false">IF(E141="","Sin dato",LEFT(E141,1))</f>
        <v>B</v>
      </c>
      <c r="T141" s="9" t="n">
        <f aca="false">IFERROR(INDEX(dCriticidad!$G$2:$G$7,MATCH(S141,dCriticidad!$A$2:$A$7,0)),0)</f>
        <v>1</v>
      </c>
      <c r="U141" s="9" t="n">
        <f aca="false">IF(OR(LEFT(C141,3)="GI0",LEFT(C141,3)="GA0"),1,0)</f>
        <v>0</v>
      </c>
      <c r="V141" s="9" t="str">
        <f aca="false">IF(G141="","Sin dato (ID GI)",TRIM(G141))</f>
        <v>Ciberseguridad</v>
      </c>
      <c r="W141" s="9" t="str">
        <f aca="false">IF(F141="","Sin dato",F141)</f>
        <v>On Premise</v>
      </c>
      <c r="X141" s="9" t="n">
        <f aca="false">IF(M141="","",YEAR(M141))</f>
        <v>2025</v>
      </c>
      <c r="Y141" s="10" t="n">
        <f aca="false">IF(M141="","",DATE(YEAR(M141),MONTH(M141),1))</f>
        <v>45778</v>
      </c>
      <c r="Z141" s="9" t="n">
        <f aca="false">IF(AND(Q141=0,COUNTIF(dDuplicadosGI!$A$2:$A$60,C141)&gt;0),1,0)</f>
        <v>0</v>
      </c>
      <c r="AA141" s="9" t="n">
        <f aca="false">IF(Q141=0,1,0)</f>
        <v>0</v>
      </c>
    </row>
    <row r="142" customFormat="false" ht="15" hidden="false" customHeight="false" outlineLevel="0" collapsed="false">
      <c r="A142" s="7" t="n">
        <v>141</v>
      </c>
      <c r="B142" s="7" t="s">
        <v>678</v>
      </c>
      <c r="C142" s="7" t="s">
        <v>679</v>
      </c>
      <c r="D142" s="7" t="s">
        <v>680</v>
      </c>
      <c r="E142" s="7" t="s">
        <v>119</v>
      </c>
      <c r="F142" s="7" t="s">
        <v>94</v>
      </c>
      <c r="G142" s="7" t="s">
        <v>192</v>
      </c>
      <c r="H142" s="7" t="s">
        <v>193</v>
      </c>
      <c r="I142" s="7" t="s">
        <v>238</v>
      </c>
      <c r="J142" s="7" t="s">
        <v>239</v>
      </c>
      <c r="K142" s="7" t="s">
        <v>98</v>
      </c>
      <c r="L142" s="7" t="s">
        <v>99</v>
      </c>
      <c r="M142" s="8"/>
      <c r="N142" s="7" t="s">
        <v>109</v>
      </c>
      <c r="O142" s="9" t="n">
        <f aca="false">IF(COUNTIFS($B$2:B142,B142,$C$2:C142,C142)=1,1,0)</f>
        <v>1</v>
      </c>
      <c r="P142" s="9" t="str">
        <f aca="false">IFERROR(INDEX(dEtapa!$A$2:$A$6,MATCH(N142,dEtapa!$B$2:$B$6,0)),"Sin etapa")</f>
        <v>Planificada 2027</v>
      </c>
      <c r="Q142" s="9" t="n">
        <f aca="false">IF(L142="Si",1,0)</f>
        <v>0</v>
      </c>
      <c r="R142" s="9" t="n">
        <f aca="false">IF(ISNUMBER(SEARCH("CRITERIO",N142)),1,0)</f>
        <v>0</v>
      </c>
      <c r="S142" s="9" t="str">
        <f aca="false">IF(E142="","Sin dato",LEFT(E142,1))</f>
        <v>E</v>
      </c>
      <c r="T142" s="9" t="n">
        <f aca="false">IFERROR(INDEX(dCriticidad!$G$2:$G$7,MATCH(S142,dCriticidad!$A$2:$A$7,0)),0)</f>
        <v>0</v>
      </c>
      <c r="U142" s="9" t="n">
        <f aca="false">IF(OR(LEFT(C142,3)="GI0",LEFT(C142,3)="GA0"),1,0)</f>
        <v>0</v>
      </c>
      <c r="V142" s="9" t="str">
        <f aca="false">IF(G142="","Sin dato (ID GI)",TRIM(G142))</f>
        <v>AREAS_DE_APOYO</v>
      </c>
      <c r="W142" s="9" t="str">
        <f aca="false">IF(F142="","Sin dato",F142)</f>
        <v>Nube</v>
      </c>
      <c r="X142" s="9" t="str">
        <f aca="false">IF(M142="","",YEAR(M142))</f>
        <v/>
      </c>
      <c r="Y142" s="10" t="str">
        <f aca="false">IF(M142="","",DATE(YEAR(M142),MONTH(M142),1))</f>
        <v/>
      </c>
      <c r="Z142" s="9" t="n">
        <f aca="false">IF(AND(Q142=0,COUNTIF(dDuplicadosGI!$A$2:$A$60,C142)&gt;0),1,0)</f>
        <v>0</v>
      </c>
      <c r="AA142" s="9" t="n">
        <f aca="false">IF(Q142=0,1,0)</f>
        <v>1</v>
      </c>
    </row>
    <row r="143" customFormat="false" ht="15" hidden="false" customHeight="false" outlineLevel="0" collapsed="false">
      <c r="A143" s="7" t="n">
        <v>142</v>
      </c>
      <c r="B143" s="7" t="s">
        <v>681</v>
      </c>
      <c r="C143" s="7" t="s">
        <v>682</v>
      </c>
      <c r="D143" s="7"/>
      <c r="E143" s="7" t="s">
        <v>119</v>
      </c>
      <c r="F143" s="7" t="s">
        <v>94</v>
      </c>
      <c r="G143" s="7" t="s">
        <v>253</v>
      </c>
      <c r="H143" s="7" t="s">
        <v>254</v>
      </c>
      <c r="I143" s="7" t="s">
        <v>683</v>
      </c>
      <c r="J143" s="7" t="s">
        <v>439</v>
      </c>
      <c r="K143" s="7"/>
      <c r="L143" s="7" t="s">
        <v>99</v>
      </c>
      <c r="M143" s="8"/>
      <c r="N143" s="7" t="s">
        <v>109</v>
      </c>
      <c r="O143" s="9" t="n">
        <f aca="false">IF(COUNTIFS($B$2:B143,B143,$C$2:C143,C143)=1,1,0)</f>
        <v>1</v>
      </c>
      <c r="P143" s="9" t="str">
        <f aca="false">IFERROR(INDEX(dEtapa!$A$2:$A$6,MATCH(N143,dEtapa!$B$2:$B$6,0)),"Sin etapa")</f>
        <v>Planificada 2027</v>
      </c>
      <c r="Q143" s="9" t="n">
        <f aca="false">IF(L143="Si",1,0)</f>
        <v>0</v>
      </c>
      <c r="R143" s="9" t="n">
        <f aca="false">IF(ISNUMBER(SEARCH("CRITERIO",N143)),1,0)</f>
        <v>0</v>
      </c>
      <c r="S143" s="9" t="str">
        <f aca="false">IF(E143="","Sin dato",LEFT(E143,1))</f>
        <v>E</v>
      </c>
      <c r="T143" s="9" t="n">
        <f aca="false">IFERROR(INDEX(dCriticidad!$G$2:$G$7,MATCH(S143,dCriticidad!$A$2:$A$7,0)),0)</f>
        <v>0</v>
      </c>
      <c r="U143" s="9" t="n">
        <f aca="false">IF(OR(LEFT(C143,3)="GI0",LEFT(C143,3)="GA0"),1,0)</f>
        <v>0</v>
      </c>
      <c r="V143" s="9" t="str">
        <f aca="false">IF(G143="","Sin dato (ID GI)",TRIM(G143))</f>
        <v>Tribu Administración de Créditos</v>
      </c>
      <c r="W143" s="9" t="str">
        <f aca="false">IF(F143="","Sin dato",F143)</f>
        <v>Nube</v>
      </c>
      <c r="X143" s="9" t="str">
        <f aca="false">IF(M143="","",YEAR(M143))</f>
        <v/>
      </c>
      <c r="Y143" s="10" t="str">
        <f aca="false">IF(M143="","",DATE(YEAR(M143),MONTH(M143),1))</f>
        <v/>
      </c>
      <c r="Z143" s="9" t="n">
        <f aca="false">IF(AND(Q143=0,COUNTIF(dDuplicadosGI!$A$2:$A$60,C143)&gt;0),1,0)</f>
        <v>0</v>
      </c>
      <c r="AA143" s="9" t="n">
        <f aca="false">IF(Q143=0,1,0)</f>
        <v>1</v>
      </c>
    </row>
    <row r="144" customFormat="false" ht="15" hidden="false" customHeight="false" outlineLevel="0" collapsed="false">
      <c r="A144" s="7" t="n">
        <v>143</v>
      </c>
      <c r="B144" s="7" t="s">
        <v>684</v>
      </c>
      <c r="C144" s="7" t="s">
        <v>685</v>
      </c>
      <c r="D144" s="7" t="s">
        <v>684</v>
      </c>
      <c r="E144" s="7" t="s">
        <v>81</v>
      </c>
      <c r="F144" s="7" t="s">
        <v>82</v>
      </c>
      <c r="G144" s="7"/>
      <c r="H144" s="7"/>
      <c r="I144" s="7"/>
      <c r="J144" s="7"/>
      <c r="K144" s="7" t="s">
        <v>87</v>
      </c>
      <c r="L144" s="7" t="s">
        <v>88</v>
      </c>
      <c r="M144" s="8" t="n">
        <v>45200</v>
      </c>
      <c r="N144" s="7" t="s">
        <v>89</v>
      </c>
      <c r="O144" s="9" t="n">
        <f aca="false">IF(COUNTIFS($B$2:B144,B144,$C$2:C144,C144)=1,1,0)</f>
        <v>1</v>
      </c>
      <c r="P144" s="9" t="str">
        <f aca="false">IFERROR(INDEX(dEtapa!$A$2:$A$6,MATCH(N144,dEtapa!$B$2:$B$6,0)),"Sin etapa")</f>
        <v>Gobernada</v>
      </c>
      <c r="Q144" s="9" t="n">
        <f aca="false">IF(L144="Si",1,0)</f>
        <v>1</v>
      </c>
      <c r="R144" s="9" t="n">
        <f aca="false">IF(ISNUMBER(SEARCH("CRITERIO",N144)),1,0)</f>
        <v>0</v>
      </c>
      <c r="S144" s="9" t="str">
        <f aca="false">IF(E144="","Sin dato",LEFT(E144,1))</f>
        <v>A</v>
      </c>
      <c r="T144" s="9" t="n">
        <f aca="false">IFERROR(INDEX(dCriticidad!$G$2:$G$7,MATCH(S144,dCriticidad!$A$2:$A$7,0)),0)</f>
        <v>1</v>
      </c>
      <c r="U144" s="9" t="n">
        <f aca="false">IF(OR(LEFT(C144,3)="GI0",LEFT(C144,3)="GA0"),1,0)</f>
        <v>1</v>
      </c>
      <c r="V144" s="9" t="str">
        <f aca="false">IF(G144="","Sin dato (ID GI)",TRIM(G144))</f>
        <v>Sin dato (ID GI)</v>
      </c>
      <c r="W144" s="9" t="str">
        <f aca="false">IF(F144="","Sin dato",F144)</f>
        <v>On Premise</v>
      </c>
      <c r="X144" s="9" t="n">
        <f aca="false">IF(M144="","",YEAR(M144))</f>
        <v>2023</v>
      </c>
      <c r="Y144" s="10" t="n">
        <f aca="false">IF(M144="","",DATE(YEAR(M144),MONTH(M144),1))</f>
        <v>45200</v>
      </c>
      <c r="Z144" s="9" t="n">
        <f aca="false">IF(AND(Q144=0,COUNTIF(dDuplicadosGI!$A$2:$A$60,C144)&gt;0),1,0)</f>
        <v>0</v>
      </c>
      <c r="AA144" s="9" t="n">
        <f aca="false">IF(Q144=0,1,0)</f>
        <v>0</v>
      </c>
    </row>
    <row r="145" customFormat="false" ht="15" hidden="false" customHeight="false" outlineLevel="0" collapsed="false">
      <c r="A145" s="7" t="n">
        <v>144</v>
      </c>
      <c r="B145" s="7" t="s">
        <v>686</v>
      </c>
      <c r="C145" s="7" t="s">
        <v>687</v>
      </c>
      <c r="D145" s="7" t="s">
        <v>688</v>
      </c>
      <c r="E145" s="7" t="s">
        <v>119</v>
      </c>
      <c r="F145" s="7" t="s">
        <v>94</v>
      </c>
      <c r="G145" s="7"/>
      <c r="H145" s="7"/>
      <c r="I145" s="7"/>
      <c r="J145" s="7"/>
      <c r="K145" s="7"/>
      <c r="L145" s="7" t="s">
        <v>88</v>
      </c>
      <c r="M145" s="8" t="n">
        <v>45854</v>
      </c>
      <c r="N145" s="7" t="s">
        <v>89</v>
      </c>
      <c r="O145" s="9" t="n">
        <f aca="false">IF(COUNTIFS($B$2:B145,B145,$C$2:C145,C145)=1,1,0)</f>
        <v>1</v>
      </c>
      <c r="P145" s="9" t="str">
        <f aca="false">IFERROR(INDEX(dEtapa!$A$2:$A$6,MATCH(N145,dEtapa!$B$2:$B$6,0)),"Sin etapa")</f>
        <v>Gobernada</v>
      </c>
      <c r="Q145" s="9" t="n">
        <f aca="false">IF(L145="Si",1,0)</f>
        <v>1</v>
      </c>
      <c r="R145" s="9" t="n">
        <f aca="false">IF(ISNUMBER(SEARCH("CRITERIO",N145)),1,0)</f>
        <v>0</v>
      </c>
      <c r="S145" s="9" t="str">
        <f aca="false">IF(E145="","Sin dato",LEFT(E145,1))</f>
        <v>E</v>
      </c>
      <c r="T145" s="9" t="n">
        <f aca="false">IFERROR(INDEX(dCriticidad!$G$2:$G$7,MATCH(S145,dCriticidad!$A$2:$A$7,0)),0)</f>
        <v>0</v>
      </c>
      <c r="U145" s="9" t="n">
        <f aca="false">IF(OR(LEFT(C145,3)="GI0",LEFT(C145,3)="GA0"),1,0)</f>
        <v>1</v>
      </c>
      <c r="V145" s="9" t="str">
        <f aca="false">IF(G145="","Sin dato (ID GI)",TRIM(G145))</f>
        <v>Sin dato (ID GI)</v>
      </c>
      <c r="W145" s="9" t="str">
        <f aca="false">IF(F145="","Sin dato",F145)</f>
        <v>Nube</v>
      </c>
      <c r="X145" s="9" t="n">
        <f aca="false">IF(M145="","",YEAR(M145))</f>
        <v>2025</v>
      </c>
      <c r="Y145" s="10" t="n">
        <f aca="false">IF(M145="","",DATE(YEAR(M145),MONTH(M145),1))</f>
        <v>45839</v>
      </c>
      <c r="Z145" s="9" t="n">
        <f aca="false">IF(AND(Q145=0,COUNTIF(dDuplicadosGI!$A$2:$A$60,C145)&gt;0),1,0)</f>
        <v>0</v>
      </c>
      <c r="AA145" s="9" t="n">
        <f aca="false">IF(Q145=0,1,0)</f>
        <v>0</v>
      </c>
    </row>
    <row r="146" customFormat="false" ht="15" hidden="false" customHeight="false" outlineLevel="0" collapsed="false">
      <c r="A146" s="7" t="n">
        <v>145</v>
      </c>
      <c r="B146" s="7" t="s">
        <v>689</v>
      </c>
      <c r="C146" s="7" t="s">
        <v>690</v>
      </c>
      <c r="D146" s="7" t="s">
        <v>689</v>
      </c>
      <c r="E146" s="7" t="s">
        <v>81</v>
      </c>
      <c r="F146" s="7" t="s">
        <v>82</v>
      </c>
      <c r="G146" s="7"/>
      <c r="H146" s="7"/>
      <c r="I146" s="7"/>
      <c r="J146" s="7"/>
      <c r="K146" s="7"/>
      <c r="L146" s="7" t="s">
        <v>88</v>
      </c>
      <c r="M146" s="8" t="n">
        <v>45200</v>
      </c>
      <c r="N146" s="7" t="s">
        <v>89</v>
      </c>
      <c r="O146" s="9" t="n">
        <f aca="false">IF(COUNTIFS($B$2:B146,B146,$C$2:C146,C146)=1,1,0)</f>
        <v>1</v>
      </c>
      <c r="P146" s="9" t="str">
        <f aca="false">IFERROR(INDEX(dEtapa!$A$2:$A$6,MATCH(N146,dEtapa!$B$2:$B$6,0)),"Sin etapa")</f>
        <v>Gobernada</v>
      </c>
      <c r="Q146" s="9" t="n">
        <f aca="false">IF(L146="Si",1,0)</f>
        <v>1</v>
      </c>
      <c r="R146" s="9" t="n">
        <f aca="false">IF(ISNUMBER(SEARCH("CRITERIO",N146)),1,0)</f>
        <v>0</v>
      </c>
      <c r="S146" s="9" t="str">
        <f aca="false">IF(E146="","Sin dato",LEFT(E146,1))</f>
        <v>A</v>
      </c>
      <c r="T146" s="9" t="n">
        <f aca="false">IFERROR(INDEX(dCriticidad!$G$2:$G$7,MATCH(S146,dCriticidad!$A$2:$A$7,0)),0)</f>
        <v>1</v>
      </c>
      <c r="U146" s="9" t="n">
        <f aca="false">IF(OR(LEFT(C146,3)="GI0",LEFT(C146,3)="GA0"),1,0)</f>
        <v>1</v>
      </c>
      <c r="V146" s="9" t="str">
        <f aca="false">IF(G146="","Sin dato (ID GI)",TRIM(G146))</f>
        <v>Sin dato (ID GI)</v>
      </c>
      <c r="W146" s="9" t="str">
        <f aca="false">IF(F146="","Sin dato",F146)</f>
        <v>On Premise</v>
      </c>
      <c r="X146" s="9" t="n">
        <f aca="false">IF(M146="","",YEAR(M146))</f>
        <v>2023</v>
      </c>
      <c r="Y146" s="10" t="n">
        <f aca="false">IF(M146="","",DATE(YEAR(M146),MONTH(M146),1))</f>
        <v>45200</v>
      </c>
      <c r="Z146" s="9" t="n">
        <f aca="false">IF(AND(Q146=0,COUNTIF(dDuplicadosGI!$A$2:$A$60,C146)&gt;0),1,0)</f>
        <v>0</v>
      </c>
      <c r="AA146" s="9" t="n">
        <f aca="false">IF(Q146=0,1,0)</f>
        <v>0</v>
      </c>
    </row>
    <row r="147" customFormat="false" ht="15" hidden="false" customHeight="false" outlineLevel="0" collapsed="false">
      <c r="A147" s="7" t="n">
        <v>146</v>
      </c>
      <c r="B147" s="7" t="s">
        <v>691</v>
      </c>
      <c r="C147" s="7" t="s">
        <v>692</v>
      </c>
      <c r="D147" s="7" t="s">
        <v>691</v>
      </c>
      <c r="E147" s="7"/>
      <c r="F147" s="7" t="s">
        <v>82</v>
      </c>
      <c r="G147" s="7"/>
      <c r="H147" s="7"/>
      <c r="I147" s="7"/>
      <c r="J147" s="7"/>
      <c r="K147" s="7" t="s">
        <v>170</v>
      </c>
      <c r="L147" s="7" t="s">
        <v>88</v>
      </c>
      <c r="M147" s="8" t="n">
        <v>45937</v>
      </c>
      <c r="N147" s="7" t="s">
        <v>89</v>
      </c>
      <c r="O147" s="9" t="n">
        <f aca="false">IF(COUNTIFS($B$2:B147,B147,$C$2:C147,C147)=1,1,0)</f>
        <v>1</v>
      </c>
      <c r="P147" s="9" t="str">
        <f aca="false">IFERROR(INDEX(dEtapa!$A$2:$A$6,MATCH(N147,dEtapa!$B$2:$B$6,0)),"Sin etapa")</f>
        <v>Gobernada</v>
      </c>
      <c r="Q147" s="9" t="n">
        <f aca="false">IF(L147="Si",1,0)</f>
        <v>1</v>
      </c>
      <c r="R147" s="9" t="n">
        <f aca="false">IF(ISNUMBER(SEARCH("CRITERIO",N147)),1,0)</f>
        <v>0</v>
      </c>
      <c r="S147" s="9" t="str">
        <f aca="false">IF(E147="","Sin dato",LEFT(E147,1))</f>
        <v>Sin dato</v>
      </c>
      <c r="T147" s="9" t="n">
        <f aca="false">IFERROR(INDEX(dCriticidad!$G$2:$G$7,MATCH(S147,dCriticidad!$A$2:$A$7,0)),0)</f>
        <v>0</v>
      </c>
      <c r="U147" s="9" t="n">
        <f aca="false">IF(OR(LEFT(C147,3)="GI0",LEFT(C147,3)="GA0"),1,0)</f>
        <v>1</v>
      </c>
      <c r="V147" s="9" t="str">
        <f aca="false">IF(G147="","Sin dato (ID GI)",TRIM(G147))</f>
        <v>Sin dato (ID GI)</v>
      </c>
      <c r="W147" s="9" t="str">
        <f aca="false">IF(F147="","Sin dato",F147)</f>
        <v>On Premise</v>
      </c>
      <c r="X147" s="9" t="n">
        <f aca="false">IF(M147="","",YEAR(M147))</f>
        <v>2025</v>
      </c>
      <c r="Y147" s="10" t="n">
        <f aca="false">IF(M147="","",DATE(YEAR(M147),MONTH(M147),1))</f>
        <v>45931</v>
      </c>
      <c r="Z147" s="9" t="n">
        <f aca="false">IF(AND(Q147=0,COUNTIF(dDuplicadosGI!$A$2:$A$60,C147)&gt;0),1,0)</f>
        <v>0</v>
      </c>
      <c r="AA147" s="9" t="n">
        <f aca="false">IF(Q147=0,1,0)</f>
        <v>0</v>
      </c>
    </row>
    <row r="148" customFormat="false" ht="15" hidden="false" customHeight="false" outlineLevel="0" collapsed="false">
      <c r="A148" s="7" t="n">
        <v>147</v>
      </c>
      <c r="B148" s="7" t="s">
        <v>693</v>
      </c>
      <c r="C148" s="7" t="s">
        <v>694</v>
      </c>
      <c r="D148" s="11" t="s">
        <v>695</v>
      </c>
      <c r="E148" s="7" t="s">
        <v>119</v>
      </c>
      <c r="F148" s="7" t="s">
        <v>82</v>
      </c>
      <c r="G148" s="7" t="s">
        <v>104</v>
      </c>
      <c r="H148" s="7" t="s">
        <v>105</v>
      </c>
      <c r="I148" s="7" t="s">
        <v>388</v>
      </c>
      <c r="J148" s="7" t="s">
        <v>696</v>
      </c>
      <c r="K148" s="7" t="s">
        <v>98</v>
      </c>
      <c r="L148" s="7" t="s">
        <v>99</v>
      </c>
      <c r="M148" s="8"/>
      <c r="N148" s="7" t="s">
        <v>109</v>
      </c>
      <c r="O148" s="9" t="n">
        <f aca="false">IF(COUNTIFS($B$2:B148,B148,$C$2:C148,C148)=1,1,0)</f>
        <v>1</v>
      </c>
      <c r="P148" s="9" t="str">
        <f aca="false">IFERROR(INDEX(dEtapa!$A$2:$A$6,MATCH(N148,dEtapa!$B$2:$B$6,0)),"Sin etapa")</f>
        <v>Planificada 2027</v>
      </c>
      <c r="Q148" s="9" t="n">
        <f aca="false">IF(L148="Si",1,0)</f>
        <v>0</v>
      </c>
      <c r="R148" s="9" t="n">
        <f aca="false">IF(ISNUMBER(SEARCH("CRITERIO",N148)),1,0)</f>
        <v>0</v>
      </c>
      <c r="S148" s="9" t="str">
        <f aca="false">IF(E148="","Sin dato",LEFT(E148,1))</f>
        <v>E</v>
      </c>
      <c r="T148" s="9" t="n">
        <f aca="false">IFERROR(INDEX(dCriticidad!$G$2:$G$7,MATCH(S148,dCriticidad!$A$2:$A$7,0)),0)</f>
        <v>0</v>
      </c>
      <c r="U148" s="9" t="n">
        <f aca="false">IF(OR(LEFT(C148,3)="GI0",LEFT(C148,3)="GA0"),1,0)</f>
        <v>0</v>
      </c>
      <c r="V148" s="9" t="str">
        <f aca="false">IF(G148="","Sin dato (ID GI)",TRIM(G148))</f>
        <v>INFRAESTRUCTURA</v>
      </c>
      <c r="W148" s="9" t="str">
        <f aca="false">IF(F148="","Sin dato",F148)</f>
        <v>On Premise</v>
      </c>
      <c r="X148" s="9" t="str">
        <f aca="false">IF(M148="","",YEAR(M148))</f>
        <v/>
      </c>
      <c r="Y148" s="10" t="str">
        <f aca="false">IF(M148="","",DATE(YEAR(M148),MONTH(M148),1))</f>
        <v/>
      </c>
      <c r="Z148" s="9" t="n">
        <f aca="false">IF(AND(Q148=0,COUNTIF(dDuplicadosGI!$A$2:$A$60,C148)&gt;0),1,0)</f>
        <v>0</v>
      </c>
      <c r="AA148" s="9" t="n">
        <f aca="false">IF(Q148=0,1,0)</f>
        <v>1</v>
      </c>
    </row>
    <row r="149" customFormat="false" ht="15" hidden="false" customHeight="false" outlineLevel="0" collapsed="false">
      <c r="A149" s="7" t="n">
        <v>148</v>
      </c>
      <c r="B149" s="7" t="s">
        <v>697</v>
      </c>
      <c r="C149" s="7" t="s">
        <v>698</v>
      </c>
      <c r="D149" s="7" t="s">
        <v>699</v>
      </c>
      <c r="E149" s="7"/>
      <c r="F149" s="7"/>
      <c r="G149" s="7"/>
      <c r="H149" s="7"/>
      <c r="I149" s="7"/>
      <c r="J149" s="7"/>
      <c r="K149" s="7" t="s">
        <v>170</v>
      </c>
      <c r="L149" s="7" t="s">
        <v>88</v>
      </c>
      <c r="M149" s="8" t="n">
        <v>46052</v>
      </c>
      <c r="N149" s="7" t="s">
        <v>89</v>
      </c>
      <c r="O149" s="9" t="n">
        <f aca="false">IF(COUNTIFS($B$2:B149,B149,$C$2:C149,C149)=1,1,0)</f>
        <v>1</v>
      </c>
      <c r="P149" s="9" t="str">
        <f aca="false">IFERROR(INDEX(dEtapa!$A$2:$A$6,MATCH(N149,dEtapa!$B$2:$B$6,0)),"Sin etapa")</f>
        <v>Gobernada</v>
      </c>
      <c r="Q149" s="9" t="n">
        <f aca="false">IF(L149="Si",1,0)</f>
        <v>1</v>
      </c>
      <c r="R149" s="9" t="n">
        <f aca="false">IF(ISNUMBER(SEARCH("CRITERIO",N149)),1,0)</f>
        <v>0</v>
      </c>
      <c r="S149" s="9" t="str">
        <f aca="false">IF(E149="","Sin dato",LEFT(E149,1))</f>
        <v>Sin dato</v>
      </c>
      <c r="T149" s="9" t="n">
        <f aca="false">IFERROR(INDEX(dCriticidad!$G$2:$G$7,MATCH(S149,dCriticidad!$A$2:$A$7,0)),0)</f>
        <v>0</v>
      </c>
      <c r="U149" s="9" t="n">
        <f aca="false">IF(OR(LEFT(C149,3)="GI0",LEFT(C149,3)="GA0"),1,0)</f>
        <v>1</v>
      </c>
      <c r="V149" s="9" t="str">
        <f aca="false">IF(G149="","Sin dato (ID GI)",TRIM(G149))</f>
        <v>Sin dato (ID GI)</v>
      </c>
      <c r="W149" s="9" t="str">
        <f aca="false">IF(F149="","Sin dato",F149)</f>
        <v>Sin dato</v>
      </c>
      <c r="X149" s="9" t="n">
        <f aca="false">IF(M149="","",YEAR(M149))</f>
        <v>2026</v>
      </c>
      <c r="Y149" s="10" t="n">
        <f aca="false">IF(M149="","",DATE(YEAR(M149),MONTH(M149),1))</f>
        <v>46023</v>
      </c>
      <c r="Z149" s="9" t="n">
        <f aca="false">IF(AND(Q149=0,COUNTIF(dDuplicadosGI!$A$2:$A$60,C149)&gt;0),1,0)</f>
        <v>0</v>
      </c>
      <c r="AA149" s="9" t="n">
        <f aca="false">IF(Q149=0,1,0)</f>
        <v>0</v>
      </c>
    </row>
    <row r="150" customFormat="false" ht="15" hidden="false" customHeight="false" outlineLevel="0" collapsed="false">
      <c r="A150" s="7" t="n">
        <v>149</v>
      </c>
      <c r="B150" s="7" t="s">
        <v>700</v>
      </c>
      <c r="C150" s="7" t="s">
        <v>701</v>
      </c>
      <c r="D150" s="7" t="s">
        <v>702</v>
      </c>
      <c r="E150" s="7"/>
      <c r="F150" s="7"/>
      <c r="G150" s="7"/>
      <c r="H150" s="7"/>
      <c r="I150" s="7"/>
      <c r="J150" s="7"/>
      <c r="K150" s="7" t="s">
        <v>170</v>
      </c>
      <c r="L150" s="7" t="s">
        <v>88</v>
      </c>
      <c r="M150" s="8" t="n">
        <v>46052</v>
      </c>
      <c r="N150" s="7" t="s">
        <v>89</v>
      </c>
      <c r="O150" s="9" t="n">
        <f aca="false">IF(COUNTIFS($B$2:B150,B150,$C$2:C150,C150)=1,1,0)</f>
        <v>1</v>
      </c>
      <c r="P150" s="9" t="str">
        <f aca="false">IFERROR(INDEX(dEtapa!$A$2:$A$6,MATCH(N150,dEtapa!$B$2:$B$6,0)),"Sin etapa")</f>
        <v>Gobernada</v>
      </c>
      <c r="Q150" s="9" t="n">
        <f aca="false">IF(L150="Si",1,0)</f>
        <v>1</v>
      </c>
      <c r="R150" s="9" t="n">
        <f aca="false">IF(ISNUMBER(SEARCH("CRITERIO",N150)),1,0)</f>
        <v>0</v>
      </c>
      <c r="S150" s="9" t="str">
        <f aca="false">IF(E150="","Sin dato",LEFT(E150,1))</f>
        <v>Sin dato</v>
      </c>
      <c r="T150" s="9" t="n">
        <f aca="false">IFERROR(INDEX(dCriticidad!$G$2:$G$7,MATCH(S150,dCriticidad!$A$2:$A$7,0)),0)</f>
        <v>0</v>
      </c>
      <c r="U150" s="9" t="n">
        <f aca="false">IF(OR(LEFT(C150,3)="GI0",LEFT(C150,3)="GA0"),1,0)</f>
        <v>1</v>
      </c>
      <c r="V150" s="9" t="str">
        <f aca="false">IF(G150="","Sin dato (ID GI)",TRIM(G150))</f>
        <v>Sin dato (ID GI)</v>
      </c>
      <c r="W150" s="9" t="str">
        <f aca="false">IF(F150="","Sin dato",F150)</f>
        <v>Sin dato</v>
      </c>
      <c r="X150" s="9" t="n">
        <f aca="false">IF(M150="","",YEAR(M150))</f>
        <v>2026</v>
      </c>
      <c r="Y150" s="10" t="n">
        <f aca="false">IF(M150="","",DATE(YEAR(M150),MONTH(M150),1))</f>
        <v>46023</v>
      </c>
      <c r="Z150" s="9" t="n">
        <f aca="false">IF(AND(Q150=0,COUNTIF(dDuplicadosGI!$A$2:$A$60,C150)&gt;0),1,0)</f>
        <v>0</v>
      </c>
      <c r="AA150" s="9" t="n">
        <f aca="false">IF(Q150=0,1,0)</f>
        <v>0</v>
      </c>
    </row>
    <row r="151" customFormat="false" ht="15" hidden="false" customHeight="false" outlineLevel="0" collapsed="false">
      <c r="A151" s="7" t="n">
        <v>150</v>
      </c>
      <c r="B151" s="7" t="s">
        <v>703</v>
      </c>
      <c r="C151" s="7" t="s">
        <v>704</v>
      </c>
      <c r="D151" s="7" t="s">
        <v>705</v>
      </c>
      <c r="E151" s="7"/>
      <c r="F151" s="7"/>
      <c r="G151" s="7"/>
      <c r="H151" s="7"/>
      <c r="I151" s="7"/>
      <c r="J151" s="7"/>
      <c r="K151" s="7" t="s">
        <v>170</v>
      </c>
      <c r="L151" s="7" t="s">
        <v>88</v>
      </c>
      <c r="M151" s="8" t="n">
        <v>46052</v>
      </c>
      <c r="N151" s="7" t="s">
        <v>89</v>
      </c>
      <c r="O151" s="9" t="n">
        <f aca="false">IF(COUNTIFS($B$2:B151,B151,$C$2:C151,C151)=1,1,0)</f>
        <v>1</v>
      </c>
      <c r="P151" s="9" t="str">
        <f aca="false">IFERROR(INDEX(dEtapa!$A$2:$A$6,MATCH(N151,dEtapa!$B$2:$B$6,0)),"Sin etapa")</f>
        <v>Gobernada</v>
      </c>
      <c r="Q151" s="9" t="n">
        <f aca="false">IF(L151="Si",1,0)</f>
        <v>1</v>
      </c>
      <c r="R151" s="9" t="n">
        <f aca="false">IF(ISNUMBER(SEARCH("CRITERIO",N151)),1,0)</f>
        <v>0</v>
      </c>
      <c r="S151" s="9" t="str">
        <f aca="false">IF(E151="","Sin dato",LEFT(E151,1))</f>
        <v>Sin dato</v>
      </c>
      <c r="T151" s="9" t="n">
        <f aca="false">IFERROR(INDEX(dCriticidad!$G$2:$G$7,MATCH(S151,dCriticidad!$A$2:$A$7,0)),0)</f>
        <v>0</v>
      </c>
      <c r="U151" s="9" t="n">
        <f aca="false">IF(OR(LEFT(C151,3)="GI0",LEFT(C151,3)="GA0"),1,0)</f>
        <v>1</v>
      </c>
      <c r="V151" s="9" t="str">
        <f aca="false">IF(G151="","Sin dato (ID GI)",TRIM(G151))</f>
        <v>Sin dato (ID GI)</v>
      </c>
      <c r="W151" s="9" t="str">
        <f aca="false">IF(F151="","Sin dato",F151)</f>
        <v>Sin dato</v>
      </c>
      <c r="X151" s="9" t="n">
        <f aca="false">IF(M151="","",YEAR(M151))</f>
        <v>2026</v>
      </c>
      <c r="Y151" s="10" t="n">
        <f aca="false">IF(M151="","",DATE(YEAR(M151),MONTH(M151),1))</f>
        <v>46023</v>
      </c>
      <c r="Z151" s="9" t="n">
        <f aca="false">IF(AND(Q151=0,COUNTIF(dDuplicadosGI!$A$2:$A$60,C151)&gt;0),1,0)</f>
        <v>0</v>
      </c>
      <c r="AA151" s="9" t="n">
        <f aca="false">IF(Q151=0,1,0)</f>
        <v>0</v>
      </c>
    </row>
    <row r="152" customFormat="false" ht="15" hidden="false" customHeight="false" outlineLevel="0" collapsed="false">
      <c r="A152" s="7" t="n">
        <v>151</v>
      </c>
      <c r="B152" s="7" t="s">
        <v>706</v>
      </c>
      <c r="C152" s="7" t="s">
        <v>707</v>
      </c>
      <c r="D152" s="7" t="s">
        <v>708</v>
      </c>
      <c r="E152" s="7"/>
      <c r="F152" s="7"/>
      <c r="G152" s="7"/>
      <c r="H152" s="7"/>
      <c r="I152" s="7"/>
      <c r="J152" s="7"/>
      <c r="K152" s="7" t="s">
        <v>87</v>
      </c>
      <c r="L152" s="7" t="s">
        <v>88</v>
      </c>
      <c r="M152" s="8" t="n">
        <v>45817</v>
      </c>
      <c r="N152" s="7" t="s">
        <v>89</v>
      </c>
      <c r="O152" s="9" t="n">
        <f aca="false">IF(COUNTIFS($B$2:B152,B152,$C$2:C152,C152)=1,1,0)</f>
        <v>1</v>
      </c>
      <c r="P152" s="9" t="str">
        <f aca="false">IFERROR(INDEX(dEtapa!$A$2:$A$6,MATCH(N152,dEtapa!$B$2:$B$6,0)),"Sin etapa")</f>
        <v>Gobernada</v>
      </c>
      <c r="Q152" s="9" t="n">
        <f aca="false">IF(L152="Si",1,0)</f>
        <v>1</v>
      </c>
      <c r="R152" s="9" t="n">
        <f aca="false">IF(ISNUMBER(SEARCH("CRITERIO",N152)),1,0)</f>
        <v>0</v>
      </c>
      <c r="S152" s="9" t="str">
        <f aca="false">IF(E152="","Sin dato",LEFT(E152,1))</f>
        <v>Sin dato</v>
      </c>
      <c r="T152" s="9" t="n">
        <f aca="false">IFERROR(INDEX(dCriticidad!$G$2:$G$7,MATCH(S152,dCriticidad!$A$2:$A$7,0)),0)</f>
        <v>0</v>
      </c>
      <c r="U152" s="9" t="n">
        <f aca="false">IF(OR(LEFT(C152,3)="GI0",LEFT(C152,3)="GA0"),1,0)</f>
        <v>1</v>
      </c>
      <c r="V152" s="9" t="str">
        <f aca="false">IF(G152="","Sin dato (ID GI)",TRIM(G152))</f>
        <v>Sin dato (ID GI)</v>
      </c>
      <c r="W152" s="9" t="str">
        <f aca="false">IF(F152="","Sin dato",F152)</f>
        <v>Sin dato</v>
      </c>
      <c r="X152" s="9" t="n">
        <f aca="false">IF(M152="","",YEAR(M152))</f>
        <v>2025</v>
      </c>
      <c r="Y152" s="10" t="n">
        <f aca="false">IF(M152="","",DATE(YEAR(M152),MONTH(M152),1))</f>
        <v>45809</v>
      </c>
      <c r="Z152" s="9" t="n">
        <f aca="false">IF(AND(Q152=0,COUNTIF(dDuplicadosGI!$A$2:$A$60,C152)&gt;0),1,0)</f>
        <v>0</v>
      </c>
      <c r="AA152" s="9" t="n">
        <f aca="false">IF(Q152=0,1,0)</f>
        <v>0</v>
      </c>
    </row>
    <row r="153" customFormat="false" ht="15" hidden="false" customHeight="false" outlineLevel="0" collapsed="false">
      <c r="A153" s="7" t="n">
        <v>152</v>
      </c>
      <c r="B153" s="7" t="s">
        <v>709</v>
      </c>
      <c r="C153" s="7" t="s">
        <v>710</v>
      </c>
      <c r="D153" s="7" t="s">
        <v>711</v>
      </c>
      <c r="E153" s="7"/>
      <c r="F153" s="7"/>
      <c r="G153" s="7"/>
      <c r="H153" s="7"/>
      <c r="I153" s="7"/>
      <c r="J153" s="7"/>
      <c r="K153" s="7"/>
      <c r="L153" s="7" t="s">
        <v>88</v>
      </c>
      <c r="M153" s="8" t="n">
        <v>45200</v>
      </c>
      <c r="N153" s="7" t="s">
        <v>89</v>
      </c>
      <c r="O153" s="9" t="n">
        <f aca="false">IF(COUNTIFS($B$2:B153,B153,$C$2:C153,C153)=1,1,0)</f>
        <v>1</v>
      </c>
      <c r="P153" s="9" t="str">
        <f aca="false">IFERROR(INDEX(dEtapa!$A$2:$A$6,MATCH(N153,dEtapa!$B$2:$B$6,0)),"Sin etapa")</f>
        <v>Gobernada</v>
      </c>
      <c r="Q153" s="9" t="n">
        <f aca="false">IF(L153="Si",1,0)</f>
        <v>1</v>
      </c>
      <c r="R153" s="9" t="n">
        <f aca="false">IF(ISNUMBER(SEARCH("CRITERIO",N153)),1,0)</f>
        <v>0</v>
      </c>
      <c r="S153" s="9" t="str">
        <f aca="false">IF(E153="","Sin dato",LEFT(E153,1))</f>
        <v>Sin dato</v>
      </c>
      <c r="T153" s="9" t="n">
        <f aca="false">IFERROR(INDEX(dCriticidad!$G$2:$G$7,MATCH(S153,dCriticidad!$A$2:$A$7,0)),0)</f>
        <v>0</v>
      </c>
      <c r="U153" s="9" t="n">
        <f aca="false">IF(OR(LEFT(C153,3)="GI0",LEFT(C153,3)="GA0"),1,0)</f>
        <v>1</v>
      </c>
      <c r="V153" s="9" t="str">
        <f aca="false">IF(G153="","Sin dato (ID GI)",TRIM(G153))</f>
        <v>Sin dato (ID GI)</v>
      </c>
      <c r="W153" s="9" t="str">
        <f aca="false">IF(F153="","Sin dato",F153)</f>
        <v>Sin dato</v>
      </c>
      <c r="X153" s="9" t="n">
        <f aca="false">IF(M153="","",YEAR(M153))</f>
        <v>2023</v>
      </c>
      <c r="Y153" s="10" t="n">
        <f aca="false">IF(M153="","",DATE(YEAR(M153),MONTH(M153),1))</f>
        <v>45200</v>
      </c>
      <c r="Z153" s="9" t="n">
        <f aca="false">IF(AND(Q153=0,COUNTIF(dDuplicadosGI!$A$2:$A$60,C153)&gt;0),1,0)</f>
        <v>0</v>
      </c>
      <c r="AA153" s="9" t="n">
        <f aca="false">IF(Q153=0,1,0)</f>
        <v>0</v>
      </c>
    </row>
    <row r="154" customFormat="false" ht="15" hidden="false" customHeight="false" outlineLevel="0" collapsed="false">
      <c r="A154" s="7" t="n">
        <v>153</v>
      </c>
      <c r="B154" s="7" t="s">
        <v>712</v>
      </c>
      <c r="C154" s="7" t="s">
        <v>713</v>
      </c>
      <c r="D154" s="7" t="s">
        <v>714</v>
      </c>
      <c r="E154" s="7"/>
      <c r="F154" s="7"/>
      <c r="G154" s="7"/>
      <c r="H154" s="7"/>
      <c r="I154" s="7"/>
      <c r="J154" s="7"/>
      <c r="K154" s="7"/>
      <c r="L154" s="7" t="s">
        <v>88</v>
      </c>
      <c r="M154" s="8" t="n">
        <v>46066</v>
      </c>
      <c r="N154" s="7" t="s">
        <v>89</v>
      </c>
      <c r="O154" s="9" t="n">
        <f aca="false">IF(COUNTIFS($B$2:B154,B154,$C$2:C154,C154)=1,1,0)</f>
        <v>1</v>
      </c>
      <c r="P154" s="9" t="str">
        <f aca="false">IFERROR(INDEX(dEtapa!$A$2:$A$6,MATCH(N154,dEtapa!$B$2:$B$6,0)),"Sin etapa")</f>
        <v>Gobernada</v>
      </c>
      <c r="Q154" s="9" t="n">
        <f aca="false">IF(L154="Si",1,0)</f>
        <v>1</v>
      </c>
      <c r="R154" s="9" t="n">
        <f aca="false">IF(ISNUMBER(SEARCH("CRITERIO",N154)),1,0)</f>
        <v>0</v>
      </c>
      <c r="S154" s="9" t="str">
        <f aca="false">IF(E154="","Sin dato",LEFT(E154,1))</f>
        <v>Sin dato</v>
      </c>
      <c r="T154" s="9" t="n">
        <f aca="false">IFERROR(INDEX(dCriticidad!$G$2:$G$7,MATCH(S154,dCriticidad!$A$2:$A$7,0)),0)</f>
        <v>0</v>
      </c>
      <c r="U154" s="9" t="n">
        <f aca="false">IF(OR(LEFT(C154,3)="GI0",LEFT(C154,3)="GA0"),1,0)</f>
        <v>1</v>
      </c>
      <c r="V154" s="9" t="str">
        <f aca="false">IF(G154="","Sin dato (ID GI)",TRIM(G154))</f>
        <v>Sin dato (ID GI)</v>
      </c>
      <c r="W154" s="9" t="str">
        <f aca="false">IF(F154="","Sin dato",F154)</f>
        <v>Sin dato</v>
      </c>
      <c r="X154" s="9" t="n">
        <f aca="false">IF(M154="","",YEAR(M154))</f>
        <v>2026</v>
      </c>
      <c r="Y154" s="10" t="n">
        <f aca="false">IF(M154="","",DATE(YEAR(M154),MONTH(M154),1))</f>
        <v>46054</v>
      </c>
      <c r="Z154" s="9" t="n">
        <f aca="false">IF(AND(Q154=0,COUNTIF(dDuplicadosGI!$A$2:$A$60,C154)&gt;0),1,0)</f>
        <v>0</v>
      </c>
      <c r="AA154" s="9" t="n">
        <f aca="false">IF(Q154=0,1,0)</f>
        <v>0</v>
      </c>
    </row>
    <row r="155" customFormat="false" ht="15" hidden="false" customHeight="false" outlineLevel="0" collapsed="false">
      <c r="A155" s="7" t="n">
        <v>154</v>
      </c>
      <c r="B155" s="7" t="s">
        <v>715</v>
      </c>
      <c r="C155" s="7" t="s">
        <v>716</v>
      </c>
      <c r="D155" s="7"/>
      <c r="E155" s="7" t="s">
        <v>119</v>
      </c>
      <c r="F155" s="7" t="s">
        <v>94</v>
      </c>
      <c r="G155" s="7" t="s">
        <v>166</v>
      </c>
      <c r="H155" s="7" t="s">
        <v>717</v>
      </c>
      <c r="I155" s="7" t="s">
        <v>718</v>
      </c>
      <c r="J155" s="7" t="s">
        <v>717</v>
      </c>
      <c r="K155" s="7" t="s">
        <v>170</v>
      </c>
      <c r="L155" s="7" t="s">
        <v>99</v>
      </c>
      <c r="M155" s="8"/>
      <c r="N155" s="7" t="s">
        <v>100</v>
      </c>
      <c r="O155" s="9" t="n">
        <f aca="false">IF(COUNTIFS($B$2:B155,B155,$C$2:C155,C155)=1,1,0)</f>
        <v>1</v>
      </c>
      <c r="P155" s="9" t="str">
        <f aca="false">IFERROR(INDEX(dEtapa!$A$2:$A$6,MATCH(N155,dEtapa!$B$2:$B$6,0)),"Sin etapa")</f>
        <v>Criterio 1</v>
      </c>
      <c r="Q155" s="9" t="n">
        <f aca="false">IF(L155="Si",1,0)</f>
        <v>0</v>
      </c>
      <c r="R155" s="9" t="n">
        <f aca="false">IF(ISNUMBER(SEARCH("CRITERIO",N155)),1,0)</f>
        <v>1</v>
      </c>
      <c r="S155" s="9" t="str">
        <f aca="false">IF(E155="","Sin dato",LEFT(E155,1))</f>
        <v>E</v>
      </c>
      <c r="T155" s="9" t="n">
        <f aca="false">IFERROR(INDEX(dCriticidad!$G$2:$G$7,MATCH(S155,dCriticidad!$A$2:$A$7,0)),0)</f>
        <v>0</v>
      </c>
      <c r="U155" s="9" t="n">
        <f aca="false">IF(OR(LEFT(C155,3)="GI0",LEFT(C155,3)="GA0"),1,0)</f>
        <v>0</v>
      </c>
      <c r="V155" s="9" t="str">
        <f aca="false">IF(G155="","Sin dato (ID GI)",TRIM(G155))</f>
        <v>Ciberseguridad</v>
      </c>
      <c r="W155" s="9" t="str">
        <f aca="false">IF(F155="","Sin dato",F155)</f>
        <v>Nube</v>
      </c>
      <c r="X155" s="9" t="str">
        <f aca="false">IF(M155="","",YEAR(M155))</f>
        <v/>
      </c>
      <c r="Y155" s="10" t="str">
        <f aca="false">IF(M155="","",DATE(YEAR(M155),MONTH(M155),1))</f>
        <v/>
      </c>
      <c r="Z155" s="9" t="n">
        <f aca="false">IF(AND(Q155=0,COUNTIF(dDuplicadosGI!$A$2:$A$60,C155)&gt;0),1,0)</f>
        <v>0</v>
      </c>
      <c r="AA155" s="9" t="n">
        <f aca="false">IF(Q155=0,1,0)</f>
        <v>1</v>
      </c>
    </row>
    <row r="156" customFormat="false" ht="15" hidden="false" customHeight="false" outlineLevel="0" collapsed="false">
      <c r="A156" s="7" t="n">
        <v>155</v>
      </c>
      <c r="B156" s="7" t="s">
        <v>719</v>
      </c>
      <c r="C156" s="7" t="s">
        <v>720</v>
      </c>
      <c r="D156" s="7" t="s">
        <v>719</v>
      </c>
      <c r="E156" s="7"/>
      <c r="F156" s="7"/>
      <c r="G156" s="7"/>
      <c r="H156" s="7"/>
      <c r="I156" s="7"/>
      <c r="J156" s="7"/>
      <c r="K156" s="7"/>
      <c r="L156" s="7" t="s">
        <v>88</v>
      </c>
      <c r="M156" s="8" t="n">
        <v>45200</v>
      </c>
      <c r="N156" s="7" t="s">
        <v>89</v>
      </c>
      <c r="O156" s="9" t="n">
        <f aca="false">IF(COUNTIFS($B$2:B156,B156,$C$2:C156,C156)=1,1,0)</f>
        <v>1</v>
      </c>
      <c r="P156" s="9" t="str">
        <f aca="false">IFERROR(INDEX(dEtapa!$A$2:$A$6,MATCH(N156,dEtapa!$B$2:$B$6,0)),"Sin etapa")</f>
        <v>Gobernada</v>
      </c>
      <c r="Q156" s="9" t="n">
        <f aca="false">IF(L156="Si",1,0)</f>
        <v>1</v>
      </c>
      <c r="R156" s="9" t="n">
        <f aca="false">IF(ISNUMBER(SEARCH("CRITERIO",N156)),1,0)</f>
        <v>0</v>
      </c>
      <c r="S156" s="9" t="str">
        <f aca="false">IF(E156="","Sin dato",LEFT(E156,1))</f>
        <v>Sin dato</v>
      </c>
      <c r="T156" s="9" t="n">
        <f aca="false">IFERROR(INDEX(dCriticidad!$G$2:$G$7,MATCH(S156,dCriticidad!$A$2:$A$7,0)),0)</f>
        <v>0</v>
      </c>
      <c r="U156" s="9" t="n">
        <f aca="false">IF(OR(LEFT(C156,3)="GI0",LEFT(C156,3)="GA0"),1,0)</f>
        <v>1</v>
      </c>
      <c r="V156" s="9" t="str">
        <f aca="false">IF(G156="","Sin dato (ID GI)",TRIM(G156))</f>
        <v>Sin dato (ID GI)</v>
      </c>
      <c r="W156" s="9" t="str">
        <f aca="false">IF(F156="","Sin dato",F156)</f>
        <v>Sin dato</v>
      </c>
      <c r="X156" s="9" t="n">
        <f aca="false">IF(M156="","",YEAR(M156))</f>
        <v>2023</v>
      </c>
      <c r="Y156" s="10" t="n">
        <f aca="false">IF(M156="","",DATE(YEAR(M156),MONTH(M156),1))</f>
        <v>45200</v>
      </c>
      <c r="Z156" s="9" t="n">
        <f aca="false">IF(AND(Q156=0,COUNTIF(dDuplicadosGI!$A$2:$A$60,C156)&gt;0),1,0)</f>
        <v>0</v>
      </c>
      <c r="AA156" s="9" t="n">
        <f aca="false">IF(Q156=0,1,0)</f>
        <v>0</v>
      </c>
    </row>
    <row r="157" customFormat="false" ht="15" hidden="false" customHeight="false" outlineLevel="0" collapsed="false">
      <c r="A157" s="7" t="n">
        <v>156</v>
      </c>
      <c r="B157" s="7" t="s">
        <v>721</v>
      </c>
      <c r="C157" s="7" t="s">
        <v>722</v>
      </c>
      <c r="D157" s="7" t="s">
        <v>723</v>
      </c>
      <c r="E157" s="7"/>
      <c r="F157" s="7"/>
      <c r="G157" s="7"/>
      <c r="H157" s="7"/>
      <c r="I157" s="7"/>
      <c r="J157" s="7"/>
      <c r="K157" s="7"/>
      <c r="L157" s="7" t="s">
        <v>88</v>
      </c>
      <c r="M157" s="8" t="n">
        <v>46052</v>
      </c>
      <c r="N157" s="7" t="s">
        <v>89</v>
      </c>
      <c r="O157" s="9" t="n">
        <f aca="false">IF(COUNTIFS($B$2:B157,B157,$C$2:C157,C157)=1,1,0)</f>
        <v>1</v>
      </c>
      <c r="P157" s="9" t="str">
        <f aca="false">IFERROR(INDEX(dEtapa!$A$2:$A$6,MATCH(N157,dEtapa!$B$2:$B$6,0)),"Sin etapa")</f>
        <v>Gobernada</v>
      </c>
      <c r="Q157" s="9" t="n">
        <f aca="false">IF(L157="Si",1,0)</f>
        <v>1</v>
      </c>
      <c r="R157" s="9" t="n">
        <f aca="false">IF(ISNUMBER(SEARCH("CRITERIO",N157)),1,0)</f>
        <v>0</v>
      </c>
      <c r="S157" s="9" t="str">
        <f aca="false">IF(E157="","Sin dato",LEFT(E157,1))</f>
        <v>Sin dato</v>
      </c>
      <c r="T157" s="9" t="n">
        <f aca="false">IFERROR(INDEX(dCriticidad!$G$2:$G$7,MATCH(S157,dCriticidad!$A$2:$A$7,0)),0)</f>
        <v>0</v>
      </c>
      <c r="U157" s="9" t="n">
        <f aca="false">IF(OR(LEFT(C157,3)="GI0",LEFT(C157,3)="GA0"),1,0)</f>
        <v>1</v>
      </c>
      <c r="V157" s="9" t="str">
        <f aca="false">IF(G157="","Sin dato (ID GI)",TRIM(G157))</f>
        <v>Sin dato (ID GI)</v>
      </c>
      <c r="W157" s="9" t="str">
        <f aca="false">IF(F157="","Sin dato",F157)</f>
        <v>Sin dato</v>
      </c>
      <c r="X157" s="9" t="n">
        <f aca="false">IF(M157="","",YEAR(M157))</f>
        <v>2026</v>
      </c>
      <c r="Y157" s="10" t="n">
        <f aca="false">IF(M157="","",DATE(YEAR(M157),MONTH(M157),1))</f>
        <v>46023</v>
      </c>
      <c r="Z157" s="9" t="n">
        <f aca="false">IF(AND(Q157=0,COUNTIF(dDuplicadosGI!$A$2:$A$60,C157)&gt;0),1,0)</f>
        <v>0</v>
      </c>
      <c r="AA157" s="9" t="n">
        <f aca="false">IF(Q157=0,1,0)</f>
        <v>0</v>
      </c>
    </row>
    <row r="158" customFormat="false" ht="15" hidden="false" customHeight="false" outlineLevel="0" collapsed="false">
      <c r="A158" s="7" t="n">
        <v>157</v>
      </c>
      <c r="B158" s="7" t="s">
        <v>724</v>
      </c>
      <c r="C158" s="7" t="s">
        <v>725</v>
      </c>
      <c r="D158" s="7" t="s">
        <v>726</v>
      </c>
      <c r="E158" s="7" t="s">
        <v>81</v>
      </c>
      <c r="F158" s="7" t="s">
        <v>94</v>
      </c>
      <c r="G158" s="7" t="s">
        <v>331</v>
      </c>
      <c r="H158" s="7" t="s">
        <v>332</v>
      </c>
      <c r="I158" s="7" t="s">
        <v>333</v>
      </c>
      <c r="J158" s="7" t="s">
        <v>332</v>
      </c>
      <c r="K158" s="7" t="s">
        <v>87</v>
      </c>
      <c r="L158" s="7" t="s">
        <v>99</v>
      </c>
      <c r="M158" s="8"/>
      <c r="N158" s="7" t="s">
        <v>109</v>
      </c>
      <c r="O158" s="9" t="n">
        <f aca="false">IF(COUNTIFS($B$2:B158,B158,$C$2:C158,C158)=1,1,0)</f>
        <v>1</v>
      </c>
      <c r="P158" s="9" t="str">
        <f aca="false">IFERROR(INDEX(dEtapa!$A$2:$A$6,MATCH(N158,dEtapa!$B$2:$B$6,0)),"Sin etapa")</f>
        <v>Planificada 2027</v>
      </c>
      <c r="Q158" s="9" t="n">
        <f aca="false">IF(L158="Si",1,0)</f>
        <v>0</v>
      </c>
      <c r="R158" s="9" t="n">
        <f aca="false">IF(ISNUMBER(SEARCH("CRITERIO",N158)),1,0)</f>
        <v>0</v>
      </c>
      <c r="S158" s="9" t="str">
        <f aca="false">IF(E158="","Sin dato",LEFT(E158,1))</f>
        <v>A</v>
      </c>
      <c r="T158" s="9" t="n">
        <f aca="false">IFERROR(INDEX(dCriticidad!$G$2:$G$7,MATCH(S158,dCriticidad!$A$2:$A$7,0)),0)</f>
        <v>1</v>
      </c>
      <c r="U158" s="9" t="n">
        <f aca="false">IF(OR(LEFT(C158,3)="GI0",LEFT(C158,3)="GA0"),1,0)</f>
        <v>0</v>
      </c>
      <c r="V158" s="9" t="str">
        <f aca="false">IF(G158="","Sin dato (ID GI)",TRIM(G158))</f>
        <v>TRIBU_DE_UNA</v>
      </c>
      <c r="W158" s="9" t="str">
        <f aca="false">IF(F158="","Sin dato",F158)</f>
        <v>Nube</v>
      </c>
      <c r="X158" s="9" t="str">
        <f aca="false">IF(M158="","",YEAR(M158))</f>
        <v/>
      </c>
      <c r="Y158" s="10" t="str">
        <f aca="false">IF(M158="","",DATE(YEAR(M158),MONTH(M158),1))</f>
        <v/>
      </c>
      <c r="Z158" s="9" t="n">
        <f aca="false">IF(AND(Q158=0,COUNTIF(dDuplicadosGI!$A$2:$A$60,C158)&gt;0),1,0)</f>
        <v>0</v>
      </c>
      <c r="AA158" s="9" t="n">
        <f aca="false">IF(Q158=0,1,0)</f>
        <v>1</v>
      </c>
    </row>
    <row r="159" customFormat="false" ht="15" hidden="false" customHeight="false" outlineLevel="0" collapsed="false">
      <c r="A159" s="7" t="n">
        <v>158</v>
      </c>
      <c r="B159" s="7" t="s">
        <v>727</v>
      </c>
      <c r="C159" s="7" t="s">
        <v>728</v>
      </c>
      <c r="D159" s="7" t="s">
        <v>729</v>
      </c>
      <c r="E159" s="7" t="s">
        <v>119</v>
      </c>
      <c r="F159" s="7" t="s">
        <v>94</v>
      </c>
      <c r="G159" s="7" t="s">
        <v>153</v>
      </c>
      <c r="H159" s="7" t="s">
        <v>154</v>
      </c>
      <c r="I159" s="7" t="s">
        <v>155</v>
      </c>
      <c r="J159" s="7" t="s">
        <v>156</v>
      </c>
      <c r="K159" s="7"/>
      <c r="L159" s="7" t="s">
        <v>99</v>
      </c>
      <c r="M159" s="8"/>
      <c r="N159" s="7" t="s">
        <v>109</v>
      </c>
      <c r="O159" s="9" t="n">
        <f aca="false">IF(COUNTIFS($B$2:B159,B159,$C$2:C159,C159)=1,1,0)</f>
        <v>1</v>
      </c>
      <c r="P159" s="9" t="str">
        <f aca="false">IFERROR(INDEX(dEtapa!$A$2:$A$6,MATCH(N159,dEtapa!$B$2:$B$6,0)),"Sin etapa")</f>
        <v>Planificada 2027</v>
      </c>
      <c r="Q159" s="9" t="n">
        <f aca="false">IF(L159="Si",1,0)</f>
        <v>0</v>
      </c>
      <c r="R159" s="9" t="n">
        <f aca="false">IF(ISNUMBER(SEARCH("CRITERIO",N159)),1,0)</f>
        <v>0</v>
      </c>
      <c r="S159" s="9" t="str">
        <f aca="false">IF(E159="","Sin dato",LEFT(E159,1))</f>
        <v>E</v>
      </c>
      <c r="T159" s="9" t="n">
        <f aca="false">IFERROR(INDEX(dCriticidad!$G$2:$G$7,MATCH(S159,dCriticidad!$A$2:$A$7,0)),0)</f>
        <v>0</v>
      </c>
      <c r="U159" s="9" t="n">
        <f aca="false">IF(OR(LEFT(C159,3)="GI0",LEFT(C159,3)="GA0"),1,0)</f>
        <v>0</v>
      </c>
      <c r="V159" s="9" t="str">
        <f aca="false">IF(G159="","Sin dato (ID GI)",TRIM(G159))</f>
        <v>MEDIOS_DE_PAGO</v>
      </c>
      <c r="W159" s="9" t="str">
        <f aca="false">IF(F159="","Sin dato",F159)</f>
        <v>Nube</v>
      </c>
      <c r="X159" s="9" t="str">
        <f aca="false">IF(M159="","",YEAR(M159))</f>
        <v/>
      </c>
      <c r="Y159" s="10" t="str">
        <f aca="false">IF(M159="","",DATE(YEAR(M159),MONTH(M159),1))</f>
        <v/>
      </c>
      <c r="Z159" s="9" t="n">
        <f aca="false">IF(AND(Q159=0,COUNTIF(dDuplicadosGI!$A$2:$A$60,C159)&gt;0),1,0)</f>
        <v>0</v>
      </c>
      <c r="AA159" s="9" t="n">
        <f aca="false">IF(Q159=0,1,0)</f>
        <v>1</v>
      </c>
    </row>
    <row r="160" customFormat="false" ht="15" hidden="false" customHeight="false" outlineLevel="0" collapsed="false">
      <c r="A160" s="7" t="n">
        <v>159</v>
      </c>
      <c r="B160" s="7" t="s">
        <v>730</v>
      </c>
      <c r="C160" s="7" t="s">
        <v>731</v>
      </c>
      <c r="D160" s="7" t="s">
        <v>396</v>
      </c>
      <c r="E160" s="7" t="s">
        <v>113</v>
      </c>
      <c r="F160" s="7" t="s">
        <v>82</v>
      </c>
      <c r="G160" s="7" t="s">
        <v>166</v>
      </c>
      <c r="H160" s="7" t="s">
        <v>313</v>
      </c>
      <c r="I160" s="7" t="s">
        <v>168</v>
      </c>
      <c r="J160" s="7" t="s">
        <v>397</v>
      </c>
      <c r="K160" s="7" t="s">
        <v>170</v>
      </c>
      <c r="L160" s="7" t="s">
        <v>88</v>
      </c>
      <c r="M160" s="8" t="n">
        <v>46051</v>
      </c>
      <c r="N160" s="7" t="s">
        <v>89</v>
      </c>
      <c r="O160" s="9" t="n">
        <f aca="false">IF(COUNTIFS($B$2:B160,B160,$C$2:C160,C160)=1,1,0)</f>
        <v>1</v>
      </c>
      <c r="P160" s="9" t="str">
        <f aca="false">IFERROR(INDEX(dEtapa!$A$2:$A$6,MATCH(N160,dEtapa!$B$2:$B$6,0)),"Sin etapa")</f>
        <v>Gobernada</v>
      </c>
      <c r="Q160" s="9" t="n">
        <f aca="false">IF(L160="Si",1,0)</f>
        <v>1</v>
      </c>
      <c r="R160" s="9" t="n">
        <f aca="false">IF(ISNUMBER(SEARCH("CRITERIO",N160)),1,0)</f>
        <v>0</v>
      </c>
      <c r="S160" s="9" t="str">
        <f aca="false">IF(E160="","Sin dato",LEFT(E160,1))</f>
        <v>C</v>
      </c>
      <c r="T160" s="9" t="n">
        <f aca="false">IFERROR(INDEX(dCriticidad!$G$2:$G$7,MATCH(S160,dCriticidad!$A$2:$A$7,0)),0)</f>
        <v>1</v>
      </c>
      <c r="U160" s="9" t="n">
        <f aca="false">IF(OR(LEFT(C160,3)="GI0",LEFT(C160,3)="GA0"),1,0)</f>
        <v>0</v>
      </c>
      <c r="V160" s="9" t="str">
        <f aca="false">IF(G160="","Sin dato (ID GI)",TRIM(G160))</f>
        <v>Ciberseguridad</v>
      </c>
      <c r="W160" s="9" t="str">
        <f aca="false">IF(F160="","Sin dato",F160)</f>
        <v>On Premise</v>
      </c>
      <c r="X160" s="9" t="n">
        <f aca="false">IF(M160="","",YEAR(M160))</f>
        <v>2026</v>
      </c>
      <c r="Y160" s="10" t="n">
        <f aca="false">IF(M160="","",DATE(YEAR(M160),MONTH(M160),1))</f>
        <v>46023</v>
      </c>
      <c r="Z160" s="9" t="n">
        <f aca="false">IF(AND(Q160=0,COUNTIF(dDuplicadosGI!$A$2:$A$60,C160)&gt;0),1,0)</f>
        <v>0</v>
      </c>
      <c r="AA160" s="9" t="n">
        <f aca="false">IF(Q160=0,1,0)</f>
        <v>0</v>
      </c>
    </row>
    <row r="161" customFormat="false" ht="15" hidden="false" customHeight="false" outlineLevel="0" collapsed="false">
      <c r="A161" s="7" t="n">
        <v>160</v>
      </c>
      <c r="B161" s="7" t="s">
        <v>732</v>
      </c>
      <c r="C161" s="7" t="s">
        <v>733</v>
      </c>
      <c r="D161" s="7" t="s">
        <v>734</v>
      </c>
      <c r="E161" s="7" t="s">
        <v>119</v>
      </c>
      <c r="F161" s="7" t="s">
        <v>82</v>
      </c>
      <c r="G161" s="7" t="s">
        <v>104</v>
      </c>
      <c r="H161" s="7" t="s">
        <v>105</v>
      </c>
      <c r="I161" s="7" t="s">
        <v>388</v>
      </c>
      <c r="J161" s="7" t="s">
        <v>389</v>
      </c>
      <c r="K161" s="7" t="s">
        <v>108</v>
      </c>
      <c r="L161" s="7" t="s">
        <v>99</v>
      </c>
      <c r="M161" s="8"/>
      <c r="N161" s="7" t="s">
        <v>109</v>
      </c>
      <c r="O161" s="9" t="n">
        <f aca="false">IF(COUNTIFS($B$2:B161,B161,$C$2:C161,C161)=1,1,0)</f>
        <v>1</v>
      </c>
      <c r="P161" s="9" t="str">
        <f aca="false">IFERROR(INDEX(dEtapa!$A$2:$A$6,MATCH(N161,dEtapa!$B$2:$B$6,0)),"Sin etapa")</f>
        <v>Planificada 2027</v>
      </c>
      <c r="Q161" s="9" t="n">
        <f aca="false">IF(L161="Si",1,0)</f>
        <v>0</v>
      </c>
      <c r="R161" s="9" t="n">
        <f aca="false">IF(ISNUMBER(SEARCH("CRITERIO",N161)),1,0)</f>
        <v>0</v>
      </c>
      <c r="S161" s="9" t="str">
        <f aca="false">IF(E161="","Sin dato",LEFT(E161,1))</f>
        <v>E</v>
      </c>
      <c r="T161" s="9" t="n">
        <f aca="false">IFERROR(INDEX(dCriticidad!$G$2:$G$7,MATCH(S161,dCriticidad!$A$2:$A$7,0)),0)</f>
        <v>0</v>
      </c>
      <c r="U161" s="9" t="n">
        <f aca="false">IF(OR(LEFT(C161,3)="GI0",LEFT(C161,3)="GA0"),1,0)</f>
        <v>0</v>
      </c>
      <c r="V161" s="9" t="str">
        <f aca="false">IF(G161="","Sin dato (ID GI)",TRIM(G161))</f>
        <v>INFRAESTRUCTURA</v>
      </c>
      <c r="W161" s="9" t="str">
        <f aca="false">IF(F161="","Sin dato",F161)</f>
        <v>On Premise</v>
      </c>
      <c r="X161" s="9" t="str">
        <f aca="false">IF(M161="","",YEAR(M161))</f>
        <v/>
      </c>
      <c r="Y161" s="10" t="str">
        <f aca="false">IF(M161="","",DATE(YEAR(M161),MONTH(M161),1))</f>
        <v/>
      </c>
      <c r="Z161" s="9" t="n">
        <f aca="false">IF(AND(Q161=0,COUNTIF(dDuplicadosGI!$A$2:$A$60,C161)&gt;0),1,0)</f>
        <v>0</v>
      </c>
      <c r="AA161" s="9" t="n">
        <f aca="false">IF(Q161=0,1,0)</f>
        <v>1</v>
      </c>
    </row>
    <row r="162" customFormat="false" ht="15" hidden="false" customHeight="false" outlineLevel="0" collapsed="false">
      <c r="A162" s="7" t="n">
        <v>161</v>
      </c>
      <c r="B162" s="7" t="s">
        <v>735</v>
      </c>
      <c r="C162" s="7" t="s">
        <v>736</v>
      </c>
      <c r="D162" s="7" t="s">
        <v>151</v>
      </c>
      <c r="E162" s="7" t="s">
        <v>113</v>
      </c>
      <c r="F162" s="7" t="s">
        <v>94</v>
      </c>
      <c r="G162" s="7" t="s">
        <v>139</v>
      </c>
      <c r="H162" s="7" t="s">
        <v>97</v>
      </c>
      <c r="I162" s="7" t="s">
        <v>737</v>
      </c>
      <c r="J162" s="7" t="s">
        <v>141</v>
      </c>
      <c r="K162" s="7" t="s">
        <v>87</v>
      </c>
      <c r="L162" s="7" t="s">
        <v>88</v>
      </c>
      <c r="M162" s="8" t="n">
        <v>45622</v>
      </c>
      <c r="N162" s="7" t="s">
        <v>89</v>
      </c>
      <c r="O162" s="9" t="n">
        <f aca="false">IF(COUNTIFS($B$2:B162,B162,$C$2:C162,C162)=1,1,0)</f>
        <v>1</v>
      </c>
      <c r="P162" s="9" t="str">
        <f aca="false">IFERROR(INDEX(dEtapa!$A$2:$A$6,MATCH(N162,dEtapa!$B$2:$B$6,0)),"Sin etapa")</f>
        <v>Gobernada</v>
      </c>
      <c r="Q162" s="9" t="n">
        <f aca="false">IF(L162="Si",1,0)</f>
        <v>1</v>
      </c>
      <c r="R162" s="9" t="n">
        <f aca="false">IF(ISNUMBER(SEARCH("CRITERIO",N162)),1,0)</f>
        <v>0</v>
      </c>
      <c r="S162" s="9" t="str">
        <f aca="false">IF(E162="","Sin dato",LEFT(E162,1))</f>
        <v>C</v>
      </c>
      <c r="T162" s="9" t="n">
        <f aca="false">IFERROR(INDEX(dCriticidad!$G$2:$G$7,MATCH(S162,dCriticidad!$A$2:$A$7,0)),0)</f>
        <v>1</v>
      </c>
      <c r="U162" s="9" t="n">
        <f aca="false">IF(OR(LEFT(C162,3)="GI0",LEFT(C162,3)="GA0"),1,0)</f>
        <v>0</v>
      </c>
      <c r="V162" s="9" t="str">
        <f aca="false">IF(G162="","Sin dato (ID GI)",TRIM(G162))</f>
        <v>Frente de Soluciones Empresariales</v>
      </c>
      <c r="W162" s="9" t="str">
        <f aca="false">IF(F162="","Sin dato",F162)</f>
        <v>Nube</v>
      </c>
      <c r="X162" s="9" t="n">
        <f aca="false">IF(M162="","",YEAR(M162))</f>
        <v>2024</v>
      </c>
      <c r="Y162" s="10" t="n">
        <f aca="false">IF(M162="","",DATE(YEAR(M162),MONTH(M162),1))</f>
        <v>45597</v>
      </c>
      <c r="Z162" s="9" t="n">
        <f aca="false">IF(AND(Q162=0,COUNTIF(dDuplicadosGI!$A$2:$A$60,C162)&gt;0),1,0)</f>
        <v>0</v>
      </c>
      <c r="AA162" s="9" t="n">
        <f aca="false">IF(Q162=0,1,0)</f>
        <v>0</v>
      </c>
    </row>
    <row r="163" customFormat="false" ht="15" hidden="false" customHeight="false" outlineLevel="0" collapsed="false">
      <c r="A163" s="7" t="n">
        <v>162</v>
      </c>
      <c r="B163" s="7" t="s">
        <v>738</v>
      </c>
      <c r="C163" s="7" t="s">
        <v>739</v>
      </c>
      <c r="D163" s="7" t="s">
        <v>435</v>
      </c>
      <c r="E163" s="7" t="s">
        <v>113</v>
      </c>
      <c r="F163" s="7" t="s">
        <v>82</v>
      </c>
      <c r="G163" s="7" t="s">
        <v>166</v>
      </c>
      <c r="H163" s="7" t="s">
        <v>314</v>
      </c>
      <c r="I163" s="7" t="s">
        <v>168</v>
      </c>
      <c r="J163" s="7" t="s">
        <v>313</v>
      </c>
      <c r="K163" s="7" t="s">
        <v>170</v>
      </c>
      <c r="L163" s="7" t="s">
        <v>88</v>
      </c>
      <c r="M163" s="8" t="n">
        <v>45519</v>
      </c>
      <c r="N163" s="7" t="s">
        <v>89</v>
      </c>
      <c r="O163" s="9" t="n">
        <f aca="false">IF(COUNTIFS($B$2:B163,B163,$C$2:C163,C163)=1,1,0)</f>
        <v>1</v>
      </c>
      <c r="P163" s="9" t="str">
        <f aca="false">IFERROR(INDEX(dEtapa!$A$2:$A$6,MATCH(N163,dEtapa!$B$2:$B$6,0)),"Sin etapa")</f>
        <v>Gobernada</v>
      </c>
      <c r="Q163" s="9" t="n">
        <f aca="false">IF(L163="Si",1,0)</f>
        <v>1</v>
      </c>
      <c r="R163" s="9" t="n">
        <f aca="false">IF(ISNUMBER(SEARCH("CRITERIO",N163)),1,0)</f>
        <v>0</v>
      </c>
      <c r="S163" s="9" t="str">
        <f aca="false">IF(E163="","Sin dato",LEFT(E163,1))</f>
        <v>C</v>
      </c>
      <c r="T163" s="9" t="n">
        <f aca="false">IFERROR(INDEX(dCriticidad!$G$2:$G$7,MATCH(S163,dCriticidad!$A$2:$A$7,0)),0)</f>
        <v>1</v>
      </c>
      <c r="U163" s="9" t="n">
        <f aca="false">IF(OR(LEFT(C163,3)="GI0",LEFT(C163,3)="GA0"),1,0)</f>
        <v>0</v>
      </c>
      <c r="V163" s="9" t="str">
        <f aca="false">IF(G163="","Sin dato (ID GI)",TRIM(G163))</f>
        <v>Ciberseguridad</v>
      </c>
      <c r="W163" s="9" t="str">
        <f aca="false">IF(F163="","Sin dato",F163)</f>
        <v>On Premise</v>
      </c>
      <c r="X163" s="9" t="n">
        <f aca="false">IF(M163="","",YEAR(M163))</f>
        <v>2024</v>
      </c>
      <c r="Y163" s="10" t="n">
        <f aca="false">IF(M163="","",DATE(YEAR(M163),MONTH(M163),1))</f>
        <v>45505</v>
      </c>
      <c r="Z163" s="9" t="n">
        <f aca="false">IF(AND(Q163=0,COUNTIF(dDuplicadosGI!$A$2:$A$60,C163)&gt;0),1,0)</f>
        <v>0</v>
      </c>
      <c r="AA163" s="9" t="n">
        <f aca="false">IF(Q163=0,1,0)</f>
        <v>0</v>
      </c>
    </row>
    <row r="164" customFormat="false" ht="15" hidden="false" customHeight="false" outlineLevel="0" collapsed="false">
      <c r="A164" s="7" t="n">
        <v>163</v>
      </c>
      <c r="B164" s="7" t="s">
        <v>740</v>
      </c>
      <c r="C164" s="7" t="s">
        <v>741</v>
      </c>
      <c r="D164" s="7" t="s">
        <v>742</v>
      </c>
      <c r="E164" s="7" t="s">
        <v>113</v>
      </c>
      <c r="F164" s="7" t="s">
        <v>269</v>
      </c>
      <c r="G164" s="7" t="s">
        <v>337</v>
      </c>
      <c r="H164" s="7" t="s">
        <v>630</v>
      </c>
      <c r="I164" s="7" t="s">
        <v>631</v>
      </c>
      <c r="J164" s="7" t="s">
        <v>630</v>
      </c>
      <c r="K164" s="7" t="s">
        <v>108</v>
      </c>
      <c r="L164" s="7" t="s">
        <v>88</v>
      </c>
      <c r="M164" s="8" t="n">
        <v>45864</v>
      </c>
      <c r="N164" s="7" t="s">
        <v>89</v>
      </c>
      <c r="O164" s="9" t="n">
        <f aca="false">IF(COUNTIFS($B$2:B164,B164,$C$2:C164,C164)=1,1,0)</f>
        <v>1</v>
      </c>
      <c r="P164" s="9" t="str">
        <f aca="false">IFERROR(INDEX(dEtapa!$A$2:$A$6,MATCH(N164,dEtapa!$B$2:$B$6,0)),"Sin etapa")</f>
        <v>Gobernada</v>
      </c>
      <c r="Q164" s="9" t="n">
        <f aca="false">IF(L164="Si",1,0)</f>
        <v>1</v>
      </c>
      <c r="R164" s="9" t="n">
        <f aca="false">IF(ISNUMBER(SEARCH("CRITERIO",N164)),1,0)</f>
        <v>0</v>
      </c>
      <c r="S164" s="9" t="str">
        <f aca="false">IF(E164="","Sin dato",LEFT(E164,1))</f>
        <v>C</v>
      </c>
      <c r="T164" s="9" t="n">
        <f aca="false">IFERROR(INDEX(dCriticidad!$G$2:$G$7,MATCH(S164,dCriticidad!$A$2:$A$7,0)),0)</f>
        <v>1</v>
      </c>
      <c r="U164" s="9" t="n">
        <f aca="false">IF(OR(LEFT(C164,3)="GI0",LEFT(C164,3)="GA0"),1,0)</f>
        <v>0</v>
      </c>
      <c r="V164" s="9" t="str">
        <f aca="false">IF(G164="","Sin dato (ID GI)",TRIM(G164))</f>
        <v>Gerencia SRE</v>
      </c>
      <c r="W164" s="9" t="str">
        <f aca="false">IF(F164="","Sin dato",F164)</f>
        <v>Híbrida</v>
      </c>
      <c r="X164" s="9" t="n">
        <f aca="false">IF(M164="","",YEAR(M164))</f>
        <v>2025</v>
      </c>
      <c r="Y164" s="10" t="n">
        <f aca="false">IF(M164="","",DATE(YEAR(M164),MONTH(M164),1))</f>
        <v>45839</v>
      </c>
      <c r="Z164" s="9" t="n">
        <f aca="false">IF(AND(Q164=0,COUNTIF(dDuplicadosGI!$A$2:$A$60,C164)&gt;0),1,0)</f>
        <v>0</v>
      </c>
      <c r="AA164" s="9" t="n">
        <f aca="false">IF(Q164=0,1,0)</f>
        <v>0</v>
      </c>
    </row>
    <row r="165" customFormat="false" ht="15" hidden="false" customHeight="false" outlineLevel="0" collapsed="false">
      <c r="A165" s="7" t="n">
        <v>164</v>
      </c>
      <c r="B165" s="7" t="s">
        <v>743</v>
      </c>
      <c r="C165" s="7" t="s">
        <v>744</v>
      </c>
      <c r="D165" s="7" t="s">
        <v>745</v>
      </c>
      <c r="E165" s="7" t="s">
        <v>119</v>
      </c>
      <c r="F165" s="7" t="s">
        <v>82</v>
      </c>
      <c r="G165" s="7" t="s">
        <v>192</v>
      </c>
      <c r="H165" s="7" t="s">
        <v>193</v>
      </c>
      <c r="I165" s="7" t="s">
        <v>222</v>
      </c>
      <c r="J165" s="7" t="s">
        <v>223</v>
      </c>
      <c r="K165" s="7" t="s">
        <v>87</v>
      </c>
      <c r="L165" s="7" t="s">
        <v>88</v>
      </c>
      <c r="M165" s="8" t="n">
        <v>45200</v>
      </c>
      <c r="N165" s="7" t="s">
        <v>89</v>
      </c>
      <c r="O165" s="9" t="n">
        <f aca="false">IF(COUNTIFS($B$2:B165,B165,$C$2:C165,C165)=1,1,0)</f>
        <v>1</v>
      </c>
      <c r="P165" s="9" t="str">
        <f aca="false">IFERROR(INDEX(dEtapa!$A$2:$A$6,MATCH(N165,dEtapa!$B$2:$B$6,0)),"Sin etapa")</f>
        <v>Gobernada</v>
      </c>
      <c r="Q165" s="9" t="n">
        <f aca="false">IF(L165="Si",1,0)</f>
        <v>1</v>
      </c>
      <c r="R165" s="9" t="n">
        <f aca="false">IF(ISNUMBER(SEARCH("CRITERIO",N165)),1,0)</f>
        <v>0</v>
      </c>
      <c r="S165" s="9" t="str">
        <f aca="false">IF(E165="","Sin dato",LEFT(E165,1))</f>
        <v>E</v>
      </c>
      <c r="T165" s="9" t="n">
        <f aca="false">IFERROR(INDEX(dCriticidad!$G$2:$G$7,MATCH(S165,dCriticidad!$A$2:$A$7,0)),0)</f>
        <v>0</v>
      </c>
      <c r="U165" s="9" t="n">
        <f aca="false">IF(OR(LEFT(C165,3)="GI0",LEFT(C165,3)="GA0"),1,0)</f>
        <v>0</v>
      </c>
      <c r="V165" s="9" t="str">
        <f aca="false">IF(G165="","Sin dato (ID GI)",TRIM(G165))</f>
        <v>AREAS_DE_APOYO</v>
      </c>
      <c r="W165" s="9" t="str">
        <f aca="false">IF(F165="","Sin dato",F165)</f>
        <v>On Premise</v>
      </c>
      <c r="X165" s="9" t="n">
        <f aca="false">IF(M165="","",YEAR(M165))</f>
        <v>2023</v>
      </c>
      <c r="Y165" s="10" t="n">
        <f aca="false">IF(M165="","",DATE(YEAR(M165),MONTH(M165),1))</f>
        <v>45200</v>
      </c>
      <c r="Z165" s="9" t="n">
        <f aca="false">IF(AND(Q165=0,COUNTIF(dDuplicadosGI!$A$2:$A$60,C165)&gt;0),1,0)</f>
        <v>0</v>
      </c>
      <c r="AA165" s="9" t="n">
        <f aca="false">IF(Q165=0,1,0)</f>
        <v>0</v>
      </c>
    </row>
    <row r="166" customFormat="false" ht="15" hidden="false" customHeight="false" outlineLevel="0" collapsed="false">
      <c r="A166" s="7" t="n">
        <v>165</v>
      </c>
      <c r="B166" s="7" t="s">
        <v>746</v>
      </c>
      <c r="C166" s="7" t="s">
        <v>747</v>
      </c>
      <c r="D166" s="7" t="s">
        <v>748</v>
      </c>
      <c r="E166" s="7" t="s">
        <v>113</v>
      </c>
      <c r="F166" s="7" t="s">
        <v>82</v>
      </c>
      <c r="G166" s="7" t="s">
        <v>494</v>
      </c>
      <c r="H166" s="7" t="s">
        <v>338</v>
      </c>
      <c r="I166" s="7" t="s">
        <v>615</v>
      </c>
      <c r="J166" s="7" t="s">
        <v>619</v>
      </c>
      <c r="K166" s="7" t="s">
        <v>108</v>
      </c>
      <c r="L166" s="7" t="s">
        <v>88</v>
      </c>
      <c r="M166" s="8" t="n">
        <v>45200</v>
      </c>
      <c r="N166" s="7" t="s">
        <v>89</v>
      </c>
      <c r="O166" s="9" t="n">
        <f aca="false">IF(COUNTIFS($B$2:B166,B166,$C$2:C166,C166)=1,1,0)</f>
        <v>1</v>
      </c>
      <c r="P166" s="9" t="str">
        <f aca="false">IFERROR(INDEX(dEtapa!$A$2:$A$6,MATCH(N166,dEtapa!$B$2:$B$6,0)),"Sin etapa")</f>
        <v>Gobernada</v>
      </c>
      <c r="Q166" s="9" t="n">
        <f aca="false">IF(L166="Si",1,0)</f>
        <v>1</v>
      </c>
      <c r="R166" s="9" t="n">
        <f aca="false">IF(ISNUMBER(SEARCH("CRITERIO",N166)),1,0)</f>
        <v>0</v>
      </c>
      <c r="S166" s="9" t="str">
        <f aca="false">IF(E166="","Sin dato",LEFT(E166,1))</f>
        <v>C</v>
      </c>
      <c r="T166" s="9" t="n">
        <f aca="false">IFERROR(INDEX(dCriticidad!$G$2:$G$7,MATCH(S166,dCriticidad!$A$2:$A$7,0)),0)</f>
        <v>1</v>
      </c>
      <c r="U166" s="9" t="n">
        <f aca="false">IF(OR(LEFT(C166,3)="GI0",LEFT(C166,3)="GA0"),1,0)</f>
        <v>0</v>
      </c>
      <c r="V166" s="9" t="str">
        <f aca="false">IF(G166="","Sin dato (ID GI)",TRIM(G166))</f>
        <v>Gerencia Ingeniería de Seguridad Tecnológica</v>
      </c>
      <c r="W166" s="9" t="str">
        <f aca="false">IF(F166="","Sin dato",F166)</f>
        <v>On Premise</v>
      </c>
      <c r="X166" s="9" t="n">
        <f aca="false">IF(M166="","",YEAR(M166))</f>
        <v>2023</v>
      </c>
      <c r="Y166" s="10" t="n">
        <f aca="false">IF(M166="","",DATE(YEAR(M166),MONTH(M166),1))</f>
        <v>45200</v>
      </c>
      <c r="Z166" s="9" t="n">
        <f aca="false">IF(AND(Q166=0,COUNTIF(dDuplicadosGI!$A$2:$A$60,C166)&gt;0),1,0)</f>
        <v>0</v>
      </c>
      <c r="AA166" s="9" t="n">
        <f aca="false">IF(Q166=0,1,0)</f>
        <v>0</v>
      </c>
    </row>
    <row r="167" customFormat="false" ht="15" hidden="false" customHeight="false" outlineLevel="0" collapsed="false">
      <c r="A167" s="7" t="n">
        <v>166</v>
      </c>
      <c r="B167" s="7" t="s">
        <v>749</v>
      </c>
      <c r="C167" s="7" t="s">
        <v>750</v>
      </c>
      <c r="D167" s="7" t="s">
        <v>751</v>
      </c>
      <c r="E167" s="7" t="s">
        <v>93</v>
      </c>
      <c r="F167" s="7" t="s">
        <v>82</v>
      </c>
      <c r="G167" s="7" t="s">
        <v>337</v>
      </c>
      <c r="H167" s="7" t="s">
        <v>630</v>
      </c>
      <c r="I167" s="7" t="s">
        <v>631</v>
      </c>
      <c r="J167" s="7" t="s">
        <v>630</v>
      </c>
      <c r="K167" s="7" t="s">
        <v>108</v>
      </c>
      <c r="L167" s="7" t="s">
        <v>99</v>
      </c>
      <c r="M167" s="8"/>
      <c r="N167" s="7" t="s">
        <v>109</v>
      </c>
      <c r="O167" s="9" t="n">
        <f aca="false">IF(COUNTIFS($B$2:B167,B167,$C$2:C167,C167)=1,1,0)</f>
        <v>1</v>
      </c>
      <c r="P167" s="9" t="str">
        <f aca="false">IFERROR(INDEX(dEtapa!$A$2:$A$6,MATCH(N167,dEtapa!$B$2:$B$6,0)),"Sin etapa")</f>
        <v>Planificada 2027</v>
      </c>
      <c r="Q167" s="9" t="n">
        <f aca="false">IF(L167="Si",1,0)</f>
        <v>0</v>
      </c>
      <c r="R167" s="9" t="n">
        <f aca="false">IF(ISNUMBER(SEARCH("CRITERIO",N167)),1,0)</f>
        <v>0</v>
      </c>
      <c r="S167" s="9" t="str">
        <f aca="false">IF(E167="","Sin dato",LEFT(E167,1))</f>
        <v>D</v>
      </c>
      <c r="T167" s="9" t="n">
        <f aca="false">IFERROR(INDEX(dCriticidad!$G$2:$G$7,MATCH(S167,dCriticidad!$A$2:$A$7,0)),0)</f>
        <v>0</v>
      </c>
      <c r="U167" s="9" t="n">
        <f aca="false">IF(OR(LEFT(C167,3)="GI0",LEFT(C167,3)="GA0"),1,0)</f>
        <v>0</v>
      </c>
      <c r="V167" s="9" t="str">
        <f aca="false">IF(G167="","Sin dato (ID GI)",TRIM(G167))</f>
        <v>Gerencia SRE</v>
      </c>
      <c r="W167" s="9" t="str">
        <f aca="false">IF(F167="","Sin dato",F167)</f>
        <v>On Premise</v>
      </c>
      <c r="X167" s="9" t="str">
        <f aca="false">IF(M167="","",YEAR(M167))</f>
        <v/>
      </c>
      <c r="Y167" s="10" t="str">
        <f aca="false">IF(M167="","",DATE(YEAR(M167),MONTH(M167),1))</f>
        <v/>
      </c>
      <c r="Z167" s="9" t="n">
        <f aca="false">IF(AND(Q167=0,COUNTIF(dDuplicadosGI!$A$2:$A$60,C167)&gt;0),1,0)</f>
        <v>0</v>
      </c>
      <c r="AA167" s="9" t="n">
        <f aca="false">IF(Q167=0,1,0)</f>
        <v>1</v>
      </c>
    </row>
    <row r="168" customFormat="false" ht="15" hidden="false" customHeight="false" outlineLevel="0" collapsed="false">
      <c r="A168" s="7" t="n">
        <v>167</v>
      </c>
      <c r="B168" s="7" t="s">
        <v>752</v>
      </c>
      <c r="C168" s="7" t="s">
        <v>753</v>
      </c>
      <c r="D168" s="7" t="s">
        <v>754</v>
      </c>
      <c r="E168" s="7" t="s">
        <v>119</v>
      </c>
      <c r="F168" s="7" t="s">
        <v>82</v>
      </c>
      <c r="G168" s="7" t="s">
        <v>755</v>
      </c>
      <c r="H168" s="7" t="s">
        <v>106</v>
      </c>
      <c r="I168" s="7" t="s">
        <v>756</v>
      </c>
      <c r="J168" s="7" t="s">
        <v>757</v>
      </c>
      <c r="K168" s="7" t="s">
        <v>170</v>
      </c>
      <c r="L168" s="7" t="s">
        <v>99</v>
      </c>
      <c r="M168" s="8"/>
      <c r="N168" s="7" t="s">
        <v>189</v>
      </c>
      <c r="O168" s="9" t="n">
        <f aca="false">IF(COUNTIFS($B$2:B168,B168,$C$2:C168,C168)=1,1,0)</f>
        <v>1</v>
      </c>
      <c r="P168" s="9" t="str">
        <f aca="false">IFERROR(INDEX(dEtapa!$A$2:$A$6,MATCH(N168,dEtapa!$B$2:$B$6,0)),"Sin etapa")</f>
        <v>Criterio 3</v>
      </c>
      <c r="Q168" s="9" t="n">
        <f aca="false">IF(L168="Si",1,0)</f>
        <v>0</v>
      </c>
      <c r="R168" s="9" t="n">
        <f aca="false">IF(ISNUMBER(SEARCH("CRITERIO",N168)),1,0)</f>
        <v>1</v>
      </c>
      <c r="S168" s="9" t="str">
        <f aca="false">IF(E168="","Sin dato",LEFT(E168,1))</f>
        <v>E</v>
      </c>
      <c r="T168" s="9" t="n">
        <f aca="false">IFERROR(INDEX(dCriticidad!$G$2:$G$7,MATCH(S168,dCriticidad!$A$2:$A$7,0)),0)</f>
        <v>0</v>
      </c>
      <c r="U168" s="9" t="n">
        <f aca="false">IF(OR(LEFT(C168,3)="GI0",LEFT(C168,3)="GA0"),1,0)</f>
        <v>0</v>
      </c>
      <c r="V168" s="9" t="str">
        <f aca="false">IF(G168="","Sin dato (ID GI)",TRIM(G168))</f>
        <v>TEC_INCIDENT_PRUEBA</v>
      </c>
      <c r="W168" s="9" t="str">
        <f aca="false">IF(F168="","Sin dato",F168)</f>
        <v>On Premise</v>
      </c>
      <c r="X168" s="9" t="str">
        <f aca="false">IF(M168="","",YEAR(M168))</f>
        <v/>
      </c>
      <c r="Y168" s="10" t="str">
        <f aca="false">IF(M168="","",DATE(YEAR(M168),MONTH(M168),1))</f>
        <v/>
      </c>
      <c r="Z168" s="9" t="n">
        <f aca="false">IF(AND(Q168=0,COUNTIF(dDuplicadosGI!$A$2:$A$60,C168)&gt;0),1,0)</f>
        <v>0</v>
      </c>
      <c r="AA168" s="9" t="n">
        <f aca="false">IF(Q168=0,1,0)</f>
        <v>1</v>
      </c>
    </row>
    <row r="169" customFormat="false" ht="15" hidden="false" customHeight="false" outlineLevel="0" collapsed="false">
      <c r="A169" s="7" t="n">
        <v>168</v>
      </c>
      <c r="B169" s="7" t="s">
        <v>758</v>
      </c>
      <c r="C169" s="7" t="s">
        <v>759</v>
      </c>
      <c r="D169" s="7" t="s">
        <v>760</v>
      </c>
      <c r="E169" s="7" t="s">
        <v>119</v>
      </c>
      <c r="F169" s="7" t="s">
        <v>82</v>
      </c>
      <c r="G169" s="7" t="s">
        <v>166</v>
      </c>
      <c r="H169" s="7" t="s">
        <v>174</v>
      </c>
      <c r="I169" s="7" t="s">
        <v>168</v>
      </c>
      <c r="J169" s="7" t="s">
        <v>183</v>
      </c>
      <c r="K169" s="7" t="s">
        <v>170</v>
      </c>
      <c r="L169" s="7" t="s">
        <v>99</v>
      </c>
      <c r="M169" s="8"/>
      <c r="N169" s="7" t="s">
        <v>109</v>
      </c>
      <c r="O169" s="9" t="n">
        <f aca="false">IF(COUNTIFS($B$2:B169,B169,$C$2:C169,C169)=1,1,0)</f>
        <v>1</v>
      </c>
      <c r="P169" s="9" t="str">
        <f aca="false">IFERROR(INDEX(dEtapa!$A$2:$A$6,MATCH(N169,dEtapa!$B$2:$B$6,0)),"Sin etapa")</f>
        <v>Planificada 2027</v>
      </c>
      <c r="Q169" s="9" t="n">
        <f aca="false">IF(L169="Si",1,0)</f>
        <v>0</v>
      </c>
      <c r="R169" s="9" t="n">
        <f aca="false">IF(ISNUMBER(SEARCH("CRITERIO",N169)),1,0)</f>
        <v>0</v>
      </c>
      <c r="S169" s="9" t="str">
        <f aca="false">IF(E169="","Sin dato",LEFT(E169,1))</f>
        <v>E</v>
      </c>
      <c r="T169" s="9" t="n">
        <f aca="false">IFERROR(INDEX(dCriticidad!$G$2:$G$7,MATCH(S169,dCriticidad!$A$2:$A$7,0)),0)</f>
        <v>0</v>
      </c>
      <c r="U169" s="9" t="n">
        <f aca="false">IF(OR(LEFT(C169,3)="GI0",LEFT(C169,3)="GA0"),1,0)</f>
        <v>0</v>
      </c>
      <c r="V169" s="9" t="str">
        <f aca="false">IF(G169="","Sin dato (ID GI)",TRIM(G169))</f>
        <v>Ciberseguridad</v>
      </c>
      <c r="W169" s="9" t="str">
        <f aca="false">IF(F169="","Sin dato",F169)</f>
        <v>On Premise</v>
      </c>
      <c r="X169" s="9" t="str">
        <f aca="false">IF(M169="","",YEAR(M169))</f>
        <v/>
      </c>
      <c r="Y169" s="10" t="str">
        <f aca="false">IF(M169="","",DATE(YEAR(M169),MONTH(M169),1))</f>
        <v/>
      </c>
      <c r="Z169" s="9" t="n">
        <f aca="false">IF(AND(Q169=0,COUNTIF(dDuplicadosGI!$A$2:$A$60,C169)&gt;0),1,0)</f>
        <v>0</v>
      </c>
      <c r="AA169" s="9" t="n">
        <f aca="false">IF(Q169=0,1,0)</f>
        <v>1</v>
      </c>
    </row>
    <row r="170" customFormat="false" ht="15" hidden="false" customHeight="false" outlineLevel="0" collapsed="false">
      <c r="A170" s="7" t="n">
        <v>169</v>
      </c>
      <c r="B170" s="7" t="s">
        <v>761</v>
      </c>
      <c r="C170" s="7" t="s">
        <v>762</v>
      </c>
      <c r="D170" s="7" t="s">
        <v>763</v>
      </c>
      <c r="E170" s="7" t="s">
        <v>113</v>
      </c>
      <c r="F170" s="7" t="s">
        <v>82</v>
      </c>
      <c r="G170" s="7" t="s">
        <v>166</v>
      </c>
      <c r="H170" s="7" t="s">
        <v>174</v>
      </c>
      <c r="I170" s="7" t="s">
        <v>168</v>
      </c>
      <c r="J170" s="7" t="s">
        <v>167</v>
      </c>
      <c r="K170" s="7" t="s">
        <v>170</v>
      </c>
      <c r="L170" s="7" t="s">
        <v>88</v>
      </c>
      <c r="M170" s="8" t="n">
        <v>45721</v>
      </c>
      <c r="N170" s="7" t="s">
        <v>89</v>
      </c>
      <c r="O170" s="9" t="n">
        <f aca="false">IF(COUNTIFS($B$2:B170,B170,$C$2:C170,C170)=1,1,0)</f>
        <v>1</v>
      </c>
      <c r="P170" s="9" t="str">
        <f aca="false">IFERROR(INDEX(dEtapa!$A$2:$A$6,MATCH(N170,dEtapa!$B$2:$B$6,0)),"Sin etapa")</f>
        <v>Gobernada</v>
      </c>
      <c r="Q170" s="9" t="n">
        <f aca="false">IF(L170="Si",1,0)</f>
        <v>1</v>
      </c>
      <c r="R170" s="9" t="n">
        <f aca="false">IF(ISNUMBER(SEARCH("CRITERIO",N170)),1,0)</f>
        <v>0</v>
      </c>
      <c r="S170" s="9" t="str">
        <f aca="false">IF(E170="","Sin dato",LEFT(E170,1))</f>
        <v>C</v>
      </c>
      <c r="T170" s="9" t="n">
        <f aca="false">IFERROR(INDEX(dCriticidad!$G$2:$G$7,MATCH(S170,dCriticidad!$A$2:$A$7,0)),0)</f>
        <v>1</v>
      </c>
      <c r="U170" s="9" t="n">
        <f aca="false">IF(OR(LEFT(C170,3)="GI0",LEFT(C170,3)="GA0"),1,0)</f>
        <v>0</v>
      </c>
      <c r="V170" s="9" t="str">
        <f aca="false">IF(G170="","Sin dato (ID GI)",TRIM(G170))</f>
        <v>Ciberseguridad</v>
      </c>
      <c r="W170" s="9" t="str">
        <f aca="false">IF(F170="","Sin dato",F170)</f>
        <v>On Premise</v>
      </c>
      <c r="X170" s="9" t="n">
        <f aca="false">IF(M170="","",YEAR(M170))</f>
        <v>2025</v>
      </c>
      <c r="Y170" s="10" t="n">
        <f aca="false">IF(M170="","",DATE(YEAR(M170),MONTH(M170),1))</f>
        <v>45717</v>
      </c>
      <c r="Z170" s="9" t="n">
        <f aca="false">IF(AND(Q170=0,COUNTIF(dDuplicadosGI!$A$2:$A$60,C170)&gt;0),1,0)</f>
        <v>0</v>
      </c>
      <c r="AA170" s="9" t="n">
        <f aca="false">IF(Q170=0,1,0)</f>
        <v>0</v>
      </c>
    </row>
    <row r="171" customFormat="false" ht="15" hidden="false" customHeight="false" outlineLevel="0" collapsed="false">
      <c r="A171" s="7" t="n">
        <v>170</v>
      </c>
      <c r="B171" s="7" t="s">
        <v>764</v>
      </c>
      <c r="C171" s="7" t="s">
        <v>765</v>
      </c>
      <c r="D171" s="7" t="s">
        <v>766</v>
      </c>
      <c r="E171" s="7" t="s">
        <v>119</v>
      </c>
      <c r="F171" s="7" t="s">
        <v>82</v>
      </c>
      <c r="G171" s="7" t="s">
        <v>253</v>
      </c>
      <c r="H171" s="7" t="s">
        <v>254</v>
      </c>
      <c r="I171" s="7" t="s">
        <v>496</v>
      </c>
      <c r="J171" s="7" t="s">
        <v>256</v>
      </c>
      <c r="K171" s="7" t="s">
        <v>87</v>
      </c>
      <c r="L171" s="7" t="s">
        <v>88</v>
      </c>
      <c r="M171" s="8" t="n">
        <v>45199</v>
      </c>
      <c r="N171" s="7" t="s">
        <v>89</v>
      </c>
      <c r="O171" s="9" t="n">
        <f aca="false">IF(COUNTIFS($B$2:B171,B171,$C$2:C171,C171)=1,1,0)</f>
        <v>1</v>
      </c>
      <c r="P171" s="9" t="str">
        <f aca="false">IFERROR(INDEX(dEtapa!$A$2:$A$6,MATCH(N171,dEtapa!$B$2:$B$6,0)),"Sin etapa")</f>
        <v>Gobernada</v>
      </c>
      <c r="Q171" s="9" t="n">
        <f aca="false">IF(L171="Si",1,0)</f>
        <v>1</v>
      </c>
      <c r="R171" s="9" t="n">
        <f aca="false">IF(ISNUMBER(SEARCH("CRITERIO",N171)),1,0)</f>
        <v>0</v>
      </c>
      <c r="S171" s="9" t="str">
        <f aca="false">IF(E171="","Sin dato",LEFT(E171,1))</f>
        <v>E</v>
      </c>
      <c r="T171" s="9" t="n">
        <f aca="false">IFERROR(INDEX(dCriticidad!$G$2:$G$7,MATCH(S171,dCriticidad!$A$2:$A$7,0)),0)</f>
        <v>0</v>
      </c>
      <c r="U171" s="9" t="n">
        <f aca="false">IF(OR(LEFT(C171,3)="GI0",LEFT(C171,3)="GA0"),1,0)</f>
        <v>0</v>
      </c>
      <c r="V171" s="9" t="str">
        <f aca="false">IF(G171="","Sin dato (ID GI)",TRIM(G171))</f>
        <v>Tribu Administración de Créditos</v>
      </c>
      <c r="W171" s="9" t="str">
        <f aca="false">IF(F171="","Sin dato",F171)</f>
        <v>On Premise</v>
      </c>
      <c r="X171" s="9" t="n">
        <f aca="false">IF(M171="","",YEAR(M171))</f>
        <v>2023</v>
      </c>
      <c r="Y171" s="10" t="n">
        <f aca="false">IF(M171="","",DATE(YEAR(M171),MONTH(M171),1))</f>
        <v>45170</v>
      </c>
      <c r="Z171" s="9" t="n">
        <f aca="false">IF(AND(Q171=0,COUNTIF(dDuplicadosGI!$A$2:$A$60,C171)&gt;0),1,0)</f>
        <v>0</v>
      </c>
      <c r="AA171" s="9" t="n">
        <f aca="false">IF(Q171=0,1,0)</f>
        <v>0</v>
      </c>
    </row>
    <row r="172" customFormat="false" ht="15" hidden="false" customHeight="false" outlineLevel="0" collapsed="false">
      <c r="A172" s="7" t="n">
        <v>171</v>
      </c>
      <c r="B172" s="7" t="s">
        <v>767</v>
      </c>
      <c r="C172" s="7" t="s">
        <v>768</v>
      </c>
      <c r="D172" s="7" t="s">
        <v>769</v>
      </c>
      <c r="E172" s="7" t="s">
        <v>145</v>
      </c>
      <c r="F172" s="7" t="s">
        <v>82</v>
      </c>
      <c r="G172" s="7" t="s">
        <v>104</v>
      </c>
      <c r="H172" s="7" t="s">
        <v>105</v>
      </c>
      <c r="I172" s="7" t="s">
        <v>120</v>
      </c>
      <c r="J172" s="7" t="s">
        <v>265</v>
      </c>
      <c r="K172" s="7" t="s">
        <v>170</v>
      </c>
      <c r="L172" s="7" t="s">
        <v>88</v>
      </c>
      <c r="M172" s="8" t="n">
        <v>45200</v>
      </c>
      <c r="N172" s="7" t="s">
        <v>89</v>
      </c>
      <c r="O172" s="9" t="n">
        <f aca="false">IF(COUNTIFS($B$2:B172,B172,$C$2:C172,C172)=1,1,0)</f>
        <v>1</v>
      </c>
      <c r="P172" s="9" t="str">
        <f aca="false">IFERROR(INDEX(dEtapa!$A$2:$A$6,MATCH(N172,dEtapa!$B$2:$B$6,0)),"Sin etapa")</f>
        <v>Gobernada</v>
      </c>
      <c r="Q172" s="9" t="n">
        <f aca="false">IF(L172="Si",1,0)</f>
        <v>1</v>
      </c>
      <c r="R172" s="9" t="n">
        <f aca="false">IF(ISNUMBER(SEARCH("CRITERIO",N172)),1,0)</f>
        <v>0</v>
      </c>
      <c r="S172" s="9" t="str">
        <f aca="false">IF(E172="","Sin dato",LEFT(E172,1))</f>
        <v>B</v>
      </c>
      <c r="T172" s="9" t="n">
        <f aca="false">IFERROR(INDEX(dCriticidad!$G$2:$G$7,MATCH(S172,dCriticidad!$A$2:$A$7,0)),0)</f>
        <v>1</v>
      </c>
      <c r="U172" s="9" t="n">
        <f aca="false">IF(OR(LEFT(C172,3)="GI0",LEFT(C172,3)="GA0"),1,0)</f>
        <v>0</v>
      </c>
      <c r="V172" s="9" t="str">
        <f aca="false">IF(G172="","Sin dato (ID GI)",TRIM(G172))</f>
        <v>INFRAESTRUCTURA</v>
      </c>
      <c r="W172" s="9" t="str">
        <f aca="false">IF(F172="","Sin dato",F172)</f>
        <v>On Premise</v>
      </c>
      <c r="X172" s="9" t="n">
        <f aca="false">IF(M172="","",YEAR(M172))</f>
        <v>2023</v>
      </c>
      <c r="Y172" s="10" t="n">
        <f aca="false">IF(M172="","",DATE(YEAR(M172),MONTH(M172),1))</f>
        <v>45200</v>
      </c>
      <c r="Z172" s="9" t="n">
        <f aca="false">IF(AND(Q172=0,COUNTIF(dDuplicadosGI!$A$2:$A$60,C172)&gt;0),1,0)</f>
        <v>0</v>
      </c>
      <c r="AA172" s="9" t="n">
        <f aca="false">IF(Q172=0,1,0)</f>
        <v>0</v>
      </c>
    </row>
    <row r="173" customFormat="false" ht="15" hidden="false" customHeight="false" outlineLevel="0" collapsed="false">
      <c r="A173" s="7" t="n">
        <v>172</v>
      </c>
      <c r="B173" s="7" t="s">
        <v>770</v>
      </c>
      <c r="C173" s="7" t="s">
        <v>771</v>
      </c>
      <c r="D173" s="7" t="s">
        <v>772</v>
      </c>
      <c r="E173" s="7" t="s">
        <v>119</v>
      </c>
      <c r="F173" s="7" t="s">
        <v>94</v>
      </c>
      <c r="G173" s="7" t="s">
        <v>160</v>
      </c>
      <c r="H173" s="7" t="s">
        <v>133</v>
      </c>
      <c r="I173" s="7" t="s">
        <v>773</v>
      </c>
      <c r="J173" s="7" t="s">
        <v>162</v>
      </c>
      <c r="K173" s="7" t="s">
        <v>87</v>
      </c>
      <c r="L173" s="7" t="s">
        <v>99</v>
      </c>
      <c r="M173" s="8"/>
      <c r="N173" s="7" t="s">
        <v>109</v>
      </c>
      <c r="O173" s="9" t="n">
        <f aca="false">IF(COUNTIFS($B$2:B173,B173,$C$2:C173,C173)=1,1,0)</f>
        <v>1</v>
      </c>
      <c r="P173" s="9" t="str">
        <f aca="false">IFERROR(INDEX(dEtapa!$A$2:$A$6,MATCH(N173,dEtapa!$B$2:$B$6,0)),"Sin etapa")</f>
        <v>Planificada 2027</v>
      </c>
      <c r="Q173" s="9" t="n">
        <f aca="false">IF(L173="Si",1,0)</f>
        <v>0</v>
      </c>
      <c r="R173" s="9" t="n">
        <f aca="false">IF(ISNUMBER(SEARCH("CRITERIO",N173)),1,0)</f>
        <v>0</v>
      </c>
      <c r="S173" s="9" t="str">
        <f aca="false">IF(E173="","Sin dato",LEFT(E173,1))</f>
        <v>E</v>
      </c>
      <c r="T173" s="9" t="n">
        <f aca="false">IFERROR(INDEX(dCriticidad!$G$2:$G$7,MATCH(S173,dCriticidad!$A$2:$A$7,0)),0)</f>
        <v>0</v>
      </c>
      <c r="U173" s="9" t="n">
        <f aca="false">IF(OR(LEFT(C173,3)="GI0",LEFT(C173,3)="GA0"),1,0)</f>
        <v>0</v>
      </c>
      <c r="V173" s="9" t="str">
        <f aca="false">IF(G173="","Sin dato (ID GI)",TRIM(G173))</f>
        <v>PASIVOS Y SEGUROS</v>
      </c>
      <c r="W173" s="9" t="str">
        <f aca="false">IF(F173="","Sin dato",F173)</f>
        <v>Nube</v>
      </c>
      <c r="X173" s="9" t="str">
        <f aca="false">IF(M173="","",YEAR(M173))</f>
        <v/>
      </c>
      <c r="Y173" s="10" t="str">
        <f aca="false">IF(M173="","",DATE(YEAR(M173),MONTH(M173),1))</f>
        <v/>
      </c>
      <c r="Z173" s="9" t="n">
        <f aca="false">IF(AND(Q173=0,COUNTIF(dDuplicadosGI!$A$2:$A$60,C173)&gt;0),1,0)</f>
        <v>0</v>
      </c>
      <c r="AA173" s="9" t="n">
        <f aca="false">IF(Q173=0,1,0)</f>
        <v>1</v>
      </c>
    </row>
    <row r="174" customFormat="false" ht="15" hidden="false" customHeight="false" outlineLevel="0" collapsed="false">
      <c r="A174" s="7" t="n">
        <v>173</v>
      </c>
      <c r="B174" s="7" t="s">
        <v>774</v>
      </c>
      <c r="C174" s="7" t="s">
        <v>775</v>
      </c>
      <c r="D174" s="11" t="s">
        <v>776</v>
      </c>
      <c r="E174" s="7" t="s">
        <v>145</v>
      </c>
      <c r="F174" s="7" t="s">
        <v>94</v>
      </c>
      <c r="G174" s="7" t="s">
        <v>211</v>
      </c>
      <c r="H174" s="7" t="s">
        <v>183</v>
      </c>
      <c r="I174" s="7" t="s">
        <v>327</v>
      </c>
      <c r="J174" s="7" t="s">
        <v>214</v>
      </c>
      <c r="K174" s="7" t="s">
        <v>170</v>
      </c>
      <c r="L174" s="7" t="s">
        <v>99</v>
      </c>
      <c r="M174" s="8"/>
      <c r="N174" s="7" t="s">
        <v>178</v>
      </c>
      <c r="O174" s="9" t="n">
        <f aca="false">IF(COUNTIFS($B$2:B174,B174,$C$2:C174,C174)=1,1,0)</f>
        <v>1</v>
      </c>
      <c r="P174" s="9" t="str">
        <f aca="false">IFERROR(INDEX(dEtapa!$A$2:$A$6,MATCH(N174,dEtapa!$B$2:$B$6,0)),"Sin etapa")</f>
        <v>Criterio 2</v>
      </c>
      <c r="Q174" s="9" t="n">
        <f aca="false">IF(L174="Si",1,0)</f>
        <v>0</v>
      </c>
      <c r="R174" s="9" t="n">
        <f aca="false">IF(ISNUMBER(SEARCH("CRITERIO",N174)),1,0)</f>
        <v>1</v>
      </c>
      <c r="S174" s="9" t="str">
        <f aca="false">IF(E174="","Sin dato",LEFT(E174,1))</f>
        <v>B</v>
      </c>
      <c r="T174" s="9" t="n">
        <f aca="false">IFERROR(INDEX(dCriticidad!$G$2:$G$7,MATCH(S174,dCriticidad!$A$2:$A$7,0)),0)</f>
        <v>1</v>
      </c>
      <c r="U174" s="9" t="n">
        <f aca="false">IF(OR(LEFT(C174,3)="GI0",LEFT(C174,3)="GA0"),1,0)</f>
        <v>0</v>
      </c>
      <c r="V174" s="9" t="str">
        <f aca="false">IF(G174="","Sin dato (ID GI)",TRIM(G174))</f>
        <v>Tribu Ciberseguridad</v>
      </c>
      <c r="W174" s="9" t="str">
        <f aca="false">IF(F174="","Sin dato",F174)</f>
        <v>Nube</v>
      </c>
      <c r="X174" s="9" t="str">
        <f aca="false">IF(M174="","",YEAR(M174))</f>
        <v/>
      </c>
      <c r="Y174" s="10" t="str">
        <f aca="false">IF(M174="","",DATE(YEAR(M174),MONTH(M174),1))</f>
        <v/>
      </c>
      <c r="Z174" s="9" t="n">
        <f aca="false">IF(AND(Q174=0,COUNTIF(dDuplicadosGI!$A$2:$A$60,C174)&gt;0),1,0)</f>
        <v>0</v>
      </c>
      <c r="AA174" s="9" t="n">
        <f aca="false">IF(Q174=0,1,0)</f>
        <v>1</v>
      </c>
    </row>
    <row r="175" customFormat="false" ht="15" hidden="false" customHeight="false" outlineLevel="0" collapsed="false">
      <c r="A175" s="7" t="n">
        <v>174</v>
      </c>
      <c r="B175" s="7" t="s">
        <v>777</v>
      </c>
      <c r="C175" s="7" t="s">
        <v>778</v>
      </c>
      <c r="D175" s="7" t="s">
        <v>779</v>
      </c>
      <c r="E175" s="7" t="s">
        <v>119</v>
      </c>
      <c r="F175" s="7" t="s">
        <v>94</v>
      </c>
      <c r="G175" s="7" t="s">
        <v>192</v>
      </c>
      <c r="H175" s="7" t="s">
        <v>193</v>
      </c>
      <c r="I175" s="7" t="s">
        <v>222</v>
      </c>
      <c r="J175" s="7" t="s">
        <v>223</v>
      </c>
      <c r="K175" s="7" t="s">
        <v>87</v>
      </c>
      <c r="L175" s="7" t="s">
        <v>88</v>
      </c>
      <c r="M175" s="8" t="n">
        <v>45200</v>
      </c>
      <c r="N175" s="7" t="s">
        <v>89</v>
      </c>
      <c r="O175" s="9" t="n">
        <f aca="false">IF(COUNTIFS($B$2:B175,B175,$C$2:C175,C175)=1,1,0)</f>
        <v>1</v>
      </c>
      <c r="P175" s="9" t="str">
        <f aca="false">IFERROR(INDEX(dEtapa!$A$2:$A$6,MATCH(N175,dEtapa!$B$2:$B$6,0)),"Sin etapa")</f>
        <v>Gobernada</v>
      </c>
      <c r="Q175" s="9" t="n">
        <f aca="false">IF(L175="Si",1,0)</f>
        <v>1</v>
      </c>
      <c r="R175" s="9" t="n">
        <f aca="false">IF(ISNUMBER(SEARCH("CRITERIO",N175)),1,0)</f>
        <v>0</v>
      </c>
      <c r="S175" s="9" t="str">
        <f aca="false">IF(E175="","Sin dato",LEFT(E175,1))</f>
        <v>E</v>
      </c>
      <c r="T175" s="9" t="n">
        <f aca="false">IFERROR(INDEX(dCriticidad!$G$2:$G$7,MATCH(S175,dCriticidad!$A$2:$A$7,0)),0)</f>
        <v>0</v>
      </c>
      <c r="U175" s="9" t="n">
        <f aca="false">IF(OR(LEFT(C175,3)="GI0",LEFT(C175,3)="GA0"),1,0)</f>
        <v>0</v>
      </c>
      <c r="V175" s="9" t="str">
        <f aca="false">IF(G175="","Sin dato (ID GI)",TRIM(G175))</f>
        <v>AREAS_DE_APOYO</v>
      </c>
      <c r="W175" s="9" t="str">
        <f aca="false">IF(F175="","Sin dato",F175)</f>
        <v>Nube</v>
      </c>
      <c r="X175" s="9" t="n">
        <f aca="false">IF(M175="","",YEAR(M175))</f>
        <v>2023</v>
      </c>
      <c r="Y175" s="10" t="n">
        <f aca="false">IF(M175="","",DATE(YEAR(M175),MONTH(M175),1))</f>
        <v>45200</v>
      </c>
      <c r="Z175" s="9" t="n">
        <f aca="false">IF(AND(Q175=0,COUNTIF(dDuplicadosGI!$A$2:$A$60,C175)&gt;0),1,0)</f>
        <v>0</v>
      </c>
      <c r="AA175" s="9" t="n">
        <f aca="false">IF(Q175=0,1,0)</f>
        <v>0</v>
      </c>
    </row>
    <row r="176" customFormat="false" ht="15" hidden="false" customHeight="false" outlineLevel="0" collapsed="false">
      <c r="A176" s="7" t="n">
        <v>175</v>
      </c>
      <c r="B176" s="7" t="s">
        <v>780</v>
      </c>
      <c r="C176" s="7" t="s">
        <v>781</v>
      </c>
      <c r="D176" s="7" t="s">
        <v>782</v>
      </c>
      <c r="E176" s="7" t="s">
        <v>119</v>
      </c>
      <c r="F176" s="7" t="s">
        <v>94</v>
      </c>
      <c r="G176" s="7" t="s">
        <v>232</v>
      </c>
      <c r="H176" s="7" t="s">
        <v>626</v>
      </c>
      <c r="I176" s="7"/>
      <c r="J176" s="7"/>
      <c r="K176" s="7" t="s">
        <v>234</v>
      </c>
      <c r="L176" s="7" t="s">
        <v>99</v>
      </c>
      <c r="M176" s="8"/>
      <c r="N176" s="7" t="s">
        <v>109</v>
      </c>
      <c r="O176" s="9" t="n">
        <f aca="false">IF(COUNTIFS($B$2:B176,B176,$C$2:C176,C176)=1,1,0)</f>
        <v>1</v>
      </c>
      <c r="P176" s="9" t="str">
        <f aca="false">IFERROR(INDEX(dEtapa!$A$2:$A$6,MATCH(N176,dEtapa!$B$2:$B$6,0)),"Sin etapa")</f>
        <v>Planificada 2027</v>
      </c>
      <c r="Q176" s="9" t="n">
        <f aca="false">IF(L176="Si",1,0)</f>
        <v>0</v>
      </c>
      <c r="R176" s="9" t="n">
        <f aca="false">IF(ISNUMBER(SEARCH("CRITERIO",N176)),1,0)</f>
        <v>0</v>
      </c>
      <c r="S176" s="9" t="str">
        <f aca="false">IF(E176="","Sin dato",LEFT(E176,1))</f>
        <v>E</v>
      </c>
      <c r="T176" s="9" t="n">
        <f aca="false">IFERROR(INDEX(dCriticidad!$G$2:$G$7,MATCH(S176,dCriticidad!$A$2:$A$7,0)),0)</f>
        <v>0</v>
      </c>
      <c r="U176" s="9" t="n">
        <f aca="false">IF(OR(LEFT(C176,3)="GI0",LEFT(C176,3)="GA0"),1,0)</f>
        <v>0</v>
      </c>
      <c r="V176" s="9" t="str">
        <f aca="false">IF(G176="","Sin dato (ID GI)",TRIM(G176))</f>
        <v>COE Experiencia</v>
      </c>
      <c r="W176" s="9" t="str">
        <f aca="false">IF(F176="","Sin dato",F176)</f>
        <v>Nube</v>
      </c>
      <c r="X176" s="9" t="str">
        <f aca="false">IF(M176="","",YEAR(M176))</f>
        <v/>
      </c>
      <c r="Y176" s="10" t="str">
        <f aca="false">IF(M176="","",DATE(YEAR(M176),MONTH(M176),1))</f>
        <v/>
      </c>
      <c r="Z176" s="9" t="n">
        <f aca="false">IF(AND(Q176=0,COUNTIF(dDuplicadosGI!$A$2:$A$60,C176)&gt;0),1,0)</f>
        <v>0</v>
      </c>
      <c r="AA176" s="9" t="n">
        <f aca="false">IF(Q176=0,1,0)</f>
        <v>1</v>
      </c>
    </row>
    <row r="177" customFormat="false" ht="15" hidden="false" customHeight="false" outlineLevel="0" collapsed="false">
      <c r="A177" s="7" t="n">
        <v>176</v>
      </c>
      <c r="B177" s="7" t="s">
        <v>783</v>
      </c>
      <c r="C177" s="7" t="s">
        <v>784</v>
      </c>
      <c r="D177" s="11" t="s">
        <v>785</v>
      </c>
      <c r="E177" s="7" t="s">
        <v>119</v>
      </c>
      <c r="F177" s="7" t="s">
        <v>82</v>
      </c>
      <c r="G177" s="7" t="s">
        <v>104</v>
      </c>
      <c r="H177" s="7" t="s">
        <v>105</v>
      </c>
      <c r="I177" s="7" t="s">
        <v>120</v>
      </c>
      <c r="J177" s="7" t="s">
        <v>641</v>
      </c>
      <c r="K177" s="7" t="s">
        <v>170</v>
      </c>
      <c r="L177" s="7" t="s">
        <v>99</v>
      </c>
      <c r="M177" s="8"/>
      <c r="N177" s="7" t="s">
        <v>109</v>
      </c>
      <c r="O177" s="9" t="n">
        <f aca="false">IF(COUNTIFS($B$2:B177,B177,$C$2:C177,C177)=1,1,0)</f>
        <v>1</v>
      </c>
      <c r="P177" s="9" t="str">
        <f aca="false">IFERROR(INDEX(dEtapa!$A$2:$A$6,MATCH(N177,dEtapa!$B$2:$B$6,0)),"Sin etapa")</f>
        <v>Planificada 2027</v>
      </c>
      <c r="Q177" s="9" t="n">
        <f aca="false">IF(L177="Si",1,0)</f>
        <v>0</v>
      </c>
      <c r="R177" s="9" t="n">
        <f aca="false">IF(ISNUMBER(SEARCH("CRITERIO",N177)),1,0)</f>
        <v>0</v>
      </c>
      <c r="S177" s="9" t="str">
        <f aca="false">IF(E177="","Sin dato",LEFT(E177,1))</f>
        <v>E</v>
      </c>
      <c r="T177" s="9" t="n">
        <f aca="false">IFERROR(INDEX(dCriticidad!$G$2:$G$7,MATCH(S177,dCriticidad!$A$2:$A$7,0)),0)</f>
        <v>0</v>
      </c>
      <c r="U177" s="9" t="n">
        <f aca="false">IF(OR(LEFT(C177,3)="GI0",LEFT(C177,3)="GA0"),1,0)</f>
        <v>0</v>
      </c>
      <c r="V177" s="9" t="str">
        <f aca="false">IF(G177="","Sin dato (ID GI)",TRIM(G177))</f>
        <v>INFRAESTRUCTURA</v>
      </c>
      <c r="W177" s="9" t="str">
        <f aca="false">IF(F177="","Sin dato",F177)</f>
        <v>On Premise</v>
      </c>
      <c r="X177" s="9" t="str">
        <f aca="false">IF(M177="","",YEAR(M177))</f>
        <v/>
      </c>
      <c r="Y177" s="10" t="str">
        <f aca="false">IF(M177="","",DATE(YEAR(M177),MONTH(M177),1))</f>
        <v/>
      </c>
      <c r="Z177" s="9" t="n">
        <f aca="false">IF(AND(Q177=0,COUNTIF(dDuplicadosGI!$A$2:$A$60,C177)&gt;0),1,0)</f>
        <v>0</v>
      </c>
      <c r="AA177" s="9" t="n">
        <f aca="false">IF(Q177=0,1,0)</f>
        <v>1</v>
      </c>
    </row>
    <row r="178" customFormat="false" ht="15" hidden="false" customHeight="false" outlineLevel="0" collapsed="false">
      <c r="A178" s="7" t="n">
        <v>177</v>
      </c>
      <c r="B178" s="7" t="s">
        <v>786</v>
      </c>
      <c r="C178" s="7" t="s">
        <v>787</v>
      </c>
      <c r="D178" s="7" t="s">
        <v>788</v>
      </c>
      <c r="E178" s="7" t="s">
        <v>113</v>
      </c>
      <c r="F178" s="7" t="s">
        <v>82</v>
      </c>
      <c r="G178" s="7" t="s">
        <v>369</v>
      </c>
      <c r="H178" s="7" t="s">
        <v>147</v>
      </c>
      <c r="I178" s="7" t="s">
        <v>475</v>
      </c>
      <c r="J178" s="7" t="s">
        <v>147</v>
      </c>
      <c r="K178" s="7" t="s">
        <v>87</v>
      </c>
      <c r="L178" s="7" t="s">
        <v>99</v>
      </c>
      <c r="M178" s="8"/>
      <c r="N178" s="7" t="s">
        <v>178</v>
      </c>
      <c r="O178" s="9" t="n">
        <f aca="false">IF(COUNTIFS($B$2:B178,B178,$C$2:C178,C178)=1,1,0)</f>
        <v>1</v>
      </c>
      <c r="P178" s="9" t="str">
        <f aca="false">IFERROR(INDEX(dEtapa!$A$2:$A$6,MATCH(N178,dEtapa!$B$2:$B$6,0)),"Sin etapa")</f>
        <v>Criterio 2</v>
      </c>
      <c r="Q178" s="9" t="n">
        <f aca="false">IF(L178="Si",1,0)</f>
        <v>0</v>
      </c>
      <c r="R178" s="9" t="n">
        <f aca="false">IF(ISNUMBER(SEARCH("CRITERIO",N178)),1,0)</f>
        <v>1</v>
      </c>
      <c r="S178" s="9" t="str">
        <f aca="false">IF(E178="","Sin dato",LEFT(E178,1))</f>
        <v>C</v>
      </c>
      <c r="T178" s="9" t="n">
        <f aca="false">IFERROR(INDEX(dCriticidad!$G$2:$G$7,MATCH(S178,dCriticidad!$A$2:$A$7,0)),0)</f>
        <v>1</v>
      </c>
      <c r="U178" s="9" t="n">
        <f aca="false">IF(OR(LEFT(C178,3)="GI0",LEFT(C178,3)="GA0"),1,0)</f>
        <v>0</v>
      </c>
      <c r="V178" s="9" t="str">
        <f aca="false">IF(G178="","Sin dato (ID GI)",TRIM(G178))</f>
        <v>Tribu_Cores_Transacciones</v>
      </c>
      <c r="W178" s="9" t="str">
        <f aca="false">IF(F178="","Sin dato",F178)</f>
        <v>On Premise</v>
      </c>
      <c r="X178" s="9" t="str">
        <f aca="false">IF(M178="","",YEAR(M178))</f>
        <v/>
      </c>
      <c r="Y178" s="10" t="str">
        <f aca="false">IF(M178="","",DATE(YEAR(M178),MONTH(M178),1))</f>
        <v/>
      </c>
      <c r="Z178" s="9" t="n">
        <f aca="false">IF(AND(Q178=0,COUNTIF(dDuplicadosGI!$A$2:$A$60,C178)&gt;0),1,0)</f>
        <v>0</v>
      </c>
      <c r="AA178" s="9" t="n">
        <f aca="false">IF(Q178=0,1,0)</f>
        <v>1</v>
      </c>
    </row>
    <row r="179" customFormat="false" ht="15" hidden="false" customHeight="false" outlineLevel="0" collapsed="false">
      <c r="A179" s="7" t="n">
        <v>178</v>
      </c>
      <c r="B179" s="7" t="s">
        <v>789</v>
      </c>
      <c r="C179" s="7" t="s">
        <v>790</v>
      </c>
      <c r="D179" s="7" t="s">
        <v>320</v>
      </c>
      <c r="E179" s="7" t="s">
        <v>145</v>
      </c>
      <c r="F179" s="7" t="s">
        <v>94</v>
      </c>
      <c r="G179" s="7" t="s">
        <v>146</v>
      </c>
      <c r="H179" s="7" t="s">
        <v>147</v>
      </c>
      <c r="I179" s="7" t="s">
        <v>351</v>
      </c>
      <c r="J179" s="7" t="s">
        <v>791</v>
      </c>
      <c r="K179" s="7" t="s">
        <v>98</v>
      </c>
      <c r="L179" s="7" t="s">
        <v>99</v>
      </c>
      <c r="M179" s="8"/>
      <c r="N179" s="7" t="s">
        <v>178</v>
      </c>
      <c r="O179" s="9" t="n">
        <f aca="false">IF(COUNTIFS($B$2:B179,B179,$C$2:C179,C179)=1,1,0)</f>
        <v>1</v>
      </c>
      <c r="P179" s="9" t="str">
        <f aca="false">IFERROR(INDEX(dEtapa!$A$2:$A$6,MATCH(N179,dEtapa!$B$2:$B$6,0)),"Sin etapa")</f>
        <v>Criterio 2</v>
      </c>
      <c r="Q179" s="9" t="n">
        <f aca="false">IF(L179="Si",1,0)</f>
        <v>0</v>
      </c>
      <c r="R179" s="9" t="n">
        <f aca="false">IF(ISNUMBER(SEARCH("CRITERIO",N179)),1,0)</f>
        <v>1</v>
      </c>
      <c r="S179" s="9" t="str">
        <f aca="false">IF(E179="","Sin dato",LEFT(E179,1))</f>
        <v>B</v>
      </c>
      <c r="T179" s="9" t="n">
        <f aca="false">IFERROR(INDEX(dCriticidad!$G$2:$G$7,MATCH(S179,dCriticidad!$A$2:$A$7,0)),0)</f>
        <v>1</v>
      </c>
      <c r="U179" s="9" t="n">
        <f aca="false">IF(OR(LEFT(C179,3)="GI0",LEFT(C179,3)="GA0"),1,0)</f>
        <v>0</v>
      </c>
      <c r="V179" s="9" t="str">
        <f aca="false">IF(G179="","Sin dato (ID GI)",TRIM(G179))</f>
        <v>Tribu_Integraciones_Apis</v>
      </c>
      <c r="W179" s="9" t="str">
        <f aca="false">IF(F179="","Sin dato",F179)</f>
        <v>Nube</v>
      </c>
      <c r="X179" s="9" t="str">
        <f aca="false">IF(M179="","",YEAR(M179))</f>
        <v/>
      </c>
      <c r="Y179" s="10" t="str">
        <f aca="false">IF(M179="","",DATE(YEAR(M179),MONTH(M179),1))</f>
        <v/>
      </c>
      <c r="Z179" s="9" t="n">
        <f aca="false">IF(AND(Q179=0,COUNTIF(dDuplicadosGI!$A$2:$A$60,C179)&gt;0),1,0)</f>
        <v>0</v>
      </c>
      <c r="AA179" s="9" t="n">
        <f aca="false">IF(Q179=0,1,0)</f>
        <v>1</v>
      </c>
    </row>
    <row r="180" customFormat="false" ht="15" hidden="false" customHeight="false" outlineLevel="0" collapsed="false">
      <c r="A180" s="7" t="n">
        <v>179</v>
      </c>
      <c r="B180" s="7" t="s">
        <v>792</v>
      </c>
      <c r="C180" s="7" t="s">
        <v>793</v>
      </c>
      <c r="D180" s="7" t="s">
        <v>151</v>
      </c>
      <c r="E180" s="7" t="s">
        <v>93</v>
      </c>
      <c r="F180" s="7" t="s">
        <v>152</v>
      </c>
      <c r="G180" s="7" t="s">
        <v>153</v>
      </c>
      <c r="H180" s="7" t="s">
        <v>154</v>
      </c>
      <c r="I180" s="7" t="s">
        <v>412</v>
      </c>
      <c r="J180" s="7" t="s">
        <v>413</v>
      </c>
      <c r="K180" s="7" t="s">
        <v>87</v>
      </c>
      <c r="L180" s="7" t="s">
        <v>99</v>
      </c>
      <c r="M180" s="8"/>
      <c r="N180" s="7" t="s">
        <v>109</v>
      </c>
      <c r="O180" s="9" t="n">
        <f aca="false">IF(COUNTIFS($B$2:B180,B180,$C$2:C180,C180)=1,1,0)</f>
        <v>1</v>
      </c>
      <c r="P180" s="9" t="str">
        <f aca="false">IFERROR(INDEX(dEtapa!$A$2:$A$6,MATCH(N180,dEtapa!$B$2:$B$6,0)),"Sin etapa")</f>
        <v>Planificada 2027</v>
      </c>
      <c r="Q180" s="9" t="n">
        <f aca="false">IF(L180="Si",1,0)</f>
        <v>0</v>
      </c>
      <c r="R180" s="9" t="n">
        <f aca="false">IF(ISNUMBER(SEARCH("CRITERIO",N180)),1,0)</f>
        <v>0</v>
      </c>
      <c r="S180" s="9" t="str">
        <f aca="false">IF(E180="","Sin dato",LEFT(E180,1))</f>
        <v>D</v>
      </c>
      <c r="T180" s="9" t="n">
        <f aca="false">IFERROR(INDEX(dCriticidad!$G$2:$G$7,MATCH(S180,dCriticidad!$A$2:$A$7,0)),0)</f>
        <v>0</v>
      </c>
      <c r="U180" s="9" t="n">
        <f aca="false">IF(OR(LEFT(C180,3)="GI0",LEFT(C180,3)="GA0"),1,0)</f>
        <v>0</v>
      </c>
      <c r="V180" s="9" t="str">
        <f aca="false">IF(G180="","Sin dato (ID GI)",TRIM(G180))</f>
        <v>MEDIOS_DE_PAGO</v>
      </c>
      <c r="W180" s="9" t="str">
        <f aca="false">IF(F180="","Sin dato",F180)</f>
        <v>Terceros</v>
      </c>
      <c r="X180" s="9" t="str">
        <f aca="false">IF(M180="","",YEAR(M180))</f>
        <v/>
      </c>
      <c r="Y180" s="10" t="str">
        <f aca="false">IF(M180="","",DATE(YEAR(M180),MONTH(M180),1))</f>
        <v/>
      </c>
      <c r="Z180" s="9" t="n">
        <f aca="false">IF(AND(Q180=0,COUNTIF(dDuplicadosGI!$A$2:$A$60,C180)&gt;0),1,0)</f>
        <v>0</v>
      </c>
      <c r="AA180" s="9" t="n">
        <f aca="false">IF(Q180=0,1,0)</f>
        <v>1</v>
      </c>
    </row>
    <row r="181" customFormat="false" ht="15" hidden="false" customHeight="false" outlineLevel="0" collapsed="false">
      <c r="A181" s="7" t="n">
        <v>180</v>
      </c>
      <c r="B181" s="7" t="s">
        <v>794</v>
      </c>
      <c r="C181" s="7" t="s">
        <v>795</v>
      </c>
      <c r="D181" s="7" t="s">
        <v>796</v>
      </c>
      <c r="E181" s="7" t="s">
        <v>113</v>
      </c>
      <c r="F181" s="7" t="s">
        <v>82</v>
      </c>
      <c r="G181" s="7" t="s">
        <v>166</v>
      </c>
      <c r="H181" s="7" t="s">
        <v>167</v>
      </c>
      <c r="I181" s="7" t="s">
        <v>168</v>
      </c>
      <c r="J181" s="7" t="s">
        <v>797</v>
      </c>
      <c r="K181" s="7" t="s">
        <v>170</v>
      </c>
      <c r="L181" s="7" t="s">
        <v>88</v>
      </c>
      <c r="M181" s="8" t="n">
        <v>45630</v>
      </c>
      <c r="N181" s="7" t="s">
        <v>89</v>
      </c>
      <c r="O181" s="9" t="n">
        <f aca="false">IF(COUNTIFS($B$2:B181,B181,$C$2:C181,C181)=1,1,0)</f>
        <v>1</v>
      </c>
      <c r="P181" s="9" t="str">
        <f aca="false">IFERROR(INDEX(dEtapa!$A$2:$A$6,MATCH(N181,dEtapa!$B$2:$B$6,0)),"Sin etapa")</f>
        <v>Gobernada</v>
      </c>
      <c r="Q181" s="9" t="n">
        <f aca="false">IF(L181="Si",1,0)</f>
        <v>1</v>
      </c>
      <c r="R181" s="9" t="n">
        <f aca="false">IF(ISNUMBER(SEARCH("CRITERIO",N181)),1,0)</f>
        <v>0</v>
      </c>
      <c r="S181" s="9" t="str">
        <f aca="false">IF(E181="","Sin dato",LEFT(E181,1))</f>
        <v>C</v>
      </c>
      <c r="T181" s="9" t="n">
        <f aca="false">IFERROR(INDEX(dCriticidad!$G$2:$G$7,MATCH(S181,dCriticidad!$A$2:$A$7,0)),0)</f>
        <v>1</v>
      </c>
      <c r="U181" s="9" t="n">
        <f aca="false">IF(OR(LEFT(C181,3)="GI0",LEFT(C181,3)="GA0"),1,0)</f>
        <v>0</v>
      </c>
      <c r="V181" s="9" t="str">
        <f aca="false">IF(G181="","Sin dato (ID GI)",TRIM(G181))</f>
        <v>Ciberseguridad</v>
      </c>
      <c r="W181" s="9" t="str">
        <f aca="false">IF(F181="","Sin dato",F181)</f>
        <v>On Premise</v>
      </c>
      <c r="X181" s="9" t="n">
        <f aca="false">IF(M181="","",YEAR(M181))</f>
        <v>2024</v>
      </c>
      <c r="Y181" s="10" t="n">
        <f aca="false">IF(M181="","",DATE(YEAR(M181),MONTH(M181),1))</f>
        <v>45627</v>
      </c>
      <c r="Z181" s="9" t="n">
        <f aca="false">IF(AND(Q181=0,COUNTIF(dDuplicadosGI!$A$2:$A$60,C181)&gt;0),1,0)</f>
        <v>0</v>
      </c>
      <c r="AA181" s="9" t="n">
        <f aca="false">IF(Q181=0,1,0)</f>
        <v>0</v>
      </c>
    </row>
    <row r="182" customFormat="false" ht="15" hidden="false" customHeight="false" outlineLevel="0" collapsed="false">
      <c r="A182" s="7" t="n">
        <v>181</v>
      </c>
      <c r="B182" s="7" t="s">
        <v>798</v>
      </c>
      <c r="C182" s="7" t="s">
        <v>799</v>
      </c>
      <c r="D182" s="7" t="s">
        <v>800</v>
      </c>
      <c r="E182" s="7" t="s">
        <v>119</v>
      </c>
      <c r="F182" s="7" t="s">
        <v>269</v>
      </c>
      <c r="G182" s="7" t="s">
        <v>166</v>
      </c>
      <c r="H182" s="7" t="s">
        <v>314</v>
      </c>
      <c r="I182" s="7" t="s">
        <v>168</v>
      </c>
      <c r="J182" s="7" t="s">
        <v>397</v>
      </c>
      <c r="K182" s="7" t="s">
        <v>170</v>
      </c>
      <c r="L182" s="7" t="s">
        <v>88</v>
      </c>
      <c r="M182" s="8" t="n">
        <v>46233</v>
      </c>
      <c r="N182" s="7" t="s">
        <v>89</v>
      </c>
      <c r="O182" s="9" t="n">
        <f aca="false">IF(COUNTIFS($B$2:B182,B182,$C$2:C182,C182)=1,1,0)</f>
        <v>1</v>
      </c>
      <c r="P182" s="9" t="str">
        <f aca="false">IFERROR(INDEX(dEtapa!$A$2:$A$6,MATCH(N182,dEtapa!$B$2:$B$6,0)),"Sin etapa")</f>
        <v>Gobernada</v>
      </c>
      <c r="Q182" s="9" t="n">
        <f aca="false">IF(L182="Si",1,0)</f>
        <v>1</v>
      </c>
      <c r="R182" s="9" t="n">
        <f aca="false">IF(ISNUMBER(SEARCH("CRITERIO",N182)),1,0)</f>
        <v>0</v>
      </c>
      <c r="S182" s="9" t="str">
        <f aca="false">IF(E182="","Sin dato",LEFT(E182,1))</f>
        <v>E</v>
      </c>
      <c r="T182" s="9" t="n">
        <f aca="false">IFERROR(INDEX(dCriticidad!$G$2:$G$7,MATCH(S182,dCriticidad!$A$2:$A$7,0)),0)</f>
        <v>0</v>
      </c>
      <c r="U182" s="9" t="n">
        <f aca="false">IF(OR(LEFT(C182,3)="GI0",LEFT(C182,3)="GA0"),1,0)</f>
        <v>0</v>
      </c>
      <c r="V182" s="9" t="str">
        <f aca="false">IF(G182="","Sin dato (ID GI)",TRIM(G182))</f>
        <v>Ciberseguridad</v>
      </c>
      <c r="W182" s="9" t="str">
        <f aca="false">IF(F182="","Sin dato",F182)</f>
        <v>Híbrida</v>
      </c>
      <c r="X182" s="9" t="n">
        <f aca="false">IF(M182="","",YEAR(M182))</f>
        <v>2026</v>
      </c>
      <c r="Y182" s="10" t="n">
        <f aca="false">IF(M182="","",DATE(YEAR(M182),MONTH(M182),1))</f>
        <v>46204</v>
      </c>
      <c r="Z182" s="9" t="n">
        <f aca="false">IF(AND(Q182=0,COUNTIF(dDuplicadosGI!$A$2:$A$60,C182)&gt;0),1,0)</f>
        <v>0</v>
      </c>
      <c r="AA182" s="9" t="n">
        <f aca="false">IF(Q182=0,1,0)</f>
        <v>0</v>
      </c>
    </row>
    <row r="183" customFormat="false" ht="15" hidden="false" customHeight="false" outlineLevel="0" collapsed="false">
      <c r="A183" s="7" t="n">
        <v>182</v>
      </c>
      <c r="B183" s="7" t="s">
        <v>801</v>
      </c>
      <c r="C183" s="7" t="s">
        <v>802</v>
      </c>
      <c r="D183" s="7" t="s">
        <v>803</v>
      </c>
      <c r="E183" s="7" t="s">
        <v>93</v>
      </c>
      <c r="F183" s="7" t="s">
        <v>82</v>
      </c>
      <c r="G183" s="7" t="s">
        <v>104</v>
      </c>
      <c r="H183" s="7" t="s">
        <v>105</v>
      </c>
      <c r="I183" s="7" t="s">
        <v>106</v>
      </c>
      <c r="J183" s="7" t="s">
        <v>107</v>
      </c>
      <c r="K183" s="7" t="s">
        <v>108</v>
      </c>
      <c r="L183" s="7" t="s">
        <v>99</v>
      </c>
      <c r="M183" s="8"/>
      <c r="N183" s="7" t="s">
        <v>109</v>
      </c>
      <c r="O183" s="9" t="n">
        <f aca="false">IF(COUNTIFS($B$2:B183,B183,$C$2:C183,C183)=1,1,0)</f>
        <v>1</v>
      </c>
      <c r="P183" s="9" t="str">
        <f aca="false">IFERROR(INDEX(dEtapa!$A$2:$A$6,MATCH(N183,dEtapa!$B$2:$B$6,0)),"Sin etapa")</f>
        <v>Planificada 2027</v>
      </c>
      <c r="Q183" s="9" t="n">
        <f aca="false">IF(L183="Si",1,0)</f>
        <v>0</v>
      </c>
      <c r="R183" s="9" t="n">
        <f aca="false">IF(ISNUMBER(SEARCH("CRITERIO",N183)),1,0)</f>
        <v>0</v>
      </c>
      <c r="S183" s="9" t="str">
        <f aca="false">IF(E183="","Sin dato",LEFT(E183,1))</f>
        <v>D</v>
      </c>
      <c r="T183" s="9" t="n">
        <f aca="false">IFERROR(INDEX(dCriticidad!$G$2:$G$7,MATCH(S183,dCriticidad!$A$2:$A$7,0)),0)</f>
        <v>0</v>
      </c>
      <c r="U183" s="9" t="n">
        <f aca="false">IF(OR(LEFT(C183,3)="GI0",LEFT(C183,3)="GA0"),1,0)</f>
        <v>0</v>
      </c>
      <c r="V183" s="9" t="str">
        <f aca="false">IF(G183="","Sin dato (ID GI)",TRIM(G183))</f>
        <v>INFRAESTRUCTURA</v>
      </c>
      <c r="W183" s="9" t="str">
        <f aca="false">IF(F183="","Sin dato",F183)</f>
        <v>On Premise</v>
      </c>
      <c r="X183" s="9" t="str">
        <f aca="false">IF(M183="","",YEAR(M183))</f>
        <v/>
      </c>
      <c r="Y183" s="10" t="str">
        <f aca="false">IF(M183="","",DATE(YEAR(M183),MONTH(M183),1))</f>
        <v/>
      </c>
      <c r="Z183" s="9" t="n">
        <f aca="false">IF(AND(Q183=0,COUNTIF(dDuplicadosGI!$A$2:$A$60,C183)&gt;0),1,0)</f>
        <v>0</v>
      </c>
      <c r="AA183" s="9" t="n">
        <f aca="false">IF(Q183=0,1,0)</f>
        <v>1</v>
      </c>
    </row>
    <row r="184" customFormat="false" ht="15" hidden="false" customHeight="false" outlineLevel="0" collapsed="false">
      <c r="A184" s="7" t="n">
        <v>183</v>
      </c>
      <c r="B184" s="7" t="s">
        <v>804</v>
      </c>
      <c r="C184" s="7" t="s">
        <v>805</v>
      </c>
      <c r="D184" s="7" t="s">
        <v>806</v>
      </c>
      <c r="E184" s="7" t="s">
        <v>119</v>
      </c>
      <c r="F184" s="7" t="s">
        <v>94</v>
      </c>
      <c r="G184" s="7" t="s">
        <v>199</v>
      </c>
      <c r="H184" s="7" t="s">
        <v>807</v>
      </c>
      <c r="I184" s="7" t="s">
        <v>201</v>
      </c>
      <c r="J184" s="7" t="s">
        <v>200</v>
      </c>
      <c r="K184" s="7" t="s">
        <v>108</v>
      </c>
      <c r="L184" s="7" t="s">
        <v>99</v>
      </c>
      <c r="M184" s="8"/>
      <c r="N184" s="7" t="s">
        <v>178</v>
      </c>
      <c r="O184" s="9" t="n">
        <f aca="false">IF(COUNTIFS($B$2:B184,B184,$C$2:C184,C184)=1,1,0)</f>
        <v>1</v>
      </c>
      <c r="P184" s="9" t="str">
        <f aca="false">IFERROR(INDEX(dEtapa!$A$2:$A$6,MATCH(N184,dEtapa!$B$2:$B$6,0)),"Sin etapa")</f>
        <v>Criterio 2</v>
      </c>
      <c r="Q184" s="9" t="n">
        <f aca="false">IF(L184="Si",1,0)</f>
        <v>0</v>
      </c>
      <c r="R184" s="9" t="n">
        <f aca="false">IF(ISNUMBER(SEARCH("CRITERIO",N184)),1,0)</f>
        <v>1</v>
      </c>
      <c r="S184" s="9" t="str">
        <f aca="false">IF(E184="","Sin dato",LEFT(E184,1))</f>
        <v>E</v>
      </c>
      <c r="T184" s="9" t="n">
        <f aca="false">IFERROR(INDEX(dCriticidad!$G$2:$G$7,MATCH(S184,dCriticidad!$A$2:$A$7,0)),0)</f>
        <v>0</v>
      </c>
      <c r="U184" s="9" t="n">
        <f aca="false">IF(OR(LEFT(C184,3)="GI0",LEFT(C184,3)="GA0"),1,0)</f>
        <v>0</v>
      </c>
      <c r="V184" s="9" t="str">
        <f aca="false">IF(G184="","Sin dato (ID GI)",TRIM(G184))</f>
        <v>Gerencia Arquitectura Usuario Final</v>
      </c>
      <c r="W184" s="9" t="str">
        <f aca="false">IF(F184="","Sin dato",F184)</f>
        <v>Nube</v>
      </c>
      <c r="X184" s="9" t="str">
        <f aca="false">IF(M184="","",YEAR(M184))</f>
        <v/>
      </c>
      <c r="Y184" s="10" t="str">
        <f aca="false">IF(M184="","",DATE(YEAR(M184),MONTH(M184),1))</f>
        <v/>
      </c>
      <c r="Z184" s="9" t="n">
        <f aca="false">IF(AND(Q184=0,COUNTIF(dDuplicadosGI!$A$2:$A$60,C184)&gt;0),1,0)</f>
        <v>0</v>
      </c>
      <c r="AA184" s="9" t="n">
        <f aca="false">IF(Q184=0,1,0)</f>
        <v>1</v>
      </c>
    </row>
    <row r="185" customFormat="false" ht="15" hidden="false" customHeight="false" outlineLevel="0" collapsed="false">
      <c r="A185" s="7" t="n">
        <v>184</v>
      </c>
      <c r="B185" s="7" t="s">
        <v>568</v>
      </c>
      <c r="C185" s="7" t="s">
        <v>569</v>
      </c>
      <c r="D185" s="7" t="s">
        <v>570</v>
      </c>
      <c r="E185" s="7" t="s">
        <v>119</v>
      </c>
      <c r="F185" s="7" t="s">
        <v>82</v>
      </c>
      <c r="G185" s="7" t="s">
        <v>571</v>
      </c>
      <c r="H185" s="7" t="s">
        <v>572</v>
      </c>
      <c r="I185" s="7" t="s">
        <v>572</v>
      </c>
      <c r="J185" s="7" t="s">
        <v>572</v>
      </c>
      <c r="K185" s="7"/>
      <c r="L185" s="7" t="s">
        <v>99</v>
      </c>
      <c r="M185" s="8"/>
      <c r="N185" s="7" t="s">
        <v>109</v>
      </c>
      <c r="O185" s="9" t="n">
        <f aca="false">IF(COUNTIFS($B$2:B185,B185,$C$2:C185,C185)=1,1,0)</f>
        <v>0</v>
      </c>
      <c r="P185" s="9" t="str">
        <f aca="false">IFERROR(INDEX(dEtapa!$A$2:$A$6,MATCH(N185,dEtapa!$B$2:$B$6,0)),"Sin etapa")</f>
        <v>Planificada 2027</v>
      </c>
      <c r="Q185" s="9" t="n">
        <f aca="false">IF(L185="Si",1,0)</f>
        <v>0</v>
      </c>
      <c r="R185" s="9" t="n">
        <f aca="false">IF(ISNUMBER(SEARCH("CRITERIO",N185)),1,0)</f>
        <v>0</v>
      </c>
      <c r="S185" s="9" t="str">
        <f aca="false">IF(E185="","Sin dato",LEFT(E185,1))</f>
        <v>E</v>
      </c>
      <c r="T185" s="9" t="n">
        <f aca="false">IFERROR(INDEX(dCriticidad!$G$2:$G$7,MATCH(S185,dCriticidad!$A$2:$A$7,0)),0)</f>
        <v>0</v>
      </c>
      <c r="U185" s="9" t="n">
        <f aca="false">IF(OR(LEFT(C185,3)="GI0",LEFT(C185,3)="GA0"),1,0)</f>
        <v>0</v>
      </c>
      <c r="V185" s="9" t="str">
        <f aca="false">IF(G185="","Sin dato (ID GI)",TRIM(G185))</f>
        <v>Operación y Mantenimiento de Datos</v>
      </c>
      <c r="W185" s="9" t="str">
        <f aca="false">IF(F185="","Sin dato",F185)</f>
        <v>On Premise</v>
      </c>
      <c r="X185" s="9" t="str">
        <f aca="false">IF(M185="","",YEAR(M185))</f>
        <v/>
      </c>
      <c r="Y185" s="10" t="str">
        <f aca="false">IF(M185="","",DATE(YEAR(M185),MONTH(M185),1))</f>
        <v/>
      </c>
      <c r="Z185" s="9" t="n">
        <f aca="false">IF(AND(Q185=0,COUNTIF(dDuplicadosGI!$A$2:$A$60,C185)&gt;0),1,0)</f>
        <v>0</v>
      </c>
      <c r="AA185" s="9" t="n">
        <f aca="false">IF(Q185=0,1,0)</f>
        <v>1</v>
      </c>
    </row>
    <row r="186" customFormat="false" ht="15" hidden="false" customHeight="false" outlineLevel="0" collapsed="false">
      <c r="A186" s="7" t="n">
        <v>185</v>
      </c>
      <c r="B186" s="7" t="s">
        <v>808</v>
      </c>
      <c r="C186" s="7" t="s">
        <v>809</v>
      </c>
      <c r="D186" s="7" t="s">
        <v>745</v>
      </c>
      <c r="E186" s="7" t="s">
        <v>113</v>
      </c>
      <c r="F186" s="7" t="s">
        <v>94</v>
      </c>
      <c r="G186" s="7" t="s">
        <v>192</v>
      </c>
      <c r="H186" s="7" t="s">
        <v>193</v>
      </c>
      <c r="I186" s="7" t="s">
        <v>222</v>
      </c>
      <c r="J186" s="7" t="s">
        <v>223</v>
      </c>
      <c r="K186" s="7" t="s">
        <v>87</v>
      </c>
      <c r="L186" s="7" t="s">
        <v>88</v>
      </c>
      <c r="M186" s="8" t="n">
        <v>46076</v>
      </c>
      <c r="N186" s="7" t="s">
        <v>89</v>
      </c>
      <c r="O186" s="9" t="n">
        <f aca="false">IF(COUNTIFS($B$2:B186,B186,$C$2:C186,C186)=1,1,0)</f>
        <v>1</v>
      </c>
      <c r="P186" s="9" t="str">
        <f aca="false">IFERROR(INDEX(dEtapa!$A$2:$A$6,MATCH(N186,dEtapa!$B$2:$B$6,0)),"Sin etapa")</f>
        <v>Gobernada</v>
      </c>
      <c r="Q186" s="9" t="n">
        <f aca="false">IF(L186="Si",1,0)</f>
        <v>1</v>
      </c>
      <c r="R186" s="9" t="n">
        <f aca="false">IF(ISNUMBER(SEARCH("CRITERIO",N186)),1,0)</f>
        <v>0</v>
      </c>
      <c r="S186" s="9" t="str">
        <f aca="false">IF(E186="","Sin dato",LEFT(E186,1))</f>
        <v>C</v>
      </c>
      <c r="T186" s="9" t="n">
        <f aca="false">IFERROR(INDEX(dCriticidad!$G$2:$G$7,MATCH(S186,dCriticidad!$A$2:$A$7,0)),0)</f>
        <v>1</v>
      </c>
      <c r="U186" s="9" t="n">
        <f aca="false">IF(OR(LEFT(C186,3)="GI0",LEFT(C186,3)="GA0"),1,0)</f>
        <v>0</v>
      </c>
      <c r="V186" s="9" t="str">
        <f aca="false">IF(G186="","Sin dato (ID GI)",TRIM(G186))</f>
        <v>AREAS_DE_APOYO</v>
      </c>
      <c r="W186" s="9" t="str">
        <f aca="false">IF(F186="","Sin dato",F186)</f>
        <v>Nube</v>
      </c>
      <c r="X186" s="9" t="n">
        <f aca="false">IF(M186="","",YEAR(M186))</f>
        <v>2026</v>
      </c>
      <c r="Y186" s="10" t="n">
        <f aca="false">IF(M186="","",DATE(YEAR(M186),MONTH(M186),1))</f>
        <v>46054</v>
      </c>
      <c r="Z186" s="9" t="n">
        <f aca="false">IF(AND(Q186=0,COUNTIF(dDuplicadosGI!$A$2:$A$60,C186)&gt;0),1,0)</f>
        <v>0</v>
      </c>
      <c r="AA186" s="9" t="n">
        <f aca="false">IF(Q186=0,1,0)</f>
        <v>0</v>
      </c>
    </row>
    <row r="187" customFormat="false" ht="15" hidden="false" customHeight="false" outlineLevel="0" collapsed="false">
      <c r="A187" s="7" t="n">
        <v>186</v>
      </c>
      <c r="B187" s="7" t="s">
        <v>810</v>
      </c>
      <c r="C187" s="7" t="s">
        <v>811</v>
      </c>
      <c r="D187" s="7" t="s">
        <v>812</v>
      </c>
      <c r="E187" s="7" t="s">
        <v>81</v>
      </c>
      <c r="F187" s="7" t="s">
        <v>94</v>
      </c>
      <c r="G187" s="7" t="s">
        <v>139</v>
      </c>
      <c r="H187" s="7" t="s">
        <v>97</v>
      </c>
      <c r="I187" s="7" t="s">
        <v>97</v>
      </c>
      <c r="J187" s="7" t="s">
        <v>813</v>
      </c>
      <c r="K187" s="7" t="s">
        <v>87</v>
      </c>
      <c r="L187" s="7" t="s">
        <v>99</v>
      </c>
      <c r="M187" s="8"/>
      <c r="N187" s="7" t="s">
        <v>178</v>
      </c>
      <c r="O187" s="9" t="n">
        <f aca="false">IF(COUNTIFS($B$2:B187,B187,$C$2:C187,C187)=1,1,0)</f>
        <v>1</v>
      </c>
      <c r="P187" s="9" t="str">
        <f aca="false">IFERROR(INDEX(dEtapa!$A$2:$A$6,MATCH(N187,dEtapa!$B$2:$B$6,0)),"Sin etapa")</f>
        <v>Criterio 2</v>
      </c>
      <c r="Q187" s="9" t="n">
        <f aca="false">IF(L187="Si",1,0)</f>
        <v>0</v>
      </c>
      <c r="R187" s="9" t="n">
        <f aca="false">IF(ISNUMBER(SEARCH("CRITERIO",N187)),1,0)</f>
        <v>1</v>
      </c>
      <c r="S187" s="9" t="str">
        <f aca="false">IF(E187="","Sin dato",LEFT(E187,1))</f>
        <v>A</v>
      </c>
      <c r="T187" s="9" t="n">
        <f aca="false">IFERROR(INDEX(dCriticidad!$G$2:$G$7,MATCH(S187,dCriticidad!$A$2:$A$7,0)),0)</f>
        <v>1</v>
      </c>
      <c r="U187" s="9" t="n">
        <f aca="false">IF(OR(LEFT(C187,3)="GI0",LEFT(C187,3)="GA0"),1,0)</f>
        <v>0</v>
      </c>
      <c r="V187" s="9" t="str">
        <f aca="false">IF(G187="","Sin dato (ID GI)",TRIM(G187))</f>
        <v>Frente de Soluciones Empresariales</v>
      </c>
      <c r="W187" s="9" t="str">
        <f aca="false">IF(F187="","Sin dato",F187)</f>
        <v>Nube</v>
      </c>
      <c r="X187" s="9" t="str">
        <f aca="false">IF(M187="","",YEAR(M187))</f>
        <v/>
      </c>
      <c r="Y187" s="10" t="str">
        <f aca="false">IF(M187="","",DATE(YEAR(M187),MONTH(M187),1))</f>
        <v/>
      </c>
      <c r="Z187" s="9" t="n">
        <f aca="false">IF(AND(Q187=0,COUNTIF(dDuplicadosGI!$A$2:$A$60,C187)&gt;0),1,0)</f>
        <v>0</v>
      </c>
      <c r="AA187" s="9" t="n">
        <f aca="false">IF(Q187=0,1,0)</f>
        <v>1</v>
      </c>
    </row>
    <row r="188" customFormat="false" ht="15" hidden="false" customHeight="false" outlineLevel="0" collapsed="false">
      <c r="A188" s="7" t="n">
        <v>187</v>
      </c>
      <c r="B188" s="7" t="s">
        <v>814</v>
      </c>
      <c r="C188" s="7" t="s">
        <v>815</v>
      </c>
      <c r="D188" s="7" t="s">
        <v>816</v>
      </c>
      <c r="E188" s="7" t="s">
        <v>119</v>
      </c>
      <c r="F188" s="7" t="s">
        <v>94</v>
      </c>
      <c r="G188" s="7" t="s">
        <v>166</v>
      </c>
      <c r="H188" s="7" t="s">
        <v>169</v>
      </c>
      <c r="I188" s="7" t="s">
        <v>168</v>
      </c>
      <c r="J188" s="7" t="s">
        <v>188</v>
      </c>
      <c r="K188" s="7" t="s">
        <v>170</v>
      </c>
      <c r="L188" s="7" t="s">
        <v>88</v>
      </c>
      <c r="M188" s="8" t="n">
        <v>46160</v>
      </c>
      <c r="N188" s="7" t="s">
        <v>89</v>
      </c>
      <c r="O188" s="9" t="n">
        <f aca="false">IF(COUNTIFS($B$2:B188,B188,$C$2:C188,C188)=1,1,0)</f>
        <v>1</v>
      </c>
      <c r="P188" s="9" t="str">
        <f aca="false">IFERROR(INDEX(dEtapa!$A$2:$A$6,MATCH(N188,dEtapa!$B$2:$B$6,0)),"Sin etapa")</f>
        <v>Gobernada</v>
      </c>
      <c r="Q188" s="9" t="n">
        <f aca="false">IF(L188="Si",1,0)</f>
        <v>1</v>
      </c>
      <c r="R188" s="9" t="n">
        <f aca="false">IF(ISNUMBER(SEARCH("CRITERIO",N188)),1,0)</f>
        <v>0</v>
      </c>
      <c r="S188" s="9" t="str">
        <f aca="false">IF(E188="","Sin dato",LEFT(E188,1))</f>
        <v>E</v>
      </c>
      <c r="T188" s="9" t="n">
        <f aca="false">IFERROR(INDEX(dCriticidad!$G$2:$G$7,MATCH(S188,dCriticidad!$A$2:$A$7,0)),0)</f>
        <v>0</v>
      </c>
      <c r="U188" s="9" t="n">
        <f aca="false">IF(OR(LEFT(C188,3)="GI0",LEFT(C188,3)="GA0"),1,0)</f>
        <v>0</v>
      </c>
      <c r="V188" s="9" t="str">
        <f aca="false">IF(G188="","Sin dato (ID GI)",TRIM(G188))</f>
        <v>Ciberseguridad</v>
      </c>
      <c r="W188" s="9" t="str">
        <f aca="false">IF(F188="","Sin dato",F188)</f>
        <v>Nube</v>
      </c>
      <c r="X188" s="9" t="n">
        <f aca="false">IF(M188="","",YEAR(M188))</f>
        <v>2026</v>
      </c>
      <c r="Y188" s="10" t="n">
        <f aca="false">IF(M188="","",DATE(YEAR(M188),MONTH(M188),1))</f>
        <v>46143</v>
      </c>
      <c r="Z188" s="9" t="n">
        <f aca="false">IF(AND(Q188=0,COUNTIF(dDuplicadosGI!$A$2:$A$60,C188)&gt;0),1,0)</f>
        <v>0</v>
      </c>
      <c r="AA188" s="9" t="n">
        <f aca="false">IF(Q188=0,1,0)</f>
        <v>0</v>
      </c>
    </row>
    <row r="189" customFormat="false" ht="15" hidden="false" customHeight="false" outlineLevel="0" collapsed="false">
      <c r="A189" s="7" t="n">
        <v>188</v>
      </c>
      <c r="B189" s="7" t="s">
        <v>817</v>
      </c>
      <c r="C189" s="7" t="s">
        <v>818</v>
      </c>
      <c r="D189" s="7" t="s">
        <v>819</v>
      </c>
      <c r="E189" s="7" t="s">
        <v>81</v>
      </c>
      <c r="F189" s="7" t="s">
        <v>94</v>
      </c>
      <c r="G189" s="7" t="s">
        <v>657</v>
      </c>
      <c r="H189" s="7" t="s">
        <v>147</v>
      </c>
      <c r="I189" s="7" t="s">
        <v>475</v>
      </c>
      <c r="J189" s="7" t="s">
        <v>820</v>
      </c>
      <c r="K189" s="7" t="s">
        <v>98</v>
      </c>
      <c r="L189" s="7" t="s">
        <v>88</v>
      </c>
      <c r="M189" s="8" t="n">
        <v>45200</v>
      </c>
      <c r="N189" s="7" t="s">
        <v>89</v>
      </c>
      <c r="O189" s="9" t="n">
        <f aca="false">IF(COUNTIFS($B$2:B189,B189,$C$2:C189,C189)=1,1,0)</f>
        <v>1</v>
      </c>
      <c r="P189" s="9" t="str">
        <f aca="false">IFERROR(INDEX(dEtapa!$A$2:$A$6,MATCH(N189,dEtapa!$B$2:$B$6,0)),"Sin etapa")</f>
        <v>Gobernada</v>
      </c>
      <c r="Q189" s="9" t="n">
        <f aca="false">IF(L189="Si",1,0)</f>
        <v>1</v>
      </c>
      <c r="R189" s="9" t="n">
        <f aca="false">IF(ISNUMBER(SEARCH("CRITERIO",N189)),1,0)</f>
        <v>0</v>
      </c>
      <c r="S189" s="9" t="str">
        <f aca="false">IF(E189="","Sin dato",LEFT(E189,1))</f>
        <v>A</v>
      </c>
      <c r="T189" s="9" t="n">
        <f aca="false">IFERROR(INDEX(dCriticidad!$G$2:$G$7,MATCH(S189,dCriticidad!$A$2:$A$7,0)),0)</f>
        <v>1</v>
      </c>
      <c r="U189" s="9" t="n">
        <f aca="false">IF(OR(LEFT(C189,3)="GI0",LEFT(C189,3)="GA0"),1,0)</f>
        <v>0</v>
      </c>
      <c r="V189" s="9" t="str">
        <f aca="false">IF(G189="","Sin dato (ID GI)",TRIM(G189))</f>
        <v>PLATAFORMA</v>
      </c>
      <c r="W189" s="9" t="str">
        <f aca="false">IF(F189="","Sin dato",F189)</f>
        <v>Nube</v>
      </c>
      <c r="X189" s="9" t="n">
        <f aca="false">IF(M189="","",YEAR(M189))</f>
        <v>2023</v>
      </c>
      <c r="Y189" s="10" t="n">
        <f aca="false">IF(M189="","",DATE(YEAR(M189),MONTH(M189),1))</f>
        <v>45200</v>
      </c>
      <c r="Z189" s="9" t="n">
        <f aca="false">IF(AND(Q189=0,COUNTIF(dDuplicadosGI!$A$2:$A$60,C189)&gt;0),1,0)</f>
        <v>0</v>
      </c>
      <c r="AA189" s="9" t="n">
        <f aca="false">IF(Q189=0,1,0)</f>
        <v>0</v>
      </c>
    </row>
    <row r="190" customFormat="false" ht="15" hidden="false" customHeight="false" outlineLevel="0" collapsed="false">
      <c r="A190" s="7" t="n">
        <v>189</v>
      </c>
      <c r="B190" s="7" t="s">
        <v>821</v>
      </c>
      <c r="C190" s="7" t="s">
        <v>822</v>
      </c>
      <c r="D190" s="7" t="s">
        <v>823</v>
      </c>
      <c r="E190" s="7" t="s">
        <v>119</v>
      </c>
      <c r="F190" s="7" t="s">
        <v>82</v>
      </c>
      <c r="G190" s="7" t="s">
        <v>192</v>
      </c>
      <c r="H190" s="7" t="s">
        <v>193</v>
      </c>
      <c r="I190" s="7" t="s">
        <v>194</v>
      </c>
      <c r="J190" s="7" t="s">
        <v>195</v>
      </c>
      <c r="K190" s="7" t="s">
        <v>98</v>
      </c>
      <c r="L190" s="7" t="s">
        <v>99</v>
      </c>
      <c r="M190" s="8"/>
      <c r="N190" s="7" t="s">
        <v>109</v>
      </c>
      <c r="O190" s="9" t="n">
        <f aca="false">IF(COUNTIFS($B$2:B190,B190,$C$2:C190,C190)=1,1,0)</f>
        <v>1</v>
      </c>
      <c r="P190" s="9" t="str">
        <f aca="false">IFERROR(INDEX(dEtapa!$A$2:$A$6,MATCH(N190,dEtapa!$B$2:$B$6,0)),"Sin etapa")</f>
        <v>Planificada 2027</v>
      </c>
      <c r="Q190" s="9" t="n">
        <f aca="false">IF(L190="Si",1,0)</f>
        <v>0</v>
      </c>
      <c r="R190" s="9" t="n">
        <f aca="false">IF(ISNUMBER(SEARCH("CRITERIO",N190)),1,0)</f>
        <v>0</v>
      </c>
      <c r="S190" s="9" t="str">
        <f aca="false">IF(E190="","Sin dato",LEFT(E190,1))</f>
        <v>E</v>
      </c>
      <c r="T190" s="9" t="n">
        <f aca="false">IFERROR(INDEX(dCriticidad!$G$2:$G$7,MATCH(S190,dCriticidad!$A$2:$A$7,0)),0)</f>
        <v>0</v>
      </c>
      <c r="U190" s="9" t="n">
        <f aca="false">IF(OR(LEFT(C190,3)="GI0",LEFT(C190,3)="GA0"),1,0)</f>
        <v>0</v>
      </c>
      <c r="V190" s="9" t="str">
        <f aca="false">IF(G190="","Sin dato (ID GI)",TRIM(G190))</f>
        <v>AREAS_DE_APOYO</v>
      </c>
      <c r="W190" s="9" t="str">
        <f aca="false">IF(F190="","Sin dato",F190)</f>
        <v>On Premise</v>
      </c>
      <c r="X190" s="9" t="str">
        <f aca="false">IF(M190="","",YEAR(M190))</f>
        <v/>
      </c>
      <c r="Y190" s="10" t="str">
        <f aca="false">IF(M190="","",DATE(YEAR(M190),MONTH(M190),1))</f>
        <v/>
      </c>
      <c r="Z190" s="9" t="n">
        <f aca="false">IF(AND(Q190=0,COUNTIF(dDuplicadosGI!$A$2:$A$60,C190)&gt;0),1,0)</f>
        <v>0</v>
      </c>
      <c r="AA190" s="9" t="n">
        <f aca="false">IF(Q190=0,1,0)</f>
        <v>1</v>
      </c>
    </row>
    <row r="191" customFormat="false" ht="15" hidden="false" customHeight="false" outlineLevel="0" collapsed="false">
      <c r="A191" s="7" t="n">
        <v>190</v>
      </c>
      <c r="B191" s="7" t="s">
        <v>824</v>
      </c>
      <c r="C191" s="7" t="s">
        <v>825</v>
      </c>
      <c r="D191" s="7" t="s">
        <v>826</v>
      </c>
      <c r="E191" s="7" t="s">
        <v>113</v>
      </c>
      <c r="F191" s="7" t="s">
        <v>94</v>
      </c>
      <c r="G191" s="7" t="s">
        <v>211</v>
      </c>
      <c r="H191" s="7" t="s">
        <v>212</v>
      </c>
      <c r="I191" s="7" t="s">
        <v>827</v>
      </c>
      <c r="J191" s="7" t="s">
        <v>828</v>
      </c>
      <c r="K191" s="7" t="s">
        <v>170</v>
      </c>
      <c r="L191" s="7" t="s">
        <v>88</v>
      </c>
      <c r="M191" s="8" t="n">
        <v>45624</v>
      </c>
      <c r="N191" s="7" t="s">
        <v>89</v>
      </c>
      <c r="O191" s="9" t="n">
        <f aca="false">IF(COUNTIFS($B$2:B191,B191,$C$2:C191,C191)=1,1,0)</f>
        <v>1</v>
      </c>
      <c r="P191" s="9" t="str">
        <f aca="false">IFERROR(INDEX(dEtapa!$A$2:$A$6,MATCH(N191,dEtapa!$B$2:$B$6,0)),"Sin etapa")</f>
        <v>Gobernada</v>
      </c>
      <c r="Q191" s="9" t="n">
        <f aca="false">IF(L191="Si",1,0)</f>
        <v>1</v>
      </c>
      <c r="R191" s="9" t="n">
        <f aca="false">IF(ISNUMBER(SEARCH("CRITERIO",N191)),1,0)</f>
        <v>0</v>
      </c>
      <c r="S191" s="9" t="str">
        <f aca="false">IF(E191="","Sin dato",LEFT(E191,1))</f>
        <v>C</v>
      </c>
      <c r="T191" s="9" t="n">
        <f aca="false">IFERROR(INDEX(dCriticidad!$G$2:$G$7,MATCH(S191,dCriticidad!$A$2:$A$7,0)),0)</f>
        <v>1</v>
      </c>
      <c r="U191" s="9" t="n">
        <f aca="false">IF(OR(LEFT(C191,3)="GI0",LEFT(C191,3)="GA0"),1,0)</f>
        <v>0</v>
      </c>
      <c r="V191" s="9" t="str">
        <f aca="false">IF(G191="","Sin dato (ID GI)",TRIM(G191))</f>
        <v>Tribu Ciberseguridad</v>
      </c>
      <c r="W191" s="9" t="str">
        <f aca="false">IF(F191="","Sin dato",F191)</f>
        <v>Nube</v>
      </c>
      <c r="X191" s="9" t="n">
        <f aca="false">IF(M191="","",YEAR(M191))</f>
        <v>2024</v>
      </c>
      <c r="Y191" s="10" t="n">
        <f aca="false">IF(M191="","",DATE(YEAR(M191),MONTH(M191),1))</f>
        <v>45597</v>
      </c>
      <c r="Z191" s="9" t="n">
        <f aca="false">IF(AND(Q191=0,COUNTIF(dDuplicadosGI!$A$2:$A$60,C191)&gt;0),1,0)</f>
        <v>0</v>
      </c>
      <c r="AA191" s="9" t="n">
        <f aca="false">IF(Q191=0,1,0)</f>
        <v>0</v>
      </c>
    </row>
    <row r="192" customFormat="false" ht="15" hidden="false" customHeight="false" outlineLevel="0" collapsed="false">
      <c r="A192" s="7" t="n">
        <v>191</v>
      </c>
      <c r="B192" s="7" t="s">
        <v>829</v>
      </c>
      <c r="C192" s="7" t="s">
        <v>830</v>
      </c>
      <c r="D192" s="7" t="s">
        <v>831</v>
      </c>
      <c r="E192" s="7" t="s">
        <v>81</v>
      </c>
      <c r="F192" s="7" t="s">
        <v>94</v>
      </c>
      <c r="G192" s="7" t="s">
        <v>139</v>
      </c>
      <c r="H192" s="7" t="s">
        <v>97</v>
      </c>
      <c r="I192" s="7" t="s">
        <v>97</v>
      </c>
      <c r="J192" s="7" t="s">
        <v>813</v>
      </c>
      <c r="K192" s="7" t="s">
        <v>87</v>
      </c>
      <c r="L192" s="7" t="s">
        <v>99</v>
      </c>
      <c r="M192" s="8"/>
      <c r="N192" s="7" t="s">
        <v>109</v>
      </c>
      <c r="O192" s="9" t="n">
        <f aca="false">IF(COUNTIFS($B$2:B192,B192,$C$2:C192,C192)=1,1,0)</f>
        <v>1</v>
      </c>
      <c r="P192" s="9" t="str">
        <f aca="false">IFERROR(INDEX(dEtapa!$A$2:$A$6,MATCH(N192,dEtapa!$B$2:$B$6,0)),"Sin etapa")</f>
        <v>Planificada 2027</v>
      </c>
      <c r="Q192" s="9" t="n">
        <f aca="false">IF(L192="Si",1,0)</f>
        <v>0</v>
      </c>
      <c r="R192" s="9" t="n">
        <f aca="false">IF(ISNUMBER(SEARCH("CRITERIO",N192)),1,0)</f>
        <v>0</v>
      </c>
      <c r="S192" s="9" t="str">
        <f aca="false">IF(E192="","Sin dato",LEFT(E192,1))</f>
        <v>A</v>
      </c>
      <c r="T192" s="9" t="n">
        <f aca="false">IFERROR(INDEX(dCriticidad!$G$2:$G$7,MATCH(S192,dCriticidad!$A$2:$A$7,0)),0)</f>
        <v>1</v>
      </c>
      <c r="U192" s="9" t="n">
        <f aca="false">IF(OR(LEFT(C192,3)="GI0",LEFT(C192,3)="GA0"),1,0)</f>
        <v>0</v>
      </c>
      <c r="V192" s="9" t="str">
        <f aca="false">IF(G192="","Sin dato (ID GI)",TRIM(G192))</f>
        <v>Frente de Soluciones Empresariales</v>
      </c>
      <c r="W192" s="9" t="str">
        <f aca="false">IF(F192="","Sin dato",F192)</f>
        <v>Nube</v>
      </c>
      <c r="X192" s="9" t="str">
        <f aca="false">IF(M192="","",YEAR(M192))</f>
        <v/>
      </c>
      <c r="Y192" s="10" t="str">
        <f aca="false">IF(M192="","",DATE(YEAR(M192),MONTH(M192),1))</f>
        <v/>
      </c>
      <c r="Z192" s="9" t="n">
        <f aca="false">IF(AND(Q192=0,COUNTIF(dDuplicadosGI!$A$2:$A$60,C192)&gt;0),1,0)</f>
        <v>0</v>
      </c>
      <c r="AA192" s="9" t="n">
        <f aca="false">IF(Q192=0,1,0)</f>
        <v>1</v>
      </c>
    </row>
    <row r="193" customFormat="false" ht="15" hidden="false" customHeight="false" outlineLevel="0" collapsed="false">
      <c r="A193" s="7" t="n">
        <v>192</v>
      </c>
      <c r="B193" s="7" t="s">
        <v>832</v>
      </c>
      <c r="C193" s="7" t="s">
        <v>833</v>
      </c>
      <c r="D193" s="7" t="s">
        <v>834</v>
      </c>
      <c r="E193" s="7" t="s">
        <v>113</v>
      </c>
      <c r="F193" s="7" t="s">
        <v>82</v>
      </c>
      <c r="G193" s="7" t="s">
        <v>253</v>
      </c>
      <c r="H193" s="7" t="s">
        <v>254</v>
      </c>
      <c r="I193" s="7" t="s">
        <v>496</v>
      </c>
      <c r="J193" s="7" t="s">
        <v>256</v>
      </c>
      <c r="K193" s="7" t="s">
        <v>87</v>
      </c>
      <c r="L193" s="7" t="s">
        <v>88</v>
      </c>
      <c r="M193" s="8" t="n">
        <v>45199</v>
      </c>
      <c r="N193" s="7" t="s">
        <v>89</v>
      </c>
      <c r="O193" s="9" t="n">
        <f aca="false">IF(COUNTIFS($B$2:B193,B193,$C$2:C193,C193)=1,1,0)</f>
        <v>1</v>
      </c>
      <c r="P193" s="9" t="str">
        <f aca="false">IFERROR(INDEX(dEtapa!$A$2:$A$6,MATCH(N193,dEtapa!$B$2:$B$6,0)),"Sin etapa")</f>
        <v>Gobernada</v>
      </c>
      <c r="Q193" s="9" t="n">
        <f aca="false">IF(L193="Si",1,0)</f>
        <v>1</v>
      </c>
      <c r="R193" s="9" t="n">
        <f aca="false">IF(ISNUMBER(SEARCH("CRITERIO",N193)),1,0)</f>
        <v>0</v>
      </c>
      <c r="S193" s="9" t="str">
        <f aca="false">IF(E193="","Sin dato",LEFT(E193,1))</f>
        <v>C</v>
      </c>
      <c r="T193" s="9" t="n">
        <f aca="false">IFERROR(INDEX(dCriticidad!$G$2:$G$7,MATCH(S193,dCriticidad!$A$2:$A$7,0)),0)</f>
        <v>1</v>
      </c>
      <c r="U193" s="9" t="n">
        <f aca="false">IF(OR(LEFT(C193,3)="GI0",LEFT(C193,3)="GA0"),1,0)</f>
        <v>0</v>
      </c>
      <c r="V193" s="9" t="str">
        <f aca="false">IF(G193="","Sin dato (ID GI)",TRIM(G193))</f>
        <v>Tribu Administración de Créditos</v>
      </c>
      <c r="W193" s="9" t="str">
        <f aca="false">IF(F193="","Sin dato",F193)</f>
        <v>On Premise</v>
      </c>
      <c r="X193" s="9" t="n">
        <f aca="false">IF(M193="","",YEAR(M193))</f>
        <v>2023</v>
      </c>
      <c r="Y193" s="10" t="n">
        <f aca="false">IF(M193="","",DATE(YEAR(M193),MONTH(M193),1))</f>
        <v>45170</v>
      </c>
      <c r="Z193" s="9" t="n">
        <f aca="false">IF(AND(Q193=0,COUNTIF(dDuplicadosGI!$A$2:$A$60,C193)&gt;0),1,0)</f>
        <v>0</v>
      </c>
      <c r="AA193" s="9" t="n">
        <f aca="false">IF(Q193=0,1,0)</f>
        <v>0</v>
      </c>
    </row>
    <row r="194" customFormat="false" ht="15" hidden="false" customHeight="false" outlineLevel="0" collapsed="false">
      <c r="A194" s="7" t="n">
        <v>193</v>
      </c>
      <c r="B194" s="7" t="s">
        <v>835</v>
      </c>
      <c r="C194" s="7" t="s">
        <v>836</v>
      </c>
      <c r="D194" s="7" t="s">
        <v>837</v>
      </c>
      <c r="E194" s="7" t="s">
        <v>119</v>
      </c>
      <c r="F194" s="7" t="s">
        <v>94</v>
      </c>
      <c r="G194" s="7" t="s">
        <v>451</v>
      </c>
      <c r="H194" s="7" t="s">
        <v>672</v>
      </c>
      <c r="I194" s="7" t="s">
        <v>838</v>
      </c>
      <c r="J194" s="7" t="s">
        <v>839</v>
      </c>
      <c r="K194" s="7" t="s">
        <v>98</v>
      </c>
      <c r="L194" s="7" t="s">
        <v>99</v>
      </c>
      <c r="M194" s="8"/>
      <c r="N194" s="7" t="s">
        <v>109</v>
      </c>
      <c r="O194" s="9" t="n">
        <f aca="false">IF(COUNTIFS($B$2:B194,B194,$C$2:C194,C194)=1,1,0)</f>
        <v>1</v>
      </c>
      <c r="P194" s="9" t="str">
        <f aca="false">IFERROR(INDEX(dEtapa!$A$2:$A$6,MATCH(N194,dEtapa!$B$2:$B$6,0)),"Sin etapa")</f>
        <v>Planificada 2027</v>
      </c>
      <c r="Q194" s="9" t="n">
        <f aca="false">IF(L194="Si",1,0)</f>
        <v>0</v>
      </c>
      <c r="R194" s="9" t="n">
        <f aca="false">IF(ISNUMBER(SEARCH("CRITERIO",N194)),1,0)</f>
        <v>0</v>
      </c>
      <c r="S194" s="9" t="str">
        <f aca="false">IF(E194="","Sin dato",LEFT(E194,1))</f>
        <v>E</v>
      </c>
      <c r="T194" s="9" t="n">
        <f aca="false">IFERROR(INDEX(dCriticidad!$G$2:$G$7,MATCH(S194,dCriticidad!$A$2:$A$7,0)),0)</f>
        <v>0</v>
      </c>
      <c r="U194" s="9" t="n">
        <f aca="false">IF(OR(LEFT(C194,3)="GI0",LEFT(C194,3)="GA0"),1,0)</f>
        <v>0</v>
      </c>
      <c r="V194" s="9" t="str">
        <f aca="false">IF(G194="","Sin dato (ID GI)",TRIM(G194))</f>
        <v>COE de Ingeniería</v>
      </c>
      <c r="W194" s="9" t="str">
        <f aca="false">IF(F194="","Sin dato",F194)</f>
        <v>Nube</v>
      </c>
      <c r="X194" s="9" t="str">
        <f aca="false">IF(M194="","",YEAR(M194))</f>
        <v/>
      </c>
      <c r="Y194" s="10" t="str">
        <f aca="false">IF(M194="","",DATE(YEAR(M194),MONTH(M194),1))</f>
        <v/>
      </c>
      <c r="Z194" s="9" t="n">
        <f aca="false">IF(AND(Q194=0,COUNTIF(dDuplicadosGI!$A$2:$A$60,C194)&gt;0),1,0)</f>
        <v>0</v>
      </c>
      <c r="AA194" s="9" t="n">
        <f aca="false">IF(Q194=0,1,0)</f>
        <v>1</v>
      </c>
    </row>
    <row r="195" customFormat="false" ht="15" hidden="false" customHeight="false" outlineLevel="0" collapsed="false">
      <c r="A195" s="7" t="n">
        <v>194</v>
      </c>
      <c r="B195" s="7" t="s">
        <v>840</v>
      </c>
      <c r="C195" s="7" t="s">
        <v>841</v>
      </c>
      <c r="D195" s="7" t="s">
        <v>842</v>
      </c>
      <c r="E195" s="7" t="s">
        <v>119</v>
      </c>
      <c r="F195" s="7" t="s">
        <v>94</v>
      </c>
      <c r="G195" s="7" t="s">
        <v>192</v>
      </c>
      <c r="H195" s="7" t="s">
        <v>193</v>
      </c>
      <c r="I195" s="7" t="s">
        <v>843</v>
      </c>
      <c r="J195" s="7" t="s">
        <v>239</v>
      </c>
      <c r="K195" s="7" t="s">
        <v>98</v>
      </c>
      <c r="L195" s="7" t="s">
        <v>99</v>
      </c>
      <c r="M195" s="8"/>
      <c r="N195" s="7" t="s">
        <v>109</v>
      </c>
      <c r="O195" s="9" t="n">
        <f aca="false">IF(COUNTIFS($B$2:B195,B195,$C$2:C195,C195)=1,1,0)</f>
        <v>1</v>
      </c>
      <c r="P195" s="9" t="str">
        <f aca="false">IFERROR(INDEX(dEtapa!$A$2:$A$6,MATCH(N195,dEtapa!$B$2:$B$6,0)),"Sin etapa")</f>
        <v>Planificada 2027</v>
      </c>
      <c r="Q195" s="9" t="n">
        <f aca="false">IF(L195="Si",1,0)</f>
        <v>0</v>
      </c>
      <c r="R195" s="9" t="n">
        <f aca="false">IF(ISNUMBER(SEARCH("CRITERIO",N195)),1,0)</f>
        <v>0</v>
      </c>
      <c r="S195" s="9" t="str">
        <f aca="false">IF(E195="","Sin dato",LEFT(E195,1))</f>
        <v>E</v>
      </c>
      <c r="T195" s="9" t="n">
        <f aca="false">IFERROR(INDEX(dCriticidad!$G$2:$G$7,MATCH(S195,dCriticidad!$A$2:$A$7,0)),0)</f>
        <v>0</v>
      </c>
      <c r="U195" s="9" t="n">
        <f aca="false">IF(OR(LEFT(C195,3)="GI0",LEFT(C195,3)="GA0"),1,0)</f>
        <v>0</v>
      </c>
      <c r="V195" s="9" t="str">
        <f aca="false">IF(G195="","Sin dato (ID GI)",TRIM(G195))</f>
        <v>AREAS_DE_APOYO</v>
      </c>
      <c r="W195" s="9" t="str">
        <f aca="false">IF(F195="","Sin dato",F195)</f>
        <v>Nube</v>
      </c>
      <c r="X195" s="9" t="str">
        <f aca="false">IF(M195="","",YEAR(M195))</f>
        <v/>
      </c>
      <c r="Y195" s="10" t="str">
        <f aca="false">IF(M195="","",DATE(YEAR(M195),MONTH(M195),1))</f>
        <v/>
      </c>
      <c r="Z195" s="9" t="n">
        <f aca="false">IF(AND(Q195=0,COUNTIF(dDuplicadosGI!$A$2:$A$60,C195)&gt;0),1,0)</f>
        <v>0</v>
      </c>
      <c r="AA195" s="9" t="n">
        <f aca="false">IF(Q195=0,1,0)</f>
        <v>1</v>
      </c>
    </row>
    <row r="196" customFormat="false" ht="15" hidden="false" customHeight="false" outlineLevel="0" collapsed="false">
      <c r="A196" s="7" t="n">
        <v>195</v>
      </c>
      <c r="B196" s="7" t="s">
        <v>844</v>
      </c>
      <c r="C196" s="7" t="s">
        <v>845</v>
      </c>
      <c r="D196" s="7" t="s">
        <v>846</v>
      </c>
      <c r="E196" s="7" t="s">
        <v>119</v>
      </c>
      <c r="F196" s="7" t="s">
        <v>152</v>
      </c>
      <c r="G196" s="7" t="s">
        <v>192</v>
      </c>
      <c r="H196" s="7" t="s">
        <v>193</v>
      </c>
      <c r="I196" s="7" t="s">
        <v>222</v>
      </c>
      <c r="J196" s="7" t="s">
        <v>223</v>
      </c>
      <c r="K196" s="7" t="s">
        <v>87</v>
      </c>
      <c r="L196" s="7" t="s">
        <v>88</v>
      </c>
      <c r="M196" s="8" t="n">
        <v>45898</v>
      </c>
      <c r="N196" s="7" t="s">
        <v>89</v>
      </c>
      <c r="O196" s="9" t="n">
        <f aca="false">IF(COUNTIFS($B$2:B196,B196,$C$2:C196,C196)=1,1,0)</f>
        <v>1</v>
      </c>
      <c r="P196" s="9" t="str">
        <f aca="false">IFERROR(INDEX(dEtapa!$A$2:$A$6,MATCH(N196,dEtapa!$B$2:$B$6,0)),"Sin etapa")</f>
        <v>Gobernada</v>
      </c>
      <c r="Q196" s="9" t="n">
        <f aca="false">IF(L196="Si",1,0)</f>
        <v>1</v>
      </c>
      <c r="R196" s="9" t="n">
        <f aca="false">IF(ISNUMBER(SEARCH("CRITERIO",N196)),1,0)</f>
        <v>0</v>
      </c>
      <c r="S196" s="9" t="str">
        <f aca="false">IF(E196="","Sin dato",LEFT(E196,1))</f>
        <v>E</v>
      </c>
      <c r="T196" s="9" t="n">
        <f aca="false">IFERROR(INDEX(dCriticidad!$G$2:$G$7,MATCH(S196,dCriticidad!$A$2:$A$7,0)),0)</f>
        <v>0</v>
      </c>
      <c r="U196" s="9" t="n">
        <f aca="false">IF(OR(LEFT(C196,3)="GI0",LEFT(C196,3)="GA0"),1,0)</f>
        <v>0</v>
      </c>
      <c r="V196" s="9" t="str">
        <f aca="false">IF(G196="","Sin dato (ID GI)",TRIM(G196))</f>
        <v>AREAS_DE_APOYO</v>
      </c>
      <c r="W196" s="9" t="str">
        <f aca="false">IF(F196="","Sin dato",F196)</f>
        <v>Terceros</v>
      </c>
      <c r="X196" s="9" t="n">
        <f aca="false">IF(M196="","",YEAR(M196))</f>
        <v>2025</v>
      </c>
      <c r="Y196" s="10" t="n">
        <f aca="false">IF(M196="","",DATE(YEAR(M196),MONTH(M196),1))</f>
        <v>45870</v>
      </c>
      <c r="Z196" s="9" t="n">
        <f aca="false">IF(AND(Q196=0,COUNTIF(dDuplicadosGI!$A$2:$A$60,C196)&gt;0),1,0)</f>
        <v>0</v>
      </c>
      <c r="AA196" s="9" t="n">
        <f aca="false">IF(Q196=0,1,0)</f>
        <v>0</v>
      </c>
    </row>
    <row r="197" customFormat="false" ht="15" hidden="false" customHeight="false" outlineLevel="0" collapsed="false">
      <c r="A197" s="7" t="n">
        <v>196</v>
      </c>
      <c r="B197" s="7" t="s">
        <v>847</v>
      </c>
      <c r="C197" s="7" t="s">
        <v>848</v>
      </c>
      <c r="D197" s="7" t="s">
        <v>849</v>
      </c>
      <c r="E197" s="7" t="s">
        <v>119</v>
      </c>
      <c r="F197" s="7" t="s">
        <v>94</v>
      </c>
      <c r="G197" s="7" t="s">
        <v>192</v>
      </c>
      <c r="H197" s="7" t="s">
        <v>193</v>
      </c>
      <c r="I197" s="7" t="s">
        <v>238</v>
      </c>
      <c r="J197" s="7" t="s">
        <v>239</v>
      </c>
      <c r="K197" s="7" t="s">
        <v>87</v>
      </c>
      <c r="L197" s="7" t="s">
        <v>99</v>
      </c>
      <c r="M197" s="8"/>
      <c r="N197" s="7" t="s">
        <v>100</v>
      </c>
      <c r="O197" s="9" t="n">
        <f aca="false">IF(COUNTIFS($B$2:B197,B197,$C$2:C197,C197)=1,1,0)</f>
        <v>1</v>
      </c>
      <c r="P197" s="9" t="str">
        <f aca="false">IFERROR(INDEX(dEtapa!$A$2:$A$6,MATCH(N197,dEtapa!$B$2:$B$6,0)),"Sin etapa")</f>
        <v>Criterio 1</v>
      </c>
      <c r="Q197" s="9" t="n">
        <f aca="false">IF(L197="Si",1,0)</f>
        <v>0</v>
      </c>
      <c r="R197" s="9" t="n">
        <f aca="false">IF(ISNUMBER(SEARCH("CRITERIO",N197)),1,0)</f>
        <v>1</v>
      </c>
      <c r="S197" s="9" t="str">
        <f aca="false">IF(E197="","Sin dato",LEFT(E197,1))</f>
        <v>E</v>
      </c>
      <c r="T197" s="9" t="n">
        <f aca="false">IFERROR(INDEX(dCriticidad!$G$2:$G$7,MATCH(S197,dCriticidad!$A$2:$A$7,0)),0)</f>
        <v>0</v>
      </c>
      <c r="U197" s="9" t="n">
        <f aca="false">IF(OR(LEFT(C197,3)="GI0",LEFT(C197,3)="GA0"),1,0)</f>
        <v>0</v>
      </c>
      <c r="V197" s="9" t="str">
        <f aca="false">IF(G197="","Sin dato (ID GI)",TRIM(G197))</f>
        <v>AREAS_DE_APOYO</v>
      </c>
      <c r="W197" s="9" t="str">
        <f aca="false">IF(F197="","Sin dato",F197)</f>
        <v>Nube</v>
      </c>
      <c r="X197" s="9" t="str">
        <f aca="false">IF(M197="","",YEAR(M197))</f>
        <v/>
      </c>
      <c r="Y197" s="10" t="str">
        <f aca="false">IF(M197="","",DATE(YEAR(M197),MONTH(M197),1))</f>
        <v/>
      </c>
      <c r="Z197" s="9" t="n">
        <f aca="false">IF(AND(Q197=0,COUNTIF(dDuplicadosGI!$A$2:$A$60,C197)&gt;0),1,0)</f>
        <v>0</v>
      </c>
      <c r="AA197" s="9" t="n">
        <f aca="false">IF(Q197=0,1,0)</f>
        <v>1</v>
      </c>
    </row>
    <row r="198" customFormat="false" ht="15" hidden="false" customHeight="false" outlineLevel="0" collapsed="false">
      <c r="A198" s="7" t="n">
        <v>197</v>
      </c>
      <c r="B198" s="7" t="s">
        <v>850</v>
      </c>
      <c r="C198" s="7" t="s">
        <v>851</v>
      </c>
      <c r="D198" s="7" t="s">
        <v>852</v>
      </c>
      <c r="E198" s="7" t="s">
        <v>145</v>
      </c>
      <c r="F198" s="7" t="s">
        <v>82</v>
      </c>
      <c r="G198" s="7" t="s">
        <v>211</v>
      </c>
      <c r="H198" s="7" t="s">
        <v>212</v>
      </c>
      <c r="I198" s="7" t="s">
        <v>213</v>
      </c>
      <c r="J198" s="7" t="s">
        <v>214</v>
      </c>
      <c r="K198" s="7" t="s">
        <v>98</v>
      </c>
      <c r="L198" s="7" t="s">
        <v>99</v>
      </c>
      <c r="M198" s="8"/>
      <c r="N198" s="7" t="s">
        <v>178</v>
      </c>
      <c r="O198" s="9" t="n">
        <f aca="false">IF(COUNTIFS($B$2:B198,B198,$C$2:C198,C198)=1,1,0)</f>
        <v>1</v>
      </c>
      <c r="P198" s="9" t="str">
        <f aca="false">IFERROR(INDEX(dEtapa!$A$2:$A$6,MATCH(N198,dEtapa!$B$2:$B$6,0)),"Sin etapa")</f>
        <v>Criterio 2</v>
      </c>
      <c r="Q198" s="9" t="n">
        <f aca="false">IF(L198="Si",1,0)</f>
        <v>0</v>
      </c>
      <c r="R198" s="9" t="n">
        <f aca="false">IF(ISNUMBER(SEARCH("CRITERIO",N198)),1,0)</f>
        <v>1</v>
      </c>
      <c r="S198" s="9" t="str">
        <f aca="false">IF(E198="","Sin dato",LEFT(E198,1))</f>
        <v>B</v>
      </c>
      <c r="T198" s="9" t="n">
        <f aca="false">IFERROR(INDEX(dCriticidad!$G$2:$G$7,MATCH(S198,dCriticidad!$A$2:$A$7,0)),0)</f>
        <v>1</v>
      </c>
      <c r="U198" s="9" t="n">
        <f aca="false">IF(OR(LEFT(C198,3)="GI0",LEFT(C198,3)="GA0"),1,0)</f>
        <v>0</v>
      </c>
      <c r="V198" s="9" t="str">
        <f aca="false">IF(G198="","Sin dato (ID GI)",TRIM(G198))</f>
        <v>Tribu Ciberseguridad</v>
      </c>
      <c r="W198" s="9" t="str">
        <f aca="false">IF(F198="","Sin dato",F198)</f>
        <v>On Premise</v>
      </c>
      <c r="X198" s="9" t="str">
        <f aca="false">IF(M198="","",YEAR(M198))</f>
        <v/>
      </c>
      <c r="Y198" s="10" t="str">
        <f aca="false">IF(M198="","",DATE(YEAR(M198),MONTH(M198),1))</f>
        <v/>
      </c>
      <c r="Z198" s="9" t="n">
        <f aca="false">IF(AND(Q198=0,COUNTIF(dDuplicadosGI!$A$2:$A$60,C198)&gt;0),1,0)</f>
        <v>0</v>
      </c>
      <c r="AA198" s="9" t="n">
        <f aca="false">IF(Q198=0,1,0)</f>
        <v>1</v>
      </c>
    </row>
    <row r="199" customFormat="false" ht="15" hidden="false" customHeight="false" outlineLevel="0" collapsed="false">
      <c r="A199" s="7" t="n">
        <v>198</v>
      </c>
      <c r="B199" s="7" t="s">
        <v>853</v>
      </c>
      <c r="C199" s="7" t="s">
        <v>854</v>
      </c>
      <c r="D199" s="11" t="s">
        <v>855</v>
      </c>
      <c r="E199" s="7" t="s">
        <v>119</v>
      </c>
      <c r="F199" s="7" t="s">
        <v>82</v>
      </c>
      <c r="G199" s="7" t="s">
        <v>192</v>
      </c>
      <c r="H199" s="7" t="s">
        <v>193</v>
      </c>
      <c r="I199" s="7" t="s">
        <v>194</v>
      </c>
      <c r="J199" s="7" t="s">
        <v>195</v>
      </c>
      <c r="K199" s="7" t="s">
        <v>87</v>
      </c>
      <c r="L199" s="7" t="s">
        <v>88</v>
      </c>
      <c r="M199" s="8" t="n">
        <v>45917</v>
      </c>
      <c r="N199" s="7" t="s">
        <v>89</v>
      </c>
      <c r="O199" s="9" t="n">
        <f aca="false">IF(COUNTIFS($B$2:B199,B199,$C$2:C199,C199)=1,1,0)</f>
        <v>1</v>
      </c>
      <c r="P199" s="9" t="str">
        <f aca="false">IFERROR(INDEX(dEtapa!$A$2:$A$6,MATCH(N199,dEtapa!$B$2:$B$6,0)),"Sin etapa")</f>
        <v>Gobernada</v>
      </c>
      <c r="Q199" s="9" t="n">
        <f aca="false">IF(L199="Si",1,0)</f>
        <v>1</v>
      </c>
      <c r="R199" s="9" t="n">
        <f aca="false">IF(ISNUMBER(SEARCH("CRITERIO",N199)),1,0)</f>
        <v>0</v>
      </c>
      <c r="S199" s="9" t="str">
        <f aca="false">IF(E199="","Sin dato",LEFT(E199,1))</f>
        <v>E</v>
      </c>
      <c r="T199" s="9" t="n">
        <f aca="false">IFERROR(INDEX(dCriticidad!$G$2:$G$7,MATCH(S199,dCriticidad!$A$2:$A$7,0)),0)</f>
        <v>0</v>
      </c>
      <c r="U199" s="9" t="n">
        <f aca="false">IF(OR(LEFT(C199,3)="GI0",LEFT(C199,3)="GA0"),1,0)</f>
        <v>0</v>
      </c>
      <c r="V199" s="9" t="str">
        <f aca="false">IF(G199="","Sin dato (ID GI)",TRIM(G199))</f>
        <v>AREAS_DE_APOYO</v>
      </c>
      <c r="W199" s="9" t="str">
        <f aca="false">IF(F199="","Sin dato",F199)</f>
        <v>On Premise</v>
      </c>
      <c r="X199" s="9" t="n">
        <f aca="false">IF(M199="","",YEAR(M199))</f>
        <v>2025</v>
      </c>
      <c r="Y199" s="10" t="n">
        <f aca="false">IF(M199="","",DATE(YEAR(M199),MONTH(M199),1))</f>
        <v>45901</v>
      </c>
      <c r="Z199" s="9" t="n">
        <f aca="false">IF(AND(Q199=0,COUNTIF(dDuplicadosGI!$A$2:$A$60,C199)&gt;0),1,0)</f>
        <v>0</v>
      </c>
      <c r="AA199" s="9" t="n">
        <f aca="false">IF(Q199=0,1,0)</f>
        <v>0</v>
      </c>
    </row>
    <row r="200" customFormat="false" ht="15" hidden="false" customHeight="false" outlineLevel="0" collapsed="false">
      <c r="A200" s="7" t="n">
        <v>199</v>
      </c>
      <c r="B200" s="7" t="s">
        <v>856</v>
      </c>
      <c r="C200" s="7" t="s">
        <v>857</v>
      </c>
      <c r="D200" s="7" t="s">
        <v>151</v>
      </c>
      <c r="E200" s="7" t="s">
        <v>119</v>
      </c>
      <c r="F200" s="7" t="s">
        <v>82</v>
      </c>
      <c r="G200" s="7" t="s">
        <v>153</v>
      </c>
      <c r="H200" s="7" t="s">
        <v>154</v>
      </c>
      <c r="I200" s="7" t="s">
        <v>412</v>
      </c>
      <c r="J200" s="7" t="s">
        <v>413</v>
      </c>
      <c r="K200" s="7" t="s">
        <v>98</v>
      </c>
      <c r="L200" s="7" t="s">
        <v>99</v>
      </c>
      <c r="M200" s="8"/>
      <c r="N200" s="7" t="s">
        <v>178</v>
      </c>
      <c r="O200" s="9" t="n">
        <f aca="false">IF(COUNTIFS($B$2:B200,B200,$C$2:C200,C200)=1,1,0)</f>
        <v>1</v>
      </c>
      <c r="P200" s="9" t="str">
        <f aca="false">IFERROR(INDEX(dEtapa!$A$2:$A$6,MATCH(N200,dEtapa!$B$2:$B$6,0)),"Sin etapa")</f>
        <v>Criterio 2</v>
      </c>
      <c r="Q200" s="9" t="n">
        <f aca="false">IF(L200="Si",1,0)</f>
        <v>0</v>
      </c>
      <c r="R200" s="9" t="n">
        <f aca="false">IF(ISNUMBER(SEARCH("CRITERIO",N200)),1,0)</f>
        <v>1</v>
      </c>
      <c r="S200" s="9" t="str">
        <f aca="false">IF(E200="","Sin dato",LEFT(E200,1))</f>
        <v>E</v>
      </c>
      <c r="T200" s="9" t="n">
        <f aca="false">IFERROR(INDEX(dCriticidad!$G$2:$G$7,MATCH(S200,dCriticidad!$A$2:$A$7,0)),0)</f>
        <v>0</v>
      </c>
      <c r="U200" s="9" t="n">
        <f aca="false">IF(OR(LEFT(C200,3)="GI0",LEFT(C200,3)="GA0"),1,0)</f>
        <v>0</v>
      </c>
      <c r="V200" s="9" t="str">
        <f aca="false">IF(G200="","Sin dato (ID GI)",TRIM(G200))</f>
        <v>MEDIOS_DE_PAGO</v>
      </c>
      <c r="W200" s="9" t="str">
        <f aca="false">IF(F200="","Sin dato",F200)</f>
        <v>On Premise</v>
      </c>
      <c r="X200" s="9" t="str">
        <f aca="false">IF(M200="","",YEAR(M200))</f>
        <v/>
      </c>
      <c r="Y200" s="10" t="str">
        <f aca="false">IF(M200="","",DATE(YEAR(M200),MONTH(M200),1))</f>
        <v/>
      </c>
      <c r="Z200" s="9" t="n">
        <f aca="false">IF(AND(Q200=0,COUNTIF(dDuplicadosGI!$A$2:$A$60,C200)&gt;0),1,0)</f>
        <v>0</v>
      </c>
      <c r="AA200" s="9" t="n">
        <f aca="false">IF(Q200=0,1,0)</f>
        <v>1</v>
      </c>
    </row>
    <row r="201" customFormat="false" ht="15" hidden="false" customHeight="false" outlineLevel="0" collapsed="false">
      <c r="A201" s="7" t="n">
        <v>200</v>
      </c>
      <c r="B201" s="7" t="s">
        <v>858</v>
      </c>
      <c r="C201" s="7" t="s">
        <v>859</v>
      </c>
      <c r="D201" s="11" t="s">
        <v>855</v>
      </c>
      <c r="E201" s="7" t="s">
        <v>145</v>
      </c>
      <c r="F201" s="7" t="s">
        <v>82</v>
      </c>
      <c r="G201" s="7" t="s">
        <v>166</v>
      </c>
      <c r="H201" s="7" t="s">
        <v>183</v>
      </c>
      <c r="I201" s="7" t="s">
        <v>168</v>
      </c>
      <c r="J201" s="7" t="s">
        <v>182</v>
      </c>
      <c r="K201" s="7" t="s">
        <v>87</v>
      </c>
      <c r="L201" s="7" t="s">
        <v>88</v>
      </c>
      <c r="M201" s="8" t="n">
        <v>45534</v>
      </c>
      <c r="N201" s="7" t="s">
        <v>89</v>
      </c>
      <c r="O201" s="9" t="n">
        <f aca="false">IF(COUNTIFS($B$2:B201,B201,$C$2:C201,C201)=1,1,0)</f>
        <v>1</v>
      </c>
      <c r="P201" s="9" t="str">
        <f aca="false">IFERROR(INDEX(dEtapa!$A$2:$A$6,MATCH(N201,dEtapa!$B$2:$B$6,0)),"Sin etapa")</f>
        <v>Gobernada</v>
      </c>
      <c r="Q201" s="9" t="n">
        <f aca="false">IF(L201="Si",1,0)</f>
        <v>1</v>
      </c>
      <c r="R201" s="9" t="n">
        <f aca="false">IF(ISNUMBER(SEARCH("CRITERIO",N201)),1,0)</f>
        <v>0</v>
      </c>
      <c r="S201" s="9" t="str">
        <f aca="false">IF(E201="","Sin dato",LEFT(E201,1))</f>
        <v>B</v>
      </c>
      <c r="T201" s="9" t="n">
        <f aca="false">IFERROR(INDEX(dCriticidad!$G$2:$G$7,MATCH(S201,dCriticidad!$A$2:$A$7,0)),0)</f>
        <v>1</v>
      </c>
      <c r="U201" s="9" t="n">
        <f aca="false">IF(OR(LEFT(C201,3)="GI0",LEFT(C201,3)="GA0"),1,0)</f>
        <v>0</v>
      </c>
      <c r="V201" s="9" t="str">
        <f aca="false">IF(G201="","Sin dato (ID GI)",TRIM(G201))</f>
        <v>Ciberseguridad</v>
      </c>
      <c r="W201" s="9" t="str">
        <f aca="false">IF(F201="","Sin dato",F201)</f>
        <v>On Premise</v>
      </c>
      <c r="X201" s="9" t="n">
        <f aca="false">IF(M201="","",YEAR(M201))</f>
        <v>2024</v>
      </c>
      <c r="Y201" s="10" t="n">
        <f aca="false">IF(M201="","",DATE(YEAR(M201),MONTH(M201),1))</f>
        <v>45505</v>
      </c>
      <c r="Z201" s="9" t="n">
        <f aca="false">IF(AND(Q201=0,COUNTIF(dDuplicadosGI!$A$2:$A$60,C201)&gt;0),1,0)</f>
        <v>0</v>
      </c>
      <c r="AA201" s="9" t="n">
        <f aca="false">IF(Q201=0,1,0)</f>
        <v>0</v>
      </c>
    </row>
    <row r="202" customFormat="false" ht="15" hidden="false" customHeight="false" outlineLevel="0" collapsed="false">
      <c r="A202" s="7" t="n">
        <v>201</v>
      </c>
      <c r="B202" s="7" t="s">
        <v>860</v>
      </c>
      <c r="C202" s="7" t="s">
        <v>861</v>
      </c>
      <c r="D202" s="7" t="s">
        <v>862</v>
      </c>
      <c r="E202" s="7" t="s">
        <v>119</v>
      </c>
      <c r="F202" s="7" t="s">
        <v>82</v>
      </c>
      <c r="G202" s="7" t="s">
        <v>83</v>
      </c>
      <c r="H202" s="7" t="s">
        <v>84</v>
      </c>
      <c r="I202" s="7" t="s">
        <v>289</v>
      </c>
      <c r="J202" s="7" t="s">
        <v>290</v>
      </c>
      <c r="K202" s="7" t="s">
        <v>108</v>
      </c>
      <c r="L202" s="7" t="s">
        <v>88</v>
      </c>
      <c r="M202" s="8" t="n">
        <v>45199</v>
      </c>
      <c r="N202" s="7" t="s">
        <v>89</v>
      </c>
      <c r="O202" s="9" t="n">
        <f aca="false">IF(COUNTIFS($B$2:B202,B202,$C$2:C202,C202)=1,1,0)</f>
        <v>1</v>
      </c>
      <c r="P202" s="9" t="str">
        <f aca="false">IFERROR(INDEX(dEtapa!$A$2:$A$6,MATCH(N202,dEtapa!$B$2:$B$6,0)),"Sin etapa")</f>
        <v>Gobernada</v>
      </c>
      <c r="Q202" s="9" t="n">
        <f aca="false">IF(L202="Si",1,0)</f>
        <v>1</v>
      </c>
      <c r="R202" s="9" t="n">
        <f aca="false">IF(ISNUMBER(SEARCH("CRITERIO",N202)),1,0)</f>
        <v>0</v>
      </c>
      <c r="S202" s="9" t="str">
        <f aca="false">IF(E202="","Sin dato",LEFT(E202,1))</f>
        <v>E</v>
      </c>
      <c r="T202" s="9" t="n">
        <f aca="false">IFERROR(INDEX(dCriticidad!$G$2:$G$7,MATCH(S202,dCriticidad!$A$2:$A$7,0)),0)</f>
        <v>0</v>
      </c>
      <c r="U202" s="9" t="n">
        <f aca="false">IF(OR(LEFT(C202,3)="GI0",LEFT(C202,3)="GA0"),1,0)</f>
        <v>0</v>
      </c>
      <c r="V202" s="9" t="str">
        <f aca="false">IF(G202="","Sin dato (ID GI)",TRIM(G202))</f>
        <v>TRIBU_CANALES</v>
      </c>
      <c r="W202" s="9" t="str">
        <f aca="false">IF(F202="","Sin dato",F202)</f>
        <v>On Premise</v>
      </c>
      <c r="X202" s="9" t="n">
        <f aca="false">IF(M202="","",YEAR(M202))</f>
        <v>2023</v>
      </c>
      <c r="Y202" s="10" t="n">
        <f aca="false">IF(M202="","",DATE(YEAR(M202),MONTH(M202),1))</f>
        <v>45170</v>
      </c>
      <c r="Z202" s="9" t="n">
        <f aca="false">IF(AND(Q202=0,COUNTIF(dDuplicadosGI!$A$2:$A$60,C202)&gt;0),1,0)</f>
        <v>0</v>
      </c>
      <c r="AA202" s="9" t="n">
        <f aca="false">IF(Q202=0,1,0)</f>
        <v>0</v>
      </c>
    </row>
    <row r="203" customFormat="false" ht="15" hidden="false" customHeight="false" outlineLevel="0" collapsed="false">
      <c r="A203" s="7" t="n">
        <v>202</v>
      </c>
      <c r="B203" s="7" t="s">
        <v>863</v>
      </c>
      <c r="C203" s="7" t="s">
        <v>864</v>
      </c>
      <c r="D203" s="7" t="s">
        <v>865</v>
      </c>
      <c r="E203" s="7" t="s">
        <v>113</v>
      </c>
      <c r="F203" s="7" t="s">
        <v>269</v>
      </c>
      <c r="G203" s="7" t="s">
        <v>426</v>
      </c>
      <c r="H203" s="7" t="s">
        <v>427</v>
      </c>
      <c r="I203" s="7" t="s">
        <v>866</v>
      </c>
      <c r="J203" s="7" t="s">
        <v>867</v>
      </c>
      <c r="K203" s="7" t="s">
        <v>98</v>
      </c>
      <c r="L203" s="7" t="s">
        <v>99</v>
      </c>
      <c r="M203" s="8"/>
      <c r="N203" s="7" t="s">
        <v>100</v>
      </c>
      <c r="O203" s="9" t="n">
        <f aca="false">IF(COUNTIFS($B$2:B203,B203,$C$2:C203,C203)=1,1,0)</f>
        <v>1</v>
      </c>
      <c r="P203" s="9" t="str">
        <f aca="false">IFERROR(INDEX(dEtapa!$A$2:$A$6,MATCH(N203,dEtapa!$B$2:$B$6,0)),"Sin etapa")</f>
        <v>Criterio 1</v>
      </c>
      <c r="Q203" s="9" t="n">
        <f aca="false">IF(L203="Si",1,0)</f>
        <v>0</v>
      </c>
      <c r="R203" s="9" t="n">
        <f aca="false">IF(ISNUMBER(SEARCH("CRITERIO",N203)),1,0)</f>
        <v>1</v>
      </c>
      <c r="S203" s="9" t="str">
        <f aca="false">IF(E203="","Sin dato",LEFT(E203,1))</f>
        <v>C</v>
      </c>
      <c r="T203" s="9" t="n">
        <f aca="false">IFERROR(INDEX(dCriticidad!$G$2:$G$7,MATCH(S203,dCriticidad!$A$2:$A$7,0)),0)</f>
        <v>1</v>
      </c>
      <c r="U203" s="9" t="n">
        <f aca="false">IF(OR(LEFT(C203,3)="GI0",LEFT(C203,3)="GA0"),1,0)</f>
        <v>0</v>
      </c>
      <c r="V203" s="9" t="str">
        <f aca="false">IF(G203="","Sin dato (ID GI)",TRIM(G203))</f>
        <v>Gerencia Servicios Producción Tecnológica</v>
      </c>
      <c r="W203" s="9" t="str">
        <f aca="false">IF(F203="","Sin dato",F203)</f>
        <v>Híbrida</v>
      </c>
      <c r="X203" s="9" t="str">
        <f aca="false">IF(M203="","",YEAR(M203))</f>
        <v/>
      </c>
      <c r="Y203" s="10" t="str">
        <f aca="false">IF(M203="","",DATE(YEAR(M203),MONTH(M203),1))</f>
        <v/>
      </c>
      <c r="Z203" s="9" t="n">
        <f aca="false">IF(AND(Q203=0,COUNTIF(dDuplicadosGI!$A$2:$A$60,C203)&gt;0),1,0)</f>
        <v>0</v>
      </c>
      <c r="AA203" s="9" t="n">
        <f aca="false">IF(Q203=0,1,0)</f>
        <v>1</v>
      </c>
    </row>
    <row r="204" customFormat="false" ht="15" hidden="false" customHeight="false" outlineLevel="0" collapsed="false">
      <c r="A204" s="7" t="n">
        <v>203</v>
      </c>
      <c r="B204" s="7" t="s">
        <v>868</v>
      </c>
      <c r="C204" s="7" t="s">
        <v>869</v>
      </c>
      <c r="D204" s="7" t="s">
        <v>870</v>
      </c>
      <c r="E204" s="7" t="s">
        <v>119</v>
      </c>
      <c r="F204" s="7" t="s">
        <v>82</v>
      </c>
      <c r="G204" s="7" t="s">
        <v>192</v>
      </c>
      <c r="H204" s="7" t="s">
        <v>193</v>
      </c>
      <c r="I204" s="7" t="s">
        <v>194</v>
      </c>
      <c r="J204" s="7" t="s">
        <v>195</v>
      </c>
      <c r="K204" s="7" t="s">
        <v>234</v>
      </c>
      <c r="L204" s="7" t="s">
        <v>99</v>
      </c>
      <c r="M204" s="8"/>
      <c r="N204" s="7" t="s">
        <v>109</v>
      </c>
      <c r="O204" s="9" t="n">
        <f aca="false">IF(COUNTIFS($B$2:B204,B204,$C$2:C204,C204)=1,1,0)</f>
        <v>1</v>
      </c>
      <c r="P204" s="9" t="str">
        <f aca="false">IFERROR(INDEX(dEtapa!$A$2:$A$6,MATCH(N204,dEtapa!$B$2:$B$6,0)),"Sin etapa")</f>
        <v>Planificada 2027</v>
      </c>
      <c r="Q204" s="9" t="n">
        <f aca="false">IF(L204="Si",1,0)</f>
        <v>0</v>
      </c>
      <c r="R204" s="9" t="n">
        <f aca="false">IF(ISNUMBER(SEARCH("CRITERIO",N204)),1,0)</f>
        <v>0</v>
      </c>
      <c r="S204" s="9" t="str">
        <f aca="false">IF(E204="","Sin dato",LEFT(E204,1))</f>
        <v>E</v>
      </c>
      <c r="T204" s="9" t="n">
        <f aca="false">IFERROR(INDEX(dCriticidad!$G$2:$G$7,MATCH(S204,dCriticidad!$A$2:$A$7,0)),0)</f>
        <v>0</v>
      </c>
      <c r="U204" s="9" t="n">
        <f aca="false">IF(OR(LEFT(C204,3)="GI0",LEFT(C204,3)="GA0"),1,0)</f>
        <v>0</v>
      </c>
      <c r="V204" s="9" t="str">
        <f aca="false">IF(G204="","Sin dato (ID GI)",TRIM(G204))</f>
        <v>AREAS_DE_APOYO</v>
      </c>
      <c r="W204" s="9" t="str">
        <f aca="false">IF(F204="","Sin dato",F204)</f>
        <v>On Premise</v>
      </c>
      <c r="X204" s="9" t="str">
        <f aca="false">IF(M204="","",YEAR(M204))</f>
        <v/>
      </c>
      <c r="Y204" s="10" t="str">
        <f aca="false">IF(M204="","",DATE(YEAR(M204),MONTH(M204),1))</f>
        <v/>
      </c>
      <c r="Z204" s="9" t="n">
        <f aca="false">IF(AND(Q204=0,COUNTIF(dDuplicadosGI!$A$2:$A$60,C204)&gt;0),1,0)</f>
        <v>0</v>
      </c>
      <c r="AA204" s="9" t="n">
        <f aca="false">IF(Q204=0,1,0)</f>
        <v>1</v>
      </c>
    </row>
    <row r="205" customFormat="false" ht="15" hidden="false" customHeight="false" outlineLevel="0" collapsed="false">
      <c r="A205" s="7" t="n">
        <v>204</v>
      </c>
      <c r="B205" s="7" t="s">
        <v>871</v>
      </c>
      <c r="C205" s="7" t="s">
        <v>872</v>
      </c>
      <c r="D205" s="7" t="s">
        <v>873</v>
      </c>
      <c r="E205" s="7" t="s">
        <v>145</v>
      </c>
      <c r="F205" s="7" t="s">
        <v>82</v>
      </c>
      <c r="G205" s="7" t="s">
        <v>211</v>
      </c>
      <c r="H205" s="7" t="s">
        <v>212</v>
      </c>
      <c r="I205" s="7" t="s">
        <v>213</v>
      </c>
      <c r="J205" s="7" t="s">
        <v>214</v>
      </c>
      <c r="K205" s="7" t="s">
        <v>170</v>
      </c>
      <c r="L205" s="7" t="s">
        <v>88</v>
      </c>
      <c r="M205" s="8"/>
      <c r="N205" s="7" t="s">
        <v>89</v>
      </c>
      <c r="O205" s="9" t="n">
        <f aca="false">IF(COUNTIFS($B$2:B205,B205,$C$2:C205,C205)=1,1,0)</f>
        <v>1</v>
      </c>
      <c r="P205" s="9" t="str">
        <f aca="false">IFERROR(INDEX(dEtapa!$A$2:$A$6,MATCH(N205,dEtapa!$B$2:$B$6,0)),"Sin etapa")</f>
        <v>Gobernada</v>
      </c>
      <c r="Q205" s="9" t="n">
        <f aca="false">IF(L205="Si",1,0)</f>
        <v>1</v>
      </c>
      <c r="R205" s="9" t="n">
        <f aca="false">IF(ISNUMBER(SEARCH("CRITERIO",N205)),1,0)</f>
        <v>0</v>
      </c>
      <c r="S205" s="9" t="str">
        <f aca="false">IF(E205="","Sin dato",LEFT(E205,1))</f>
        <v>B</v>
      </c>
      <c r="T205" s="9" t="n">
        <f aca="false">IFERROR(INDEX(dCriticidad!$G$2:$G$7,MATCH(S205,dCriticidad!$A$2:$A$7,0)),0)</f>
        <v>1</v>
      </c>
      <c r="U205" s="9" t="n">
        <f aca="false">IF(OR(LEFT(C205,3)="GI0",LEFT(C205,3)="GA0"),1,0)</f>
        <v>0</v>
      </c>
      <c r="V205" s="9" t="str">
        <f aca="false">IF(G205="","Sin dato (ID GI)",TRIM(G205))</f>
        <v>Tribu Ciberseguridad</v>
      </c>
      <c r="W205" s="9" t="str">
        <f aca="false">IF(F205="","Sin dato",F205)</f>
        <v>On Premise</v>
      </c>
      <c r="X205" s="9" t="str">
        <f aca="false">IF(M205="","",YEAR(M205))</f>
        <v/>
      </c>
      <c r="Y205" s="10" t="str">
        <f aca="false">IF(M205="","",DATE(YEAR(M205),MONTH(M205),1))</f>
        <v/>
      </c>
      <c r="Z205" s="9" t="n">
        <f aca="false">IF(AND(Q205=0,COUNTIF(dDuplicadosGI!$A$2:$A$60,C205)&gt;0),1,0)</f>
        <v>0</v>
      </c>
      <c r="AA205" s="9" t="n">
        <f aca="false">IF(Q205=0,1,0)</f>
        <v>0</v>
      </c>
    </row>
    <row r="206" customFormat="false" ht="15" hidden="false" customHeight="false" outlineLevel="0" collapsed="false">
      <c r="A206" s="7" t="n">
        <v>205</v>
      </c>
      <c r="B206" s="7" t="s">
        <v>874</v>
      </c>
      <c r="C206" s="7" t="s">
        <v>875</v>
      </c>
      <c r="D206" s="7" t="s">
        <v>876</v>
      </c>
      <c r="E206" s="7" t="s">
        <v>93</v>
      </c>
      <c r="F206" s="7" t="s">
        <v>82</v>
      </c>
      <c r="G206" s="7" t="s">
        <v>369</v>
      </c>
      <c r="H206" s="7" t="s">
        <v>147</v>
      </c>
      <c r="I206" s="7" t="s">
        <v>877</v>
      </c>
      <c r="J206" s="7" t="s">
        <v>147</v>
      </c>
      <c r="K206" s="7" t="s">
        <v>87</v>
      </c>
      <c r="L206" s="7" t="s">
        <v>88</v>
      </c>
      <c r="M206" s="8" t="n">
        <v>45199</v>
      </c>
      <c r="N206" s="7" t="s">
        <v>89</v>
      </c>
      <c r="O206" s="9" t="n">
        <f aca="false">IF(COUNTIFS($B$2:B206,B206,$C$2:C206,C206)=1,1,0)</f>
        <v>1</v>
      </c>
      <c r="P206" s="9" t="str">
        <f aca="false">IFERROR(INDEX(dEtapa!$A$2:$A$6,MATCH(N206,dEtapa!$B$2:$B$6,0)),"Sin etapa")</f>
        <v>Gobernada</v>
      </c>
      <c r="Q206" s="9" t="n">
        <f aca="false">IF(L206="Si",1,0)</f>
        <v>1</v>
      </c>
      <c r="R206" s="9" t="n">
        <f aca="false">IF(ISNUMBER(SEARCH("CRITERIO",N206)),1,0)</f>
        <v>0</v>
      </c>
      <c r="S206" s="9" t="str">
        <f aca="false">IF(E206="","Sin dato",LEFT(E206,1))</f>
        <v>D</v>
      </c>
      <c r="T206" s="9" t="n">
        <f aca="false">IFERROR(INDEX(dCriticidad!$G$2:$G$7,MATCH(S206,dCriticidad!$A$2:$A$7,0)),0)</f>
        <v>0</v>
      </c>
      <c r="U206" s="9" t="n">
        <f aca="false">IF(OR(LEFT(C206,3)="GI0",LEFT(C206,3)="GA0"),1,0)</f>
        <v>0</v>
      </c>
      <c r="V206" s="9" t="str">
        <f aca="false">IF(G206="","Sin dato (ID GI)",TRIM(G206))</f>
        <v>Tribu_Cores_Transacciones</v>
      </c>
      <c r="W206" s="9" t="str">
        <f aca="false">IF(F206="","Sin dato",F206)</f>
        <v>On Premise</v>
      </c>
      <c r="X206" s="9" t="n">
        <f aca="false">IF(M206="","",YEAR(M206))</f>
        <v>2023</v>
      </c>
      <c r="Y206" s="10" t="n">
        <f aca="false">IF(M206="","",DATE(YEAR(M206),MONTH(M206),1))</f>
        <v>45170</v>
      </c>
      <c r="Z206" s="9" t="n">
        <f aca="false">IF(AND(Q206=0,COUNTIF(dDuplicadosGI!$A$2:$A$60,C206)&gt;0),1,0)</f>
        <v>0</v>
      </c>
      <c r="AA206" s="9" t="n">
        <f aca="false">IF(Q206=0,1,0)</f>
        <v>0</v>
      </c>
    </row>
    <row r="207" customFormat="false" ht="15" hidden="false" customHeight="false" outlineLevel="0" collapsed="false">
      <c r="A207" s="7" t="n">
        <v>206</v>
      </c>
      <c r="B207" s="7" t="s">
        <v>878</v>
      </c>
      <c r="C207" s="7" t="s">
        <v>879</v>
      </c>
      <c r="D207" s="7" t="s">
        <v>880</v>
      </c>
      <c r="E207" s="7" t="s">
        <v>119</v>
      </c>
      <c r="F207" s="7" t="s">
        <v>94</v>
      </c>
      <c r="G207" s="7" t="s">
        <v>243</v>
      </c>
      <c r="H207" s="7" t="s">
        <v>133</v>
      </c>
      <c r="I207" s="7" t="s">
        <v>248</v>
      </c>
      <c r="J207" s="7" t="s">
        <v>249</v>
      </c>
      <c r="K207" s="7" t="s">
        <v>87</v>
      </c>
      <c r="L207" s="7" t="s">
        <v>88</v>
      </c>
      <c r="M207" s="8" t="n">
        <v>45200</v>
      </c>
      <c r="N207" s="7" t="s">
        <v>89</v>
      </c>
      <c r="O207" s="9" t="n">
        <f aca="false">IF(COUNTIFS($B$2:B207,B207,$C$2:C207,C207)=1,1,0)</f>
        <v>1</v>
      </c>
      <c r="P207" s="9" t="str">
        <f aca="false">IFERROR(INDEX(dEtapa!$A$2:$A$6,MATCH(N207,dEtapa!$B$2:$B$6,0)),"Sin etapa")</f>
        <v>Gobernada</v>
      </c>
      <c r="Q207" s="9" t="n">
        <f aca="false">IF(L207="Si",1,0)</f>
        <v>1</v>
      </c>
      <c r="R207" s="9" t="n">
        <f aca="false">IF(ISNUMBER(SEARCH("CRITERIO",N207)),1,0)</f>
        <v>0</v>
      </c>
      <c r="S207" s="9" t="str">
        <f aca="false">IF(E207="","Sin dato",LEFT(E207,1))</f>
        <v>E</v>
      </c>
      <c r="T207" s="9" t="n">
        <f aca="false">IFERROR(INDEX(dCriticidad!$G$2:$G$7,MATCH(S207,dCriticidad!$A$2:$A$7,0)),0)</f>
        <v>0</v>
      </c>
      <c r="U207" s="9" t="n">
        <f aca="false">IF(OR(LEFT(C207,3)="GI0",LEFT(C207,3)="GA0"),1,0)</f>
        <v>0</v>
      </c>
      <c r="V207" s="9" t="str">
        <f aca="false">IF(G207="","Sin dato (ID GI)",TRIM(G207))</f>
        <v>MICROFINANZAS</v>
      </c>
      <c r="W207" s="9" t="str">
        <f aca="false">IF(F207="","Sin dato",F207)</f>
        <v>Nube</v>
      </c>
      <c r="X207" s="9" t="n">
        <f aca="false">IF(M207="","",YEAR(M207))</f>
        <v>2023</v>
      </c>
      <c r="Y207" s="10" t="n">
        <f aca="false">IF(M207="","",DATE(YEAR(M207),MONTH(M207),1))</f>
        <v>45200</v>
      </c>
      <c r="Z207" s="9" t="n">
        <f aca="false">IF(AND(Q207=0,COUNTIF(dDuplicadosGI!$A$2:$A$60,C207)&gt;0),1,0)</f>
        <v>0</v>
      </c>
      <c r="AA207" s="9" t="n">
        <f aca="false">IF(Q207=0,1,0)</f>
        <v>0</v>
      </c>
    </row>
    <row r="208" customFormat="false" ht="15" hidden="false" customHeight="false" outlineLevel="0" collapsed="false">
      <c r="A208" s="7" t="n">
        <v>207</v>
      </c>
      <c r="B208" s="7" t="s">
        <v>881</v>
      </c>
      <c r="C208" s="7" t="s">
        <v>882</v>
      </c>
      <c r="D208" s="11" t="s">
        <v>883</v>
      </c>
      <c r="E208" s="7" t="s">
        <v>119</v>
      </c>
      <c r="F208" s="7" t="s">
        <v>94</v>
      </c>
      <c r="G208" s="7" t="s">
        <v>253</v>
      </c>
      <c r="H208" s="7" t="s">
        <v>254</v>
      </c>
      <c r="I208" s="7" t="s">
        <v>496</v>
      </c>
      <c r="J208" s="7" t="s">
        <v>256</v>
      </c>
      <c r="K208" s="7" t="s">
        <v>87</v>
      </c>
      <c r="L208" s="7" t="s">
        <v>88</v>
      </c>
      <c r="M208" s="8" t="n">
        <v>45951</v>
      </c>
      <c r="N208" s="7" t="s">
        <v>89</v>
      </c>
      <c r="O208" s="9" t="n">
        <f aca="false">IF(COUNTIFS($B$2:B208,B208,$C$2:C208,C208)=1,1,0)</f>
        <v>1</v>
      </c>
      <c r="P208" s="9" t="str">
        <f aca="false">IFERROR(INDEX(dEtapa!$A$2:$A$6,MATCH(N208,dEtapa!$B$2:$B$6,0)),"Sin etapa")</f>
        <v>Gobernada</v>
      </c>
      <c r="Q208" s="9" t="n">
        <f aca="false">IF(L208="Si",1,0)</f>
        <v>1</v>
      </c>
      <c r="R208" s="9" t="n">
        <f aca="false">IF(ISNUMBER(SEARCH("CRITERIO",N208)),1,0)</f>
        <v>0</v>
      </c>
      <c r="S208" s="9" t="str">
        <f aca="false">IF(E208="","Sin dato",LEFT(E208,1))</f>
        <v>E</v>
      </c>
      <c r="T208" s="9" t="n">
        <f aca="false">IFERROR(INDEX(dCriticidad!$G$2:$G$7,MATCH(S208,dCriticidad!$A$2:$A$7,0)),0)</f>
        <v>0</v>
      </c>
      <c r="U208" s="9" t="n">
        <f aca="false">IF(OR(LEFT(C208,3)="GI0",LEFT(C208,3)="GA0"),1,0)</f>
        <v>0</v>
      </c>
      <c r="V208" s="9" t="str">
        <f aca="false">IF(G208="","Sin dato (ID GI)",TRIM(G208))</f>
        <v>Tribu Administración de Créditos</v>
      </c>
      <c r="W208" s="9" t="str">
        <f aca="false">IF(F208="","Sin dato",F208)</f>
        <v>Nube</v>
      </c>
      <c r="X208" s="9" t="n">
        <f aca="false">IF(M208="","",YEAR(M208))</f>
        <v>2025</v>
      </c>
      <c r="Y208" s="10" t="n">
        <f aca="false">IF(M208="","",DATE(YEAR(M208),MONTH(M208),1))</f>
        <v>45931</v>
      </c>
      <c r="Z208" s="9" t="n">
        <f aca="false">IF(AND(Q208=0,COUNTIF(dDuplicadosGI!$A$2:$A$60,C208)&gt;0),1,0)</f>
        <v>0</v>
      </c>
      <c r="AA208" s="9" t="n">
        <f aca="false">IF(Q208=0,1,0)</f>
        <v>0</v>
      </c>
    </row>
    <row r="209" customFormat="false" ht="15" hidden="false" customHeight="false" outlineLevel="0" collapsed="false">
      <c r="A209" s="7" t="n">
        <v>208</v>
      </c>
      <c r="B209" s="7" t="s">
        <v>884</v>
      </c>
      <c r="C209" s="7" t="s">
        <v>885</v>
      </c>
      <c r="D209" s="7" t="s">
        <v>151</v>
      </c>
      <c r="E209" s="7" t="s">
        <v>93</v>
      </c>
      <c r="F209" s="7" t="s">
        <v>82</v>
      </c>
      <c r="G209" s="7" t="s">
        <v>83</v>
      </c>
      <c r="H209" s="7" t="s">
        <v>84</v>
      </c>
      <c r="I209" s="7" t="s">
        <v>85</v>
      </c>
      <c r="J209" s="7" t="s">
        <v>86</v>
      </c>
      <c r="K209" s="7" t="s">
        <v>87</v>
      </c>
      <c r="L209" s="7" t="s">
        <v>88</v>
      </c>
      <c r="M209" s="8" t="n">
        <v>45200</v>
      </c>
      <c r="N209" s="7" t="s">
        <v>89</v>
      </c>
      <c r="O209" s="9" t="n">
        <f aca="false">IF(COUNTIFS($B$2:B209,B209,$C$2:C209,C209)=1,1,0)</f>
        <v>1</v>
      </c>
      <c r="P209" s="9" t="str">
        <f aca="false">IFERROR(INDEX(dEtapa!$A$2:$A$6,MATCH(N209,dEtapa!$B$2:$B$6,0)),"Sin etapa")</f>
        <v>Gobernada</v>
      </c>
      <c r="Q209" s="9" t="n">
        <f aca="false">IF(L209="Si",1,0)</f>
        <v>1</v>
      </c>
      <c r="R209" s="9" t="n">
        <f aca="false">IF(ISNUMBER(SEARCH("CRITERIO",N209)),1,0)</f>
        <v>0</v>
      </c>
      <c r="S209" s="9" t="str">
        <f aca="false">IF(E209="","Sin dato",LEFT(E209,1))</f>
        <v>D</v>
      </c>
      <c r="T209" s="9" t="n">
        <f aca="false">IFERROR(INDEX(dCriticidad!$G$2:$G$7,MATCH(S209,dCriticidad!$A$2:$A$7,0)),0)</f>
        <v>0</v>
      </c>
      <c r="U209" s="9" t="n">
        <f aca="false">IF(OR(LEFT(C209,3)="GI0",LEFT(C209,3)="GA0"),1,0)</f>
        <v>0</v>
      </c>
      <c r="V209" s="9" t="str">
        <f aca="false">IF(G209="","Sin dato (ID GI)",TRIM(G209))</f>
        <v>TRIBU_CANALES</v>
      </c>
      <c r="W209" s="9" t="str">
        <f aca="false">IF(F209="","Sin dato",F209)</f>
        <v>On Premise</v>
      </c>
      <c r="X209" s="9" t="n">
        <f aca="false">IF(M209="","",YEAR(M209))</f>
        <v>2023</v>
      </c>
      <c r="Y209" s="10" t="n">
        <f aca="false">IF(M209="","",DATE(YEAR(M209),MONTH(M209),1))</f>
        <v>45200</v>
      </c>
      <c r="Z209" s="9" t="n">
        <f aca="false">IF(AND(Q209=0,COUNTIF(dDuplicadosGI!$A$2:$A$60,C209)&gt;0),1,0)</f>
        <v>0</v>
      </c>
      <c r="AA209" s="9" t="n">
        <f aca="false">IF(Q209=0,1,0)</f>
        <v>0</v>
      </c>
    </row>
    <row r="210" customFormat="false" ht="15" hidden="false" customHeight="false" outlineLevel="0" collapsed="false">
      <c r="A210" s="7" t="n">
        <v>209</v>
      </c>
      <c r="B210" s="7" t="s">
        <v>886</v>
      </c>
      <c r="C210" s="7" t="s">
        <v>887</v>
      </c>
      <c r="D210" s="7" t="s">
        <v>888</v>
      </c>
      <c r="E210" s="7" t="s">
        <v>119</v>
      </c>
      <c r="F210" s="7" t="s">
        <v>82</v>
      </c>
      <c r="G210" s="7" t="s">
        <v>243</v>
      </c>
      <c r="H210" s="7" t="s">
        <v>133</v>
      </c>
      <c r="I210" s="7" t="s">
        <v>248</v>
      </c>
      <c r="J210" s="7" t="s">
        <v>249</v>
      </c>
      <c r="K210" s="7" t="s">
        <v>87</v>
      </c>
      <c r="L210" s="7" t="s">
        <v>88</v>
      </c>
      <c r="M210" s="8" t="n">
        <v>45200</v>
      </c>
      <c r="N210" s="7" t="s">
        <v>89</v>
      </c>
      <c r="O210" s="9" t="n">
        <f aca="false">IF(COUNTIFS($B$2:B210,B210,$C$2:C210,C210)=1,1,0)</f>
        <v>1</v>
      </c>
      <c r="P210" s="9" t="str">
        <f aca="false">IFERROR(INDEX(dEtapa!$A$2:$A$6,MATCH(N210,dEtapa!$B$2:$B$6,0)),"Sin etapa")</f>
        <v>Gobernada</v>
      </c>
      <c r="Q210" s="9" t="n">
        <f aca="false">IF(L210="Si",1,0)</f>
        <v>1</v>
      </c>
      <c r="R210" s="9" t="n">
        <f aca="false">IF(ISNUMBER(SEARCH("CRITERIO",N210)),1,0)</f>
        <v>0</v>
      </c>
      <c r="S210" s="9" t="str">
        <f aca="false">IF(E210="","Sin dato",LEFT(E210,1))</f>
        <v>E</v>
      </c>
      <c r="T210" s="9" t="n">
        <f aca="false">IFERROR(INDEX(dCriticidad!$G$2:$G$7,MATCH(S210,dCriticidad!$A$2:$A$7,0)),0)</f>
        <v>0</v>
      </c>
      <c r="U210" s="9" t="n">
        <f aca="false">IF(OR(LEFT(C210,3)="GI0",LEFT(C210,3)="GA0"),1,0)</f>
        <v>0</v>
      </c>
      <c r="V210" s="9" t="str">
        <f aca="false">IF(G210="","Sin dato (ID GI)",TRIM(G210))</f>
        <v>MICROFINANZAS</v>
      </c>
      <c r="W210" s="9" t="str">
        <f aca="false">IF(F210="","Sin dato",F210)</f>
        <v>On Premise</v>
      </c>
      <c r="X210" s="9" t="n">
        <f aca="false">IF(M210="","",YEAR(M210))</f>
        <v>2023</v>
      </c>
      <c r="Y210" s="10" t="n">
        <f aca="false">IF(M210="","",DATE(YEAR(M210),MONTH(M210),1))</f>
        <v>45200</v>
      </c>
      <c r="Z210" s="9" t="n">
        <f aca="false">IF(AND(Q210=0,COUNTIF(dDuplicadosGI!$A$2:$A$60,C210)&gt;0),1,0)</f>
        <v>0</v>
      </c>
      <c r="AA210" s="9" t="n">
        <f aca="false">IF(Q210=0,1,0)</f>
        <v>0</v>
      </c>
    </row>
    <row r="211" customFormat="false" ht="15" hidden="false" customHeight="false" outlineLevel="0" collapsed="false">
      <c r="A211" s="7" t="n">
        <v>210</v>
      </c>
      <c r="B211" s="7" t="s">
        <v>889</v>
      </c>
      <c r="C211" s="7" t="s">
        <v>890</v>
      </c>
      <c r="D211" s="7" t="s">
        <v>151</v>
      </c>
      <c r="E211" s="7" t="s">
        <v>93</v>
      </c>
      <c r="F211" s="7" t="s">
        <v>152</v>
      </c>
      <c r="G211" s="7" t="s">
        <v>153</v>
      </c>
      <c r="H211" s="7" t="s">
        <v>154</v>
      </c>
      <c r="I211" s="7" t="s">
        <v>412</v>
      </c>
      <c r="J211" s="7" t="s">
        <v>413</v>
      </c>
      <c r="K211" s="7" t="s">
        <v>87</v>
      </c>
      <c r="L211" s="7" t="s">
        <v>99</v>
      </c>
      <c r="M211" s="8"/>
      <c r="N211" s="7" t="s">
        <v>109</v>
      </c>
      <c r="O211" s="9" t="n">
        <f aca="false">IF(COUNTIFS($B$2:B211,B211,$C$2:C211,C211)=1,1,0)</f>
        <v>1</v>
      </c>
      <c r="P211" s="9" t="str">
        <f aca="false">IFERROR(INDEX(dEtapa!$A$2:$A$6,MATCH(N211,dEtapa!$B$2:$B$6,0)),"Sin etapa")</f>
        <v>Planificada 2027</v>
      </c>
      <c r="Q211" s="9" t="n">
        <f aca="false">IF(L211="Si",1,0)</f>
        <v>0</v>
      </c>
      <c r="R211" s="9" t="n">
        <f aca="false">IF(ISNUMBER(SEARCH("CRITERIO",N211)),1,0)</f>
        <v>0</v>
      </c>
      <c r="S211" s="9" t="str">
        <f aca="false">IF(E211="","Sin dato",LEFT(E211,1))</f>
        <v>D</v>
      </c>
      <c r="T211" s="9" t="n">
        <f aca="false">IFERROR(INDEX(dCriticidad!$G$2:$G$7,MATCH(S211,dCriticidad!$A$2:$A$7,0)),0)</f>
        <v>0</v>
      </c>
      <c r="U211" s="9" t="n">
        <f aca="false">IF(OR(LEFT(C211,3)="GI0",LEFT(C211,3)="GA0"),1,0)</f>
        <v>0</v>
      </c>
      <c r="V211" s="9" t="str">
        <f aca="false">IF(G211="","Sin dato (ID GI)",TRIM(G211))</f>
        <v>MEDIOS_DE_PAGO</v>
      </c>
      <c r="W211" s="9" t="str">
        <f aca="false">IF(F211="","Sin dato",F211)</f>
        <v>Terceros</v>
      </c>
      <c r="X211" s="9" t="str">
        <f aca="false">IF(M211="","",YEAR(M211))</f>
        <v/>
      </c>
      <c r="Y211" s="10" t="str">
        <f aca="false">IF(M211="","",DATE(YEAR(M211),MONTH(M211),1))</f>
        <v/>
      </c>
      <c r="Z211" s="9" t="n">
        <f aca="false">IF(AND(Q211=0,COUNTIF(dDuplicadosGI!$A$2:$A$60,C211)&gt;0),1,0)</f>
        <v>0</v>
      </c>
      <c r="AA211" s="9" t="n">
        <f aca="false">IF(Q211=0,1,0)</f>
        <v>1</v>
      </c>
    </row>
    <row r="212" customFormat="false" ht="15" hidden="false" customHeight="false" outlineLevel="0" collapsed="false">
      <c r="A212" s="7" t="n">
        <v>211</v>
      </c>
      <c r="B212" s="7" t="s">
        <v>891</v>
      </c>
      <c r="C212" s="7" t="s">
        <v>892</v>
      </c>
      <c r="D212" s="7" t="s">
        <v>893</v>
      </c>
      <c r="E212" s="7" t="s">
        <v>145</v>
      </c>
      <c r="F212" s="7" t="s">
        <v>82</v>
      </c>
      <c r="G212" s="7" t="s">
        <v>166</v>
      </c>
      <c r="H212" s="7" t="s">
        <v>397</v>
      </c>
      <c r="I212" s="7" t="s">
        <v>168</v>
      </c>
      <c r="J212" s="7" t="s">
        <v>314</v>
      </c>
      <c r="K212" s="7" t="s">
        <v>170</v>
      </c>
      <c r="L212" s="7" t="s">
        <v>88</v>
      </c>
      <c r="M212" s="8" t="n">
        <v>46052</v>
      </c>
      <c r="N212" s="7" t="s">
        <v>89</v>
      </c>
      <c r="O212" s="9" t="n">
        <f aca="false">IF(COUNTIFS($B$2:B212,B212,$C$2:C212,C212)=1,1,0)</f>
        <v>1</v>
      </c>
      <c r="P212" s="9" t="str">
        <f aca="false">IFERROR(INDEX(dEtapa!$A$2:$A$6,MATCH(N212,dEtapa!$B$2:$B$6,0)),"Sin etapa")</f>
        <v>Gobernada</v>
      </c>
      <c r="Q212" s="9" t="n">
        <f aca="false">IF(L212="Si",1,0)</f>
        <v>1</v>
      </c>
      <c r="R212" s="9" t="n">
        <f aca="false">IF(ISNUMBER(SEARCH("CRITERIO",N212)),1,0)</f>
        <v>0</v>
      </c>
      <c r="S212" s="9" t="str">
        <f aca="false">IF(E212="","Sin dato",LEFT(E212,1))</f>
        <v>B</v>
      </c>
      <c r="T212" s="9" t="n">
        <f aca="false">IFERROR(INDEX(dCriticidad!$G$2:$G$7,MATCH(S212,dCriticidad!$A$2:$A$7,0)),0)</f>
        <v>1</v>
      </c>
      <c r="U212" s="9" t="n">
        <f aca="false">IF(OR(LEFT(C212,3)="GI0",LEFT(C212,3)="GA0"),1,0)</f>
        <v>0</v>
      </c>
      <c r="V212" s="9" t="str">
        <f aca="false">IF(G212="","Sin dato (ID GI)",TRIM(G212))</f>
        <v>Ciberseguridad</v>
      </c>
      <c r="W212" s="9" t="str">
        <f aca="false">IF(F212="","Sin dato",F212)</f>
        <v>On Premise</v>
      </c>
      <c r="X212" s="9" t="n">
        <f aca="false">IF(M212="","",YEAR(M212))</f>
        <v>2026</v>
      </c>
      <c r="Y212" s="10" t="n">
        <f aca="false">IF(M212="","",DATE(YEAR(M212),MONTH(M212),1))</f>
        <v>46023</v>
      </c>
      <c r="Z212" s="9" t="n">
        <f aca="false">IF(AND(Q212=0,COUNTIF(dDuplicadosGI!$A$2:$A$60,C212)&gt;0),1,0)</f>
        <v>0</v>
      </c>
      <c r="AA212" s="9" t="n">
        <f aca="false">IF(Q212=0,1,0)</f>
        <v>0</v>
      </c>
    </row>
    <row r="213" customFormat="false" ht="15" hidden="false" customHeight="false" outlineLevel="0" collapsed="false">
      <c r="A213" s="7" t="n">
        <v>212</v>
      </c>
      <c r="B213" s="7" t="s">
        <v>894</v>
      </c>
      <c r="C213" s="7" t="s">
        <v>895</v>
      </c>
      <c r="D213" s="11" t="s">
        <v>896</v>
      </c>
      <c r="E213" s="7" t="s">
        <v>119</v>
      </c>
      <c r="F213" s="7" t="s">
        <v>94</v>
      </c>
      <c r="G213" s="7" t="s">
        <v>153</v>
      </c>
      <c r="H213" s="7" t="s">
        <v>154</v>
      </c>
      <c r="I213" s="7" t="s">
        <v>155</v>
      </c>
      <c r="J213" s="7" t="s">
        <v>156</v>
      </c>
      <c r="K213" s="7" t="s">
        <v>87</v>
      </c>
      <c r="L213" s="7" t="s">
        <v>99</v>
      </c>
      <c r="M213" s="8"/>
      <c r="N213" s="7" t="s">
        <v>109</v>
      </c>
      <c r="O213" s="9" t="n">
        <f aca="false">IF(COUNTIFS($B$2:B213,B213,$C$2:C213,C213)=1,1,0)</f>
        <v>1</v>
      </c>
      <c r="P213" s="9" t="str">
        <f aca="false">IFERROR(INDEX(dEtapa!$A$2:$A$6,MATCH(N213,dEtapa!$B$2:$B$6,0)),"Sin etapa")</f>
        <v>Planificada 2027</v>
      </c>
      <c r="Q213" s="9" t="n">
        <f aca="false">IF(L213="Si",1,0)</f>
        <v>0</v>
      </c>
      <c r="R213" s="9" t="n">
        <f aca="false">IF(ISNUMBER(SEARCH("CRITERIO",N213)),1,0)</f>
        <v>0</v>
      </c>
      <c r="S213" s="9" t="str">
        <f aca="false">IF(E213="","Sin dato",LEFT(E213,1))</f>
        <v>E</v>
      </c>
      <c r="T213" s="9" t="n">
        <f aca="false">IFERROR(INDEX(dCriticidad!$G$2:$G$7,MATCH(S213,dCriticidad!$A$2:$A$7,0)),0)</f>
        <v>0</v>
      </c>
      <c r="U213" s="9" t="n">
        <f aca="false">IF(OR(LEFT(C213,3)="GI0",LEFT(C213,3)="GA0"),1,0)</f>
        <v>0</v>
      </c>
      <c r="V213" s="9" t="str">
        <f aca="false">IF(G213="","Sin dato (ID GI)",TRIM(G213))</f>
        <v>MEDIOS_DE_PAGO</v>
      </c>
      <c r="W213" s="9" t="str">
        <f aca="false">IF(F213="","Sin dato",F213)</f>
        <v>Nube</v>
      </c>
      <c r="X213" s="9" t="str">
        <f aca="false">IF(M213="","",YEAR(M213))</f>
        <v/>
      </c>
      <c r="Y213" s="10" t="str">
        <f aca="false">IF(M213="","",DATE(YEAR(M213),MONTH(M213),1))</f>
        <v/>
      </c>
      <c r="Z213" s="9" t="n">
        <f aca="false">IF(AND(Q213=0,COUNTIF(dDuplicadosGI!$A$2:$A$60,C213)&gt;0),1,0)</f>
        <v>0</v>
      </c>
      <c r="AA213" s="9" t="n">
        <f aca="false">IF(Q213=0,1,0)</f>
        <v>1</v>
      </c>
    </row>
    <row r="214" customFormat="false" ht="15" hidden="false" customHeight="false" outlineLevel="0" collapsed="false">
      <c r="A214" s="7" t="n">
        <v>213</v>
      </c>
      <c r="B214" s="7" t="s">
        <v>897</v>
      </c>
      <c r="C214" s="7" t="s">
        <v>898</v>
      </c>
      <c r="D214" s="7" t="s">
        <v>899</v>
      </c>
      <c r="E214" s="7" t="s">
        <v>145</v>
      </c>
      <c r="F214" s="7" t="s">
        <v>269</v>
      </c>
      <c r="G214" s="7" t="s">
        <v>211</v>
      </c>
      <c r="H214" s="7" t="s">
        <v>183</v>
      </c>
      <c r="I214" s="7" t="s">
        <v>490</v>
      </c>
      <c r="J214" s="7" t="s">
        <v>490</v>
      </c>
      <c r="K214" s="7" t="s">
        <v>87</v>
      </c>
      <c r="L214" s="7" t="s">
        <v>88</v>
      </c>
      <c r="M214" s="8" t="n">
        <v>45200</v>
      </c>
      <c r="N214" s="7" t="s">
        <v>89</v>
      </c>
      <c r="O214" s="9" t="n">
        <f aca="false">IF(COUNTIFS($B$2:B214,B214,$C$2:C214,C214)=1,1,0)</f>
        <v>1</v>
      </c>
      <c r="P214" s="9" t="str">
        <f aca="false">IFERROR(INDEX(dEtapa!$A$2:$A$6,MATCH(N214,dEtapa!$B$2:$B$6,0)),"Sin etapa")</f>
        <v>Gobernada</v>
      </c>
      <c r="Q214" s="9" t="n">
        <f aca="false">IF(L214="Si",1,0)</f>
        <v>1</v>
      </c>
      <c r="R214" s="9" t="n">
        <f aca="false">IF(ISNUMBER(SEARCH("CRITERIO",N214)),1,0)</f>
        <v>0</v>
      </c>
      <c r="S214" s="9" t="str">
        <f aca="false">IF(E214="","Sin dato",LEFT(E214,1))</f>
        <v>B</v>
      </c>
      <c r="T214" s="9" t="n">
        <f aca="false">IFERROR(INDEX(dCriticidad!$G$2:$G$7,MATCH(S214,dCriticidad!$A$2:$A$7,0)),0)</f>
        <v>1</v>
      </c>
      <c r="U214" s="9" t="n">
        <f aca="false">IF(OR(LEFT(C214,3)="GI0",LEFT(C214,3)="GA0"),1,0)</f>
        <v>0</v>
      </c>
      <c r="V214" s="9" t="str">
        <f aca="false">IF(G214="","Sin dato (ID GI)",TRIM(G214))</f>
        <v>Tribu Ciberseguridad</v>
      </c>
      <c r="W214" s="9" t="str">
        <f aca="false">IF(F214="","Sin dato",F214)</f>
        <v>Híbrida</v>
      </c>
      <c r="X214" s="9" t="n">
        <f aca="false">IF(M214="","",YEAR(M214))</f>
        <v>2023</v>
      </c>
      <c r="Y214" s="10" t="n">
        <f aca="false">IF(M214="","",DATE(YEAR(M214),MONTH(M214),1))</f>
        <v>45200</v>
      </c>
      <c r="Z214" s="9" t="n">
        <f aca="false">IF(AND(Q214=0,COUNTIF(dDuplicadosGI!$A$2:$A$60,C214)&gt;0),1,0)</f>
        <v>0</v>
      </c>
      <c r="AA214" s="9" t="n">
        <f aca="false">IF(Q214=0,1,0)</f>
        <v>0</v>
      </c>
    </row>
    <row r="215" customFormat="false" ht="15" hidden="false" customHeight="false" outlineLevel="0" collapsed="false">
      <c r="A215" s="7" t="n">
        <v>214</v>
      </c>
      <c r="B215" s="7" t="s">
        <v>900</v>
      </c>
      <c r="C215" s="7" t="s">
        <v>901</v>
      </c>
      <c r="D215" s="7" t="s">
        <v>902</v>
      </c>
      <c r="E215" s="7" t="s">
        <v>113</v>
      </c>
      <c r="F215" s="7" t="s">
        <v>94</v>
      </c>
      <c r="G215" s="7" t="s">
        <v>166</v>
      </c>
      <c r="H215" s="7" t="s">
        <v>167</v>
      </c>
      <c r="I215" s="7" t="s">
        <v>168</v>
      </c>
      <c r="J215" s="7" t="s">
        <v>797</v>
      </c>
      <c r="K215" s="7" t="s">
        <v>170</v>
      </c>
      <c r="L215" s="7" t="s">
        <v>88</v>
      </c>
      <c r="M215" s="8" t="n">
        <v>45713</v>
      </c>
      <c r="N215" s="7" t="s">
        <v>89</v>
      </c>
      <c r="O215" s="9" t="n">
        <f aca="false">IF(COUNTIFS($B$2:B215,B215,$C$2:C215,C215)=1,1,0)</f>
        <v>1</v>
      </c>
      <c r="P215" s="9" t="str">
        <f aca="false">IFERROR(INDEX(dEtapa!$A$2:$A$6,MATCH(N215,dEtapa!$B$2:$B$6,0)),"Sin etapa")</f>
        <v>Gobernada</v>
      </c>
      <c r="Q215" s="9" t="n">
        <f aca="false">IF(L215="Si",1,0)</f>
        <v>1</v>
      </c>
      <c r="R215" s="9" t="n">
        <f aca="false">IF(ISNUMBER(SEARCH("CRITERIO",N215)),1,0)</f>
        <v>0</v>
      </c>
      <c r="S215" s="9" t="str">
        <f aca="false">IF(E215="","Sin dato",LEFT(E215,1))</f>
        <v>C</v>
      </c>
      <c r="T215" s="9" t="n">
        <f aca="false">IFERROR(INDEX(dCriticidad!$G$2:$G$7,MATCH(S215,dCriticidad!$A$2:$A$7,0)),0)</f>
        <v>1</v>
      </c>
      <c r="U215" s="9" t="n">
        <f aca="false">IF(OR(LEFT(C215,3)="GI0",LEFT(C215,3)="GA0"),1,0)</f>
        <v>0</v>
      </c>
      <c r="V215" s="9" t="str">
        <f aca="false">IF(G215="","Sin dato (ID GI)",TRIM(G215))</f>
        <v>Ciberseguridad</v>
      </c>
      <c r="W215" s="9" t="str">
        <f aca="false">IF(F215="","Sin dato",F215)</f>
        <v>Nube</v>
      </c>
      <c r="X215" s="9" t="n">
        <f aca="false">IF(M215="","",YEAR(M215))</f>
        <v>2025</v>
      </c>
      <c r="Y215" s="10" t="n">
        <f aca="false">IF(M215="","",DATE(YEAR(M215),MONTH(M215),1))</f>
        <v>45689</v>
      </c>
      <c r="Z215" s="9" t="n">
        <f aca="false">IF(AND(Q215=0,COUNTIF(dDuplicadosGI!$A$2:$A$60,C215)&gt;0),1,0)</f>
        <v>0</v>
      </c>
      <c r="AA215" s="9" t="n">
        <f aca="false">IF(Q215=0,1,0)</f>
        <v>0</v>
      </c>
    </row>
    <row r="216" customFormat="false" ht="15" hidden="false" customHeight="false" outlineLevel="0" collapsed="false">
      <c r="A216" s="7" t="n">
        <v>215</v>
      </c>
      <c r="B216" s="7" t="s">
        <v>903</v>
      </c>
      <c r="C216" s="7" t="s">
        <v>904</v>
      </c>
      <c r="D216" s="7" t="s">
        <v>905</v>
      </c>
      <c r="E216" s="7" t="s">
        <v>119</v>
      </c>
      <c r="F216" s="7" t="s">
        <v>269</v>
      </c>
      <c r="G216" s="7" t="s">
        <v>166</v>
      </c>
      <c r="H216" s="7" t="s">
        <v>906</v>
      </c>
      <c r="I216" s="7" t="s">
        <v>168</v>
      </c>
      <c r="J216" s="7" t="s">
        <v>183</v>
      </c>
      <c r="K216" s="7" t="s">
        <v>170</v>
      </c>
      <c r="L216" s="7" t="s">
        <v>88</v>
      </c>
      <c r="M216" s="8" t="n">
        <v>45716</v>
      </c>
      <c r="N216" s="7" t="s">
        <v>89</v>
      </c>
      <c r="O216" s="9" t="n">
        <f aca="false">IF(COUNTIFS($B$2:B216,B216,$C$2:C216,C216)=1,1,0)</f>
        <v>1</v>
      </c>
      <c r="P216" s="9" t="str">
        <f aca="false">IFERROR(INDEX(dEtapa!$A$2:$A$6,MATCH(N216,dEtapa!$B$2:$B$6,0)),"Sin etapa")</f>
        <v>Gobernada</v>
      </c>
      <c r="Q216" s="9" t="n">
        <f aca="false">IF(L216="Si",1,0)</f>
        <v>1</v>
      </c>
      <c r="R216" s="9" t="n">
        <f aca="false">IF(ISNUMBER(SEARCH("CRITERIO",N216)),1,0)</f>
        <v>0</v>
      </c>
      <c r="S216" s="9" t="str">
        <f aca="false">IF(E216="","Sin dato",LEFT(E216,1))</f>
        <v>E</v>
      </c>
      <c r="T216" s="9" t="n">
        <f aca="false">IFERROR(INDEX(dCriticidad!$G$2:$G$7,MATCH(S216,dCriticidad!$A$2:$A$7,0)),0)</f>
        <v>0</v>
      </c>
      <c r="U216" s="9" t="n">
        <f aca="false">IF(OR(LEFT(C216,3)="GI0",LEFT(C216,3)="GA0"),1,0)</f>
        <v>0</v>
      </c>
      <c r="V216" s="9" t="str">
        <f aca="false">IF(G216="","Sin dato (ID GI)",TRIM(G216))</f>
        <v>Ciberseguridad</v>
      </c>
      <c r="W216" s="9" t="str">
        <f aca="false">IF(F216="","Sin dato",F216)</f>
        <v>Híbrida</v>
      </c>
      <c r="X216" s="9" t="n">
        <f aca="false">IF(M216="","",YEAR(M216))</f>
        <v>2025</v>
      </c>
      <c r="Y216" s="10" t="n">
        <f aca="false">IF(M216="","",DATE(YEAR(M216),MONTH(M216),1))</f>
        <v>45689</v>
      </c>
      <c r="Z216" s="9" t="n">
        <f aca="false">IF(AND(Q216=0,COUNTIF(dDuplicadosGI!$A$2:$A$60,C216)&gt;0),1,0)</f>
        <v>0</v>
      </c>
      <c r="AA216" s="9" t="n">
        <f aca="false">IF(Q216=0,1,0)</f>
        <v>0</v>
      </c>
    </row>
    <row r="217" customFormat="false" ht="15" hidden="false" customHeight="false" outlineLevel="0" collapsed="false">
      <c r="A217" s="7" t="n">
        <v>216</v>
      </c>
      <c r="B217" s="7" t="s">
        <v>907</v>
      </c>
      <c r="C217" s="7" t="s">
        <v>908</v>
      </c>
      <c r="D217" s="7" t="s">
        <v>909</v>
      </c>
      <c r="E217" s="7" t="s">
        <v>119</v>
      </c>
      <c r="F217" s="7" t="s">
        <v>82</v>
      </c>
      <c r="G217" s="7" t="s">
        <v>166</v>
      </c>
      <c r="H217" s="7" t="s">
        <v>169</v>
      </c>
      <c r="I217" s="7" t="s">
        <v>168</v>
      </c>
      <c r="J217" s="7" t="s">
        <v>188</v>
      </c>
      <c r="K217" s="7" t="s">
        <v>170</v>
      </c>
      <c r="L217" s="7" t="s">
        <v>88</v>
      </c>
      <c r="M217" s="8" t="n">
        <v>46028</v>
      </c>
      <c r="N217" s="7" t="s">
        <v>89</v>
      </c>
      <c r="O217" s="9" t="n">
        <f aca="false">IF(COUNTIFS($B$2:B217,B217,$C$2:C217,C217)=1,1,0)</f>
        <v>1</v>
      </c>
      <c r="P217" s="9" t="str">
        <f aca="false">IFERROR(INDEX(dEtapa!$A$2:$A$6,MATCH(N217,dEtapa!$B$2:$B$6,0)),"Sin etapa")</f>
        <v>Gobernada</v>
      </c>
      <c r="Q217" s="9" t="n">
        <f aca="false">IF(L217="Si",1,0)</f>
        <v>1</v>
      </c>
      <c r="R217" s="9" t="n">
        <f aca="false">IF(ISNUMBER(SEARCH("CRITERIO",N217)),1,0)</f>
        <v>0</v>
      </c>
      <c r="S217" s="9" t="str">
        <f aca="false">IF(E217="","Sin dato",LEFT(E217,1))</f>
        <v>E</v>
      </c>
      <c r="T217" s="9" t="n">
        <f aca="false">IFERROR(INDEX(dCriticidad!$G$2:$G$7,MATCH(S217,dCriticidad!$A$2:$A$7,0)),0)</f>
        <v>0</v>
      </c>
      <c r="U217" s="9" t="n">
        <f aca="false">IF(OR(LEFT(C217,3)="GI0",LEFT(C217,3)="GA0"),1,0)</f>
        <v>0</v>
      </c>
      <c r="V217" s="9" t="str">
        <f aca="false">IF(G217="","Sin dato (ID GI)",TRIM(G217))</f>
        <v>Ciberseguridad</v>
      </c>
      <c r="W217" s="9" t="str">
        <f aca="false">IF(F217="","Sin dato",F217)</f>
        <v>On Premise</v>
      </c>
      <c r="X217" s="9" t="n">
        <f aca="false">IF(M217="","",YEAR(M217))</f>
        <v>2026</v>
      </c>
      <c r="Y217" s="10" t="n">
        <f aca="false">IF(M217="","",DATE(YEAR(M217),MONTH(M217),1))</f>
        <v>46023</v>
      </c>
      <c r="Z217" s="9" t="n">
        <f aca="false">IF(AND(Q217=0,COUNTIF(dDuplicadosGI!$A$2:$A$60,C217)&gt;0),1,0)</f>
        <v>0</v>
      </c>
      <c r="AA217" s="9" t="n">
        <f aca="false">IF(Q217=0,1,0)</f>
        <v>0</v>
      </c>
    </row>
    <row r="218" customFormat="false" ht="15" hidden="false" customHeight="false" outlineLevel="0" collapsed="false">
      <c r="A218" s="7" t="n">
        <v>217</v>
      </c>
      <c r="B218" s="7" t="s">
        <v>910</v>
      </c>
      <c r="C218" s="7" t="s">
        <v>911</v>
      </c>
      <c r="D218" s="7" t="s">
        <v>912</v>
      </c>
      <c r="E218" s="7" t="s">
        <v>119</v>
      </c>
      <c r="F218" s="7" t="s">
        <v>94</v>
      </c>
      <c r="G218" s="7" t="s">
        <v>125</v>
      </c>
      <c r="H218" s="7" t="s">
        <v>126</v>
      </c>
      <c r="I218" s="7" t="s">
        <v>913</v>
      </c>
      <c r="J218" s="7" t="s">
        <v>126</v>
      </c>
      <c r="K218" s="7" t="s">
        <v>98</v>
      </c>
      <c r="L218" s="7" t="s">
        <v>99</v>
      </c>
      <c r="M218" s="8"/>
      <c r="N218" s="7" t="s">
        <v>109</v>
      </c>
      <c r="O218" s="9" t="n">
        <f aca="false">IF(COUNTIFS($B$2:B218,B218,$C$2:C218,C218)=1,1,0)</f>
        <v>1</v>
      </c>
      <c r="P218" s="9" t="str">
        <f aca="false">IFERROR(INDEX(dEtapa!$A$2:$A$6,MATCH(N218,dEtapa!$B$2:$B$6,0)),"Sin etapa")</f>
        <v>Planificada 2027</v>
      </c>
      <c r="Q218" s="9" t="n">
        <f aca="false">IF(L218="Si",1,0)</f>
        <v>0</v>
      </c>
      <c r="R218" s="9" t="n">
        <f aca="false">IF(ISNUMBER(SEARCH("CRITERIO",N218)),1,0)</f>
        <v>0</v>
      </c>
      <c r="S218" s="9" t="str">
        <f aca="false">IF(E218="","Sin dato",LEFT(E218,1))</f>
        <v>E</v>
      </c>
      <c r="T218" s="9" t="n">
        <f aca="false">IFERROR(INDEX(dCriticidad!$G$2:$G$7,MATCH(S218,dCriticidad!$A$2:$A$7,0)),0)</f>
        <v>0</v>
      </c>
      <c r="U218" s="9" t="n">
        <f aca="false">IF(OR(LEFT(C218,3)="GI0",LEFT(C218,3)="GA0"),1,0)</f>
        <v>0</v>
      </c>
      <c r="V218" s="9" t="str">
        <f aca="false">IF(G218="","Sin dato (ID GI)",TRIM(G218))</f>
        <v>Negocios y Monetización</v>
      </c>
      <c r="W218" s="9" t="str">
        <f aca="false">IF(F218="","Sin dato",F218)</f>
        <v>Nube</v>
      </c>
      <c r="X218" s="9" t="str">
        <f aca="false">IF(M218="","",YEAR(M218))</f>
        <v/>
      </c>
      <c r="Y218" s="10" t="str">
        <f aca="false">IF(M218="","",DATE(YEAR(M218),MONTH(M218),1))</f>
        <v/>
      </c>
      <c r="Z218" s="9" t="n">
        <f aca="false">IF(AND(Q218=0,COUNTIF(dDuplicadosGI!$A$2:$A$60,C218)&gt;0),1,0)</f>
        <v>0</v>
      </c>
      <c r="AA218" s="9" t="n">
        <f aca="false">IF(Q218=0,1,0)</f>
        <v>1</v>
      </c>
    </row>
    <row r="219" customFormat="false" ht="15" hidden="false" customHeight="false" outlineLevel="0" collapsed="false">
      <c r="A219" s="7" t="n">
        <v>218</v>
      </c>
      <c r="B219" s="7" t="s">
        <v>914</v>
      </c>
      <c r="C219" s="7" t="s">
        <v>915</v>
      </c>
      <c r="D219" s="7" t="s">
        <v>916</v>
      </c>
      <c r="E219" s="7" t="s">
        <v>81</v>
      </c>
      <c r="F219" s="7" t="s">
        <v>82</v>
      </c>
      <c r="G219" s="7" t="s">
        <v>153</v>
      </c>
      <c r="H219" s="7" t="s">
        <v>154</v>
      </c>
      <c r="I219" s="7" t="s">
        <v>917</v>
      </c>
      <c r="J219" s="7" t="s">
        <v>918</v>
      </c>
      <c r="K219" s="7" t="s">
        <v>87</v>
      </c>
      <c r="L219" s="7" t="s">
        <v>88</v>
      </c>
      <c r="M219" s="8" t="n">
        <v>45200</v>
      </c>
      <c r="N219" s="7" t="s">
        <v>89</v>
      </c>
      <c r="O219" s="9" t="n">
        <f aca="false">IF(COUNTIFS($B$2:B219,B219,$C$2:C219,C219)=1,1,0)</f>
        <v>1</v>
      </c>
      <c r="P219" s="9" t="str">
        <f aca="false">IFERROR(INDEX(dEtapa!$A$2:$A$6,MATCH(N219,dEtapa!$B$2:$B$6,0)),"Sin etapa")</f>
        <v>Gobernada</v>
      </c>
      <c r="Q219" s="9" t="n">
        <f aca="false">IF(L219="Si",1,0)</f>
        <v>1</v>
      </c>
      <c r="R219" s="9" t="n">
        <f aca="false">IF(ISNUMBER(SEARCH("CRITERIO",N219)),1,0)</f>
        <v>0</v>
      </c>
      <c r="S219" s="9" t="str">
        <f aca="false">IF(E219="","Sin dato",LEFT(E219,1))</f>
        <v>A</v>
      </c>
      <c r="T219" s="9" t="n">
        <f aca="false">IFERROR(INDEX(dCriticidad!$G$2:$G$7,MATCH(S219,dCriticidad!$A$2:$A$7,0)),0)</f>
        <v>1</v>
      </c>
      <c r="U219" s="9" t="n">
        <f aca="false">IF(OR(LEFT(C219,3)="GI0",LEFT(C219,3)="GA0"),1,0)</f>
        <v>0</v>
      </c>
      <c r="V219" s="9" t="str">
        <f aca="false">IF(G219="","Sin dato (ID GI)",TRIM(G219))</f>
        <v>MEDIOS_DE_PAGO</v>
      </c>
      <c r="W219" s="9" t="str">
        <f aca="false">IF(F219="","Sin dato",F219)</f>
        <v>On Premise</v>
      </c>
      <c r="X219" s="9" t="n">
        <f aca="false">IF(M219="","",YEAR(M219))</f>
        <v>2023</v>
      </c>
      <c r="Y219" s="10" t="n">
        <f aca="false">IF(M219="","",DATE(YEAR(M219),MONTH(M219),1))</f>
        <v>45200</v>
      </c>
      <c r="Z219" s="9" t="n">
        <f aca="false">IF(AND(Q219=0,COUNTIF(dDuplicadosGI!$A$2:$A$60,C219)&gt;0),1,0)</f>
        <v>0</v>
      </c>
      <c r="AA219" s="9" t="n">
        <f aca="false">IF(Q219=0,1,0)</f>
        <v>0</v>
      </c>
    </row>
    <row r="220" customFormat="false" ht="15" hidden="false" customHeight="false" outlineLevel="0" collapsed="false">
      <c r="A220" s="7" t="n">
        <v>219</v>
      </c>
      <c r="B220" s="7" t="s">
        <v>919</v>
      </c>
      <c r="C220" s="7" t="s">
        <v>920</v>
      </c>
      <c r="D220" s="7" t="s">
        <v>916</v>
      </c>
      <c r="E220" s="7" t="s">
        <v>113</v>
      </c>
      <c r="F220" s="7" t="s">
        <v>82</v>
      </c>
      <c r="G220" s="7" t="s">
        <v>657</v>
      </c>
      <c r="H220" s="7" t="s">
        <v>147</v>
      </c>
      <c r="I220" s="7" t="s">
        <v>475</v>
      </c>
      <c r="J220" s="7" t="s">
        <v>820</v>
      </c>
      <c r="K220" s="7" t="s">
        <v>87</v>
      </c>
      <c r="L220" s="7" t="s">
        <v>88</v>
      </c>
      <c r="M220" s="8" t="n">
        <v>45200</v>
      </c>
      <c r="N220" s="7" t="s">
        <v>89</v>
      </c>
      <c r="O220" s="9" t="n">
        <f aca="false">IF(COUNTIFS($B$2:B220,B220,$C$2:C220,C220)=1,1,0)</f>
        <v>1</v>
      </c>
      <c r="P220" s="9" t="str">
        <f aca="false">IFERROR(INDEX(dEtapa!$A$2:$A$6,MATCH(N220,dEtapa!$B$2:$B$6,0)),"Sin etapa")</f>
        <v>Gobernada</v>
      </c>
      <c r="Q220" s="9" t="n">
        <f aca="false">IF(L220="Si",1,0)</f>
        <v>1</v>
      </c>
      <c r="R220" s="9" t="n">
        <f aca="false">IF(ISNUMBER(SEARCH("CRITERIO",N220)),1,0)</f>
        <v>0</v>
      </c>
      <c r="S220" s="9" t="str">
        <f aca="false">IF(E220="","Sin dato",LEFT(E220,1))</f>
        <v>C</v>
      </c>
      <c r="T220" s="9" t="n">
        <f aca="false">IFERROR(INDEX(dCriticidad!$G$2:$G$7,MATCH(S220,dCriticidad!$A$2:$A$7,0)),0)</f>
        <v>1</v>
      </c>
      <c r="U220" s="9" t="n">
        <f aca="false">IF(OR(LEFT(C220,3)="GI0",LEFT(C220,3)="GA0"),1,0)</f>
        <v>0</v>
      </c>
      <c r="V220" s="9" t="str">
        <f aca="false">IF(G220="","Sin dato (ID GI)",TRIM(G220))</f>
        <v>PLATAFORMA</v>
      </c>
      <c r="W220" s="9" t="str">
        <f aca="false">IF(F220="","Sin dato",F220)</f>
        <v>On Premise</v>
      </c>
      <c r="X220" s="9" t="n">
        <f aca="false">IF(M220="","",YEAR(M220))</f>
        <v>2023</v>
      </c>
      <c r="Y220" s="10" t="n">
        <f aca="false">IF(M220="","",DATE(YEAR(M220),MONTH(M220),1))</f>
        <v>45200</v>
      </c>
      <c r="Z220" s="9" t="n">
        <f aca="false">IF(AND(Q220=0,COUNTIF(dDuplicadosGI!$A$2:$A$60,C220)&gt;0),1,0)</f>
        <v>0</v>
      </c>
      <c r="AA220" s="9" t="n">
        <f aca="false">IF(Q220=0,1,0)</f>
        <v>0</v>
      </c>
    </row>
    <row r="221" customFormat="false" ht="15" hidden="false" customHeight="false" outlineLevel="0" collapsed="false">
      <c r="A221" s="7" t="n">
        <v>220</v>
      </c>
      <c r="B221" s="7" t="s">
        <v>921</v>
      </c>
      <c r="C221" s="7" t="s">
        <v>922</v>
      </c>
      <c r="D221" s="7" t="s">
        <v>923</v>
      </c>
      <c r="E221" s="7" t="s">
        <v>113</v>
      </c>
      <c r="F221" s="7" t="s">
        <v>152</v>
      </c>
      <c r="G221" s="7" t="s">
        <v>657</v>
      </c>
      <c r="H221" s="7" t="s">
        <v>147</v>
      </c>
      <c r="I221" s="7" t="s">
        <v>475</v>
      </c>
      <c r="J221" s="7" t="s">
        <v>820</v>
      </c>
      <c r="K221" s="7" t="s">
        <v>87</v>
      </c>
      <c r="L221" s="7" t="s">
        <v>88</v>
      </c>
      <c r="M221" s="8" t="n">
        <v>45200</v>
      </c>
      <c r="N221" s="7" t="s">
        <v>89</v>
      </c>
      <c r="O221" s="9" t="n">
        <f aca="false">IF(COUNTIFS($B$2:B221,B221,$C$2:C221,C221)=1,1,0)</f>
        <v>1</v>
      </c>
      <c r="P221" s="9" t="str">
        <f aca="false">IFERROR(INDEX(dEtapa!$A$2:$A$6,MATCH(N221,dEtapa!$B$2:$B$6,0)),"Sin etapa")</f>
        <v>Gobernada</v>
      </c>
      <c r="Q221" s="9" t="n">
        <f aca="false">IF(L221="Si",1,0)</f>
        <v>1</v>
      </c>
      <c r="R221" s="9" t="n">
        <f aca="false">IF(ISNUMBER(SEARCH("CRITERIO",N221)),1,0)</f>
        <v>0</v>
      </c>
      <c r="S221" s="9" t="str">
        <f aca="false">IF(E221="","Sin dato",LEFT(E221,1))</f>
        <v>C</v>
      </c>
      <c r="T221" s="9" t="n">
        <f aca="false">IFERROR(INDEX(dCriticidad!$G$2:$G$7,MATCH(S221,dCriticidad!$A$2:$A$7,0)),0)</f>
        <v>1</v>
      </c>
      <c r="U221" s="9" t="n">
        <f aca="false">IF(OR(LEFT(C221,3)="GI0",LEFT(C221,3)="GA0"),1,0)</f>
        <v>0</v>
      </c>
      <c r="V221" s="9" t="str">
        <f aca="false">IF(G221="","Sin dato (ID GI)",TRIM(G221))</f>
        <v>PLATAFORMA</v>
      </c>
      <c r="W221" s="9" t="str">
        <f aca="false">IF(F221="","Sin dato",F221)</f>
        <v>Terceros</v>
      </c>
      <c r="X221" s="9" t="n">
        <f aca="false">IF(M221="","",YEAR(M221))</f>
        <v>2023</v>
      </c>
      <c r="Y221" s="10" t="n">
        <f aca="false">IF(M221="","",DATE(YEAR(M221),MONTH(M221),1))</f>
        <v>45200</v>
      </c>
      <c r="Z221" s="9" t="n">
        <f aca="false">IF(AND(Q221=0,COUNTIF(dDuplicadosGI!$A$2:$A$60,C221)&gt;0),1,0)</f>
        <v>0</v>
      </c>
      <c r="AA221" s="9" t="n">
        <f aca="false">IF(Q221=0,1,0)</f>
        <v>0</v>
      </c>
    </row>
    <row r="222" customFormat="false" ht="15" hidden="false" customHeight="false" outlineLevel="0" collapsed="false">
      <c r="A222" s="7" t="n">
        <v>221</v>
      </c>
      <c r="B222" s="7" t="s">
        <v>924</v>
      </c>
      <c r="C222" s="7" t="s">
        <v>925</v>
      </c>
      <c r="D222" s="7" t="s">
        <v>151</v>
      </c>
      <c r="E222" s="7" t="s">
        <v>113</v>
      </c>
      <c r="F222" s="7" t="s">
        <v>152</v>
      </c>
      <c r="G222" s="7" t="s">
        <v>153</v>
      </c>
      <c r="H222" s="7" t="s">
        <v>154</v>
      </c>
      <c r="I222" s="7" t="s">
        <v>155</v>
      </c>
      <c r="J222" s="7" t="s">
        <v>156</v>
      </c>
      <c r="K222" s="7" t="s">
        <v>463</v>
      </c>
      <c r="L222" s="7" t="s">
        <v>99</v>
      </c>
      <c r="M222" s="8"/>
      <c r="N222" s="7" t="s">
        <v>109</v>
      </c>
      <c r="O222" s="9" t="n">
        <f aca="false">IF(COUNTIFS($B$2:B222,B222,$C$2:C222,C222)=1,1,0)</f>
        <v>1</v>
      </c>
      <c r="P222" s="9" t="str">
        <f aca="false">IFERROR(INDEX(dEtapa!$A$2:$A$6,MATCH(N222,dEtapa!$B$2:$B$6,0)),"Sin etapa")</f>
        <v>Planificada 2027</v>
      </c>
      <c r="Q222" s="9" t="n">
        <f aca="false">IF(L222="Si",1,0)</f>
        <v>0</v>
      </c>
      <c r="R222" s="9" t="n">
        <f aca="false">IF(ISNUMBER(SEARCH("CRITERIO",N222)),1,0)</f>
        <v>0</v>
      </c>
      <c r="S222" s="9" t="str">
        <f aca="false">IF(E222="","Sin dato",LEFT(E222,1))</f>
        <v>C</v>
      </c>
      <c r="T222" s="9" t="n">
        <f aca="false">IFERROR(INDEX(dCriticidad!$G$2:$G$7,MATCH(S222,dCriticidad!$A$2:$A$7,0)),0)</f>
        <v>1</v>
      </c>
      <c r="U222" s="9" t="n">
        <f aca="false">IF(OR(LEFT(C222,3)="GI0",LEFT(C222,3)="GA0"),1,0)</f>
        <v>0</v>
      </c>
      <c r="V222" s="9" t="str">
        <f aca="false">IF(G222="","Sin dato (ID GI)",TRIM(G222))</f>
        <v>MEDIOS_DE_PAGO</v>
      </c>
      <c r="W222" s="9" t="str">
        <f aca="false">IF(F222="","Sin dato",F222)</f>
        <v>Terceros</v>
      </c>
      <c r="X222" s="9" t="str">
        <f aca="false">IF(M222="","",YEAR(M222))</f>
        <v/>
      </c>
      <c r="Y222" s="10" t="str">
        <f aca="false">IF(M222="","",DATE(YEAR(M222),MONTH(M222),1))</f>
        <v/>
      </c>
      <c r="Z222" s="9" t="n">
        <f aca="false">IF(AND(Q222=0,COUNTIF(dDuplicadosGI!$A$2:$A$60,C222)&gt;0),1,0)</f>
        <v>0</v>
      </c>
      <c r="AA222" s="9" t="n">
        <f aca="false">IF(Q222=0,1,0)</f>
        <v>1</v>
      </c>
    </row>
    <row r="223" customFormat="false" ht="15" hidden="false" customHeight="false" outlineLevel="0" collapsed="false">
      <c r="A223" s="7" t="n">
        <v>222</v>
      </c>
      <c r="B223" s="7" t="s">
        <v>926</v>
      </c>
      <c r="C223" s="7" t="s">
        <v>927</v>
      </c>
      <c r="D223" s="7" t="s">
        <v>928</v>
      </c>
      <c r="E223" s="7" t="s">
        <v>113</v>
      </c>
      <c r="F223" s="7" t="s">
        <v>82</v>
      </c>
      <c r="G223" s="7" t="s">
        <v>139</v>
      </c>
      <c r="H223" s="7" t="s">
        <v>97</v>
      </c>
      <c r="I223" s="7" t="s">
        <v>403</v>
      </c>
      <c r="J223" s="7" t="s">
        <v>813</v>
      </c>
      <c r="K223" s="7" t="s">
        <v>463</v>
      </c>
      <c r="L223" s="7" t="s">
        <v>99</v>
      </c>
      <c r="M223" s="8"/>
      <c r="N223" s="7" t="s">
        <v>109</v>
      </c>
      <c r="O223" s="9" t="n">
        <f aca="false">IF(COUNTIFS($B$2:B223,B223,$C$2:C223,C223)=1,1,0)</f>
        <v>1</v>
      </c>
      <c r="P223" s="9" t="str">
        <f aca="false">IFERROR(INDEX(dEtapa!$A$2:$A$6,MATCH(N223,dEtapa!$B$2:$B$6,0)),"Sin etapa")</f>
        <v>Planificada 2027</v>
      </c>
      <c r="Q223" s="9" t="n">
        <f aca="false">IF(L223="Si",1,0)</f>
        <v>0</v>
      </c>
      <c r="R223" s="9" t="n">
        <f aca="false">IF(ISNUMBER(SEARCH("CRITERIO",N223)),1,0)</f>
        <v>0</v>
      </c>
      <c r="S223" s="9" t="str">
        <f aca="false">IF(E223="","Sin dato",LEFT(E223,1))</f>
        <v>C</v>
      </c>
      <c r="T223" s="9" t="n">
        <f aca="false">IFERROR(INDEX(dCriticidad!$G$2:$G$7,MATCH(S223,dCriticidad!$A$2:$A$7,0)),0)</f>
        <v>1</v>
      </c>
      <c r="U223" s="9" t="n">
        <f aca="false">IF(OR(LEFT(C223,3)="GI0",LEFT(C223,3)="GA0"),1,0)</f>
        <v>0</v>
      </c>
      <c r="V223" s="9" t="str">
        <f aca="false">IF(G223="","Sin dato (ID GI)",TRIM(G223))</f>
        <v>Frente de Soluciones Empresariales</v>
      </c>
      <c r="W223" s="9" t="str">
        <f aca="false">IF(F223="","Sin dato",F223)</f>
        <v>On Premise</v>
      </c>
      <c r="X223" s="9" t="str">
        <f aca="false">IF(M223="","",YEAR(M223))</f>
        <v/>
      </c>
      <c r="Y223" s="10" t="str">
        <f aca="false">IF(M223="","",DATE(YEAR(M223),MONTH(M223),1))</f>
        <v/>
      </c>
      <c r="Z223" s="9" t="n">
        <f aca="false">IF(AND(Q223=0,COUNTIF(dDuplicadosGI!$A$2:$A$60,C223)&gt;0),1,0)</f>
        <v>0</v>
      </c>
      <c r="AA223" s="9" t="n">
        <f aca="false">IF(Q223=0,1,0)</f>
        <v>1</v>
      </c>
    </row>
    <row r="224" customFormat="false" ht="15" hidden="false" customHeight="false" outlineLevel="0" collapsed="false">
      <c r="A224" s="7" t="n">
        <v>223</v>
      </c>
      <c r="B224" s="7" t="s">
        <v>929</v>
      </c>
      <c r="C224" s="7" t="s">
        <v>930</v>
      </c>
      <c r="D224" s="7" t="s">
        <v>931</v>
      </c>
      <c r="E224" s="7" t="s">
        <v>81</v>
      </c>
      <c r="F224" s="7" t="s">
        <v>82</v>
      </c>
      <c r="G224" s="7" t="s">
        <v>83</v>
      </c>
      <c r="H224" s="7" t="s">
        <v>84</v>
      </c>
      <c r="I224" s="7" t="s">
        <v>932</v>
      </c>
      <c r="J224" s="7" t="s">
        <v>290</v>
      </c>
      <c r="K224" s="7" t="s">
        <v>463</v>
      </c>
      <c r="L224" s="7" t="s">
        <v>99</v>
      </c>
      <c r="M224" s="8"/>
      <c r="N224" s="7" t="s">
        <v>109</v>
      </c>
      <c r="O224" s="9" t="n">
        <f aca="false">IF(COUNTIFS($B$2:B224,B224,$C$2:C224,C224)=1,1,0)</f>
        <v>1</v>
      </c>
      <c r="P224" s="9" t="str">
        <f aca="false">IFERROR(INDEX(dEtapa!$A$2:$A$6,MATCH(N224,dEtapa!$B$2:$B$6,0)),"Sin etapa")</f>
        <v>Planificada 2027</v>
      </c>
      <c r="Q224" s="9" t="n">
        <f aca="false">IF(L224="Si",1,0)</f>
        <v>0</v>
      </c>
      <c r="R224" s="9" t="n">
        <f aca="false">IF(ISNUMBER(SEARCH("CRITERIO",N224)),1,0)</f>
        <v>0</v>
      </c>
      <c r="S224" s="9" t="str">
        <f aca="false">IF(E224="","Sin dato",LEFT(E224,1))</f>
        <v>A</v>
      </c>
      <c r="T224" s="9" t="n">
        <f aca="false">IFERROR(INDEX(dCriticidad!$G$2:$G$7,MATCH(S224,dCriticidad!$A$2:$A$7,0)),0)</f>
        <v>1</v>
      </c>
      <c r="U224" s="9" t="n">
        <f aca="false">IF(OR(LEFT(C224,3)="GI0",LEFT(C224,3)="GA0"),1,0)</f>
        <v>0</v>
      </c>
      <c r="V224" s="9" t="str">
        <f aca="false">IF(G224="","Sin dato (ID GI)",TRIM(G224))</f>
        <v>TRIBU_CANALES</v>
      </c>
      <c r="W224" s="9" t="str">
        <f aca="false">IF(F224="","Sin dato",F224)</f>
        <v>On Premise</v>
      </c>
      <c r="X224" s="9" t="str">
        <f aca="false">IF(M224="","",YEAR(M224))</f>
        <v/>
      </c>
      <c r="Y224" s="10" t="str">
        <f aca="false">IF(M224="","",DATE(YEAR(M224),MONTH(M224),1))</f>
        <v/>
      </c>
      <c r="Z224" s="9" t="n">
        <f aca="false">IF(AND(Q224=0,COUNTIF(dDuplicadosGI!$A$2:$A$60,C224)&gt;0),1,0)</f>
        <v>0</v>
      </c>
      <c r="AA224" s="9" t="n">
        <f aca="false">IF(Q224=0,1,0)</f>
        <v>1</v>
      </c>
    </row>
    <row r="225" customFormat="false" ht="15" hidden="false" customHeight="false" outlineLevel="0" collapsed="false">
      <c r="A225" s="7" t="n">
        <v>224</v>
      </c>
      <c r="B225" s="7" t="s">
        <v>933</v>
      </c>
      <c r="C225" s="7" t="s">
        <v>934</v>
      </c>
      <c r="D225" s="7" t="s">
        <v>931</v>
      </c>
      <c r="E225" s="7" t="s">
        <v>119</v>
      </c>
      <c r="F225" s="7" t="s">
        <v>82</v>
      </c>
      <c r="G225" s="7" t="s">
        <v>139</v>
      </c>
      <c r="H225" s="7" t="s">
        <v>97</v>
      </c>
      <c r="I225" s="7" t="s">
        <v>403</v>
      </c>
      <c r="J225" s="7" t="s">
        <v>813</v>
      </c>
      <c r="K225" s="7" t="s">
        <v>463</v>
      </c>
      <c r="L225" s="7" t="s">
        <v>99</v>
      </c>
      <c r="M225" s="8"/>
      <c r="N225" s="7" t="s">
        <v>109</v>
      </c>
      <c r="O225" s="9" t="n">
        <f aca="false">IF(COUNTIFS($B$2:B225,B225,$C$2:C225,C225)=1,1,0)</f>
        <v>1</v>
      </c>
      <c r="P225" s="9" t="str">
        <f aca="false">IFERROR(INDEX(dEtapa!$A$2:$A$6,MATCH(N225,dEtapa!$B$2:$B$6,0)),"Sin etapa")</f>
        <v>Planificada 2027</v>
      </c>
      <c r="Q225" s="9" t="n">
        <f aca="false">IF(L225="Si",1,0)</f>
        <v>0</v>
      </c>
      <c r="R225" s="9" t="n">
        <f aca="false">IF(ISNUMBER(SEARCH("CRITERIO",N225)),1,0)</f>
        <v>0</v>
      </c>
      <c r="S225" s="9" t="str">
        <f aca="false">IF(E225="","Sin dato",LEFT(E225,1))</f>
        <v>E</v>
      </c>
      <c r="T225" s="9" t="n">
        <f aca="false">IFERROR(INDEX(dCriticidad!$G$2:$G$7,MATCH(S225,dCriticidad!$A$2:$A$7,0)),0)</f>
        <v>0</v>
      </c>
      <c r="U225" s="9" t="n">
        <f aca="false">IF(OR(LEFT(C225,3)="GI0",LEFT(C225,3)="GA0"),1,0)</f>
        <v>0</v>
      </c>
      <c r="V225" s="9" t="str">
        <f aca="false">IF(G225="","Sin dato (ID GI)",TRIM(G225))</f>
        <v>Frente de Soluciones Empresariales</v>
      </c>
      <c r="W225" s="9" t="str">
        <f aca="false">IF(F225="","Sin dato",F225)</f>
        <v>On Premise</v>
      </c>
      <c r="X225" s="9" t="str">
        <f aca="false">IF(M225="","",YEAR(M225))</f>
        <v/>
      </c>
      <c r="Y225" s="10" t="str">
        <f aca="false">IF(M225="","",DATE(YEAR(M225),MONTH(M225),1))</f>
        <v/>
      </c>
      <c r="Z225" s="9" t="n">
        <f aca="false">IF(AND(Q225=0,COUNTIF(dDuplicadosGI!$A$2:$A$60,C225)&gt;0),1,0)</f>
        <v>0</v>
      </c>
      <c r="AA225" s="9" t="n">
        <f aca="false">IF(Q225=0,1,0)</f>
        <v>1</v>
      </c>
    </row>
    <row r="226" customFormat="false" ht="15" hidden="false" customHeight="false" outlineLevel="0" collapsed="false">
      <c r="A226" s="7" t="n">
        <v>225</v>
      </c>
      <c r="B226" s="7" t="s">
        <v>935</v>
      </c>
      <c r="C226" s="7" t="s">
        <v>936</v>
      </c>
      <c r="D226" s="7" t="s">
        <v>937</v>
      </c>
      <c r="E226" s="7" t="s">
        <v>119</v>
      </c>
      <c r="F226" s="7" t="s">
        <v>82</v>
      </c>
      <c r="G226" s="7" t="s">
        <v>83</v>
      </c>
      <c r="H226" s="7" t="s">
        <v>84</v>
      </c>
      <c r="I226" s="7" t="s">
        <v>85</v>
      </c>
      <c r="J226" s="7" t="s">
        <v>86</v>
      </c>
      <c r="K226" s="7" t="s">
        <v>87</v>
      </c>
      <c r="L226" s="7" t="s">
        <v>88</v>
      </c>
      <c r="M226" s="8" t="n">
        <v>45199</v>
      </c>
      <c r="N226" s="7" t="s">
        <v>89</v>
      </c>
      <c r="O226" s="9" t="n">
        <f aca="false">IF(COUNTIFS($B$2:B226,B226,$C$2:C226,C226)=1,1,0)</f>
        <v>1</v>
      </c>
      <c r="P226" s="9" t="str">
        <f aca="false">IFERROR(INDEX(dEtapa!$A$2:$A$6,MATCH(N226,dEtapa!$B$2:$B$6,0)),"Sin etapa")</f>
        <v>Gobernada</v>
      </c>
      <c r="Q226" s="9" t="n">
        <f aca="false">IF(L226="Si",1,0)</f>
        <v>1</v>
      </c>
      <c r="R226" s="9" t="n">
        <f aca="false">IF(ISNUMBER(SEARCH("CRITERIO",N226)),1,0)</f>
        <v>0</v>
      </c>
      <c r="S226" s="9" t="str">
        <f aca="false">IF(E226="","Sin dato",LEFT(E226,1))</f>
        <v>E</v>
      </c>
      <c r="T226" s="9" t="n">
        <f aca="false">IFERROR(INDEX(dCriticidad!$G$2:$G$7,MATCH(S226,dCriticidad!$A$2:$A$7,0)),0)</f>
        <v>0</v>
      </c>
      <c r="U226" s="9" t="n">
        <f aca="false">IF(OR(LEFT(C226,3)="GI0",LEFT(C226,3)="GA0"),1,0)</f>
        <v>0</v>
      </c>
      <c r="V226" s="9" t="str">
        <f aca="false">IF(G226="","Sin dato (ID GI)",TRIM(G226))</f>
        <v>TRIBU_CANALES</v>
      </c>
      <c r="W226" s="9" t="str">
        <f aca="false">IF(F226="","Sin dato",F226)</f>
        <v>On Premise</v>
      </c>
      <c r="X226" s="9" t="n">
        <f aca="false">IF(M226="","",YEAR(M226))</f>
        <v>2023</v>
      </c>
      <c r="Y226" s="10" t="n">
        <f aca="false">IF(M226="","",DATE(YEAR(M226),MONTH(M226),1))</f>
        <v>45170</v>
      </c>
      <c r="Z226" s="9" t="n">
        <f aca="false">IF(AND(Q226=0,COUNTIF(dDuplicadosGI!$A$2:$A$60,C226)&gt;0),1,0)</f>
        <v>0</v>
      </c>
      <c r="AA226" s="9" t="n">
        <f aca="false">IF(Q226=0,1,0)</f>
        <v>0</v>
      </c>
    </row>
    <row r="227" customFormat="false" ht="15" hidden="false" customHeight="false" outlineLevel="0" collapsed="false">
      <c r="A227" s="7" t="n">
        <v>226</v>
      </c>
      <c r="B227" s="7" t="s">
        <v>938</v>
      </c>
      <c r="C227" s="7" t="s">
        <v>939</v>
      </c>
      <c r="D227" s="7" t="s">
        <v>151</v>
      </c>
      <c r="E227" s="7" t="s">
        <v>119</v>
      </c>
      <c r="F227" s="7" t="s">
        <v>94</v>
      </c>
      <c r="G227" s="7" t="s">
        <v>83</v>
      </c>
      <c r="H227" s="7" t="s">
        <v>84</v>
      </c>
      <c r="I227" s="7" t="s">
        <v>932</v>
      </c>
      <c r="J227" s="7" t="s">
        <v>290</v>
      </c>
      <c r="K227" s="7" t="s">
        <v>108</v>
      </c>
      <c r="L227" s="7" t="s">
        <v>99</v>
      </c>
      <c r="M227" s="8"/>
      <c r="N227" s="7" t="s">
        <v>109</v>
      </c>
      <c r="O227" s="9" t="n">
        <f aca="false">IF(COUNTIFS($B$2:B227,B227,$C$2:C227,C227)=1,1,0)</f>
        <v>1</v>
      </c>
      <c r="P227" s="9" t="str">
        <f aca="false">IFERROR(INDEX(dEtapa!$A$2:$A$6,MATCH(N227,dEtapa!$B$2:$B$6,0)),"Sin etapa")</f>
        <v>Planificada 2027</v>
      </c>
      <c r="Q227" s="9" t="n">
        <f aca="false">IF(L227="Si",1,0)</f>
        <v>0</v>
      </c>
      <c r="R227" s="9" t="n">
        <f aca="false">IF(ISNUMBER(SEARCH("CRITERIO",N227)),1,0)</f>
        <v>0</v>
      </c>
      <c r="S227" s="9" t="str">
        <f aca="false">IF(E227="","Sin dato",LEFT(E227,1))</f>
        <v>E</v>
      </c>
      <c r="T227" s="9" t="n">
        <f aca="false">IFERROR(INDEX(dCriticidad!$G$2:$G$7,MATCH(S227,dCriticidad!$A$2:$A$7,0)),0)</f>
        <v>0</v>
      </c>
      <c r="U227" s="9" t="n">
        <f aca="false">IF(OR(LEFT(C227,3)="GI0",LEFT(C227,3)="GA0"),1,0)</f>
        <v>0</v>
      </c>
      <c r="V227" s="9" t="str">
        <f aca="false">IF(G227="","Sin dato (ID GI)",TRIM(G227))</f>
        <v>TRIBU_CANALES</v>
      </c>
      <c r="W227" s="9" t="str">
        <f aca="false">IF(F227="","Sin dato",F227)</f>
        <v>Nube</v>
      </c>
      <c r="X227" s="9" t="str">
        <f aca="false">IF(M227="","",YEAR(M227))</f>
        <v/>
      </c>
      <c r="Y227" s="10" t="str">
        <f aca="false">IF(M227="","",DATE(YEAR(M227),MONTH(M227),1))</f>
        <v/>
      </c>
      <c r="Z227" s="9" t="n">
        <f aca="false">IF(AND(Q227=0,COUNTIF(dDuplicadosGI!$A$2:$A$60,C227)&gt;0),1,0)</f>
        <v>0</v>
      </c>
      <c r="AA227" s="9" t="n">
        <f aca="false">IF(Q227=0,1,0)</f>
        <v>1</v>
      </c>
    </row>
    <row r="228" customFormat="false" ht="15" hidden="false" customHeight="false" outlineLevel="0" collapsed="false">
      <c r="A228" s="7" t="n">
        <v>227</v>
      </c>
      <c r="B228" s="7" t="s">
        <v>940</v>
      </c>
      <c r="C228" s="7" t="s">
        <v>941</v>
      </c>
      <c r="D228" s="7" t="s">
        <v>151</v>
      </c>
      <c r="E228" s="7" t="s">
        <v>119</v>
      </c>
      <c r="F228" s="7" t="s">
        <v>94</v>
      </c>
      <c r="G228" s="7" t="s">
        <v>243</v>
      </c>
      <c r="H228" s="7" t="s">
        <v>133</v>
      </c>
      <c r="I228" s="7" t="s">
        <v>248</v>
      </c>
      <c r="J228" s="7" t="s">
        <v>249</v>
      </c>
      <c r="K228" s="7" t="s">
        <v>87</v>
      </c>
      <c r="L228" s="7" t="s">
        <v>99</v>
      </c>
      <c r="M228" s="8"/>
      <c r="N228" s="7" t="s">
        <v>109</v>
      </c>
      <c r="O228" s="9" t="n">
        <f aca="false">IF(COUNTIFS($B$2:B228,B228,$C$2:C228,C228)=1,1,0)</f>
        <v>1</v>
      </c>
      <c r="P228" s="9" t="str">
        <f aca="false">IFERROR(INDEX(dEtapa!$A$2:$A$6,MATCH(N228,dEtapa!$B$2:$B$6,0)),"Sin etapa")</f>
        <v>Planificada 2027</v>
      </c>
      <c r="Q228" s="9" t="n">
        <f aca="false">IF(L228="Si",1,0)</f>
        <v>0</v>
      </c>
      <c r="R228" s="9" t="n">
        <f aca="false">IF(ISNUMBER(SEARCH("CRITERIO",N228)),1,0)</f>
        <v>0</v>
      </c>
      <c r="S228" s="9" t="str">
        <f aca="false">IF(E228="","Sin dato",LEFT(E228,1))</f>
        <v>E</v>
      </c>
      <c r="T228" s="9" t="n">
        <f aca="false">IFERROR(INDEX(dCriticidad!$G$2:$G$7,MATCH(S228,dCriticidad!$A$2:$A$7,0)),0)</f>
        <v>0</v>
      </c>
      <c r="U228" s="9" t="n">
        <f aca="false">IF(OR(LEFT(C228,3)="GI0",LEFT(C228,3)="GA0"),1,0)</f>
        <v>0</v>
      </c>
      <c r="V228" s="9" t="str">
        <f aca="false">IF(G228="","Sin dato (ID GI)",TRIM(G228))</f>
        <v>MICROFINANZAS</v>
      </c>
      <c r="W228" s="9" t="str">
        <f aca="false">IF(F228="","Sin dato",F228)</f>
        <v>Nube</v>
      </c>
      <c r="X228" s="9" t="str">
        <f aca="false">IF(M228="","",YEAR(M228))</f>
        <v/>
      </c>
      <c r="Y228" s="10" t="str">
        <f aca="false">IF(M228="","",DATE(YEAR(M228),MONTH(M228),1))</f>
        <v/>
      </c>
      <c r="Z228" s="9" t="n">
        <f aca="false">IF(AND(Q228=0,COUNTIF(dDuplicadosGI!$A$2:$A$60,C228)&gt;0),1,0)</f>
        <v>0</v>
      </c>
      <c r="AA228" s="9" t="n">
        <f aca="false">IF(Q228=0,1,0)</f>
        <v>1</v>
      </c>
    </row>
    <row r="229" customFormat="false" ht="15" hidden="false" customHeight="false" outlineLevel="0" collapsed="false">
      <c r="A229" s="7" t="n">
        <v>228</v>
      </c>
      <c r="B229" s="7" t="s">
        <v>942</v>
      </c>
      <c r="C229" s="7" t="s">
        <v>943</v>
      </c>
      <c r="D229" s="7" t="s">
        <v>944</v>
      </c>
      <c r="E229" s="7" t="s">
        <v>119</v>
      </c>
      <c r="F229" s="7" t="s">
        <v>94</v>
      </c>
      <c r="G229" s="7" t="s">
        <v>243</v>
      </c>
      <c r="H229" s="7" t="s">
        <v>133</v>
      </c>
      <c r="I229" s="7" t="s">
        <v>248</v>
      </c>
      <c r="J229" s="7" t="s">
        <v>249</v>
      </c>
      <c r="K229" s="7" t="s">
        <v>87</v>
      </c>
      <c r="L229" s="7" t="s">
        <v>99</v>
      </c>
      <c r="M229" s="8"/>
      <c r="N229" s="7" t="s">
        <v>100</v>
      </c>
      <c r="O229" s="9" t="n">
        <f aca="false">IF(COUNTIFS($B$2:B229,B229,$C$2:C229,C229)=1,1,0)</f>
        <v>1</v>
      </c>
      <c r="P229" s="9" t="str">
        <f aca="false">IFERROR(INDEX(dEtapa!$A$2:$A$6,MATCH(N229,dEtapa!$B$2:$B$6,0)),"Sin etapa")</f>
        <v>Criterio 1</v>
      </c>
      <c r="Q229" s="9" t="n">
        <f aca="false">IF(L229="Si",1,0)</f>
        <v>0</v>
      </c>
      <c r="R229" s="9" t="n">
        <f aca="false">IF(ISNUMBER(SEARCH("CRITERIO",N229)),1,0)</f>
        <v>1</v>
      </c>
      <c r="S229" s="9" t="str">
        <f aca="false">IF(E229="","Sin dato",LEFT(E229,1))</f>
        <v>E</v>
      </c>
      <c r="T229" s="9" t="n">
        <f aca="false">IFERROR(INDEX(dCriticidad!$G$2:$G$7,MATCH(S229,dCriticidad!$A$2:$A$7,0)),0)</f>
        <v>0</v>
      </c>
      <c r="U229" s="9" t="n">
        <f aca="false">IF(OR(LEFT(C229,3)="GI0",LEFT(C229,3)="GA0"),1,0)</f>
        <v>0</v>
      </c>
      <c r="V229" s="9" t="str">
        <f aca="false">IF(G229="","Sin dato (ID GI)",TRIM(G229))</f>
        <v>MICROFINANZAS</v>
      </c>
      <c r="W229" s="9" t="str">
        <f aca="false">IF(F229="","Sin dato",F229)</f>
        <v>Nube</v>
      </c>
      <c r="X229" s="9" t="str">
        <f aca="false">IF(M229="","",YEAR(M229))</f>
        <v/>
      </c>
      <c r="Y229" s="10" t="str">
        <f aca="false">IF(M229="","",DATE(YEAR(M229),MONTH(M229),1))</f>
        <v/>
      </c>
      <c r="Z229" s="9" t="n">
        <f aca="false">IF(AND(Q229=0,COUNTIF(dDuplicadosGI!$A$2:$A$60,C229)&gt;0),1,0)</f>
        <v>0</v>
      </c>
      <c r="AA229" s="9" t="n">
        <f aca="false">IF(Q229=0,1,0)</f>
        <v>1</v>
      </c>
    </row>
    <row r="230" customFormat="false" ht="15" hidden="false" customHeight="false" outlineLevel="0" collapsed="false">
      <c r="A230" s="7" t="n">
        <v>229</v>
      </c>
      <c r="B230" s="7" t="s">
        <v>945</v>
      </c>
      <c r="C230" s="7" t="s">
        <v>946</v>
      </c>
      <c r="D230" s="7" t="s">
        <v>947</v>
      </c>
      <c r="E230" s="7" t="s">
        <v>119</v>
      </c>
      <c r="F230" s="7" t="s">
        <v>94</v>
      </c>
      <c r="G230" s="7" t="s">
        <v>83</v>
      </c>
      <c r="H230" s="7" t="s">
        <v>84</v>
      </c>
      <c r="I230" s="7" t="s">
        <v>300</v>
      </c>
      <c r="J230" s="7" t="s">
        <v>504</v>
      </c>
      <c r="K230" s="7" t="s">
        <v>98</v>
      </c>
      <c r="L230" s="7" t="s">
        <v>99</v>
      </c>
      <c r="M230" s="8"/>
      <c r="N230" s="7" t="s">
        <v>109</v>
      </c>
      <c r="O230" s="9" t="n">
        <f aca="false">IF(COUNTIFS($B$2:B230,B230,$C$2:C230,C230)=1,1,0)</f>
        <v>1</v>
      </c>
      <c r="P230" s="9" t="str">
        <f aca="false">IFERROR(INDEX(dEtapa!$A$2:$A$6,MATCH(N230,dEtapa!$B$2:$B$6,0)),"Sin etapa")</f>
        <v>Planificada 2027</v>
      </c>
      <c r="Q230" s="9" t="n">
        <f aca="false">IF(L230="Si",1,0)</f>
        <v>0</v>
      </c>
      <c r="R230" s="9" t="n">
        <f aca="false">IF(ISNUMBER(SEARCH("CRITERIO",N230)),1,0)</f>
        <v>0</v>
      </c>
      <c r="S230" s="9" t="str">
        <f aca="false">IF(E230="","Sin dato",LEFT(E230,1))</f>
        <v>E</v>
      </c>
      <c r="T230" s="9" t="n">
        <f aca="false">IFERROR(INDEX(dCriticidad!$G$2:$G$7,MATCH(S230,dCriticidad!$A$2:$A$7,0)),0)</f>
        <v>0</v>
      </c>
      <c r="U230" s="9" t="n">
        <f aca="false">IF(OR(LEFT(C230,3)="GI0",LEFT(C230,3)="GA0"),1,0)</f>
        <v>0</v>
      </c>
      <c r="V230" s="9" t="str">
        <f aca="false">IF(G230="","Sin dato (ID GI)",TRIM(G230))</f>
        <v>TRIBU_CANALES</v>
      </c>
      <c r="W230" s="9" t="str">
        <f aca="false">IF(F230="","Sin dato",F230)</f>
        <v>Nube</v>
      </c>
      <c r="X230" s="9" t="str">
        <f aca="false">IF(M230="","",YEAR(M230))</f>
        <v/>
      </c>
      <c r="Y230" s="10" t="str">
        <f aca="false">IF(M230="","",DATE(YEAR(M230),MONTH(M230),1))</f>
        <v/>
      </c>
      <c r="Z230" s="9" t="n">
        <f aca="false">IF(AND(Q230=0,COUNTIF(dDuplicadosGI!$A$2:$A$60,C230)&gt;0),1,0)</f>
        <v>0</v>
      </c>
      <c r="AA230" s="9" t="n">
        <f aca="false">IF(Q230=0,1,0)</f>
        <v>1</v>
      </c>
    </row>
    <row r="231" customFormat="false" ht="15" hidden="false" customHeight="false" outlineLevel="0" collapsed="false">
      <c r="A231" s="7" t="n">
        <v>230</v>
      </c>
      <c r="B231" s="7" t="s">
        <v>948</v>
      </c>
      <c r="C231" s="7" t="s">
        <v>949</v>
      </c>
      <c r="D231" s="7" t="s">
        <v>950</v>
      </c>
      <c r="E231" s="7" t="s">
        <v>119</v>
      </c>
      <c r="F231" s="7" t="s">
        <v>152</v>
      </c>
      <c r="G231" s="7" t="s">
        <v>83</v>
      </c>
      <c r="H231" s="7" t="s">
        <v>84</v>
      </c>
      <c r="I231" s="7" t="s">
        <v>932</v>
      </c>
      <c r="J231" s="7" t="s">
        <v>290</v>
      </c>
      <c r="K231" s="7" t="s">
        <v>87</v>
      </c>
      <c r="L231" s="7" t="s">
        <v>88</v>
      </c>
      <c r="M231" s="8" t="n">
        <v>45199</v>
      </c>
      <c r="N231" s="7" t="s">
        <v>89</v>
      </c>
      <c r="O231" s="9" t="n">
        <f aca="false">IF(COUNTIFS($B$2:B231,B231,$C$2:C231,C231)=1,1,0)</f>
        <v>1</v>
      </c>
      <c r="P231" s="9" t="str">
        <f aca="false">IFERROR(INDEX(dEtapa!$A$2:$A$6,MATCH(N231,dEtapa!$B$2:$B$6,0)),"Sin etapa")</f>
        <v>Gobernada</v>
      </c>
      <c r="Q231" s="9" t="n">
        <f aca="false">IF(L231="Si",1,0)</f>
        <v>1</v>
      </c>
      <c r="R231" s="9" t="n">
        <f aca="false">IF(ISNUMBER(SEARCH("CRITERIO",N231)),1,0)</f>
        <v>0</v>
      </c>
      <c r="S231" s="9" t="str">
        <f aca="false">IF(E231="","Sin dato",LEFT(E231,1))</f>
        <v>E</v>
      </c>
      <c r="T231" s="9" t="n">
        <f aca="false">IFERROR(INDEX(dCriticidad!$G$2:$G$7,MATCH(S231,dCriticidad!$A$2:$A$7,0)),0)</f>
        <v>0</v>
      </c>
      <c r="U231" s="9" t="n">
        <f aca="false">IF(OR(LEFT(C231,3)="GI0",LEFT(C231,3)="GA0"),1,0)</f>
        <v>0</v>
      </c>
      <c r="V231" s="9" t="str">
        <f aca="false">IF(G231="","Sin dato (ID GI)",TRIM(G231))</f>
        <v>TRIBU_CANALES</v>
      </c>
      <c r="W231" s="9" t="str">
        <f aca="false">IF(F231="","Sin dato",F231)</f>
        <v>Terceros</v>
      </c>
      <c r="X231" s="9" t="n">
        <f aca="false">IF(M231="","",YEAR(M231))</f>
        <v>2023</v>
      </c>
      <c r="Y231" s="10" t="n">
        <f aca="false">IF(M231="","",DATE(YEAR(M231),MONTH(M231),1))</f>
        <v>45170</v>
      </c>
      <c r="Z231" s="9" t="n">
        <f aca="false">IF(AND(Q231=0,COUNTIF(dDuplicadosGI!$A$2:$A$60,C231)&gt;0),1,0)</f>
        <v>0</v>
      </c>
      <c r="AA231" s="9" t="n">
        <f aca="false">IF(Q231=0,1,0)</f>
        <v>0</v>
      </c>
    </row>
    <row r="232" customFormat="false" ht="15" hidden="false" customHeight="false" outlineLevel="0" collapsed="false">
      <c r="A232" s="7" t="n">
        <v>231</v>
      </c>
      <c r="B232" s="7" t="s">
        <v>951</v>
      </c>
      <c r="C232" s="7" t="s">
        <v>952</v>
      </c>
      <c r="D232" s="7" t="s">
        <v>953</v>
      </c>
      <c r="E232" s="7" t="s">
        <v>119</v>
      </c>
      <c r="F232" s="7" t="s">
        <v>152</v>
      </c>
      <c r="G232" s="7" t="s">
        <v>153</v>
      </c>
      <c r="H232" s="7" t="s">
        <v>154</v>
      </c>
      <c r="I232" s="7" t="s">
        <v>954</v>
      </c>
      <c r="J232" s="7" t="s">
        <v>955</v>
      </c>
      <c r="K232" s="7" t="s">
        <v>87</v>
      </c>
      <c r="L232" s="7" t="s">
        <v>99</v>
      </c>
      <c r="M232" s="8"/>
      <c r="N232" s="7" t="s">
        <v>109</v>
      </c>
      <c r="O232" s="9" t="n">
        <f aca="false">IF(COUNTIFS($B$2:B232,B232,$C$2:C232,C232)=1,1,0)</f>
        <v>1</v>
      </c>
      <c r="P232" s="9" t="str">
        <f aca="false">IFERROR(INDEX(dEtapa!$A$2:$A$6,MATCH(N232,dEtapa!$B$2:$B$6,0)),"Sin etapa")</f>
        <v>Planificada 2027</v>
      </c>
      <c r="Q232" s="9" t="n">
        <f aca="false">IF(L232="Si",1,0)</f>
        <v>0</v>
      </c>
      <c r="R232" s="9" t="n">
        <f aca="false">IF(ISNUMBER(SEARCH("CRITERIO",N232)),1,0)</f>
        <v>0</v>
      </c>
      <c r="S232" s="9" t="str">
        <f aca="false">IF(E232="","Sin dato",LEFT(E232,1))</f>
        <v>E</v>
      </c>
      <c r="T232" s="9" t="n">
        <f aca="false">IFERROR(INDEX(dCriticidad!$G$2:$G$7,MATCH(S232,dCriticidad!$A$2:$A$7,0)),0)</f>
        <v>0</v>
      </c>
      <c r="U232" s="9" t="n">
        <f aca="false">IF(OR(LEFT(C232,3)="GI0",LEFT(C232,3)="GA0"),1,0)</f>
        <v>0</v>
      </c>
      <c r="V232" s="9" t="str">
        <f aca="false">IF(G232="","Sin dato (ID GI)",TRIM(G232))</f>
        <v>MEDIOS_DE_PAGO</v>
      </c>
      <c r="W232" s="9" t="str">
        <f aca="false">IF(F232="","Sin dato",F232)</f>
        <v>Terceros</v>
      </c>
      <c r="X232" s="9" t="str">
        <f aca="false">IF(M232="","",YEAR(M232))</f>
        <v/>
      </c>
      <c r="Y232" s="10" t="str">
        <f aca="false">IF(M232="","",DATE(YEAR(M232),MONTH(M232),1))</f>
        <v/>
      </c>
      <c r="Z232" s="9" t="n">
        <f aca="false">IF(AND(Q232=0,COUNTIF(dDuplicadosGI!$A$2:$A$60,C232)&gt;0),1,0)</f>
        <v>0</v>
      </c>
      <c r="AA232" s="9" t="n">
        <f aca="false">IF(Q232=0,1,0)</f>
        <v>1</v>
      </c>
    </row>
    <row r="233" customFormat="false" ht="15" hidden="false" customHeight="false" outlineLevel="0" collapsed="false">
      <c r="A233" s="7" t="n">
        <v>232</v>
      </c>
      <c r="B233" s="7" t="s">
        <v>956</v>
      </c>
      <c r="C233" s="7" t="s">
        <v>957</v>
      </c>
      <c r="D233" s="7" t="s">
        <v>958</v>
      </c>
      <c r="E233" s="7" t="s">
        <v>119</v>
      </c>
      <c r="F233" s="7" t="s">
        <v>94</v>
      </c>
      <c r="G233" s="7" t="s">
        <v>211</v>
      </c>
      <c r="H233" s="7" t="s">
        <v>490</v>
      </c>
      <c r="I233" s="7" t="s">
        <v>490</v>
      </c>
      <c r="J233" s="7" t="s">
        <v>959</v>
      </c>
      <c r="K233" s="7" t="s">
        <v>87</v>
      </c>
      <c r="L233" s="7" t="s">
        <v>99</v>
      </c>
      <c r="M233" s="8"/>
      <c r="N233" s="7" t="s">
        <v>189</v>
      </c>
      <c r="O233" s="9" t="n">
        <f aca="false">IF(COUNTIFS($B$2:B233,B233,$C$2:C233,C233)=1,1,0)</f>
        <v>1</v>
      </c>
      <c r="P233" s="9" t="str">
        <f aca="false">IFERROR(INDEX(dEtapa!$A$2:$A$6,MATCH(N233,dEtapa!$B$2:$B$6,0)),"Sin etapa")</f>
        <v>Criterio 3</v>
      </c>
      <c r="Q233" s="9" t="n">
        <f aca="false">IF(L233="Si",1,0)</f>
        <v>0</v>
      </c>
      <c r="R233" s="9" t="n">
        <f aca="false">IF(ISNUMBER(SEARCH("CRITERIO",N233)),1,0)</f>
        <v>1</v>
      </c>
      <c r="S233" s="9" t="str">
        <f aca="false">IF(E233="","Sin dato",LEFT(E233,1))</f>
        <v>E</v>
      </c>
      <c r="T233" s="9" t="n">
        <f aca="false">IFERROR(INDEX(dCriticidad!$G$2:$G$7,MATCH(S233,dCriticidad!$A$2:$A$7,0)),0)</f>
        <v>0</v>
      </c>
      <c r="U233" s="9" t="n">
        <f aca="false">IF(OR(LEFT(C233,3)="GI0",LEFT(C233,3)="GA0"),1,0)</f>
        <v>0</v>
      </c>
      <c r="V233" s="9" t="str">
        <f aca="false">IF(G233="","Sin dato (ID GI)",TRIM(G233))</f>
        <v>Tribu Ciberseguridad</v>
      </c>
      <c r="W233" s="9" t="str">
        <f aca="false">IF(F233="","Sin dato",F233)</f>
        <v>Nube</v>
      </c>
      <c r="X233" s="9" t="str">
        <f aca="false">IF(M233="","",YEAR(M233))</f>
        <v/>
      </c>
      <c r="Y233" s="10" t="str">
        <f aca="false">IF(M233="","",DATE(YEAR(M233),MONTH(M233),1))</f>
        <v/>
      </c>
      <c r="Z233" s="9" t="n">
        <f aca="false">IF(AND(Q233=0,COUNTIF(dDuplicadosGI!$A$2:$A$60,C233)&gt;0),1,0)</f>
        <v>0</v>
      </c>
      <c r="AA233" s="9" t="n">
        <f aca="false">IF(Q233=0,1,0)</f>
        <v>1</v>
      </c>
    </row>
    <row r="234" customFormat="false" ht="15" hidden="false" customHeight="false" outlineLevel="0" collapsed="false">
      <c r="A234" s="7" t="n">
        <v>233</v>
      </c>
      <c r="B234" s="7" t="s">
        <v>960</v>
      </c>
      <c r="C234" s="7" t="s">
        <v>961</v>
      </c>
      <c r="D234" s="7" t="s">
        <v>962</v>
      </c>
      <c r="E234" s="7" t="s">
        <v>93</v>
      </c>
      <c r="F234" s="7" t="s">
        <v>82</v>
      </c>
      <c r="G234" s="7" t="s">
        <v>104</v>
      </c>
      <c r="H234" s="7" t="s">
        <v>105</v>
      </c>
      <c r="I234" s="7" t="s">
        <v>120</v>
      </c>
      <c r="J234" s="7" t="s">
        <v>963</v>
      </c>
      <c r="K234" s="7" t="s">
        <v>170</v>
      </c>
      <c r="L234" s="7" t="s">
        <v>88</v>
      </c>
      <c r="M234" s="8" t="n">
        <v>46203</v>
      </c>
      <c r="N234" s="7" t="s">
        <v>89</v>
      </c>
      <c r="O234" s="9" t="n">
        <f aca="false">IF(COUNTIFS($B$2:B234,B234,$C$2:C234,C234)=1,1,0)</f>
        <v>1</v>
      </c>
      <c r="P234" s="9" t="str">
        <f aca="false">IFERROR(INDEX(dEtapa!$A$2:$A$6,MATCH(N234,dEtapa!$B$2:$B$6,0)),"Sin etapa")</f>
        <v>Gobernada</v>
      </c>
      <c r="Q234" s="9" t="n">
        <f aca="false">IF(L234="Si",1,0)</f>
        <v>1</v>
      </c>
      <c r="R234" s="9" t="n">
        <f aca="false">IF(ISNUMBER(SEARCH("CRITERIO",N234)),1,0)</f>
        <v>0</v>
      </c>
      <c r="S234" s="9" t="str">
        <f aca="false">IF(E234="","Sin dato",LEFT(E234,1))</f>
        <v>D</v>
      </c>
      <c r="T234" s="9" t="n">
        <f aca="false">IFERROR(INDEX(dCriticidad!$G$2:$G$7,MATCH(S234,dCriticidad!$A$2:$A$7,0)),0)</f>
        <v>0</v>
      </c>
      <c r="U234" s="9" t="n">
        <f aca="false">IF(OR(LEFT(C234,3)="GI0",LEFT(C234,3)="GA0"),1,0)</f>
        <v>0</v>
      </c>
      <c r="V234" s="9" t="str">
        <f aca="false">IF(G234="","Sin dato (ID GI)",TRIM(G234))</f>
        <v>INFRAESTRUCTURA</v>
      </c>
      <c r="W234" s="9" t="str">
        <f aca="false">IF(F234="","Sin dato",F234)</f>
        <v>On Premise</v>
      </c>
      <c r="X234" s="9" t="n">
        <f aca="false">IF(M234="","",YEAR(M234))</f>
        <v>2026</v>
      </c>
      <c r="Y234" s="10" t="n">
        <f aca="false">IF(M234="","",DATE(YEAR(M234),MONTH(M234),1))</f>
        <v>46174</v>
      </c>
      <c r="Z234" s="9" t="n">
        <f aca="false">IF(AND(Q234=0,COUNTIF(dDuplicadosGI!$A$2:$A$60,C234)&gt;0),1,0)</f>
        <v>0</v>
      </c>
      <c r="AA234" s="9" t="n">
        <f aca="false">IF(Q234=0,1,0)</f>
        <v>0</v>
      </c>
    </row>
    <row r="235" customFormat="false" ht="15" hidden="false" customHeight="false" outlineLevel="0" collapsed="false">
      <c r="A235" s="7" t="n">
        <v>234</v>
      </c>
      <c r="B235" s="7" t="s">
        <v>964</v>
      </c>
      <c r="C235" s="7" t="s">
        <v>965</v>
      </c>
      <c r="D235" s="7" t="s">
        <v>151</v>
      </c>
      <c r="E235" s="7" t="s">
        <v>119</v>
      </c>
      <c r="F235" s="7" t="s">
        <v>94</v>
      </c>
      <c r="G235" s="7" t="s">
        <v>166</v>
      </c>
      <c r="H235" s="7" t="s">
        <v>966</v>
      </c>
      <c r="I235" s="7" t="s">
        <v>168</v>
      </c>
      <c r="J235" s="7" t="s">
        <v>967</v>
      </c>
      <c r="K235" s="7" t="s">
        <v>170</v>
      </c>
      <c r="L235" s="7" t="s">
        <v>88</v>
      </c>
      <c r="M235" s="8" t="n">
        <v>45657</v>
      </c>
      <c r="N235" s="7" t="s">
        <v>89</v>
      </c>
      <c r="O235" s="9" t="n">
        <f aca="false">IF(COUNTIFS($B$2:B235,B235,$C$2:C235,C235)=1,1,0)</f>
        <v>1</v>
      </c>
      <c r="P235" s="9" t="str">
        <f aca="false">IFERROR(INDEX(dEtapa!$A$2:$A$6,MATCH(N235,dEtapa!$B$2:$B$6,0)),"Sin etapa")</f>
        <v>Gobernada</v>
      </c>
      <c r="Q235" s="9" t="n">
        <f aca="false">IF(L235="Si",1,0)</f>
        <v>1</v>
      </c>
      <c r="R235" s="9" t="n">
        <f aca="false">IF(ISNUMBER(SEARCH("CRITERIO",N235)),1,0)</f>
        <v>0</v>
      </c>
      <c r="S235" s="9" t="str">
        <f aca="false">IF(E235="","Sin dato",LEFT(E235,1))</f>
        <v>E</v>
      </c>
      <c r="T235" s="9" t="n">
        <f aca="false">IFERROR(INDEX(dCriticidad!$G$2:$G$7,MATCH(S235,dCriticidad!$A$2:$A$7,0)),0)</f>
        <v>0</v>
      </c>
      <c r="U235" s="9" t="n">
        <f aca="false">IF(OR(LEFT(C235,3)="GI0",LEFT(C235,3)="GA0"),1,0)</f>
        <v>0</v>
      </c>
      <c r="V235" s="9" t="str">
        <f aca="false">IF(G235="","Sin dato (ID GI)",TRIM(G235))</f>
        <v>Ciberseguridad</v>
      </c>
      <c r="W235" s="9" t="str">
        <f aca="false">IF(F235="","Sin dato",F235)</f>
        <v>Nube</v>
      </c>
      <c r="X235" s="9" t="n">
        <f aca="false">IF(M235="","",YEAR(M235))</f>
        <v>2024</v>
      </c>
      <c r="Y235" s="10" t="n">
        <f aca="false">IF(M235="","",DATE(YEAR(M235),MONTH(M235),1))</f>
        <v>45627</v>
      </c>
      <c r="Z235" s="9" t="n">
        <f aca="false">IF(AND(Q235=0,COUNTIF(dDuplicadosGI!$A$2:$A$60,C235)&gt;0),1,0)</f>
        <v>0</v>
      </c>
      <c r="AA235" s="9" t="n">
        <f aca="false">IF(Q235=0,1,0)</f>
        <v>0</v>
      </c>
    </row>
    <row r="236" customFormat="false" ht="15" hidden="false" customHeight="false" outlineLevel="0" collapsed="false">
      <c r="A236" s="7" t="n">
        <v>235</v>
      </c>
      <c r="B236" s="7" t="s">
        <v>968</v>
      </c>
      <c r="C236" s="7" t="s">
        <v>969</v>
      </c>
      <c r="D236" s="7" t="s">
        <v>970</v>
      </c>
      <c r="E236" s="7" t="s">
        <v>113</v>
      </c>
      <c r="F236" s="7" t="s">
        <v>94</v>
      </c>
      <c r="G236" s="7" t="s">
        <v>166</v>
      </c>
      <c r="H236" s="7" t="s">
        <v>187</v>
      </c>
      <c r="I236" s="7" t="s">
        <v>168</v>
      </c>
      <c r="J236" s="7" t="s">
        <v>188</v>
      </c>
      <c r="K236" s="7" t="s">
        <v>170</v>
      </c>
      <c r="L236" s="7" t="s">
        <v>88</v>
      </c>
      <c r="M236" s="8" t="n">
        <v>45716</v>
      </c>
      <c r="N236" s="7" t="s">
        <v>89</v>
      </c>
      <c r="O236" s="9" t="n">
        <f aca="false">IF(COUNTIFS($B$2:B236,B236,$C$2:C236,C236)=1,1,0)</f>
        <v>1</v>
      </c>
      <c r="P236" s="9" t="str">
        <f aca="false">IFERROR(INDEX(dEtapa!$A$2:$A$6,MATCH(N236,dEtapa!$B$2:$B$6,0)),"Sin etapa")</f>
        <v>Gobernada</v>
      </c>
      <c r="Q236" s="9" t="n">
        <f aca="false">IF(L236="Si",1,0)</f>
        <v>1</v>
      </c>
      <c r="R236" s="9" t="n">
        <f aca="false">IF(ISNUMBER(SEARCH("CRITERIO",N236)),1,0)</f>
        <v>0</v>
      </c>
      <c r="S236" s="9" t="str">
        <f aca="false">IF(E236="","Sin dato",LEFT(E236,1))</f>
        <v>C</v>
      </c>
      <c r="T236" s="9" t="n">
        <f aca="false">IFERROR(INDEX(dCriticidad!$G$2:$G$7,MATCH(S236,dCriticidad!$A$2:$A$7,0)),0)</f>
        <v>1</v>
      </c>
      <c r="U236" s="9" t="n">
        <f aca="false">IF(OR(LEFT(C236,3)="GI0",LEFT(C236,3)="GA0"),1,0)</f>
        <v>0</v>
      </c>
      <c r="V236" s="9" t="str">
        <f aca="false">IF(G236="","Sin dato (ID GI)",TRIM(G236))</f>
        <v>Ciberseguridad</v>
      </c>
      <c r="W236" s="9" t="str">
        <f aca="false">IF(F236="","Sin dato",F236)</f>
        <v>Nube</v>
      </c>
      <c r="X236" s="9" t="n">
        <f aca="false">IF(M236="","",YEAR(M236))</f>
        <v>2025</v>
      </c>
      <c r="Y236" s="10" t="n">
        <f aca="false">IF(M236="","",DATE(YEAR(M236),MONTH(M236),1))</f>
        <v>45689</v>
      </c>
      <c r="Z236" s="9" t="n">
        <f aca="false">IF(AND(Q236=0,COUNTIF(dDuplicadosGI!$A$2:$A$60,C236)&gt;0),1,0)</f>
        <v>0</v>
      </c>
      <c r="AA236" s="9" t="n">
        <f aca="false">IF(Q236=0,1,0)</f>
        <v>0</v>
      </c>
    </row>
    <row r="237" customFormat="false" ht="15" hidden="false" customHeight="false" outlineLevel="0" collapsed="false">
      <c r="A237" s="7" t="n">
        <v>236</v>
      </c>
      <c r="B237" s="7" t="s">
        <v>971</v>
      </c>
      <c r="C237" s="7" t="s">
        <v>972</v>
      </c>
      <c r="D237" s="7" t="s">
        <v>973</v>
      </c>
      <c r="E237" s="7" t="s">
        <v>119</v>
      </c>
      <c r="F237" s="7" t="s">
        <v>94</v>
      </c>
      <c r="G237" s="7" t="s">
        <v>192</v>
      </c>
      <c r="H237" s="7" t="s">
        <v>193</v>
      </c>
      <c r="I237" s="7" t="s">
        <v>974</v>
      </c>
      <c r="J237" s="7" t="s">
        <v>975</v>
      </c>
      <c r="K237" s="7" t="s">
        <v>87</v>
      </c>
      <c r="L237" s="7" t="s">
        <v>88</v>
      </c>
      <c r="M237" s="8" t="n">
        <v>45814</v>
      </c>
      <c r="N237" s="7" t="s">
        <v>89</v>
      </c>
      <c r="O237" s="9" t="n">
        <f aca="false">IF(COUNTIFS($B$2:B237,B237,$C$2:C237,C237)=1,1,0)</f>
        <v>1</v>
      </c>
      <c r="P237" s="9" t="str">
        <f aca="false">IFERROR(INDEX(dEtapa!$A$2:$A$6,MATCH(N237,dEtapa!$B$2:$B$6,0)),"Sin etapa")</f>
        <v>Gobernada</v>
      </c>
      <c r="Q237" s="9" t="n">
        <f aca="false">IF(L237="Si",1,0)</f>
        <v>1</v>
      </c>
      <c r="R237" s="9" t="n">
        <f aca="false">IF(ISNUMBER(SEARCH("CRITERIO",N237)),1,0)</f>
        <v>0</v>
      </c>
      <c r="S237" s="9" t="str">
        <f aca="false">IF(E237="","Sin dato",LEFT(E237,1))</f>
        <v>E</v>
      </c>
      <c r="T237" s="9" t="n">
        <f aca="false">IFERROR(INDEX(dCriticidad!$G$2:$G$7,MATCH(S237,dCriticidad!$A$2:$A$7,0)),0)</f>
        <v>0</v>
      </c>
      <c r="U237" s="9" t="n">
        <f aca="false">IF(OR(LEFT(C237,3)="GI0",LEFT(C237,3)="GA0"),1,0)</f>
        <v>0</v>
      </c>
      <c r="V237" s="9" t="str">
        <f aca="false">IF(G237="","Sin dato (ID GI)",TRIM(G237))</f>
        <v>AREAS_DE_APOYO</v>
      </c>
      <c r="W237" s="9" t="str">
        <f aca="false">IF(F237="","Sin dato",F237)</f>
        <v>Nube</v>
      </c>
      <c r="X237" s="9" t="n">
        <f aca="false">IF(M237="","",YEAR(M237))</f>
        <v>2025</v>
      </c>
      <c r="Y237" s="10" t="n">
        <f aca="false">IF(M237="","",DATE(YEAR(M237),MONTH(M237),1))</f>
        <v>45809</v>
      </c>
      <c r="Z237" s="9" t="n">
        <f aca="false">IF(AND(Q237=0,COUNTIF(dDuplicadosGI!$A$2:$A$60,C237)&gt;0),1,0)</f>
        <v>0</v>
      </c>
      <c r="AA237" s="9" t="n">
        <f aca="false">IF(Q237=0,1,0)</f>
        <v>0</v>
      </c>
    </row>
    <row r="238" customFormat="false" ht="15" hidden="false" customHeight="false" outlineLevel="0" collapsed="false">
      <c r="A238" s="7" t="n">
        <v>237</v>
      </c>
      <c r="B238" s="7" t="s">
        <v>976</v>
      </c>
      <c r="C238" s="7" t="s">
        <v>977</v>
      </c>
      <c r="D238" s="7" t="s">
        <v>978</v>
      </c>
      <c r="E238" s="7" t="s">
        <v>119</v>
      </c>
      <c r="F238" s="7" t="s">
        <v>94</v>
      </c>
      <c r="G238" s="7" t="s">
        <v>166</v>
      </c>
      <c r="H238" s="7" t="s">
        <v>182</v>
      </c>
      <c r="I238" s="7" t="s">
        <v>168</v>
      </c>
      <c r="J238" s="7" t="s">
        <v>183</v>
      </c>
      <c r="K238" s="7" t="s">
        <v>170</v>
      </c>
      <c r="L238" s="7" t="s">
        <v>88</v>
      </c>
      <c r="M238" s="8" t="n">
        <v>46170</v>
      </c>
      <c r="N238" s="7" t="s">
        <v>89</v>
      </c>
      <c r="O238" s="9" t="n">
        <f aca="false">IF(COUNTIFS($B$2:B238,B238,$C$2:C238,C238)=1,1,0)</f>
        <v>1</v>
      </c>
      <c r="P238" s="9" t="str">
        <f aca="false">IFERROR(INDEX(dEtapa!$A$2:$A$6,MATCH(N238,dEtapa!$B$2:$B$6,0)),"Sin etapa")</f>
        <v>Gobernada</v>
      </c>
      <c r="Q238" s="9" t="n">
        <f aca="false">IF(L238="Si",1,0)</f>
        <v>1</v>
      </c>
      <c r="R238" s="9" t="n">
        <f aca="false">IF(ISNUMBER(SEARCH("CRITERIO",N238)),1,0)</f>
        <v>0</v>
      </c>
      <c r="S238" s="9" t="str">
        <f aca="false">IF(E238="","Sin dato",LEFT(E238,1))</f>
        <v>E</v>
      </c>
      <c r="T238" s="9" t="n">
        <f aca="false">IFERROR(INDEX(dCriticidad!$G$2:$G$7,MATCH(S238,dCriticidad!$A$2:$A$7,0)),0)</f>
        <v>0</v>
      </c>
      <c r="U238" s="9" t="n">
        <f aca="false">IF(OR(LEFT(C238,3)="GI0",LEFT(C238,3)="GA0"),1,0)</f>
        <v>0</v>
      </c>
      <c r="V238" s="9" t="str">
        <f aca="false">IF(G238="","Sin dato (ID GI)",TRIM(G238))</f>
        <v>Ciberseguridad</v>
      </c>
      <c r="W238" s="9" t="str">
        <f aca="false">IF(F238="","Sin dato",F238)</f>
        <v>Nube</v>
      </c>
      <c r="X238" s="9" t="n">
        <f aca="false">IF(M238="","",YEAR(M238))</f>
        <v>2026</v>
      </c>
      <c r="Y238" s="10" t="n">
        <f aca="false">IF(M238="","",DATE(YEAR(M238),MONTH(M238),1))</f>
        <v>46143</v>
      </c>
      <c r="Z238" s="9" t="n">
        <f aca="false">IF(AND(Q238=0,COUNTIF(dDuplicadosGI!$A$2:$A$60,C238)&gt;0),1,0)</f>
        <v>0</v>
      </c>
      <c r="AA238" s="9" t="n">
        <f aca="false">IF(Q238=0,1,0)</f>
        <v>0</v>
      </c>
    </row>
    <row r="239" customFormat="false" ht="15" hidden="false" customHeight="false" outlineLevel="0" collapsed="false">
      <c r="A239" s="7" t="n">
        <v>238</v>
      </c>
      <c r="B239" s="7" t="s">
        <v>979</v>
      </c>
      <c r="C239" s="7" t="s">
        <v>980</v>
      </c>
      <c r="D239" s="7" t="s">
        <v>981</v>
      </c>
      <c r="E239" s="7" t="s">
        <v>113</v>
      </c>
      <c r="F239" s="7" t="s">
        <v>82</v>
      </c>
      <c r="G239" s="7" t="s">
        <v>166</v>
      </c>
      <c r="H239" s="7" t="s">
        <v>397</v>
      </c>
      <c r="I239" s="7" t="s">
        <v>168</v>
      </c>
      <c r="J239" s="7" t="s">
        <v>313</v>
      </c>
      <c r="K239" s="7" t="s">
        <v>170</v>
      </c>
      <c r="L239" s="7" t="s">
        <v>88</v>
      </c>
      <c r="M239" s="8" t="n">
        <v>45930</v>
      </c>
      <c r="N239" s="7" t="s">
        <v>89</v>
      </c>
      <c r="O239" s="9" t="n">
        <f aca="false">IF(COUNTIFS($B$2:B239,B239,$C$2:C239,C239)=1,1,0)</f>
        <v>1</v>
      </c>
      <c r="P239" s="9" t="str">
        <f aca="false">IFERROR(INDEX(dEtapa!$A$2:$A$6,MATCH(N239,dEtapa!$B$2:$B$6,0)),"Sin etapa")</f>
        <v>Gobernada</v>
      </c>
      <c r="Q239" s="9" t="n">
        <f aca="false">IF(L239="Si",1,0)</f>
        <v>1</v>
      </c>
      <c r="R239" s="9" t="n">
        <f aca="false">IF(ISNUMBER(SEARCH("CRITERIO",N239)),1,0)</f>
        <v>0</v>
      </c>
      <c r="S239" s="9" t="str">
        <f aca="false">IF(E239="","Sin dato",LEFT(E239,1))</f>
        <v>C</v>
      </c>
      <c r="T239" s="9" t="n">
        <f aca="false">IFERROR(INDEX(dCriticidad!$G$2:$G$7,MATCH(S239,dCriticidad!$A$2:$A$7,0)),0)</f>
        <v>1</v>
      </c>
      <c r="U239" s="9" t="n">
        <f aca="false">IF(OR(LEFT(C239,3)="GI0",LEFT(C239,3)="GA0"),1,0)</f>
        <v>0</v>
      </c>
      <c r="V239" s="9" t="str">
        <f aca="false">IF(G239="","Sin dato (ID GI)",TRIM(G239))</f>
        <v>Ciberseguridad</v>
      </c>
      <c r="W239" s="9" t="str">
        <f aca="false">IF(F239="","Sin dato",F239)</f>
        <v>On Premise</v>
      </c>
      <c r="X239" s="9" t="n">
        <f aca="false">IF(M239="","",YEAR(M239))</f>
        <v>2025</v>
      </c>
      <c r="Y239" s="10" t="n">
        <f aca="false">IF(M239="","",DATE(YEAR(M239),MONTH(M239),1))</f>
        <v>45901</v>
      </c>
      <c r="Z239" s="9" t="n">
        <f aca="false">IF(AND(Q239=0,COUNTIF(dDuplicadosGI!$A$2:$A$60,C239)&gt;0),1,0)</f>
        <v>0</v>
      </c>
      <c r="AA239" s="9" t="n">
        <f aca="false">IF(Q239=0,1,0)</f>
        <v>0</v>
      </c>
    </row>
    <row r="240" customFormat="false" ht="15" hidden="false" customHeight="false" outlineLevel="0" collapsed="false">
      <c r="A240" s="7" t="n">
        <v>239</v>
      </c>
      <c r="B240" s="7" t="s">
        <v>982</v>
      </c>
      <c r="C240" s="7" t="s">
        <v>983</v>
      </c>
      <c r="D240" s="7" t="s">
        <v>984</v>
      </c>
      <c r="E240" s="7" t="s">
        <v>119</v>
      </c>
      <c r="F240" s="7" t="s">
        <v>94</v>
      </c>
      <c r="G240" s="7" t="s">
        <v>125</v>
      </c>
      <c r="H240" s="7" t="s">
        <v>126</v>
      </c>
      <c r="I240" s="7" t="s">
        <v>985</v>
      </c>
      <c r="J240" s="7" t="s">
        <v>985</v>
      </c>
      <c r="K240" s="7" t="s">
        <v>98</v>
      </c>
      <c r="L240" s="7" t="s">
        <v>99</v>
      </c>
      <c r="M240" s="8"/>
      <c r="N240" s="7" t="s">
        <v>109</v>
      </c>
      <c r="O240" s="9" t="n">
        <f aca="false">IF(COUNTIFS($B$2:B240,B240,$C$2:C240,C240)=1,1,0)</f>
        <v>1</v>
      </c>
      <c r="P240" s="9" t="str">
        <f aca="false">IFERROR(INDEX(dEtapa!$A$2:$A$6,MATCH(N240,dEtapa!$B$2:$B$6,0)),"Sin etapa")</f>
        <v>Planificada 2027</v>
      </c>
      <c r="Q240" s="9" t="n">
        <f aca="false">IF(L240="Si",1,0)</f>
        <v>0</v>
      </c>
      <c r="R240" s="9" t="n">
        <f aca="false">IF(ISNUMBER(SEARCH("CRITERIO",N240)),1,0)</f>
        <v>0</v>
      </c>
      <c r="S240" s="9" t="str">
        <f aca="false">IF(E240="","Sin dato",LEFT(E240,1))</f>
        <v>E</v>
      </c>
      <c r="T240" s="9" t="n">
        <f aca="false">IFERROR(INDEX(dCriticidad!$G$2:$G$7,MATCH(S240,dCriticidad!$A$2:$A$7,0)),0)</f>
        <v>0</v>
      </c>
      <c r="U240" s="9" t="n">
        <f aca="false">IF(OR(LEFT(C240,3)="GI0",LEFT(C240,3)="GA0"),1,0)</f>
        <v>0</v>
      </c>
      <c r="V240" s="9" t="str">
        <f aca="false">IF(G240="","Sin dato (ID GI)",TRIM(G240))</f>
        <v>Negocios y Monetización</v>
      </c>
      <c r="W240" s="9" t="str">
        <f aca="false">IF(F240="","Sin dato",F240)</f>
        <v>Nube</v>
      </c>
      <c r="X240" s="9" t="str">
        <f aca="false">IF(M240="","",YEAR(M240))</f>
        <v/>
      </c>
      <c r="Y240" s="10" t="str">
        <f aca="false">IF(M240="","",DATE(YEAR(M240),MONTH(M240),1))</f>
        <v/>
      </c>
      <c r="Z240" s="9" t="n">
        <f aca="false">IF(AND(Q240=0,COUNTIF(dDuplicadosGI!$A$2:$A$60,C240)&gt;0),1,0)</f>
        <v>0</v>
      </c>
      <c r="AA240" s="9" t="n">
        <f aca="false">IF(Q240=0,1,0)</f>
        <v>1</v>
      </c>
    </row>
    <row r="241" customFormat="false" ht="15" hidden="false" customHeight="false" outlineLevel="0" collapsed="false">
      <c r="A241" s="7" t="n">
        <v>240</v>
      </c>
      <c r="B241" s="7" t="s">
        <v>986</v>
      </c>
      <c r="C241" s="7" t="s">
        <v>987</v>
      </c>
      <c r="D241" s="7" t="s">
        <v>988</v>
      </c>
      <c r="E241" s="7" t="s">
        <v>119</v>
      </c>
      <c r="F241" s="7" t="s">
        <v>82</v>
      </c>
      <c r="G241" s="7" t="s">
        <v>104</v>
      </c>
      <c r="H241" s="7" t="s">
        <v>105</v>
      </c>
      <c r="I241" s="7" t="s">
        <v>106</v>
      </c>
      <c r="J241" s="7" t="s">
        <v>432</v>
      </c>
      <c r="K241" s="7" t="s">
        <v>108</v>
      </c>
      <c r="L241" s="7" t="s">
        <v>99</v>
      </c>
      <c r="M241" s="8"/>
      <c r="N241" s="7" t="s">
        <v>109</v>
      </c>
      <c r="O241" s="9" t="n">
        <f aca="false">IF(COUNTIFS($B$2:B241,B241,$C$2:C241,C241)=1,1,0)</f>
        <v>1</v>
      </c>
      <c r="P241" s="9" t="str">
        <f aca="false">IFERROR(INDEX(dEtapa!$A$2:$A$6,MATCH(N241,dEtapa!$B$2:$B$6,0)),"Sin etapa")</f>
        <v>Planificada 2027</v>
      </c>
      <c r="Q241" s="9" t="n">
        <f aca="false">IF(L241="Si",1,0)</f>
        <v>0</v>
      </c>
      <c r="R241" s="9" t="n">
        <f aca="false">IF(ISNUMBER(SEARCH("CRITERIO",N241)),1,0)</f>
        <v>0</v>
      </c>
      <c r="S241" s="9" t="str">
        <f aca="false">IF(E241="","Sin dato",LEFT(E241,1))</f>
        <v>E</v>
      </c>
      <c r="T241" s="9" t="n">
        <f aca="false">IFERROR(INDEX(dCriticidad!$G$2:$G$7,MATCH(S241,dCriticidad!$A$2:$A$7,0)),0)</f>
        <v>0</v>
      </c>
      <c r="U241" s="9" t="n">
        <f aca="false">IF(OR(LEFT(C241,3)="GI0",LEFT(C241,3)="GA0"),1,0)</f>
        <v>0</v>
      </c>
      <c r="V241" s="9" t="str">
        <f aca="false">IF(G241="","Sin dato (ID GI)",TRIM(G241))</f>
        <v>INFRAESTRUCTURA</v>
      </c>
      <c r="W241" s="9" t="str">
        <f aca="false">IF(F241="","Sin dato",F241)</f>
        <v>On Premise</v>
      </c>
      <c r="X241" s="9" t="str">
        <f aca="false">IF(M241="","",YEAR(M241))</f>
        <v/>
      </c>
      <c r="Y241" s="10" t="str">
        <f aca="false">IF(M241="","",DATE(YEAR(M241),MONTH(M241),1))</f>
        <v/>
      </c>
      <c r="Z241" s="9" t="n">
        <f aca="false">IF(AND(Q241=0,COUNTIF(dDuplicadosGI!$A$2:$A$60,C241)&gt;0),1,0)</f>
        <v>0</v>
      </c>
      <c r="AA241" s="9" t="n">
        <f aca="false">IF(Q241=0,1,0)</f>
        <v>1</v>
      </c>
    </row>
    <row r="242" customFormat="false" ht="15" hidden="false" customHeight="false" outlineLevel="0" collapsed="false">
      <c r="A242" s="7" t="n">
        <v>241</v>
      </c>
      <c r="B242" s="7" t="s">
        <v>989</v>
      </c>
      <c r="C242" s="7" t="s">
        <v>990</v>
      </c>
      <c r="D242" s="7" t="s">
        <v>991</v>
      </c>
      <c r="E242" s="7" t="s">
        <v>119</v>
      </c>
      <c r="F242" s="7" t="s">
        <v>82</v>
      </c>
      <c r="G242" s="7" t="s">
        <v>104</v>
      </c>
      <c r="H242" s="7" t="s">
        <v>105</v>
      </c>
      <c r="I242" s="7" t="s">
        <v>120</v>
      </c>
      <c r="J242" s="7" t="s">
        <v>992</v>
      </c>
      <c r="K242" s="7" t="s">
        <v>170</v>
      </c>
      <c r="L242" s="7" t="s">
        <v>88</v>
      </c>
      <c r="M242" s="8" t="n">
        <v>45199</v>
      </c>
      <c r="N242" s="7" t="s">
        <v>89</v>
      </c>
      <c r="O242" s="9" t="n">
        <f aca="false">IF(COUNTIFS($B$2:B242,B242,$C$2:C242,C242)=1,1,0)</f>
        <v>1</v>
      </c>
      <c r="P242" s="9" t="str">
        <f aca="false">IFERROR(INDEX(dEtapa!$A$2:$A$6,MATCH(N242,dEtapa!$B$2:$B$6,0)),"Sin etapa")</f>
        <v>Gobernada</v>
      </c>
      <c r="Q242" s="9" t="n">
        <f aca="false">IF(L242="Si",1,0)</f>
        <v>1</v>
      </c>
      <c r="R242" s="9" t="n">
        <f aca="false">IF(ISNUMBER(SEARCH("CRITERIO",N242)),1,0)</f>
        <v>0</v>
      </c>
      <c r="S242" s="9" t="str">
        <f aca="false">IF(E242="","Sin dato",LEFT(E242,1))</f>
        <v>E</v>
      </c>
      <c r="T242" s="9" t="n">
        <f aca="false">IFERROR(INDEX(dCriticidad!$G$2:$G$7,MATCH(S242,dCriticidad!$A$2:$A$7,0)),0)</f>
        <v>0</v>
      </c>
      <c r="U242" s="9" t="n">
        <f aca="false">IF(OR(LEFT(C242,3)="GI0",LEFT(C242,3)="GA0"),1,0)</f>
        <v>0</v>
      </c>
      <c r="V242" s="9" t="str">
        <f aca="false">IF(G242="","Sin dato (ID GI)",TRIM(G242))</f>
        <v>INFRAESTRUCTURA</v>
      </c>
      <c r="W242" s="9" t="str">
        <f aca="false">IF(F242="","Sin dato",F242)</f>
        <v>On Premise</v>
      </c>
      <c r="X242" s="9" t="n">
        <f aca="false">IF(M242="","",YEAR(M242))</f>
        <v>2023</v>
      </c>
      <c r="Y242" s="10" t="n">
        <f aca="false">IF(M242="","",DATE(YEAR(M242),MONTH(M242),1))</f>
        <v>45170</v>
      </c>
      <c r="Z242" s="9" t="n">
        <f aca="false">IF(AND(Q242=0,COUNTIF(dDuplicadosGI!$A$2:$A$60,C242)&gt;0),1,0)</f>
        <v>0</v>
      </c>
      <c r="AA242" s="9" t="n">
        <f aca="false">IF(Q242=0,1,0)</f>
        <v>0</v>
      </c>
    </row>
    <row r="243" customFormat="false" ht="15" hidden="false" customHeight="false" outlineLevel="0" collapsed="false">
      <c r="A243" s="7" t="n">
        <v>242</v>
      </c>
      <c r="B243" s="7" t="s">
        <v>993</v>
      </c>
      <c r="C243" s="7" t="s">
        <v>994</v>
      </c>
      <c r="D243" s="7" t="s">
        <v>995</v>
      </c>
      <c r="E243" s="7" t="s">
        <v>145</v>
      </c>
      <c r="F243" s="7" t="s">
        <v>82</v>
      </c>
      <c r="G243" s="7" t="s">
        <v>337</v>
      </c>
      <c r="H243" s="7" t="s">
        <v>338</v>
      </c>
      <c r="I243" s="7" t="s">
        <v>338</v>
      </c>
      <c r="J243" s="7" t="s">
        <v>338</v>
      </c>
      <c r="K243" s="7" t="s">
        <v>108</v>
      </c>
      <c r="L243" s="7" t="s">
        <v>88</v>
      </c>
      <c r="M243" s="8" t="n">
        <v>45567</v>
      </c>
      <c r="N243" s="7" t="s">
        <v>89</v>
      </c>
      <c r="O243" s="9" t="n">
        <f aca="false">IF(COUNTIFS($B$2:B243,B243,$C$2:C243,C243)=1,1,0)</f>
        <v>1</v>
      </c>
      <c r="P243" s="9" t="str">
        <f aca="false">IFERROR(INDEX(dEtapa!$A$2:$A$6,MATCH(N243,dEtapa!$B$2:$B$6,0)),"Sin etapa")</f>
        <v>Gobernada</v>
      </c>
      <c r="Q243" s="9" t="n">
        <f aca="false">IF(L243="Si",1,0)</f>
        <v>1</v>
      </c>
      <c r="R243" s="9" t="n">
        <f aca="false">IF(ISNUMBER(SEARCH("CRITERIO",N243)),1,0)</f>
        <v>0</v>
      </c>
      <c r="S243" s="9" t="str">
        <f aca="false">IF(E243="","Sin dato",LEFT(E243,1))</f>
        <v>B</v>
      </c>
      <c r="T243" s="9" t="n">
        <f aca="false">IFERROR(INDEX(dCriticidad!$G$2:$G$7,MATCH(S243,dCriticidad!$A$2:$A$7,0)),0)</f>
        <v>1</v>
      </c>
      <c r="U243" s="9" t="n">
        <f aca="false">IF(OR(LEFT(C243,3)="GI0",LEFT(C243,3)="GA0"),1,0)</f>
        <v>0</v>
      </c>
      <c r="V243" s="9" t="str">
        <f aca="false">IF(G243="","Sin dato (ID GI)",TRIM(G243))</f>
        <v>Gerencia SRE</v>
      </c>
      <c r="W243" s="9" t="str">
        <f aca="false">IF(F243="","Sin dato",F243)</f>
        <v>On Premise</v>
      </c>
      <c r="X243" s="9" t="n">
        <f aca="false">IF(M243="","",YEAR(M243))</f>
        <v>2024</v>
      </c>
      <c r="Y243" s="10" t="n">
        <f aca="false">IF(M243="","",DATE(YEAR(M243),MONTH(M243),1))</f>
        <v>45566</v>
      </c>
      <c r="Z243" s="9" t="n">
        <f aca="false">IF(AND(Q243=0,COUNTIF(dDuplicadosGI!$A$2:$A$60,C243)&gt;0),1,0)</f>
        <v>0</v>
      </c>
      <c r="AA243" s="9" t="n">
        <f aca="false">IF(Q243=0,1,0)</f>
        <v>0</v>
      </c>
    </row>
    <row r="244" customFormat="false" ht="15" hidden="false" customHeight="false" outlineLevel="0" collapsed="false">
      <c r="A244" s="7" t="n">
        <v>243</v>
      </c>
      <c r="B244" s="7" t="s">
        <v>996</v>
      </c>
      <c r="C244" s="7" t="s">
        <v>997</v>
      </c>
      <c r="D244" s="7" t="s">
        <v>998</v>
      </c>
      <c r="E244" s="7" t="s">
        <v>119</v>
      </c>
      <c r="F244" s="7" t="s">
        <v>82</v>
      </c>
      <c r="G244" s="7" t="s">
        <v>104</v>
      </c>
      <c r="H244" s="7" t="s">
        <v>105</v>
      </c>
      <c r="I244" s="7" t="s">
        <v>120</v>
      </c>
      <c r="J244" s="7" t="s">
        <v>992</v>
      </c>
      <c r="K244" s="7" t="s">
        <v>108</v>
      </c>
      <c r="L244" s="7" t="s">
        <v>99</v>
      </c>
      <c r="M244" s="8"/>
      <c r="N244" s="7" t="s">
        <v>109</v>
      </c>
      <c r="O244" s="9" t="n">
        <f aca="false">IF(COUNTIFS($B$2:B244,B244,$C$2:C244,C244)=1,1,0)</f>
        <v>1</v>
      </c>
      <c r="P244" s="9" t="str">
        <f aca="false">IFERROR(INDEX(dEtapa!$A$2:$A$6,MATCH(N244,dEtapa!$B$2:$B$6,0)),"Sin etapa")</f>
        <v>Planificada 2027</v>
      </c>
      <c r="Q244" s="9" t="n">
        <f aca="false">IF(L244="Si",1,0)</f>
        <v>0</v>
      </c>
      <c r="R244" s="9" t="n">
        <f aca="false">IF(ISNUMBER(SEARCH("CRITERIO",N244)),1,0)</f>
        <v>0</v>
      </c>
      <c r="S244" s="9" t="str">
        <f aca="false">IF(E244="","Sin dato",LEFT(E244,1))</f>
        <v>E</v>
      </c>
      <c r="T244" s="9" t="n">
        <f aca="false">IFERROR(INDEX(dCriticidad!$G$2:$G$7,MATCH(S244,dCriticidad!$A$2:$A$7,0)),0)</f>
        <v>0</v>
      </c>
      <c r="U244" s="9" t="n">
        <f aca="false">IF(OR(LEFT(C244,3)="GI0",LEFT(C244,3)="GA0"),1,0)</f>
        <v>0</v>
      </c>
      <c r="V244" s="9" t="str">
        <f aca="false">IF(G244="","Sin dato (ID GI)",TRIM(G244))</f>
        <v>INFRAESTRUCTURA</v>
      </c>
      <c r="W244" s="9" t="str">
        <f aca="false">IF(F244="","Sin dato",F244)</f>
        <v>On Premise</v>
      </c>
      <c r="X244" s="9" t="str">
        <f aca="false">IF(M244="","",YEAR(M244))</f>
        <v/>
      </c>
      <c r="Y244" s="10" t="str">
        <f aca="false">IF(M244="","",DATE(YEAR(M244),MONTH(M244),1))</f>
        <v/>
      </c>
      <c r="Z244" s="9" t="n">
        <f aca="false">IF(AND(Q244=0,COUNTIF(dDuplicadosGI!$A$2:$A$60,C244)&gt;0),1,0)</f>
        <v>0</v>
      </c>
      <c r="AA244" s="9" t="n">
        <f aca="false">IF(Q244=0,1,0)</f>
        <v>1</v>
      </c>
    </row>
    <row r="245" customFormat="false" ht="15" hidden="false" customHeight="false" outlineLevel="0" collapsed="false">
      <c r="A245" s="7" t="n">
        <v>244</v>
      </c>
      <c r="B245" s="7" t="s">
        <v>999</v>
      </c>
      <c r="C245" s="7" t="s">
        <v>1000</v>
      </c>
      <c r="D245" s="7" t="s">
        <v>1001</v>
      </c>
      <c r="E245" s="7" t="s">
        <v>113</v>
      </c>
      <c r="F245" s="7" t="s">
        <v>269</v>
      </c>
      <c r="G245" s="7" t="s">
        <v>153</v>
      </c>
      <c r="H245" s="7" t="s">
        <v>154</v>
      </c>
      <c r="I245" s="7" t="s">
        <v>559</v>
      </c>
      <c r="J245" s="7" t="s">
        <v>560</v>
      </c>
      <c r="K245" s="7" t="s">
        <v>87</v>
      </c>
      <c r="L245" s="7" t="s">
        <v>99</v>
      </c>
      <c r="M245" s="8"/>
      <c r="N245" s="7" t="s">
        <v>178</v>
      </c>
      <c r="O245" s="9" t="n">
        <f aca="false">IF(COUNTIFS($B$2:B245,B245,$C$2:C245,C245)=1,1,0)</f>
        <v>1</v>
      </c>
      <c r="P245" s="9" t="str">
        <f aca="false">IFERROR(INDEX(dEtapa!$A$2:$A$6,MATCH(N245,dEtapa!$B$2:$B$6,0)),"Sin etapa")</f>
        <v>Criterio 2</v>
      </c>
      <c r="Q245" s="9" t="n">
        <f aca="false">IF(L245="Si",1,0)</f>
        <v>0</v>
      </c>
      <c r="R245" s="9" t="n">
        <f aca="false">IF(ISNUMBER(SEARCH("CRITERIO",N245)),1,0)</f>
        <v>1</v>
      </c>
      <c r="S245" s="9" t="str">
        <f aca="false">IF(E245="","Sin dato",LEFT(E245,1))</f>
        <v>C</v>
      </c>
      <c r="T245" s="9" t="n">
        <f aca="false">IFERROR(INDEX(dCriticidad!$G$2:$G$7,MATCH(S245,dCriticidad!$A$2:$A$7,0)),0)</f>
        <v>1</v>
      </c>
      <c r="U245" s="9" t="n">
        <f aca="false">IF(OR(LEFT(C245,3)="GI0",LEFT(C245,3)="GA0"),1,0)</f>
        <v>0</v>
      </c>
      <c r="V245" s="9" t="str">
        <f aca="false">IF(G245="","Sin dato (ID GI)",TRIM(G245))</f>
        <v>MEDIOS_DE_PAGO</v>
      </c>
      <c r="W245" s="9" t="str">
        <f aca="false">IF(F245="","Sin dato",F245)</f>
        <v>Híbrida</v>
      </c>
      <c r="X245" s="9" t="str">
        <f aca="false">IF(M245="","",YEAR(M245))</f>
        <v/>
      </c>
      <c r="Y245" s="10" t="str">
        <f aca="false">IF(M245="","",DATE(YEAR(M245),MONTH(M245),1))</f>
        <v/>
      </c>
      <c r="Z245" s="9" t="n">
        <f aca="false">IF(AND(Q245=0,COUNTIF(dDuplicadosGI!$A$2:$A$60,C245)&gt;0),1,0)</f>
        <v>1</v>
      </c>
      <c r="AA245" s="9" t="n">
        <f aca="false">IF(Q245=0,1,0)</f>
        <v>1</v>
      </c>
    </row>
    <row r="246" customFormat="false" ht="15" hidden="false" customHeight="false" outlineLevel="0" collapsed="false">
      <c r="A246" s="7" t="n">
        <v>245</v>
      </c>
      <c r="B246" s="7" t="s">
        <v>1002</v>
      </c>
      <c r="C246" s="7" t="s">
        <v>1003</v>
      </c>
      <c r="D246" s="7" t="s">
        <v>1004</v>
      </c>
      <c r="E246" s="7" t="s">
        <v>81</v>
      </c>
      <c r="F246" s="7" t="s">
        <v>152</v>
      </c>
      <c r="G246" s="7" t="s">
        <v>153</v>
      </c>
      <c r="H246" s="7" t="s">
        <v>154</v>
      </c>
      <c r="I246" s="7" t="s">
        <v>412</v>
      </c>
      <c r="J246" s="7" t="s">
        <v>1005</v>
      </c>
      <c r="K246" s="7" t="s">
        <v>87</v>
      </c>
      <c r="L246" s="7" t="s">
        <v>88</v>
      </c>
      <c r="M246" s="8" t="n">
        <v>45807</v>
      </c>
      <c r="N246" s="7" t="s">
        <v>89</v>
      </c>
      <c r="O246" s="9" t="n">
        <f aca="false">IF(COUNTIFS($B$2:B246,B246,$C$2:C246,C246)=1,1,0)</f>
        <v>1</v>
      </c>
      <c r="P246" s="9" t="str">
        <f aca="false">IFERROR(INDEX(dEtapa!$A$2:$A$6,MATCH(N246,dEtapa!$B$2:$B$6,0)),"Sin etapa")</f>
        <v>Gobernada</v>
      </c>
      <c r="Q246" s="9" t="n">
        <f aca="false">IF(L246="Si",1,0)</f>
        <v>1</v>
      </c>
      <c r="R246" s="9" t="n">
        <f aca="false">IF(ISNUMBER(SEARCH("CRITERIO",N246)),1,0)</f>
        <v>0</v>
      </c>
      <c r="S246" s="9" t="str">
        <f aca="false">IF(E246="","Sin dato",LEFT(E246,1))</f>
        <v>A</v>
      </c>
      <c r="T246" s="9" t="n">
        <f aca="false">IFERROR(INDEX(dCriticidad!$G$2:$G$7,MATCH(S246,dCriticidad!$A$2:$A$7,0)),0)</f>
        <v>1</v>
      </c>
      <c r="U246" s="9" t="n">
        <f aca="false">IF(OR(LEFT(C246,3)="GI0",LEFT(C246,3)="GA0"),1,0)</f>
        <v>0</v>
      </c>
      <c r="V246" s="9" t="str">
        <f aca="false">IF(G246="","Sin dato (ID GI)",TRIM(G246))</f>
        <v>MEDIOS_DE_PAGO</v>
      </c>
      <c r="W246" s="9" t="str">
        <f aca="false">IF(F246="","Sin dato",F246)</f>
        <v>Terceros</v>
      </c>
      <c r="X246" s="9" t="n">
        <f aca="false">IF(M246="","",YEAR(M246))</f>
        <v>2025</v>
      </c>
      <c r="Y246" s="10" t="n">
        <f aca="false">IF(M246="","",DATE(YEAR(M246),MONTH(M246),1))</f>
        <v>45778</v>
      </c>
      <c r="Z246" s="9" t="n">
        <f aca="false">IF(AND(Q246=0,COUNTIF(dDuplicadosGI!$A$2:$A$60,C246)&gt;0),1,0)</f>
        <v>0</v>
      </c>
      <c r="AA246" s="9" t="n">
        <f aca="false">IF(Q246=0,1,0)</f>
        <v>0</v>
      </c>
    </row>
    <row r="247" customFormat="false" ht="15" hidden="false" customHeight="false" outlineLevel="0" collapsed="false">
      <c r="A247" s="7" t="n">
        <v>246</v>
      </c>
      <c r="B247" s="7" t="s">
        <v>1006</v>
      </c>
      <c r="C247" s="7" t="s">
        <v>1007</v>
      </c>
      <c r="D247" s="7" t="s">
        <v>1008</v>
      </c>
      <c r="E247" s="7" t="s">
        <v>113</v>
      </c>
      <c r="F247" s="7" t="s">
        <v>94</v>
      </c>
      <c r="G247" s="7" t="s">
        <v>253</v>
      </c>
      <c r="H247" s="7" t="s">
        <v>254</v>
      </c>
      <c r="I247" s="7" t="s">
        <v>255</v>
      </c>
      <c r="J247" s="7" t="s">
        <v>256</v>
      </c>
      <c r="K247" s="7" t="s">
        <v>87</v>
      </c>
      <c r="L247" s="7" t="s">
        <v>88</v>
      </c>
      <c r="M247" s="8" t="n">
        <v>46261</v>
      </c>
      <c r="N247" s="7" t="s">
        <v>89</v>
      </c>
      <c r="O247" s="9" t="n">
        <f aca="false">IF(COUNTIFS($B$2:B247,B247,$C$2:C247,C247)=1,1,0)</f>
        <v>1</v>
      </c>
      <c r="P247" s="9" t="str">
        <f aca="false">IFERROR(INDEX(dEtapa!$A$2:$A$6,MATCH(N247,dEtapa!$B$2:$B$6,0)),"Sin etapa")</f>
        <v>Gobernada</v>
      </c>
      <c r="Q247" s="9" t="n">
        <f aca="false">IF(L247="Si",1,0)</f>
        <v>1</v>
      </c>
      <c r="R247" s="9" t="n">
        <f aca="false">IF(ISNUMBER(SEARCH("CRITERIO",N247)),1,0)</f>
        <v>0</v>
      </c>
      <c r="S247" s="9" t="str">
        <f aca="false">IF(E247="","Sin dato",LEFT(E247,1))</f>
        <v>C</v>
      </c>
      <c r="T247" s="9" t="n">
        <f aca="false">IFERROR(INDEX(dCriticidad!$G$2:$G$7,MATCH(S247,dCriticidad!$A$2:$A$7,0)),0)</f>
        <v>1</v>
      </c>
      <c r="U247" s="9" t="n">
        <f aca="false">IF(OR(LEFT(C247,3)="GI0",LEFT(C247,3)="GA0"),1,0)</f>
        <v>0</v>
      </c>
      <c r="V247" s="9" t="str">
        <f aca="false">IF(G247="","Sin dato (ID GI)",TRIM(G247))</f>
        <v>Tribu Administración de Créditos</v>
      </c>
      <c r="W247" s="9" t="str">
        <f aca="false">IF(F247="","Sin dato",F247)</f>
        <v>Nube</v>
      </c>
      <c r="X247" s="9" t="n">
        <f aca="false">IF(M247="","",YEAR(M247))</f>
        <v>2026</v>
      </c>
      <c r="Y247" s="10" t="n">
        <f aca="false">IF(M247="","",DATE(YEAR(M247),MONTH(M247),1))</f>
        <v>46235</v>
      </c>
      <c r="Z247" s="9" t="n">
        <f aca="false">IF(AND(Q247=0,COUNTIF(dDuplicadosGI!$A$2:$A$60,C247)&gt;0),1,0)</f>
        <v>0</v>
      </c>
      <c r="AA247" s="9" t="n">
        <f aca="false">IF(Q247=0,1,0)</f>
        <v>0</v>
      </c>
    </row>
    <row r="248" customFormat="false" ht="15" hidden="false" customHeight="false" outlineLevel="0" collapsed="false">
      <c r="A248" s="7" t="n">
        <v>247</v>
      </c>
      <c r="B248" s="7" t="s">
        <v>1009</v>
      </c>
      <c r="C248" s="7" t="s">
        <v>1010</v>
      </c>
      <c r="D248" s="7" t="s">
        <v>1011</v>
      </c>
      <c r="E248" s="7" t="s">
        <v>119</v>
      </c>
      <c r="F248" s="7" t="s">
        <v>94</v>
      </c>
      <c r="G248" s="7" t="s">
        <v>132</v>
      </c>
      <c r="H248" s="7" t="s">
        <v>133</v>
      </c>
      <c r="I248" s="7" t="s">
        <v>594</v>
      </c>
      <c r="J248" s="7" t="s">
        <v>665</v>
      </c>
      <c r="K248" s="7" t="s">
        <v>87</v>
      </c>
      <c r="L248" s="7" t="s">
        <v>88</v>
      </c>
      <c r="M248" s="8" t="n">
        <v>46206</v>
      </c>
      <c r="N248" s="7" t="s">
        <v>89</v>
      </c>
      <c r="O248" s="9" t="n">
        <f aca="false">IF(COUNTIFS($B$2:B248,B248,$C$2:C248,C248)=1,1,0)</f>
        <v>1</v>
      </c>
      <c r="P248" s="9" t="str">
        <f aca="false">IFERROR(INDEX(dEtapa!$A$2:$A$6,MATCH(N248,dEtapa!$B$2:$B$6,0)),"Sin etapa")</f>
        <v>Gobernada</v>
      </c>
      <c r="Q248" s="9" t="n">
        <f aca="false">IF(L248="Si",1,0)</f>
        <v>1</v>
      </c>
      <c r="R248" s="9" t="n">
        <f aca="false">IF(ISNUMBER(SEARCH("CRITERIO",N248)),1,0)</f>
        <v>0</v>
      </c>
      <c r="S248" s="9" t="str">
        <f aca="false">IF(E248="","Sin dato",LEFT(E248,1))</f>
        <v>E</v>
      </c>
      <c r="T248" s="9" t="n">
        <f aca="false">IFERROR(INDEX(dCriticidad!$G$2:$G$7,MATCH(S248,dCriticidad!$A$2:$A$7,0)),0)</f>
        <v>0</v>
      </c>
      <c r="U248" s="9" t="n">
        <f aca="false">IF(OR(LEFT(C248,3)="GI0",LEFT(C248,3)="GA0"),1,0)</f>
        <v>0</v>
      </c>
      <c r="V248" s="9" t="str">
        <f aca="false">IF(G248="","Sin dato (ID GI)",TRIM(G248))</f>
        <v>ACTIVOS</v>
      </c>
      <c r="W248" s="9" t="str">
        <f aca="false">IF(F248="","Sin dato",F248)</f>
        <v>Nube</v>
      </c>
      <c r="X248" s="9" t="n">
        <f aca="false">IF(M248="","",YEAR(M248))</f>
        <v>2026</v>
      </c>
      <c r="Y248" s="10" t="n">
        <f aca="false">IF(M248="","",DATE(YEAR(M248),MONTH(M248),1))</f>
        <v>46204</v>
      </c>
      <c r="Z248" s="9" t="n">
        <f aca="false">IF(AND(Q248=0,COUNTIF(dDuplicadosGI!$A$2:$A$60,C248)&gt;0),1,0)</f>
        <v>0</v>
      </c>
      <c r="AA248" s="9" t="n">
        <f aca="false">IF(Q248=0,1,0)</f>
        <v>0</v>
      </c>
    </row>
    <row r="249" customFormat="false" ht="15" hidden="false" customHeight="false" outlineLevel="0" collapsed="false">
      <c r="A249" s="7" t="n">
        <v>248</v>
      </c>
      <c r="B249" s="7" t="s">
        <v>1012</v>
      </c>
      <c r="C249" s="7" t="s">
        <v>1013</v>
      </c>
      <c r="D249" s="7" t="s">
        <v>1014</v>
      </c>
      <c r="E249" s="7" t="s">
        <v>119</v>
      </c>
      <c r="F249" s="7" t="s">
        <v>94</v>
      </c>
      <c r="G249" s="7" t="s">
        <v>83</v>
      </c>
      <c r="H249" s="7" t="s">
        <v>84</v>
      </c>
      <c r="I249" s="7" t="s">
        <v>85</v>
      </c>
      <c r="J249" s="7" t="s">
        <v>86</v>
      </c>
      <c r="K249" s="7" t="s">
        <v>87</v>
      </c>
      <c r="L249" s="7" t="s">
        <v>88</v>
      </c>
      <c r="M249" s="8" t="n">
        <v>45199</v>
      </c>
      <c r="N249" s="7" t="s">
        <v>89</v>
      </c>
      <c r="O249" s="9" t="n">
        <f aca="false">IF(COUNTIFS($B$2:B249,B249,$C$2:C249,C249)=1,1,0)</f>
        <v>1</v>
      </c>
      <c r="P249" s="9" t="str">
        <f aca="false">IFERROR(INDEX(dEtapa!$A$2:$A$6,MATCH(N249,dEtapa!$B$2:$B$6,0)),"Sin etapa")</f>
        <v>Gobernada</v>
      </c>
      <c r="Q249" s="9" t="n">
        <f aca="false">IF(L249="Si",1,0)</f>
        <v>1</v>
      </c>
      <c r="R249" s="9" t="n">
        <f aca="false">IF(ISNUMBER(SEARCH("CRITERIO",N249)),1,0)</f>
        <v>0</v>
      </c>
      <c r="S249" s="9" t="str">
        <f aca="false">IF(E249="","Sin dato",LEFT(E249,1))</f>
        <v>E</v>
      </c>
      <c r="T249" s="9" t="n">
        <f aca="false">IFERROR(INDEX(dCriticidad!$G$2:$G$7,MATCH(S249,dCriticidad!$A$2:$A$7,0)),0)</f>
        <v>0</v>
      </c>
      <c r="U249" s="9" t="n">
        <f aca="false">IF(OR(LEFT(C249,3)="GI0",LEFT(C249,3)="GA0"),1,0)</f>
        <v>0</v>
      </c>
      <c r="V249" s="9" t="str">
        <f aca="false">IF(G249="","Sin dato (ID GI)",TRIM(G249))</f>
        <v>TRIBU_CANALES</v>
      </c>
      <c r="W249" s="9" t="str">
        <f aca="false">IF(F249="","Sin dato",F249)</f>
        <v>Nube</v>
      </c>
      <c r="X249" s="9" t="n">
        <f aca="false">IF(M249="","",YEAR(M249))</f>
        <v>2023</v>
      </c>
      <c r="Y249" s="10" t="n">
        <f aca="false">IF(M249="","",DATE(YEAR(M249),MONTH(M249),1))</f>
        <v>45170</v>
      </c>
      <c r="Z249" s="9" t="n">
        <f aca="false">IF(AND(Q249=0,COUNTIF(dDuplicadosGI!$A$2:$A$60,C249)&gt;0),1,0)</f>
        <v>0</v>
      </c>
      <c r="AA249" s="9" t="n">
        <f aca="false">IF(Q249=0,1,0)</f>
        <v>0</v>
      </c>
    </row>
    <row r="250" customFormat="false" ht="15" hidden="false" customHeight="false" outlineLevel="0" collapsed="false">
      <c r="A250" s="7" t="n">
        <v>249</v>
      </c>
      <c r="B250" s="7" t="s">
        <v>1015</v>
      </c>
      <c r="C250" s="7" t="s">
        <v>1016</v>
      </c>
      <c r="D250" s="7" t="s">
        <v>1017</v>
      </c>
      <c r="E250" s="7" t="s">
        <v>113</v>
      </c>
      <c r="F250" s="7" t="s">
        <v>152</v>
      </c>
      <c r="G250" s="7" t="s">
        <v>83</v>
      </c>
      <c r="H250" s="7" t="s">
        <v>84</v>
      </c>
      <c r="I250" s="7" t="s">
        <v>289</v>
      </c>
      <c r="J250" s="7" t="s">
        <v>290</v>
      </c>
      <c r="K250" s="7" t="s">
        <v>98</v>
      </c>
      <c r="L250" s="7" t="s">
        <v>99</v>
      </c>
      <c r="M250" s="8"/>
      <c r="N250" s="7" t="s">
        <v>109</v>
      </c>
      <c r="O250" s="9" t="n">
        <f aca="false">IF(COUNTIFS($B$2:B250,B250,$C$2:C250,C250)=1,1,0)</f>
        <v>1</v>
      </c>
      <c r="P250" s="9" t="str">
        <f aca="false">IFERROR(INDEX(dEtapa!$A$2:$A$6,MATCH(N250,dEtapa!$B$2:$B$6,0)),"Sin etapa")</f>
        <v>Planificada 2027</v>
      </c>
      <c r="Q250" s="9" t="n">
        <f aca="false">IF(L250="Si",1,0)</f>
        <v>0</v>
      </c>
      <c r="R250" s="9" t="n">
        <f aca="false">IF(ISNUMBER(SEARCH("CRITERIO",N250)),1,0)</f>
        <v>0</v>
      </c>
      <c r="S250" s="9" t="str">
        <f aca="false">IF(E250="","Sin dato",LEFT(E250,1))</f>
        <v>C</v>
      </c>
      <c r="T250" s="9" t="n">
        <f aca="false">IFERROR(INDEX(dCriticidad!$G$2:$G$7,MATCH(S250,dCriticidad!$A$2:$A$7,0)),0)</f>
        <v>1</v>
      </c>
      <c r="U250" s="9" t="n">
        <f aca="false">IF(OR(LEFT(C250,3)="GI0",LEFT(C250,3)="GA0"),1,0)</f>
        <v>0</v>
      </c>
      <c r="V250" s="9" t="str">
        <f aca="false">IF(G250="","Sin dato (ID GI)",TRIM(G250))</f>
        <v>TRIBU_CANALES</v>
      </c>
      <c r="W250" s="9" t="str">
        <f aca="false">IF(F250="","Sin dato",F250)</f>
        <v>Terceros</v>
      </c>
      <c r="X250" s="9" t="str">
        <f aca="false">IF(M250="","",YEAR(M250))</f>
        <v/>
      </c>
      <c r="Y250" s="10" t="str">
        <f aca="false">IF(M250="","",DATE(YEAR(M250),MONTH(M250),1))</f>
        <v/>
      </c>
      <c r="Z250" s="9" t="n">
        <f aca="false">IF(AND(Q250=0,COUNTIF(dDuplicadosGI!$A$2:$A$60,C250)&gt;0),1,0)</f>
        <v>0</v>
      </c>
      <c r="AA250" s="9" t="n">
        <f aca="false">IF(Q250=0,1,0)</f>
        <v>1</v>
      </c>
    </row>
    <row r="251" customFormat="false" ht="15" hidden="false" customHeight="false" outlineLevel="0" collapsed="false">
      <c r="A251" s="7" t="n">
        <v>250</v>
      </c>
      <c r="B251" s="7" t="s">
        <v>1018</v>
      </c>
      <c r="C251" s="7" t="s">
        <v>1019</v>
      </c>
      <c r="D251" s="7" t="s">
        <v>1020</v>
      </c>
      <c r="E251" s="7" t="s">
        <v>113</v>
      </c>
      <c r="F251" s="7" t="s">
        <v>82</v>
      </c>
      <c r="G251" s="7" t="s">
        <v>192</v>
      </c>
      <c r="H251" s="7" t="s">
        <v>193</v>
      </c>
      <c r="I251" s="7" t="s">
        <v>218</v>
      </c>
      <c r="J251" s="7" t="s">
        <v>218</v>
      </c>
      <c r="K251" s="7" t="s">
        <v>87</v>
      </c>
      <c r="L251" s="7" t="s">
        <v>88</v>
      </c>
      <c r="M251" s="8" t="n">
        <v>45199</v>
      </c>
      <c r="N251" s="7" t="s">
        <v>89</v>
      </c>
      <c r="O251" s="9" t="n">
        <f aca="false">IF(COUNTIFS($B$2:B251,B251,$C$2:C251,C251)=1,1,0)</f>
        <v>1</v>
      </c>
      <c r="P251" s="9" t="str">
        <f aca="false">IFERROR(INDEX(dEtapa!$A$2:$A$6,MATCH(N251,dEtapa!$B$2:$B$6,0)),"Sin etapa")</f>
        <v>Gobernada</v>
      </c>
      <c r="Q251" s="9" t="n">
        <f aca="false">IF(L251="Si",1,0)</f>
        <v>1</v>
      </c>
      <c r="R251" s="9" t="n">
        <f aca="false">IF(ISNUMBER(SEARCH("CRITERIO",N251)),1,0)</f>
        <v>0</v>
      </c>
      <c r="S251" s="9" t="str">
        <f aca="false">IF(E251="","Sin dato",LEFT(E251,1))</f>
        <v>C</v>
      </c>
      <c r="T251" s="9" t="n">
        <f aca="false">IFERROR(INDEX(dCriticidad!$G$2:$G$7,MATCH(S251,dCriticidad!$A$2:$A$7,0)),0)</f>
        <v>1</v>
      </c>
      <c r="U251" s="9" t="n">
        <f aca="false">IF(OR(LEFT(C251,3)="GI0",LEFT(C251,3)="GA0"),1,0)</f>
        <v>0</v>
      </c>
      <c r="V251" s="9" t="str">
        <f aca="false">IF(G251="","Sin dato (ID GI)",TRIM(G251))</f>
        <v>AREAS_DE_APOYO</v>
      </c>
      <c r="W251" s="9" t="str">
        <f aca="false">IF(F251="","Sin dato",F251)</f>
        <v>On Premise</v>
      </c>
      <c r="X251" s="9" t="n">
        <f aca="false">IF(M251="","",YEAR(M251))</f>
        <v>2023</v>
      </c>
      <c r="Y251" s="10" t="n">
        <f aca="false">IF(M251="","",DATE(YEAR(M251),MONTH(M251),1))</f>
        <v>45170</v>
      </c>
      <c r="Z251" s="9" t="n">
        <f aca="false">IF(AND(Q251=0,COUNTIF(dDuplicadosGI!$A$2:$A$60,C251)&gt;0),1,0)</f>
        <v>0</v>
      </c>
      <c r="AA251" s="9" t="n">
        <f aca="false">IF(Q251=0,1,0)</f>
        <v>0</v>
      </c>
    </row>
    <row r="252" customFormat="false" ht="15" hidden="false" customHeight="false" outlineLevel="0" collapsed="false">
      <c r="A252" s="7" t="n">
        <v>251</v>
      </c>
      <c r="B252" s="7" t="s">
        <v>1021</v>
      </c>
      <c r="C252" s="7" t="s">
        <v>1022</v>
      </c>
      <c r="D252" s="7" t="s">
        <v>1023</v>
      </c>
      <c r="E252" s="7" t="s">
        <v>145</v>
      </c>
      <c r="F252" s="7" t="s">
        <v>94</v>
      </c>
      <c r="G252" s="7" t="s">
        <v>331</v>
      </c>
      <c r="H252" s="7" t="s">
        <v>332</v>
      </c>
      <c r="I252" s="7" t="s">
        <v>333</v>
      </c>
      <c r="J252" s="7" t="s">
        <v>332</v>
      </c>
      <c r="K252" s="7" t="s">
        <v>108</v>
      </c>
      <c r="L252" s="7" t="s">
        <v>99</v>
      </c>
      <c r="M252" s="8"/>
      <c r="N252" s="7" t="s">
        <v>178</v>
      </c>
      <c r="O252" s="9" t="n">
        <f aca="false">IF(COUNTIFS($B$2:B252,B252,$C$2:C252,C252)=1,1,0)</f>
        <v>1</v>
      </c>
      <c r="P252" s="9" t="str">
        <f aca="false">IFERROR(INDEX(dEtapa!$A$2:$A$6,MATCH(N252,dEtapa!$B$2:$B$6,0)),"Sin etapa")</f>
        <v>Criterio 2</v>
      </c>
      <c r="Q252" s="9" t="n">
        <f aca="false">IF(L252="Si",1,0)</f>
        <v>0</v>
      </c>
      <c r="R252" s="9" t="n">
        <f aca="false">IF(ISNUMBER(SEARCH("CRITERIO",N252)),1,0)</f>
        <v>1</v>
      </c>
      <c r="S252" s="9" t="str">
        <f aca="false">IF(E252="","Sin dato",LEFT(E252,1))</f>
        <v>B</v>
      </c>
      <c r="T252" s="9" t="n">
        <f aca="false">IFERROR(INDEX(dCriticidad!$G$2:$G$7,MATCH(S252,dCriticidad!$A$2:$A$7,0)),0)</f>
        <v>1</v>
      </c>
      <c r="U252" s="9" t="n">
        <f aca="false">IF(OR(LEFT(C252,3)="GI0",LEFT(C252,3)="GA0"),1,0)</f>
        <v>0</v>
      </c>
      <c r="V252" s="9" t="str">
        <f aca="false">IF(G252="","Sin dato (ID GI)",TRIM(G252))</f>
        <v>TRIBU_DE_UNA</v>
      </c>
      <c r="W252" s="9" t="str">
        <f aca="false">IF(F252="","Sin dato",F252)</f>
        <v>Nube</v>
      </c>
      <c r="X252" s="9" t="str">
        <f aca="false">IF(M252="","",YEAR(M252))</f>
        <v/>
      </c>
      <c r="Y252" s="10" t="str">
        <f aca="false">IF(M252="","",DATE(YEAR(M252),MONTH(M252),1))</f>
        <v/>
      </c>
      <c r="Z252" s="9" t="n">
        <f aca="false">IF(AND(Q252=0,COUNTIF(dDuplicadosGI!$A$2:$A$60,C252)&gt;0),1,0)</f>
        <v>0</v>
      </c>
      <c r="AA252" s="9" t="n">
        <f aca="false">IF(Q252=0,1,0)</f>
        <v>1</v>
      </c>
    </row>
    <row r="253" customFormat="false" ht="15" hidden="false" customHeight="false" outlineLevel="0" collapsed="false">
      <c r="A253" s="7" t="n">
        <v>252</v>
      </c>
      <c r="B253" s="7" t="s">
        <v>1024</v>
      </c>
      <c r="C253" s="7" t="s">
        <v>1025</v>
      </c>
      <c r="D253" s="7" t="s">
        <v>1026</v>
      </c>
      <c r="E253" s="7" t="s">
        <v>119</v>
      </c>
      <c r="F253" s="7" t="s">
        <v>94</v>
      </c>
      <c r="G253" s="7" t="s">
        <v>153</v>
      </c>
      <c r="H253" s="7" t="s">
        <v>154</v>
      </c>
      <c r="I253" s="7" t="s">
        <v>1027</v>
      </c>
      <c r="J253" s="7" t="s">
        <v>560</v>
      </c>
      <c r="K253" s="7" t="s">
        <v>87</v>
      </c>
      <c r="L253" s="7" t="s">
        <v>99</v>
      </c>
      <c r="M253" s="8"/>
      <c r="N253" s="7" t="s">
        <v>109</v>
      </c>
      <c r="O253" s="9" t="n">
        <f aca="false">IF(COUNTIFS($B$2:B253,B253,$C$2:C253,C253)=1,1,0)</f>
        <v>1</v>
      </c>
      <c r="P253" s="9" t="str">
        <f aca="false">IFERROR(INDEX(dEtapa!$A$2:$A$6,MATCH(N253,dEtapa!$B$2:$B$6,0)),"Sin etapa")</f>
        <v>Planificada 2027</v>
      </c>
      <c r="Q253" s="9" t="n">
        <f aca="false">IF(L253="Si",1,0)</f>
        <v>0</v>
      </c>
      <c r="R253" s="9" t="n">
        <f aca="false">IF(ISNUMBER(SEARCH("CRITERIO",N253)),1,0)</f>
        <v>0</v>
      </c>
      <c r="S253" s="9" t="str">
        <f aca="false">IF(E253="","Sin dato",LEFT(E253,1))</f>
        <v>E</v>
      </c>
      <c r="T253" s="9" t="n">
        <f aca="false">IFERROR(INDEX(dCriticidad!$G$2:$G$7,MATCH(S253,dCriticidad!$A$2:$A$7,0)),0)</f>
        <v>0</v>
      </c>
      <c r="U253" s="9" t="n">
        <f aca="false">IF(OR(LEFT(C253,3)="GI0",LEFT(C253,3)="GA0"),1,0)</f>
        <v>0</v>
      </c>
      <c r="V253" s="9" t="str">
        <f aca="false">IF(G253="","Sin dato (ID GI)",TRIM(G253))</f>
        <v>MEDIOS_DE_PAGO</v>
      </c>
      <c r="W253" s="9" t="str">
        <f aca="false">IF(F253="","Sin dato",F253)</f>
        <v>Nube</v>
      </c>
      <c r="X253" s="9" t="str">
        <f aca="false">IF(M253="","",YEAR(M253))</f>
        <v/>
      </c>
      <c r="Y253" s="10" t="str">
        <f aca="false">IF(M253="","",DATE(YEAR(M253),MONTH(M253),1))</f>
        <v/>
      </c>
      <c r="Z253" s="9" t="n">
        <f aca="false">IF(AND(Q253=0,COUNTIF(dDuplicadosGI!$A$2:$A$60,C253)&gt;0),1,0)</f>
        <v>0</v>
      </c>
      <c r="AA253" s="9" t="n">
        <f aca="false">IF(Q253=0,1,0)</f>
        <v>1</v>
      </c>
    </row>
    <row r="254" customFormat="false" ht="15" hidden="false" customHeight="false" outlineLevel="0" collapsed="false">
      <c r="A254" s="7" t="n">
        <v>253</v>
      </c>
      <c r="B254" s="7" t="s">
        <v>1028</v>
      </c>
      <c r="C254" s="7" t="s">
        <v>1029</v>
      </c>
      <c r="D254" s="7" t="s">
        <v>1030</v>
      </c>
      <c r="E254" s="7" t="s">
        <v>145</v>
      </c>
      <c r="F254" s="7" t="s">
        <v>82</v>
      </c>
      <c r="G254" s="7" t="s">
        <v>369</v>
      </c>
      <c r="H254" s="7" t="s">
        <v>147</v>
      </c>
      <c r="I254" s="7" t="s">
        <v>475</v>
      </c>
      <c r="J254" s="7" t="s">
        <v>147</v>
      </c>
      <c r="K254" s="7" t="s">
        <v>87</v>
      </c>
      <c r="L254" s="7" t="s">
        <v>88</v>
      </c>
      <c r="M254" s="8" t="n">
        <v>45200</v>
      </c>
      <c r="N254" s="7" t="s">
        <v>89</v>
      </c>
      <c r="O254" s="9" t="n">
        <f aca="false">IF(COUNTIFS($B$2:B254,B254,$C$2:C254,C254)=1,1,0)</f>
        <v>1</v>
      </c>
      <c r="P254" s="9" t="str">
        <f aca="false">IFERROR(INDEX(dEtapa!$A$2:$A$6,MATCH(N254,dEtapa!$B$2:$B$6,0)),"Sin etapa")</f>
        <v>Gobernada</v>
      </c>
      <c r="Q254" s="9" t="n">
        <f aca="false">IF(L254="Si",1,0)</f>
        <v>1</v>
      </c>
      <c r="R254" s="9" t="n">
        <f aca="false">IF(ISNUMBER(SEARCH("CRITERIO",N254)),1,0)</f>
        <v>0</v>
      </c>
      <c r="S254" s="9" t="str">
        <f aca="false">IF(E254="","Sin dato",LEFT(E254,1))</f>
        <v>B</v>
      </c>
      <c r="T254" s="9" t="n">
        <f aca="false">IFERROR(INDEX(dCriticidad!$G$2:$G$7,MATCH(S254,dCriticidad!$A$2:$A$7,0)),0)</f>
        <v>1</v>
      </c>
      <c r="U254" s="9" t="n">
        <f aca="false">IF(OR(LEFT(C254,3)="GI0",LEFT(C254,3)="GA0"),1,0)</f>
        <v>0</v>
      </c>
      <c r="V254" s="9" t="str">
        <f aca="false">IF(G254="","Sin dato (ID GI)",TRIM(G254))</f>
        <v>Tribu_Cores_Transacciones</v>
      </c>
      <c r="W254" s="9" t="str">
        <f aca="false">IF(F254="","Sin dato",F254)</f>
        <v>On Premise</v>
      </c>
      <c r="X254" s="9" t="n">
        <f aca="false">IF(M254="","",YEAR(M254))</f>
        <v>2023</v>
      </c>
      <c r="Y254" s="10" t="n">
        <f aca="false">IF(M254="","",DATE(YEAR(M254),MONTH(M254),1))</f>
        <v>45200</v>
      </c>
      <c r="Z254" s="9" t="n">
        <f aca="false">IF(AND(Q254=0,COUNTIF(dDuplicadosGI!$A$2:$A$60,C254)&gt;0),1,0)</f>
        <v>0</v>
      </c>
      <c r="AA254" s="9" t="n">
        <f aca="false">IF(Q254=0,1,0)</f>
        <v>0</v>
      </c>
    </row>
    <row r="255" customFormat="false" ht="15" hidden="false" customHeight="false" outlineLevel="0" collapsed="false">
      <c r="A255" s="7" t="n">
        <v>254</v>
      </c>
      <c r="B255" s="7" t="s">
        <v>1031</v>
      </c>
      <c r="C255" s="7" t="s">
        <v>1032</v>
      </c>
      <c r="D255" s="7" t="s">
        <v>1033</v>
      </c>
      <c r="E255" s="7" t="s">
        <v>113</v>
      </c>
      <c r="F255" s="7" t="s">
        <v>82</v>
      </c>
      <c r="G255" s="7" t="s">
        <v>192</v>
      </c>
      <c r="H255" s="7" t="s">
        <v>193</v>
      </c>
      <c r="I255" s="7" t="s">
        <v>459</v>
      </c>
      <c r="J255" s="7" t="s">
        <v>239</v>
      </c>
      <c r="K255" s="7" t="s">
        <v>87</v>
      </c>
      <c r="L255" s="7" t="s">
        <v>88</v>
      </c>
      <c r="M255" s="8" t="n">
        <v>45200</v>
      </c>
      <c r="N255" s="7" t="s">
        <v>89</v>
      </c>
      <c r="O255" s="9" t="n">
        <f aca="false">IF(COUNTIFS($B$2:B255,B255,$C$2:C255,C255)=1,1,0)</f>
        <v>1</v>
      </c>
      <c r="P255" s="9" t="str">
        <f aca="false">IFERROR(INDEX(dEtapa!$A$2:$A$6,MATCH(N255,dEtapa!$B$2:$B$6,0)),"Sin etapa")</f>
        <v>Gobernada</v>
      </c>
      <c r="Q255" s="9" t="n">
        <f aca="false">IF(L255="Si",1,0)</f>
        <v>1</v>
      </c>
      <c r="R255" s="9" t="n">
        <f aca="false">IF(ISNUMBER(SEARCH("CRITERIO",N255)),1,0)</f>
        <v>0</v>
      </c>
      <c r="S255" s="9" t="str">
        <f aca="false">IF(E255="","Sin dato",LEFT(E255,1))</f>
        <v>C</v>
      </c>
      <c r="T255" s="9" t="n">
        <f aca="false">IFERROR(INDEX(dCriticidad!$G$2:$G$7,MATCH(S255,dCriticidad!$A$2:$A$7,0)),0)</f>
        <v>1</v>
      </c>
      <c r="U255" s="9" t="n">
        <f aca="false">IF(OR(LEFT(C255,3)="GI0",LEFT(C255,3)="GA0"),1,0)</f>
        <v>0</v>
      </c>
      <c r="V255" s="9" t="str">
        <f aca="false">IF(G255="","Sin dato (ID GI)",TRIM(G255))</f>
        <v>AREAS_DE_APOYO</v>
      </c>
      <c r="W255" s="9" t="str">
        <f aca="false">IF(F255="","Sin dato",F255)</f>
        <v>On Premise</v>
      </c>
      <c r="X255" s="9" t="n">
        <f aca="false">IF(M255="","",YEAR(M255))</f>
        <v>2023</v>
      </c>
      <c r="Y255" s="10" t="n">
        <f aca="false">IF(M255="","",DATE(YEAR(M255),MONTH(M255),1))</f>
        <v>45200</v>
      </c>
      <c r="Z255" s="9" t="n">
        <f aca="false">IF(AND(Q255=0,COUNTIF(dDuplicadosGI!$A$2:$A$60,C255)&gt;0),1,0)</f>
        <v>0</v>
      </c>
      <c r="AA255" s="9" t="n">
        <f aca="false">IF(Q255=0,1,0)</f>
        <v>0</v>
      </c>
    </row>
    <row r="256" customFormat="false" ht="15" hidden="false" customHeight="false" outlineLevel="0" collapsed="false">
      <c r="A256" s="7" t="n">
        <v>255</v>
      </c>
      <c r="B256" s="7" t="s">
        <v>1034</v>
      </c>
      <c r="C256" s="7" t="s">
        <v>1035</v>
      </c>
      <c r="D256" s="7" t="s">
        <v>1036</v>
      </c>
      <c r="E256" s="7" t="s">
        <v>113</v>
      </c>
      <c r="F256" s="7" t="s">
        <v>82</v>
      </c>
      <c r="G256" s="7" t="s">
        <v>104</v>
      </c>
      <c r="H256" s="7" t="s">
        <v>105</v>
      </c>
      <c r="I256" s="7" t="s">
        <v>106</v>
      </c>
      <c r="J256" s="7" t="s">
        <v>432</v>
      </c>
      <c r="K256" s="7" t="s">
        <v>108</v>
      </c>
      <c r="L256" s="7" t="s">
        <v>88</v>
      </c>
      <c r="M256" s="8" t="n">
        <v>46234</v>
      </c>
      <c r="N256" s="7" t="s">
        <v>89</v>
      </c>
      <c r="O256" s="9" t="n">
        <f aca="false">IF(COUNTIFS($B$2:B256,B256,$C$2:C256,C256)=1,1,0)</f>
        <v>1</v>
      </c>
      <c r="P256" s="9" t="str">
        <f aca="false">IFERROR(INDEX(dEtapa!$A$2:$A$6,MATCH(N256,dEtapa!$B$2:$B$6,0)),"Sin etapa")</f>
        <v>Gobernada</v>
      </c>
      <c r="Q256" s="9" t="n">
        <f aca="false">IF(L256="Si",1,0)</f>
        <v>1</v>
      </c>
      <c r="R256" s="9" t="n">
        <f aca="false">IF(ISNUMBER(SEARCH("CRITERIO",N256)),1,0)</f>
        <v>0</v>
      </c>
      <c r="S256" s="9" t="str">
        <f aca="false">IF(E256="","Sin dato",LEFT(E256,1))</f>
        <v>C</v>
      </c>
      <c r="T256" s="9" t="n">
        <f aca="false">IFERROR(INDEX(dCriticidad!$G$2:$G$7,MATCH(S256,dCriticidad!$A$2:$A$7,0)),0)</f>
        <v>1</v>
      </c>
      <c r="U256" s="9" t="n">
        <f aca="false">IF(OR(LEFT(C256,3)="GI0",LEFT(C256,3)="GA0"),1,0)</f>
        <v>0</v>
      </c>
      <c r="V256" s="9" t="str">
        <f aca="false">IF(G256="","Sin dato (ID GI)",TRIM(G256))</f>
        <v>INFRAESTRUCTURA</v>
      </c>
      <c r="W256" s="9" t="str">
        <f aca="false">IF(F256="","Sin dato",F256)</f>
        <v>On Premise</v>
      </c>
      <c r="X256" s="9" t="n">
        <f aca="false">IF(M256="","",YEAR(M256))</f>
        <v>2026</v>
      </c>
      <c r="Y256" s="10" t="n">
        <f aca="false">IF(M256="","",DATE(YEAR(M256),MONTH(M256),1))</f>
        <v>46204</v>
      </c>
      <c r="Z256" s="9" t="n">
        <f aca="false">IF(AND(Q256=0,COUNTIF(dDuplicadosGI!$A$2:$A$60,C256)&gt;0),1,0)</f>
        <v>0</v>
      </c>
      <c r="AA256" s="9" t="n">
        <f aca="false">IF(Q256=0,1,0)</f>
        <v>0</v>
      </c>
    </row>
    <row r="257" customFormat="false" ht="15" hidden="false" customHeight="false" outlineLevel="0" collapsed="false">
      <c r="A257" s="7" t="n">
        <v>256</v>
      </c>
      <c r="B257" s="7" t="s">
        <v>1037</v>
      </c>
      <c r="C257" s="7" t="s">
        <v>1038</v>
      </c>
      <c r="D257" s="7" t="s">
        <v>1039</v>
      </c>
      <c r="E257" s="7" t="s">
        <v>113</v>
      </c>
      <c r="F257" s="7" t="s">
        <v>269</v>
      </c>
      <c r="G257" s="7" t="s">
        <v>166</v>
      </c>
      <c r="H257" s="7" t="s">
        <v>797</v>
      </c>
      <c r="I257" s="7" t="s">
        <v>168</v>
      </c>
      <c r="J257" s="7" t="s">
        <v>187</v>
      </c>
      <c r="K257" s="7" t="s">
        <v>170</v>
      </c>
      <c r="L257" s="7" t="s">
        <v>88</v>
      </c>
      <c r="M257" s="8" t="n">
        <v>45714</v>
      </c>
      <c r="N257" s="7" t="s">
        <v>89</v>
      </c>
      <c r="O257" s="9" t="n">
        <f aca="false">IF(COUNTIFS($B$2:B257,B257,$C$2:C257,C257)=1,1,0)</f>
        <v>1</v>
      </c>
      <c r="P257" s="9" t="str">
        <f aca="false">IFERROR(INDEX(dEtapa!$A$2:$A$6,MATCH(N257,dEtapa!$B$2:$B$6,0)),"Sin etapa")</f>
        <v>Gobernada</v>
      </c>
      <c r="Q257" s="9" t="n">
        <f aca="false">IF(L257="Si",1,0)</f>
        <v>1</v>
      </c>
      <c r="R257" s="9" t="n">
        <f aca="false">IF(ISNUMBER(SEARCH("CRITERIO",N257)),1,0)</f>
        <v>0</v>
      </c>
      <c r="S257" s="9" t="str">
        <f aca="false">IF(E257="","Sin dato",LEFT(E257,1))</f>
        <v>C</v>
      </c>
      <c r="T257" s="9" t="n">
        <f aca="false">IFERROR(INDEX(dCriticidad!$G$2:$G$7,MATCH(S257,dCriticidad!$A$2:$A$7,0)),0)</f>
        <v>1</v>
      </c>
      <c r="U257" s="9" t="n">
        <f aca="false">IF(OR(LEFT(C257,3)="GI0",LEFT(C257,3)="GA0"),1,0)</f>
        <v>0</v>
      </c>
      <c r="V257" s="9" t="str">
        <f aca="false">IF(G257="","Sin dato (ID GI)",TRIM(G257))</f>
        <v>Ciberseguridad</v>
      </c>
      <c r="W257" s="9" t="str">
        <f aca="false">IF(F257="","Sin dato",F257)</f>
        <v>Híbrida</v>
      </c>
      <c r="X257" s="9" t="n">
        <f aca="false">IF(M257="","",YEAR(M257))</f>
        <v>2025</v>
      </c>
      <c r="Y257" s="10" t="n">
        <f aca="false">IF(M257="","",DATE(YEAR(M257),MONTH(M257),1))</f>
        <v>45689</v>
      </c>
      <c r="Z257" s="9" t="n">
        <f aca="false">IF(AND(Q257=0,COUNTIF(dDuplicadosGI!$A$2:$A$60,C257)&gt;0),1,0)</f>
        <v>0</v>
      </c>
      <c r="AA257" s="9" t="n">
        <f aca="false">IF(Q257=0,1,0)</f>
        <v>0</v>
      </c>
    </row>
    <row r="258" customFormat="false" ht="15" hidden="false" customHeight="false" outlineLevel="0" collapsed="false">
      <c r="A258" s="7" t="n">
        <v>257</v>
      </c>
      <c r="B258" s="7" t="s">
        <v>1040</v>
      </c>
      <c r="C258" s="7" t="s">
        <v>1041</v>
      </c>
      <c r="D258" s="7" t="s">
        <v>151</v>
      </c>
      <c r="E258" s="7" t="s">
        <v>93</v>
      </c>
      <c r="F258" s="7" t="s">
        <v>82</v>
      </c>
      <c r="G258" s="7" t="s">
        <v>153</v>
      </c>
      <c r="H258" s="7" t="s">
        <v>154</v>
      </c>
      <c r="I258" s="7" t="s">
        <v>412</v>
      </c>
      <c r="J258" s="7" t="s">
        <v>413</v>
      </c>
      <c r="K258" s="7" t="s">
        <v>234</v>
      </c>
      <c r="L258" s="7" t="s">
        <v>99</v>
      </c>
      <c r="M258" s="8"/>
      <c r="N258" s="7" t="s">
        <v>109</v>
      </c>
      <c r="O258" s="9" t="n">
        <f aca="false">IF(COUNTIFS($B$2:B258,B258,$C$2:C258,C258)=1,1,0)</f>
        <v>1</v>
      </c>
      <c r="P258" s="9" t="str">
        <f aca="false">IFERROR(INDEX(dEtapa!$A$2:$A$6,MATCH(N258,dEtapa!$B$2:$B$6,0)),"Sin etapa")</f>
        <v>Planificada 2027</v>
      </c>
      <c r="Q258" s="9" t="n">
        <f aca="false">IF(L258="Si",1,0)</f>
        <v>0</v>
      </c>
      <c r="R258" s="9" t="n">
        <f aca="false">IF(ISNUMBER(SEARCH("CRITERIO",N258)),1,0)</f>
        <v>0</v>
      </c>
      <c r="S258" s="9" t="str">
        <f aca="false">IF(E258="","Sin dato",LEFT(E258,1))</f>
        <v>D</v>
      </c>
      <c r="T258" s="9" t="n">
        <f aca="false">IFERROR(INDEX(dCriticidad!$G$2:$G$7,MATCH(S258,dCriticidad!$A$2:$A$7,0)),0)</f>
        <v>0</v>
      </c>
      <c r="U258" s="9" t="n">
        <f aca="false">IF(OR(LEFT(C258,3)="GI0",LEFT(C258,3)="GA0"),1,0)</f>
        <v>0</v>
      </c>
      <c r="V258" s="9" t="str">
        <f aca="false">IF(G258="","Sin dato (ID GI)",TRIM(G258))</f>
        <v>MEDIOS_DE_PAGO</v>
      </c>
      <c r="W258" s="9" t="str">
        <f aca="false">IF(F258="","Sin dato",F258)</f>
        <v>On Premise</v>
      </c>
      <c r="X258" s="9" t="str">
        <f aca="false">IF(M258="","",YEAR(M258))</f>
        <v/>
      </c>
      <c r="Y258" s="10" t="str">
        <f aca="false">IF(M258="","",DATE(YEAR(M258),MONTH(M258),1))</f>
        <v/>
      </c>
      <c r="Z258" s="9" t="n">
        <f aca="false">IF(AND(Q258=0,COUNTIF(dDuplicadosGI!$A$2:$A$60,C258)&gt;0),1,0)</f>
        <v>0</v>
      </c>
      <c r="AA258" s="9" t="n">
        <f aca="false">IF(Q258=0,1,0)</f>
        <v>1</v>
      </c>
    </row>
    <row r="259" customFormat="false" ht="15" hidden="false" customHeight="false" outlineLevel="0" collapsed="false">
      <c r="A259" s="7" t="n">
        <v>258</v>
      </c>
      <c r="B259" s="7" t="s">
        <v>1042</v>
      </c>
      <c r="C259" s="7" t="s">
        <v>1043</v>
      </c>
      <c r="D259" s="7" t="s">
        <v>151</v>
      </c>
      <c r="E259" s="7" t="s">
        <v>113</v>
      </c>
      <c r="F259" s="7" t="s">
        <v>152</v>
      </c>
      <c r="G259" s="7" t="s">
        <v>146</v>
      </c>
      <c r="H259" s="7" t="s">
        <v>147</v>
      </c>
      <c r="I259" s="7" t="s">
        <v>148</v>
      </c>
      <c r="J259" s="7" t="s">
        <v>148</v>
      </c>
      <c r="K259" s="7" t="s">
        <v>87</v>
      </c>
      <c r="L259" s="7" t="s">
        <v>88</v>
      </c>
      <c r="M259" s="8" t="n">
        <v>45200</v>
      </c>
      <c r="N259" s="7" t="s">
        <v>89</v>
      </c>
      <c r="O259" s="9" t="n">
        <f aca="false">IF(COUNTIFS($B$2:B259,B259,$C$2:C259,C259)=1,1,0)</f>
        <v>1</v>
      </c>
      <c r="P259" s="9" t="str">
        <f aca="false">IFERROR(INDEX(dEtapa!$A$2:$A$6,MATCH(N259,dEtapa!$B$2:$B$6,0)),"Sin etapa")</f>
        <v>Gobernada</v>
      </c>
      <c r="Q259" s="9" t="n">
        <f aca="false">IF(L259="Si",1,0)</f>
        <v>1</v>
      </c>
      <c r="R259" s="9" t="n">
        <f aca="false">IF(ISNUMBER(SEARCH("CRITERIO",N259)),1,0)</f>
        <v>0</v>
      </c>
      <c r="S259" s="9" t="str">
        <f aca="false">IF(E259="","Sin dato",LEFT(E259,1))</f>
        <v>C</v>
      </c>
      <c r="T259" s="9" t="n">
        <f aca="false">IFERROR(INDEX(dCriticidad!$G$2:$G$7,MATCH(S259,dCriticidad!$A$2:$A$7,0)),0)</f>
        <v>1</v>
      </c>
      <c r="U259" s="9" t="n">
        <f aca="false">IF(OR(LEFT(C259,3)="GI0",LEFT(C259,3)="GA0"),1,0)</f>
        <v>0</v>
      </c>
      <c r="V259" s="9" t="str">
        <f aca="false">IF(G259="","Sin dato (ID GI)",TRIM(G259))</f>
        <v>Tribu_Integraciones_Apis</v>
      </c>
      <c r="W259" s="9" t="str">
        <f aca="false">IF(F259="","Sin dato",F259)</f>
        <v>Terceros</v>
      </c>
      <c r="X259" s="9" t="n">
        <f aca="false">IF(M259="","",YEAR(M259))</f>
        <v>2023</v>
      </c>
      <c r="Y259" s="10" t="n">
        <f aca="false">IF(M259="","",DATE(YEAR(M259),MONTH(M259),1))</f>
        <v>45200</v>
      </c>
      <c r="Z259" s="9" t="n">
        <f aca="false">IF(AND(Q259=0,COUNTIF(dDuplicadosGI!$A$2:$A$60,C259)&gt;0),1,0)</f>
        <v>0</v>
      </c>
      <c r="AA259" s="9" t="n">
        <f aca="false">IF(Q259=0,1,0)</f>
        <v>0</v>
      </c>
    </row>
    <row r="260" customFormat="false" ht="15" hidden="false" customHeight="false" outlineLevel="0" collapsed="false">
      <c r="A260" s="7" t="n">
        <v>259</v>
      </c>
      <c r="B260" s="7" t="s">
        <v>1044</v>
      </c>
      <c r="C260" s="7" t="s">
        <v>1045</v>
      </c>
      <c r="D260" s="7" t="s">
        <v>1046</v>
      </c>
      <c r="E260" s="7" t="s">
        <v>119</v>
      </c>
      <c r="F260" s="7" t="s">
        <v>82</v>
      </c>
      <c r="G260" s="7" t="s">
        <v>139</v>
      </c>
      <c r="H260" s="7" t="s">
        <v>97</v>
      </c>
      <c r="I260" s="7" t="s">
        <v>403</v>
      </c>
      <c r="J260" s="7" t="s">
        <v>813</v>
      </c>
      <c r="K260" s="7" t="s">
        <v>463</v>
      </c>
      <c r="L260" s="7" t="s">
        <v>99</v>
      </c>
      <c r="M260" s="8"/>
      <c r="N260" s="7" t="s">
        <v>109</v>
      </c>
      <c r="O260" s="9" t="n">
        <f aca="false">IF(COUNTIFS($B$2:B260,B260,$C$2:C260,C260)=1,1,0)</f>
        <v>1</v>
      </c>
      <c r="P260" s="9" t="str">
        <f aca="false">IFERROR(INDEX(dEtapa!$A$2:$A$6,MATCH(N260,dEtapa!$B$2:$B$6,0)),"Sin etapa")</f>
        <v>Planificada 2027</v>
      </c>
      <c r="Q260" s="9" t="n">
        <f aca="false">IF(L260="Si",1,0)</f>
        <v>0</v>
      </c>
      <c r="R260" s="9" t="n">
        <f aca="false">IF(ISNUMBER(SEARCH("CRITERIO",N260)),1,0)</f>
        <v>0</v>
      </c>
      <c r="S260" s="9" t="str">
        <f aca="false">IF(E260="","Sin dato",LEFT(E260,1))</f>
        <v>E</v>
      </c>
      <c r="T260" s="9" t="n">
        <f aca="false">IFERROR(INDEX(dCriticidad!$G$2:$G$7,MATCH(S260,dCriticidad!$A$2:$A$7,0)),0)</f>
        <v>0</v>
      </c>
      <c r="U260" s="9" t="n">
        <f aca="false">IF(OR(LEFT(C260,3)="GI0",LEFT(C260,3)="GA0"),1,0)</f>
        <v>0</v>
      </c>
      <c r="V260" s="9" t="str">
        <f aca="false">IF(G260="","Sin dato (ID GI)",TRIM(G260))</f>
        <v>Frente de Soluciones Empresariales</v>
      </c>
      <c r="W260" s="9" t="str">
        <f aca="false">IF(F260="","Sin dato",F260)</f>
        <v>On Premise</v>
      </c>
      <c r="X260" s="9" t="str">
        <f aca="false">IF(M260="","",YEAR(M260))</f>
        <v/>
      </c>
      <c r="Y260" s="10" t="str">
        <f aca="false">IF(M260="","",DATE(YEAR(M260),MONTH(M260),1))</f>
        <v/>
      </c>
      <c r="Z260" s="9" t="n">
        <f aca="false">IF(AND(Q260=0,COUNTIF(dDuplicadosGI!$A$2:$A$60,C260)&gt;0),1,0)</f>
        <v>0</v>
      </c>
      <c r="AA260" s="9" t="n">
        <f aca="false">IF(Q260=0,1,0)</f>
        <v>1</v>
      </c>
    </row>
    <row r="261" customFormat="false" ht="15" hidden="false" customHeight="false" outlineLevel="0" collapsed="false">
      <c r="A261" s="7" t="n">
        <v>260</v>
      </c>
      <c r="B261" s="7" t="s">
        <v>1047</v>
      </c>
      <c r="C261" s="7" t="s">
        <v>1048</v>
      </c>
      <c r="D261" s="7" t="s">
        <v>1049</v>
      </c>
      <c r="E261" s="7" t="s">
        <v>119</v>
      </c>
      <c r="F261" s="7" t="s">
        <v>82</v>
      </c>
      <c r="G261" s="7" t="s">
        <v>104</v>
      </c>
      <c r="H261" s="7" t="s">
        <v>105</v>
      </c>
      <c r="I261" s="7" t="s">
        <v>120</v>
      </c>
      <c r="J261" s="7" t="s">
        <v>265</v>
      </c>
      <c r="K261" s="7" t="s">
        <v>108</v>
      </c>
      <c r="L261" s="7" t="s">
        <v>99</v>
      </c>
      <c r="M261" s="8"/>
      <c r="N261" s="7" t="s">
        <v>109</v>
      </c>
      <c r="O261" s="9" t="n">
        <f aca="false">IF(COUNTIFS($B$2:B261,B261,$C$2:C261,C261)=1,1,0)</f>
        <v>1</v>
      </c>
      <c r="P261" s="9" t="str">
        <f aca="false">IFERROR(INDEX(dEtapa!$A$2:$A$6,MATCH(N261,dEtapa!$B$2:$B$6,0)),"Sin etapa")</f>
        <v>Planificada 2027</v>
      </c>
      <c r="Q261" s="9" t="n">
        <f aca="false">IF(L261="Si",1,0)</f>
        <v>0</v>
      </c>
      <c r="R261" s="9" t="n">
        <f aca="false">IF(ISNUMBER(SEARCH("CRITERIO",N261)),1,0)</f>
        <v>0</v>
      </c>
      <c r="S261" s="9" t="str">
        <f aca="false">IF(E261="","Sin dato",LEFT(E261,1))</f>
        <v>E</v>
      </c>
      <c r="T261" s="9" t="n">
        <f aca="false">IFERROR(INDEX(dCriticidad!$G$2:$G$7,MATCH(S261,dCriticidad!$A$2:$A$7,0)),0)</f>
        <v>0</v>
      </c>
      <c r="U261" s="9" t="n">
        <f aca="false">IF(OR(LEFT(C261,3)="GI0",LEFT(C261,3)="GA0"),1,0)</f>
        <v>0</v>
      </c>
      <c r="V261" s="9" t="str">
        <f aca="false">IF(G261="","Sin dato (ID GI)",TRIM(G261))</f>
        <v>INFRAESTRUCTURA</v>
      </c>
      <c r="W261" s="9" t="str">
        <f aca="false">IF(F261="","Sin dato",F261)</f>
        <v>On Premise</v>
      </c>
      <c r="X261" s="9" t="str">
        <f aca="false">IF(M261="","",YEAR(M261))</f>
        <v/>
      </c>
      <c r="Y261" s="10" t="str">
        <f aca="false">IF(M261="","",DATE(YEAR(M261),MONTH(M261),1))</f>
        <v/>
      </c>
      <c r="Z261" s="9" t="n">
        <f aca="false">IF(AND(Q261=0,COUNTIF(dDuplicadosGI!$A$2:$A$60,C261)&gt;0),1,0)</f>
        <v>0</v>
      </c>
      <c r="AA261" s="9" t="n">
        <f aca="false">IF(Q261=0,1,0)</f>
        <v>1</v>
      </c>
    </row>
    <row r="262" customFormat="false" ht="15" hidden="false" customHeight="false" outlineLevel="0" collapsed="false">
      <c r="A262" s="7" t="n">
        <v>261</v>
      </c>
      <c r="B262" s="7" t="s">
        <v>1050</v>
      </c>
      <c r="C262" s="7" t="s">
        <v>1051</v>
      </c>
      <c r="D262" s="7" t="s">
        <v>1052</v>
      </c>
      <c r="E262" s="7" t="s">
        <v>119</v>
      </c>
      <c r="F262" s="7" t="s">
        <v>82</v>
      </c>
      <c r="G262" s="7" t="s">
        <v>199</v>
      </c>
      <c r="H262" s="7" t="s">
        <v>201</v>
      </c>
      <c r="I262" s="7" t="s">
        <v>807</v>
      </c>
      <c r="J262" s="7" t="s">
        <v>807</v>
      </c>
      <c r="K262" s="7" t="s">
        <v>108</v>
      </c>
      <c r="L262" s="7" t="s">
        <v>99</v>
      </c>
      <c r="M262" s="8"/>
      <c r="N262" s="7" t="s">
        <v>100</v>
      </c>
      <c r="O262" s="9" t="n">
        <f aca="false">IF(COUNTIFS($B$2:B262,B262,$C$2:C262,C262)=1,1,0)</f>
        <v>1</v>
      </c>
      <c r="P262" s="9" t="str">
        <f aca="false">IFERROR(INDEX(dEtapa!$A$2:$A$6,MATCH(N262,dEtapa!$B$2:$B$6,0)),"Sin etapa")</f>
        <v>Criterio 1</v>
      </c>
      <c r="Q262" s="9" t="n">
        <f aca="false">IF(L262="Si",1,0)</f>
        <v>0</v>
      </c>
      <c r="R262" s="9" t="n">
        <f aca="false">IF(ISNUMBER(SEARCH("CRITERIO",N262)),1,0)</f>
        <v>1</v>
      </c>
      <c r="S262" s="9" t="str">
        <f aca="false">IF(E262="","Sin dato",LEFT(E262,1))</f>
        <v>E</v>
      </c>
      <c r="T262" s="9" t="n">
        <f aca="false">IFERROR(INDEX(dCriticidad!$G$2:$G$7,MATCH(S262,dCriticidad!$A$2:$A$7,0)),0)</f>
        <v>0</v>
      </c>
      <c r="U262" s="9" t="n">
        <f aca="false">IF(OR(LEFT(C262,3)="GI0",LEFT(C262,3)="GA0"),1,0)</f>
        <v>0</v>
      </c>
      <c r="V262" s="9" t="str">
        <f aca="false">IF(G262="","Sin dato (ID GI)",TRIM(G262))</f>
        <v>Gerencia Arquitectura Usuario Final</v>
      </c>
      <c r="W262" s="9" t="str">
        <f aca="false">IF(F262="","Sin dato",F262)</f>
        <v>On Premise</v>
      </c>
      <c r="X262" s="9" t="str">
        <f aca="false">IF(M262="","",YEAR(M262))</f>
        <v/>
      </c>
      <c r="Y262" s="10" t="str">
        <f aca="false">IF(M262="","",DATE(YEAR(M262),MONTH(M262),1))</f>
        <v/>
      </c>
      <c r="Z262" s="9" t="n">
        <f aca="false">IF(AND(Q262=0,COUNTIF(dDuplicadosGI!$A$2:$A$60,C262)&gt;0),1,0)</f>
        <v>0</v>
      </c>
      <c r="AA262" s="9" t="n">
        <f aca="false">IF(Q262=0,1,0)</f>
        <v>1</v>
      </c>
    </row>
    <row r="263" customFormat="false" ht="15" hidden="false" customHeight="false" outlineLevel="0" collapsed="false">
      <c r="A263" s="7" t="n">
        <v>262</v>
      </c>
      <c r="B263" s="7" t="s">
        <v>1053</v>
      </c>
      <c r="C263" s="7" t="s">
        <v>1054</v>
      </c>
      <c r="D263" s="7" t="s">
        <v>320</v>
      </c>
      <c r="E263" s="7" t="s">
        <v>145</v>
      </c>
      <c r="F263" s="7" t="s">
        <v>152</v>
      </c>
      <c r="G263" s="7" t="s">
        <v>83</v>
      </c>
      <c r="H263" s="7" t="s">
        <v>84</v>
      </c>
      <c r="I263" s="7" t="s">
        <v>289</v>
      </c>
      <c r="J263" s="7" t="s">
        <v>1055</v>
      </c>
      <c r="K263" s="7" t="s">
        <v>463</v>
      </c>
      <c r="L263" s="7" t="s">
        <v>99</v>
      </c>
      <c r="M263" s="8"/>
      <c r="N263" s="7" t="s">
        <v>109</v>
      </c>
      <c r="O263" s="9" t="n">
        <f aca="false">IF(COUNTIFS($B$2:B263,B263,$C$2:C263,C263)=1,1,0)</f>
        <v>1</v>
      </c>
      <c r="P263" s="9" t="str">
        <f aca="false">IFERROR(INDEX(dEtapa!$A$2:$A$6,MATCH(N263,dEtapa!$B$2:$B$6,0)),"Sin etapa")</f>
        <v>Planificada 2027</v>
      </c>
      <c r="Q263" s="9" t="n">
        <f aca="false">IF(L263="Si",1,0)</f>
        <v>0</v>
      </c>
      <c r="R263" s="9" t="n">
        <f aca="false">IF(ISNUMBER(SEARCH("CRITERIO",N263)),1,0)</f>
        <v>0</v>
      </c>
      <c r="S263" s="9" t="str">
        <f aca="false">IF(E263="","Sin dato",LEFT(E263,1))</f>
        <v>B</v>
      </c>
      <c r="T263" s="9" t="n">
        <f aca="false">IFERROR(INDEX(dCriticidad!$G$2:$G$7,MATCH(S263,dCriticidad!$A$2:$A$7,0)),0)</f>
        <v>1</v>
      </c>
      <c r="U263" s="9" t="n">
        <f aca="false">IF(OR(LEFT(C263,3)="GI0",LEFT(C263,3)="GA0"),1,0)</f>
        <v>0</v>
      </c>
      <c r="V263" s="9" t="str">
        <f aca="false">IF(G263="","Sin dato (ID GI)",TRIM(G263))</f>
        <v>TRIBU_CANALES</v>
      </c>
      <c r="W263" s="9" t="str">
        <f aca="false">IF(F263="","Sin dato",F263)</f>
        <v>Terceros</v>
      </c>
      <c r="X263" s="9" t="str">
        <f aca="false">IF(M263="","",YEAR(M263))</f>
        <v/>
      </c>
      <c r="Y263" s="10" t="str">
        <f aca="false">IF(M263="","",DATE(YEAR(M263),MONTH(M263),1))</f>
        <v/>
      </c>
      <c r="Z263" s="9" t="n">
        <f aca="false">IF(AND(Q263=0,COUNTIF(dDuplicadosGI!$A$2:$A$60,C263)&gt;0),1,0)</f>
        <v>0</v>
      </c>
      <c r="AA263" s="9" t="n">
        <f aca="false">IF(Q263=0,1,0)</f>
        <v>1</v>
      </c>
    </row>
    <row r="264" customFormat="false" ht="15" hidden="false" customHeight="false" outlineLevel="0" collapsed="false">
      <c r="A264" s="7" t="n">
        <v>263</v>
      </c>
      <c r="B264" s="7" t="s">
        <v>1056</v>
      </c>
      <c r="C264" s="7" t="s">
        <v>1057</v>
      </c>
      <c r="D264" s="7" t="s">
        <v>1058</v>
      </c>
      <c r="E264" s="7" t="s">
        <v>119</v>
      </c>
      <c r="F264" s="7" t="s">
        <v>94</v>
      </c>
      <c r="G264" s="7" t="s">
        <v>362</v>
      </c>
      <c r="H264" s="7" t="s">
        <v>363</v>
      </c>
      <c r="I264" s="7" t="s">
        <v>364</v>
      </c>
      <c r="J264" s="7" t="s">
        <v>365</v>
      </c>
      <c r="K264" s="7" t="s">
        <v>87</v>
      </c>
      <c r="L264" s="7" t="s">
        <v>88</v>
      </c>
      <c r="M264" s="8" t="n">
        <v>45199</v>
      </c>
      <c r="N264" s="7" t="s">
        <v>89</v>
      </c>
      <c r="O264" s="9" t="n">
        <f aca="false">IF(COUNTIFS($B$2:B264,B264,$C$2:C264,C264)=1,1,0)</f>
        <v>1</v>
      </c>
      <c r="P264" s="9" t="str">
        <f aca="false">IFERROR(INDEX(dEtapa!$A$2:$A$6,MATCH(N264,dEtapa!$B$2:$B$6,0)),"Sin etapa")</f>
        <v>Gobernada</v>
      </c>
      <c r="Q264" s="9" t="n">
        <f aca="false">IF(L264="Si",1,0)</f>
        <v>1</v>
      </c>
      <c r="R264" s="9" t="n">
        <f aca="false">IF(ISNUMBER(SEARCH("CRITERIO",N264)),1,0)</f>
        <v>0</v>
      </c>
      <c r="S264" s="9" t="str">
        <f aca="false">IF(E264="","Sin dato",LEFT(E264,1))</f>
        <v>E</v>
      </c>
      <c r="T264" s="9" t="n">
        <f aca="false">IFERROR(INDEX(dCriticidad!$G$2:$G$7,MATCH(S264,dCriticidad!$A$2:$A$7,0)),0)</f>
        <v>0</v>
      </c>
      <c r="U264" s="9" t="n">
        <f aca="false">IF(OR(LEFT(C264,3)="GI0",LEFT(C264,3)="GA0"),1,0)</f>
        <v>0</v>
      </c>
      <c r="V264" s="9" t="str">
        <f aca="false">IF(G264="","Sin dato (ID GI)",TRIM(G264))</f>
        <v>COE_TRANSFORMACION_PROCESOS</v>
      </c>
      <c r="W264" s="9" t="str">
        <f aca="false">IF(F264="","Sin dato",F264)</f>
        <v>Nube</v>
      </c>
      <c r="X264" s="9" t="n">
        <f aca="false">IF(M264="","",YEAR(M264))</f>
        <v>2023</v>
      </c>
      <c r="Y264" s="10" t="n">
        <f aca="false">IF(M264="","",DATE(YEAR(M264),MONTH(M264),1))</f>
        <v>45170</v>
      </c>
      <c r="Z264" s="9" t="n">
        <f aca="false">IF(AND(Q264=0,COUNTIF(dDuplicadosGI!$A$2:$A$60,C264)&gt;0),1,0)</f>
        <v>0</v>
      </c>
      <c r="AA264" s="9" t="n">
        <f aca="false">IF(Q264=0,1,0)</f>
        <v>0</v>
      </c>
    </row>
    <row r="265" customFormat="false" ht="15" hidden="false" customHeight="false" outlineLevel="0" collapsed="false">
      <c r="A265" s="7" t="n">
        <v>264</v>
      </c>
      <c r="B265" s="7" t="s">
        <v>1059</v>
      </c>
      <c r="C265" s="7" t="s">
        <v>1060</v>
      </c>
      <c r="D265" s="7" t="s">
        <v>1061</v>
      </c>
      <c r="E265" s="7" t="s">
        <v>119</v>
      </c>
      <c r="F265" s="7" t="s">
        <v>269</v>
      </c>
      <c r="G265" s="7" t="s">
        <v>166</v>
      </c>
      <c r="H265" s="7" t="s">
        <v>906</v>
      </c>
      <c r="I265" s="7" t="s">
        <v>168</v>
      </c>
      <c r="J265" s="7" t="s">
        <v>183</v>
      </c>
      <c r="K265" s="7" t="s">
        <v>170</v>
      </c>
      <c r="L265" s="7" t="s">
        <v>88</v>
      </c>
      <c r="M265" s="8" t="n">
        <v>46045</v>
      </c>
      <c r="N265" s="7" t="s">
        <v>89</v>
      </c>
      <c r="O265" s="9" t="n">
        <f aca="false">IF(COUNTIFS($B$2:B265,B265,$C$2:C265,C265)=1,1,0)</f>
        <v>1</v>
      </c>
      <c r="P265" s="9" t="str">
        <f aca="false">IFERROR(INDEX(dEtapa!$A$2:$A$6,MATCH(N265,dEtapa!$B$2:$B$6,0)),"Sin etapa")</f>
        <v>Gobernada</v>
      </c>
      <c r="Q265" s="9" t="n">
        <f aca="false">IF(L265="Si",1,0)</f>
        <v>1</v>
      </c>
      <c r="R265" s="9" t="n">
        <f aca="false">IF(ISNUMBER(SEARCH("CRITERIO",N265)),1,0)</f>
        <v>0</v>
      </c>
      <c r="S265" s="9" t="str">
        <f aca="false">IF(E265="","Sin dato",LEFT(E265,1))</f>
        <v>E</v>
      </c>
      <c r="T265" s="9" t="n">
        <f aca="false">IFERROR(INDEX(dCriticidad!$G$2:$G$7,MATCH(S265,dCriticidad!$A$2:$A$7,0)),0)</f>
        <v>0</v>
      </c>
      <c r="U265" s="9" t="n">
        <f aca="false">IF(OR(LEFT(C265,3)="GI0",LEFT(C265,3)="GA0"),1,0)</f>
        <v>0</v>
      </c>
      <c r="V265" s="9" t="str">
        <f aca="false">IF(G265="","Sin dato (ID GI)",TRIM(G265))</f>
        <v>Ciberseguridad</v>
      </c>
      <c r="W265" s="9" t="str">
        <f aca="false">IF(F265="","Sin dato",F265)</f>
        <v>Híbrida</v>
      </c>
      <c r="X265" s="9" t="n">
        <f aca="false">IF(M265="","",YEAR(M265))</f>
        <v>2026</v>
      </c>
      <c r="Y265" s="10" t="n">
        <f aca="false">IF(M265="","",DATE(YEAR(M265),MONTH(M265),1))</f>
        <v>46023</v>
      </c>
      <c r="Z265" s="9" t="n">
        <f aca="false">IF(AND(Q265=0,COUNTIF(dDuplicadosGI!$A$2:$A$60,C265)&gt;0),1,0)</f>
        <v>0</v>
      </c>
      <c r="AA265" s="9" t="n">
        <f aca="false">IF(Q265=0,1,0)</f>
        <v>0</v>
      </c>
    </row>
    <row r="266" customFormat="false" ht="15" hidden="false" customHeight="false" outlineLevel="0" collapsed="false">
      <c r="A266" s="7" t="n">
        <v>265</v>
      </c>
      <c r="B266" s="7" t="s">
        <v>1062</v>
      </c>
      <c r="C266" s="7" t="s">
        <v>1063</v>
      </c>
      <c r="D266" s="7" t="s">
        <v>1064</v>
      </c>
      <c r="E266" s="7" t="s">
        <v>119</v>
      </c>
      <c r="F266" s="7" t="s">
        <v>82</v>
      </c>
      <c r="G266" s="7" t="s">
        <v>153</v>
      </c>
      <c r="H266" s="7" t="s">
        <v>154</v>
      </c>
      <c r="I266" s="7" t="s">
        <v>412</v>
      </c>
      <c r="J266" s="7" t="s">
        <v>413</v>
      </c>
      <c r="K266" s="7" t="s">
        <v>87</v>
      </c>
      <c r="L266" s="7" t="s">
        <v>88</v>
      </c>
      <c r="M266" s="8" t="n">
        <v>45200</v>
      </c>
      <c r="N266" s="7" t="s">
        <v>89</v>
      </c>
      <c r="O266" s="9" t="n">
        <f aca="false">IF(COUNTIFS($B$2:B266,B266,$C$2:C266,C266)=1,1,0)</f>
        <v>1</v>
      </c>
      <c r="P266" s="9" t="str">
        <f aca="false">IFERROR(INDEX(dEtapa!$A$2:$A$6,MATCH(N266,dEtapa!$B$2:$B$6,0)),"Sin etapa")</f>
        <v>Gobernada</v>
      </c>
      <c r="Q266" s="9" t="n">
        <f aca="false">IF(L266="Si",1,0)</f>
        <v>1</v>
      </c>
      <c r="R266" s="9" t="n">
        <f aca="false">IF(ISNUMBER(SEARCH("CRITERIO",N266)),1,0)</f>
        <v>0</v>
      </c>
      <c r="S266" s="9" t="str">
        <f aca="false">IF(E266="","Sin dato",LEFT(E266,1))</f>
        <v>E</v>
      </c>
      <c r="T266" s="9" t="n">
        <f aca="false">IFERROR(INDEX(dCriticidad!$G$2:$G$7,MATCH(S266,dCriticidad!$A$2:$A$7,0)),0)</f>
        <v>0</v>
      </c>
      <c r="U266" s="9" t="n">
        <f aca="false">IF(OR(LEFT(C266,3)="GI0",LEFT(C266,3)="GA0"),1,0)</f>
        <v>0</v>
      </c>
      <c r="V266" s="9" t="str">
        <f aca="false">IF(G266="","Sin dato (ID GI)",TRIM(G266))</f>
        <v>MEDIOS_DE_PAGO</v>
      </c>
      <c r="W266" s="9" t="str">
        <f aca="false">IF(F266="","Sin dato",F266)</f>
        <v>On Premise</v>
      </c>
      <c r="X266" s="9" t="n">
        <f aca="false">IF(M266="","",YEAR(M266))</f>
        <v>2023</v>
      </c>
      <c r="Y266" s="10" t="n">
        <f aca="false">IF(M266="","",DATE(YEAR(M266),MONTH(M266),1))</f>
        <v>45200</v>
      </c>
      <c r="Z266" s="9" t="n">
        <f aca="false">IF(AND(Q266=0,COUNTIF(dDuplicadosGI!$A$2:$A$60,C266)&gt;0),1,0)</f>
        <v>0</v>
      </c>
      <c r="AA266" s="9" t="n">
        <f aca="false">IF(Q266=0,1,0)</f>
        <v>0</v>
      </c>
    </row>
    <row r="267" customFormat="false" ht="15" hidden="false" customHeight="false" outlineLevel="0" collapsed="false">
      <c r="A267" s="7" t="n">
        <v>266</v>
      </c>
      <c r="B267" s="7" t="s">
        <v>1065</v>
      </c>
      <c r="C267" s="7" t="s">
        <v>1066</v>
      </c>
      <c r="D267" s="7" t="s">
        <v>1067</v>
      </c>
      <c r="E267" s="7" t="s">
        <v>119</v>
      </c>
      <c r="F267" s="7" t="s">
        <v>94</v>
      </c>
      <c r="G267" s="7" t="s">
        <v>83</v>
      </c>
      <c r="H267" s="7" t="s">
        <v>84</v>
      </c>
      <c r="I267" s="7" t="s">
        <v>503</v>
      </c>
      <c r="J267" s="7" t="s">
        <v>602</v>
      </c>
      <c r="K267" s="7" t="s">
        <v>98</v>
      </c>
      <c r="L267" s="7" t="s">
        <v>88</v>
      </c>
      <c r="M267" s="8" t="n">
        <v>46066</v>
      </c>
      <c r="N267" s="7" t="s">
        <v>89</v>
      </c>
      <c r="O267" s="9" t="n">
        <f aca="false">IF(COUNTIFS($B$2:B267,B267,$C$2:C267,C267)=1,1,0)</f>
        <v>1</v>
      </c>
      <c r="P267" s="9" t="str">
        <f aca="false">IFERROR(INDEX(dEtapa!$A$2:$A$6,MATCH(N267,dEtapa!$B$2:$B$6,0)),"Sin etapa")</f>
        <v>Gobernada</v>
      </c>
      <c r="Q267" s="9" t="n">
        <f aca="false">IF(L267="Si",1,0)</f>
        <v>1</v>
      </c>
      <c r="R267" s="9" t="n">
        <f aca="false">IF(ISNUMBER(SEARCH("CRITERIO",N267)),1,0)</f>
        <v>0</v>
      </c>
      <c r="S267" s="9" t="str">
        <f aca="false">IF(E267="","Sin dato",LEFT(E267,1))</f>
        <v>E</v>
      </c>
      <c r="T267" s="9" t="n">
        <f aca="false">IFERROR(INDEX(dCriticidad!$G$2:$G$7,MATCH(S267,dCriticidad!$A$2:$A$7,0)),0)</f>
        <v>0</v>
      </c>
      <c r="U267" s="9" t="n">
        <f aca="false">IF(OR(LEFT(C267,3)="GI0",LEFT(C267,3)="GA0"),1,0)</f>
        <v>0</v>
      </c>
      <c r="V267" s="9" t="str">
        <f aca="false">IF(G267="","Sin dato (ID GI)",TRIM(G267))</f>
        <v>TRIBU_CANALES</v>
      </c>
      <c r="W267" s="9" t="str">
        <f aca="false">IF(F267="","Sin dato",F267)</f>
        <v>Nube</v>
      </c>
      <c r="X267" s="9" t="n">
        <f aca="false">IF(M267="","",YEAR(M267))</f>
        <v>2026</v>
      </c>
      <c r="Y267" s="10" t="n">
        <f aca="false">IF(M267="","",DATE(YEAR(M267),MONTH(M267),1))</f>
        <v>46054</v>
      </c>
      <c r="Z267" s="9" t="n">
        <f aca="false">IF(AND(Q267=0,COUNTIF(dDuplicadosGI!$A$2:$A$60,C267)&gt;0),1,0)</f>
        <v>0</v>
      </c>
      <c r="AA267" s="9" t="n">
        <f aca="false">IF(Q267=0,1,0)</f>
        <v>0</v>
      </c>
    </row>
    <row r="268" customFormat="false" ht="15" hidden="false" customHeight="false" outlineLevel="0" collapsed="false">
      <c r="A268" s="7" t="n">
        <v>267</v>
      </c>
      <c r="B268" s="7" t="s">
        <v>467</v>
      </c>
      <c r="C268" s="7" t="s">
        <v>468</v>
      </c>
      <c r="D268" s="7" t="s">
        <v>1068</v>
      </c>
      <c r="E268" s="7" t="s">
        <v>119</v>
      </c>
      <c r="F268" s="7" t="s">
        <v>94</v>
      </c>
      <c r="G268" s="7" t="s">
        <v>125</v>
      </c>
      <c r="H268" s="7" t="s">
        <v>126</v>
      </c>
      <c r="I268" s="7" t="s">
        <v>470</v>
      </c>
      <c r="J268" s="7" t="s">
        <v>126</v>
      </c>
      <c r="K268" s="7" t="s">
        <v>98</v>
      </c>
      <c r="L268" s="7" t="s">
        <v>99</v>
      </c>
      <c r="M268" s="8"/>
      <c r="N268" s="7" t="s">
        <v>109</v>
      </c>
      <c r="O268" s="9" t="n">
        <f aca="false">IF(COUNTIFS($B$2:B268,B268,$C$2:C268,C268)=1,1,0)</f>
        <v>0</v>
      </c>
      <c r="P268" s="9" t="str">
        <f aca="false">IFERROR(INDEX(dEtapa!$A$2:$A$6,MATCH(N268,dEtapa!$B$2:$B$6,0)),"Sin etapa")</f>
        <v>Planificada 2027</v>
      </c>
      <c r="Q268" s="9" t="n">
        <f aca="false">IF(L268="Si",1,0)</f>
        <v>0</v>
      </c>
      <c r="R268" s="9" t="n">
        <f aca="false">IF(ISNUMBER(SEARCH("CRITERIO",N268)),1,0)</f>
        <v>0</v>
      </c>
      <c r="S268" s="9" t="str">
        <f aca="false">IF(E268="","Sin dato",LEFT(E268,1))</f>
        <v>E</v>
      </c>
      <c r="T268" s="9" t="n">
        <f aca="false">IFERROR(INDEX(dCriticidad!$G$2:$G$7,MATCH(S268,dCriticidad!$A$2:$A$7,0)),0)</f>
        <v>0</v>
      </c>
      <c r="U268" s="9" t="n">
        <f aca="false">IF(OR(LEFT(C268,3)="GI0",LEFT(C268,3)="GA0"),1,0)</f>
        <v>0</v>
      </c>
      <c r="V268" s="9" t="str">
        <f aca="false">IF(G268="","Sin dato (ID GI)",TRIM(G268))</f>
        <v>Negocios y Monetización</v>
      </c>
      <c r="W268" s="9" t="str">
        <f aca="false">IF(F268="","Sin dato",F268)</f>
        <v>Nube</v>
      </c>
      <c r="X268" s="9" t="str">
        <f aca="false">IF(M268="","",YEAR(M268))</f>
        <v/>
      </c>
      <c r="Y268" s="10" t="str">
        <f aca="false">IF(M268="","",DATE(YEAR(M268),MONTH(M268),1))</f>
        <v/>
      </c>
      <c r="Z268" s="9" t="n">
        <f aca="false">IF(AND(Q268=0,COUNTIF(dDuplicadosGI!$A$2:$A$60,C268)&gt;0),1,0)</f>
        <v>0</v>
      </c>
      <c r="AA268" s="9" t="n">
        <f aca="false">IF(Q268=0,1,0)</f>
        <v>1</v>
      </c>
    </row>
    <row r="269" customFormat="false" ht="15" hidden="false" customHeight="false" outlineLevel="0" collapsed="false">
      <c r="A269" s="7" t="n">
        <v>268</v>
      </c>
      <c r="B269" s="7" t="s">
        <v>1069</v>
      </c>
      <c r="C269" s="7" t="s">
        <v>1070</v>
      </c>
      <c r="D269" s="7" t="s">
        <v>1071</v>
      </c>
      <c r="E269" s="7" t="s">
        <v>93</v>
      </c>
      <c r="F269" s="7" t="s">
        <v>94</v>
      </c>
      <c r="G269" s="7" t="s">
        <v>331</v>
      </c>
      <c r="H269" s="7" t="s">
        <v>332</v>
      </c>
      <c r="I269" s="7" t="s">
        <v>333</v>
      </c>
      <c r="J269" s="7" t="s">
        <v>332</v>
      </c>
      <c r="K269" s="7" t="s">
        <v>108</v>
      </c>
      <c r="L269" s="7" t="s">
        <v>99</v>
      </c>
      <c r="M269" s="8"/>
      <c r="N269" s="7" t="s">
        <v>109</v>
      </c>
      <c r="O269" s="9" t="n">
        <f aca="false">IF(COUNTIFS($B$2:B269,B269,$C$2:C269,C269)=1,1,0)</f>
        <v>1</v>
      </c>
      <c r="P269" s="9" t="str">
        <f aca="false">IFERROR(INDEX(dEtapa!$A$2:$A$6,MATCH(N269,dEtapa!$B$2:$B$6,0)),"Sin etapa")</f>
        <v>Planificada 2027</v>
      </c>
      <c r="Q269" s="9" t="n">
        <f aca="false">IF(L269="Si",1,0)</f>
        <v>0</v>
      </c>
      <c r="R269" s="9" t="n">
        <f aca="false">IF(ISNUMBER(SEARCH("CRITERIO",N269)),1,0)</f>
        <v>0</v>
      </c>
      <c r="S269" s="9" t="str">
        <f aca="false">IF(E269="","Sin dato",LEFT(E269,1))</f>
        <v>D</v>
      </c>
      <c r="T269" s="9" t="n">
        <f aca="false">IFERROR(INDEX(dCriticidad!$G$2:$G$7,MATCH(S269,dCriticidad!$A$2:$A$7,0)),0)</f>
        <v>0</v>
      </c>
      <c r="U269" s="9" t="n">
        <f aca="false">IF(OR(LEFT(C269,3)="GI0",LEFT(C269,3)="GA0"),1,0)</f>
        <v>0</v>
      </c>
      <c r="V269" s="9" t="str">
        <f aca="false">IF(G269="","Sin dato (ID GI)",TRIM(G269))</f>
        <v>TRIBU_DE_UNA</v>
      </c>
      <c r="W269" s="9" t="str">
        <f aca="false">IF(F269="","Sin dato",F269)</f>
        <v>Nube</v>
      </c>
      <c r="X269" s="9" t="str">
        <f aca="false">IF(M269="","",YEAR(M269))</f>
        <v/>
      </c>
      <c r="Y269" s="10" t="str">
        <f aca="false">IF(M269="","",DATE(YEAR(M269),MONTH(M269),1))</f>
        <v/>
      </c>
      <c r="Z269" s="9" t="n">
        <f aca="false">IF(AND(Q269=0,COUNTIF(dDuplicadosGI!$A$2:$A$60,C269)&gt;0),1,0)</f>
        <v>0</v>
      </c>
      <c r="AA269" s="9" t="n">
        <f aca="false">IF(Q269=0,1,0)</f>
        <v>1</v>
      </c>
    </row>
    <row r="270" customFormat="false" ht="15" hidden="false" customHeight="false" outlineLevel="0" collapsed="false">
      <c r="A270" s="7" t="n">
        <v>269</v>
      </c>
      <c r="B270" s="7" t="s">
        <v>1072</v>
      </c>
      <c r="C270" s="7" t="s">
        <v>1073</v>
      </c>
      <c r="D270" s="7" t="s">
        <v>1074</v>
      </c>
      <c r="E270" s="7" t="s">
        <v>93</v>
      </c>
      <c r="F270" s="7" t="s">
        <v>82</v>
      </c>
      <c r="G270" s="7" t="s">
        <v>104</v>
      </c>
      <c r="H270" s="7" t="s">
        <v>105</v>
      </c>
      <c r="I270" s="7" t="s">
        <v>114</v>
      </c>
      <c r="J270" s="7" t="s">
        <v>115</v>
      </c>
      <c r="K270" s="7" t="s">
        <v>108</v>
      </c>
      <c r="L270" s="7" t="s">
        <v>99</v>
      </c>
      <c r="M270" s="8"/>
      <c r="N270" s="7" t="s">
        <v>109</v>
      </c>
      <c r="O270" s="9" t="n">
        <f aca="false">IF(COUNTIFS($B$2:B270,B270,$C$2:C270,C270)=1,1,0)</f>
        <v>1</v>
      </c>
      <c r="P270" s="9" t="str">
        <f aca="false">IFERROR(INDEX(dEtapa!$A$2:$A$6,MATCH(N270,dEtapa!$B$2:$B$6,0)),"Sin etapa")</f>
        <v>Planificada 2027</v>
      </c>
      <c r="Q270" s="9" t="n">
        <f aca="false">IF(L270="Si",1,0)</f>
        <v>0</v>
      </c>
      <c r="R270" s="9" t="n">
        <f aca="false">IF(ISNUMBER(SEARCH("CRITERIO",N270)),1,0)</f>
        <v>0</v>
      </c>
      <c r="S270" s="9" t="str">
        <f aca="false">IF(E270="","Sin dato",LEFT(E270,1))</f>
        <v>D</v>
      </c>
      <c r="T270" s="9" t="n">
        <f aca="false">IFERROR(INDEX(dCriticidad!$G$2:$G$7,MATCH(S270,dCriticidad!$A$2:$A$7,0)),0)</f>
        <v>0</v>
      </c>
      <c r="U270" s="9" t="n">
        <f aca="false">IF(OR(LEFT(C270,3)="GI0",LEFT(C270,3)="GA0"),1,0)</f>
        <v>0</v>
      </c>
      <c r="V270" s="9" t="str">
        <f aca="false">IF(G270="","Sin dato (ID GI)",TRIM(G270))</f>
        <v>INFRAESTRUCTURA</v>
      </c>
      <c r="W270" s="9" t="str">
        <f aca="false">IF(F270="","Sin dato",F270)</f>
        <v>On Premise</v>
      </c>
      <c r="X270" s="9" t="str">
        <f aca="false">IF(M270="","",YEAR(M270))</f>
        <v/>
      </c>
      <c r="Y270" s="10" t="str">
        <f aca="false">IF(M270="","",DATE(YEAR(M270),MONTH(M270),1))</f>
        <v/>
      </c>
      <c r="Z270" s="9" t="n">
        <f aca="false">IF(AND(Q270=0,COUNTIF(dDuplicadosGI!$A$2:$A$60,C270)&gt;0),1,0)</f>
        <v>0</v>
      </c>
      <c r="AA270" s="9" t="n">
        <f aca="false">IF(Q270=0,1,0)</f>
        <v>1</v>
      </c>
    </row>
    <row r="271" customFormat="false" ht="15" hidden="false" customHeight="false" outlineLevel="0" collapsed="false">
      <c r="A271" s="7" t="n">
        <v>270</v>
      </c>
      <c r="B271" s="7" t="s">
        <v>1075</v>
      </c>
      <c r="C271" s="7" t="s">
        <v>1076</v>
      </c>
      <c r="D271" s="7" t="s">
        <v>1077</v>
      </c>
      <c r="E271" s="7" t="s">
        <v>119</v>
      </c>
      <c r="F271" s="7" t="s">
        <v>82</v>
      </c>
      <c r="G271" s="7" t="s">
        <v>369</v>
      </c>
      <c r="H271" s="7" t="s">
        <v>147</v>
      </c>
      <c r="I271" s="7" t="s">
        <v>147</v>
      </c>
      <c r="J271" s="7" t="s">
        <v>1078</v>
      </c>
      <c r="K271" s="7" t="s">
        <v>98</v>
      </c>
      <c r="L271" s="7" t="s">
        <v>88</v>
      </c>
      <c r="M271" s="8" t="n">
        <v>45199</v>
      </c>
      <c r="N271" s="7" t="s">
        <v>89</v>
      </c>
      <c r="O271" s="9" t="n">
        <f aca="false">IF(COUNTIFS($B$2:B271,B271,$C$2:C271,C271)=1,1,0)</f>
        <v>1</v>
      </c>
      <c r="P271" s="9" t="str">
        <f aca="false">IFERROR(INDEX(dEtapa!$A$2:$A$6,MATCH(N271,dEtapa!$B$2:$B$6,0)),"Sin etapa")</f>
        <v>Gobernada</v>
      </c>
      <c r="Q271" s="9" t="n">
        <f aca="false">IF(L271="Si",1,0)</f>
        <v>1</v>
      </c>
      <c r="R271" s="9" t="n">
        <f aca="false">IF(ISNUMBER(SEARCH("CRITERIO",N271)),1,0)</f>
        <v>0</v>
      </c>
      <c r="S271" s="9" t="str">
        <f aca="false">IF(E271="","Sin dato",LEFT(E271,1))</f>
        <v>E</v>
      </c>
      <c r="T271" s="9" t="n">
        <f aca="false">IFERROR(INDEX(dCriticidad!$G$2:$G$7,MATCH(S271,dCriticidad!$A$2:$A$7,0)),0)</f>
        <v>0</v>
      </c>
      <c r="U271" s="9" t="n">
        <f aca="false">IF(OR(LEFT(C271,3)="GI0",LEFT(C271,3)="GA0"),1,0)</f>
        <v>0</v>
      </c>
      <c r="V271" s="9" t="str">
        <f aca="false">IF(G271="","Sin dato (ID GI)",TRIM(G271))</f>
        <v>Tribu_Cores_Transacciones</v>
      </c>
      <c r="W271" s="9" t="str">
        <f aca="false">IF(F271="","Sin dato",F271)</f>
        <v>On Premise</v>
      </c>
      <c r="X271" s="9" t="n">
        <f aca="false">IF(M271="","",YEAR(M271))</f>
        <v>2023</v>
      </c>
      <c r="Y271" s="10" t="n">
        <f aca="false">IF(M271="","",DATE(YEAR(M271),MONTH(M271),1))</f>
        <v>45170</v>
      </c>
      <c r="Z271" s="9" t="n">
        <f aca="false">IF(AND(Q271=0,COUNTIF(dDuplicadosGI!$A$2:$A$60,C271)&gt;0),1,0)</f>
        <v>0</v>
      </c>
      <c r="AA271" s="9" t="n">
        <f aca="false">IF(Q271=0,1,0)</f>
        <v>0</v>
      </c>
    </row>
    <row r="272" customFormat="false" ht="15" hidden="false" customHeight="false" outlineLevel="0" collapsed="false">
      <c r="A272" s="7" t="n">
        <v>271</v>
      </c>
      <c r="B272" s="7" t="s">
        <v>1079</v>
      </c>
      <c r="C272" s="7" t="s">
        <v>1080</v>
      </c>
      <c r="D272" s="7" t="s">
        <v>1081</v>
      </c>
      <c r="E272" s="7" t="s">
        <v>119</v>
      </c>
      <c r="F272" s="7" t="s">
        <v>82</v>
      </c>
      <c r="G272" s="7" t="s">
        <v>83</v>
      </c>
      <c r="H272" s="7" t="s">
        <v>84</v>
      </c>
      <c r="I272" s="7" t="s">
        <v>85</v>
      </c>
      <c r="J272" s="7" t="s">
        <v>86</v>
      </c>
      <c r="K272" s="7" t="s">
        <v>87</v>
      </c>
      <c r="L272" s="7" t="s">
        <v>88</v>
      </c>
      <c r="M272" s="8" t="n">
        <v>45199</v>
      </c>
      <c r="N272" s="7" t="s">
        <v>89</v>
      </c>
      <c r="O272" s="9" t="n">
        <f aca="false">IF(COUNTIFS($B$2:B272,B272,$C$2:C272,C272)=1,1,0)</f>
        <v>1</v>
      </c>
      <c r="P272" s="9" t="str">
        <f aca="false">IFERROR(INDEX(dEtapa!$A$2:$A$6,MATCH(N272,dEtapa!$B$2:$B$6,0)),"Sin etapa")</f>
        <v>Gobernada</v>
      </c>
      <c r="Q272" s="9" t="n">
        <f aca="false">IF(L272="Si",1,0)</f>
        <v>1</v>
      </c>
      <c r="R272" s="9" t="n">
        <f aca="false">IF(ISNUMBER(SEARCH("CRITERIO",N272)),1,0)</f>
        <v>0</v>
      </c>
      <c r="S272" s="9" t="str">
        <f aca="false">IF(E272="","Sin dato",LEFT(E272,1))</f>
        <v>E</v>
      </c>
      <c r="T272" s="9" t="n">
        <f aca="false">IFERROR(INDEX(dCriticidad!$G$2:$G$7,MATCH(S272,dCriticidad!$A$2:$A$7,0)),0)</f>
        <v>0</v>
      </c>
      <c r="U272" s="9" t="n">
        <f aca="false">IF(OR(LEFT(C272,3)="GI0",LEFT(C272,3)="GA0"),1,0)</f>
        <v>0</v>
      </c>
      <c r="V272" s="9" t="str">
        <f aca="false">IF(G272="","Sin dato (ID GI)",TRIM(G272))</f>
        <v>TRIBU_CANALES</v>
      </c>
      <c r="W272" s="9" t="str">
        <f aca="false">IF(F272="","Sin dato",F272)</f>
        <v>On Premise</v>
      </c>
      <c r="X272" s="9" t="n">
        <f aca="false">IF(M272="","",YEAR(M272))</f>
        <v>2023</v>
      </c>
      <c r="Y272" s="10" t="n">
        <f aca="false">IF(M272="","",DATE(YEAR(M272),MONTH(M272),1))</f>
        <v>45170</v>
      </c>
      <c r="Z272" s="9" t="n">
        <f aca="false">IF(AND(Q272=0,COUNTIF(dDuplicadosGI!$A$2:$A$60,C272)&gt;0),1,0)</f>
        <v>0</v>
      </c>
      <c r="AA272" s="9" t="n">
        <f aca="false">IF(Q272=0,1,0)</f>
        <v>0</v>
      </c>
    </row>
    <row r="273" customFormat="false" ht="15" hidden="false" customHeight="false" outlineLevel="0" collapsed="false">
      <c r="A273" s="7" t="n">
        <v>272</v>
      </c>
      <c r="B273" s="7" t="s">
        <v>1082</v>
      </c>
      <c r="C273" s="7" t="s">
        <v>1083</v>
      </c>
      <c r="D273" s="7" t="s">
        <v>151</v>
      </c>
      <c r="E273" s="7" t="s">
        <v>113</v>
      </c>
      <c r="F273" s="7" t="s">
        <v>152</v>
      </c>
      <c r="G273" s="7" t="s">
        <v>166</v>
      </c>
      <c r="H273" s="7" t="s">
        <v>490</v>
      </c>
      <c r="I273" s="7" t="s">
        <v>1084</v>
      </c>
      <c r="J273" s="7" t="s">
        <v>1085</v>
      </c>
      <c r="K273" s="7" t="s">
        <v>170</v>
      </c>
      <c r="L273" s="7" t="s">
        <v>99</v>
      </c>
      <c r="M273" s="8"/>
      <c r="N273" s="7" t="s">
        <v>178</v>
      </c>
      <c r="O273" s="9" t="n">
        <f aca="false">IF(COUNTIFS($B$2:B273,B273,$C$2:C273,C273)=1,1,0)</f>
        <v>1</v>
      </c>
      <c r="P273" s="9" t="str">
        <f aca="false">IFERROR(INDEX(dEtapa!$A$2:$A$6,MATCH(N273,dEtapa!$B$2:$B$6,0)),"Sin etapa")</f>
        <v>Criterio 2</v>
      </c>
      <c r="Q273" s="9" t="n">
        <f aca="false">IF(L273="Si",1,0)</f>
        <v>0</v>
      </c>
      <c r="R273" s="9" t="n">
        <f aca="false">IF(ISNUMBER(SEARCH("CRITERIO",N273)),1,0)</f>
        <v>1</v>
      </c>
      <c r="S273" s="9" t="str">
        <f aca="false">IF(E273="","Sin dato",LEFT(E273,1))</f>
        <v>C</v>
      </c>
      <c r="T273" s="9" t="n">
        <f aca="false">IFERROR(INDEX(dCriticidad!$G$2:$G$7,MATCH(S273,dCriticidad!$A$2:$A$7,0)),0)</f>
        <v>1</v>
      </c>
      <c r="U273" s="9" t="n">
        <f aca="false">IF(OR(LEFT(C273,3)="GI0",LEFT(C273,3)="GA0"),1,0)</f>
        <v>0</v>
      </c>
      <c r="V273" s="9" t="str">
        <f aca="false">IF(G273="","Sin dato (ID GI)",TRIM(G273))</f>
        <v>Ciberseguridad</v>
      </c>
      <c r="W273" s="9" t="str">
        <f aca="false">IF(F273="","Sin dato",F273)</f>
        <v>Terceros</v>
      </c>
      <c r="X273" s="9" t="str">
        <f aca="false">IF(M273="","",YEAR(M273))</f>
        <v/>
      </c>
      <c r="Y273" s="10" t="str">
        <f aca="false">IF(M273="","",DATE(YEAR(M273),MONTH(M273),1))</f>
        <v/>
      </c>
      <c r="Z273" s="9" t="n">
        <f aca="false">IF(AND(Q273=0,COUNTIF(dDuplicadosGI!$A$2:$A$60,C273)&gt;0),1,0)</f>
        <v>0</v>
      </c>
      <c r="AA273" s="9" t="n">
        <f aca="false">IF(Q273=0,1,0)</f>
        <v>1</v>
      </c>
    </row>
    <row r="274" customFormat="false" ht="15" hidden="false" customHeight="false" outlineLevel="0" collapsed="false">
      <c r="A274" s="7" t="n">
        <v>273</v>
      </c>
      <c r="B274" s="7" t="s">
        <v>1086</v>
      </c>
      <c r="C274" s="7" t="s">
        <v>1087</v>
      </c>
      <c r="D274" s="7" t="s">
        <v>1088</v>
      </c>
      <c r="E274" s="7" t="s">
        <v>145</v>
      </c>
      <c r="F274" s="7" t="s">
        <v>82</v>
      </c>
      <c r="G274" s="7" t="s">
        <v>146</v>
      </c>
      <c r="H274" s="7" t="s">
        <v>147</v>
      </c>
      <c r="I274" s="7" t="s">
        <v>148</v>
      </c>
      <c r="J274" s="7" t="s">
        <v>148</v>
      </c>
      <c r="K274" s="7" t="s">
        <v>108</v>
      </c>
      <c r="L274" s="7" t="s">
        <v>88</v>
      </c>
      <c r="M274" s="8" t="n">
        <v>45565</v>
      </c>
      <c r="N274" s="7" t="s">
        <v>89</v>
      </c>
      <c r="O274" s="9" t="n">
        <f aca="false">IF(COUNTIFS($B$2:B274,B274,$C$2:C274,C274)=1,1,0)</f>
        <v>1</v>
      </c>
      <c r="P274" s="9" t="str">
        <f aca="false">IFERROR(INDEX(dEtapa!$A$2:$A$6,MATCH(N274,dEtapa!$B$2:$B$6,0)),"Sin etapa")</f>
        <v>Gobernada</v>
      </c>
      <c r="Q274" s="9" t="n">
        <f aca="false">IF(L274="Si",1,0)</f>
        <v>1</v>
      </c>
      <c r="R274" s="9" t="n">
        <f aca="false">IF(ISNUMBER(SEARCH("CRITERIO",N274)),1,0)</f>
        <v>0</v>
      </c>
      <c r="S274" s="9" t="str">
        <f aca="false">IF(E274="","Sin dato",LEFT(E274,1))</f>
        <v>B</v>
      </c>
      <c r="T274" s="9" t="n">
        <f aca="false">IFERROR(INDEX(dCriticidad!$G$2:$G$7,MATCH(S274,dCriticidad!$A$2:$A$7,0)),0)</f>
        <v>1</v>
      </c>
      <c r="U274" s="9" t="n">
        <f aca="false">IF(OR(LEFT(C274,3)="GI0",LEFT(C274,3)="GA0"),1,0)</f>
        <v>0</v>
      </c>
      <c r="V274" s="9" t="str">
        <f aca="false">IF(G274="","Sin dato (ID GI)",TRIM(G274))</f>
        <v>Tribu_Integraciones_Apis</v>
      </c>
      <c r="W274" s="9" t="str">
        <f aca="false">IF(F274="","Sin dato",F274)</f>
        <v>On Premise</v>
      </c>
      <c r="X274" s="9" t="n">
        <f aca="false">IF(M274="","",YEAR(M274))</f>
        <v>2024</v>
      </c>
      <c r="Y274" s="10" t="n">
        <f aca="false">IF(M274="","",DATE(YEAR(M274),MONTH(M274),1))</f>
        <v>45536</v>
      </c>
      <c r="Z274" s="9" t="n">
        <f aca="false">IF(AND(Q274=0,COUNTIF(dDuplicadosGI!$A$2:$A$60,C274)&gt;0),1,0)</f>
        <v>0</v>
      </c>
      <c r="AA274" s="9" t="n">
        <f aca="false">IF(Q274=0,1,0)</f>
        <v>0</v>
      </c>
    </row>
    <row r="275" customFormat="false" ht="15" hidden="false" customHeight="false" outlineLevel="0" collapsed="false">
      <c r="A275" s="7" t="n">
        <v>274</v>
      </c>
      <c r="B275" s="7" t="s">
        <v>1089</v>
      </c>
      <c r="C275" s="7" t="s">
        <v>1090</v>
      </c>
      <c r="D275" s="7" t="s">
        <v>1091</v>
      </c>
      <c r="E275" s="7" t="s">
        <v>145</v>
      </c>
      <c r="F275" s="7" t="s">
        <v>82</v>
      </c>
      <c r="G275" s="7" t="s">
        <v>146</v>
      </c>
      <c r="H275" s="7" t="s">
        <v>147</v>
      </c>
      <c r="I275" s="7" t="s">
        <v>148</v>
      </c>
      <c r="J275" s="7" t="s">
        <v>148</v>
      </c>
      <c r="K275" s="7" t="s">
        <v>108</v>
      </c>
      <c r="L275" s="7" t="s">
        <v>88</v>
      </c>
      <c r="M275" s="8" t="n">
        <v>45565</v>
      </c>
      <c r="N275" s="7" t="s">
        <v>89</v>
      </c>
      <c r="O275" s="9" t="n">
        <f aca="false">IF(COUNTIFS($B$2:B275,B275,$C$2:C275,C275)=1,1,0)</f>
        <v>1</v>
      </c>
      <c r="P275" s="9" t="str">
        <f aca="false">IFERROR(INDEX(dEtapa!$A$2:$A$6,MATCH(N275,dEtapa!$B$2:$B$6,0)),"Sin etapa")</f>
        <v>Gobernada</v>
      </c>
      <c r="Q275" s="9" t="n">
        <f aca="false">IF(L275="Si",1,0)</f>
        <v>1</v>
      </c>
      <c r="R275" s="9" t="n">
        <f aca="false">IF(ISNUMBER(SEARCH("CRITERIO",N275)),1,0)</f>
        <v>0</v>
      </c>
      <c r="S275" s="9" t="str">
        <f aca="false">IF(E275="","Sin dato",LEFT(E275,1))</f>
        <v>B</v>
      </c>
      <c r="T275" s="9" t="n">
        <f aca="false">IFERROR(INDEX(dCriticidad!$G$2:$G$7,MATCH(S275,dCriticidad!$A$2:$A$7,0)),0)</f>
        <v>1</v>
      </c>
      <c r="U275" s="9" t="n">
        <f aca="false">IF(OR(LEFT(C275,3)="GI0",LEFT(C275,3)="GA0"),1,0)</f>
        <v>0</v>
      </c>
      <c r="V275" s="9" t="str">
        <f aca="false">IF(G275="","Sin dato (ID GI)",TRIM(G275))</f>
        <v>Tribu_Integraciones_Apis</v>
      </c>
      <c r="W275" s="9" t="str">
        <f aca="false">IF(F275="","Sin dato",F275)</f>
        <v>On Premise</v>
      </c>
      <c r="X275" s="9" t="n">
        <f aca="false">IF(M275="","",YEAR(M275))</f>
        <v>2024</v>
      </c>
      <c r="Y275" s="10" t="n">
        <f aca="false">IF(M275="","",DATE(YEAR(M275),MONTH(M275),1))</f>
        <v>45536</v>
      </c>
      <c r="Z275" s="9" t="n">
        <f aca="false">IF(AND(Q275=0,COUNTIF(dDuplicadosGI!$A$2:$A$60,C275)&gt;0),1,0)</f>
        <v>0</v>
      </c>
      <c r="AA275" s="9" t="n">
        <f aca="false">IF(Q275=0,1,0)</f>
        <v>0</v>
      </c>
    </row>
    <row r="276" customFormat="false" ht="15" hidden="false" customHeight="false" outlineLevel="0" collapsed="false">
      <c r="A276" s="7" t="n">
        <v>275</v>
      </c>
      <c r="B276" s="7" t="s">
        <v>1092</v>
      </c>
      <c r="C276" s="7" t="s">
        <v>1093</v>
      </c>
      <c r="D276" s="7" t="s">
        <v>1094</v>
      </c>
      <c r="E276" s="7" t="s">
        <v>145</v>
      </c>
      <c r="F276" s="7" t="s">
        <v>82</v>
      </c>
      <c r="G276" s="7" t="s">
        <v>146</v>
      </c>
      <c r="H276" s="7" t="s">
        <v>147</v>
      </c>
      <c r="I276" s="7" t="s">
        <v>148</v>
      </c>
      <c r="J276" s="7" t="s">
        <v>148</v>
      </c>
      <c r="K276" s="7" t="s">
        <v>108</v>
      </c>
      <c r="L276" s="7" t="s">
        <v>88</v>
      </c>
      <c r="M276" s="8" t="n">
        <v>45565</v>
      </c>
      <c r="N276" s="7" t="s">
        <v>89</v>
      </c>
      <c r="O276" s="9" t="n">
        <f aca="false">IF(COUNTIFS($B$2:B276,B276,$C$2:C276,C276)=1,1,0)</f>
        <v>1</v>
      </c>
      <c r="P276" s="9" t="str">
        <f aca="false">IFERROR(INDEX(dEtapa!$A$2:$A$6,MATCH(N276,dEtapa!$B$2:$B$6,0)),"Sin etapa")</f>
        <v>Gobernada</v>
      </c>
      <c r="Q276" s="9" t="n">
        <f aca="false">IF(L276="Si",1,0)</f>
        <v>1</v>
      </c>
      <c r="R276" s="9" t="n">
        <f aca="false">IF(ISNUMBER(SEARCH("CRITERIO",N276)),1,0)</f>
        <v>0</v>
      </c>
      <c r="S276" s="9" t="str">
        <f aca="false">IF(E276="","Sin dato",LEFT(E276,1))</f>
        <v>B</v>
      </c>
      <c r="T276" s="9" t="n">
        <f aca="false">IFERROR(INDEX(dCriticidad!$G$2:$G$7,MATCH(S276,dCriticidad!$A$2:$A$7,0)),0)</f>
        <v>1</v>
      </c>
      <c r="U276" s="9" t="n">
        <f aca="false">IF(OR(LEFT(C276,3)="GI0",LEFT(C276,3)="GA0"),1,0)</f>
        <v>0</v>
      </c>
      <c r="V276" s="9" t="str">
        <f aca="false">IF(G276="","Sin dato (ID GI)",TRIM(G276))</f>
        <v>Tribu_Integraciones_Apis</v>
      </c>
      <c r="W276" s="9" t="str">
        <f aca="false">IF(F276="","Sin dato",F276)</f>
        <v>On Premise</v>
      </c>
      <c r="X276" s="9" t="n">
        <f aca="false">IF(M276="","",YEAR(M276))</f>
        <v>2024</v>
      </c>
      <c r="Y276" s="10" t="n">
        <f aca="false">IF(M276="","",DATE(YEAR(M276),MONTH(M276),1))</f>
        <v>45536</v>
      </c>
      <c r="Z276" s="9" t="n">
        <f aca="false">IF(AND(Q276=0,COUNTIF(dDuplicadosGI!$A$2:$A$60,C276)&gt;0),1,0)</f>
        <v>0</v>
      </c>
      <c r="AA276" s="9" t="n">
        <f aca="false">IF(Q276=0,1,0)</f>
        <v>0</v>
      </c>
    </row>
    <row r="277" customFormat="false" ht="15" hidden="false" customHeight="false" outlineLevel="0" collapsed="false">
      <c r="A277" s="7" t="n">
        <v>276</v>
      </c>
      <c r="B277" s="7" t="s">
        <v>1095</v>
      </c>
      <c r="C277" s="7" t="s">
        <v>1096</v>
      </c>
      <c r="D277" s="7" t="s">
        <v>1097</v>
      </c>
      <c r="E277" s="7" t="s">
        <v>119</v>
      </c>
      <c r="F277" s="7" t="s">
        <v>82</v>
      </c>
      <c r="G277" s="7" t="s">
        <v>369</v>
      </c>
      <c r="H277" s="7" t="s">
        <v>147</v>
      </c>
      <c r="I277" s="7" t="s">
        <v>594</v>
      </c>
      <c r="J277" s="7" t="s">
        <v>147</v>
      </c>
      <c r="K277" s="7" t="s">
        <v>87</v>
      </c>
      <c r="L277" s="7" t="s">
        <v>88</v>
      </c>
      <c r="M277" s="8" t="n">
        <v>45199</v>
      </c>
      <c r="N277" s="7" t="s">
        <v>89</v>
      </c>
      <c r="O277" s="9" t="n">
        <f aca="false">IF(COUNTIFS($B$2:B277,B277,$C$2:C277,C277)=1,1,0)</f>
        <v>1</v>
      </c>
      <c r="P277" s="9" t="str">
        <f aca="false">IFERROR(INDEX(dEtapa!$A$2:$A$6,MATCH(N277,dEtapa!$B$2:$B$6,0)),"Sin etapa")</f>
        <v>Gobernada</v>
      </c>
      <c r="Q277" s="9" t="n">
        <f aca="false">IF(L277="Si",1,0)</f>
        <v>1</v>
      </c>
      <c r="R277" s="9" t="n">
        <f aca="false">IF(ISNUMBER(SEARCH("CRITERIO",N277)),1,0)</f>
        <v>0</v>
      </c>
      <c r="S277" s="9" t="str">
        <f aca="false">IF(E277="","Sin dato",LEFT(E277,1))</f>
        <v>E</v>
      </c>
      <c r="T277" s="9" t="n">
        <f aca="false">IFERROR(INDEX(dCriticidad!$G$2:$G$7,MATCH(S277,dCriticidad!$A$2:$A$7,0)),0)</f>
        <v>0</v>
      </c>
      <c r="U277" s="9" t="n">
        <f aca="false">IF(OR(LEFT(C277,3)="GI0",LEFT(C277,3)="GA0"),1,0)</f>
        <v>0</v>
      </c>
      <c r="V277" s="9" t="str">
        <f aca="false">IF(G277="","Sin dato (ID GI)",TRIM(G277))</f>
        <v>Tribu_Cores_Transacciones</v>
      </c>
      <c r="W277" s="9" t="str">
        <f aca="false">IF(F277="","Sin dato",F277)</f>
        <v>On Premise</v>
      </c>
      <c r="X277" s="9" t="n">
        <f aca="false">IF(M277="","",YEAR(M277))</f>
        <v>2023</v>
      </c>
      <c r="Y277" s="10" t="n">
        <f aca="false">IF(M277="","",DATE(YEAR(M277),MONTH(M277),1))</f>
        <v>45170</v>
      </c>
      <c r="Z277" s="9" t="n">
        <f aca="false">IF(AND(Q277=0,COUNTIF(dDuplicadosGI!$A$2:$A$60,C277)&gt;0),1,0)</f>
        <v>0</v>
      </c>
      <c r="AA277" s="9" t="n">
        <f aca="false">IF(Q277=0,1,0)</f>
        <v>0</v>
      </c>
    </row>
    <row r="278" customFormat="false" ht="15" hidden="false" customHeight="false" outlineLevel="0" collapsed="false">
      <c r="A278" s="7" t="n">
        <v>277</v>
      </c>
      <c r="B278" s="7" t="s">
        <v>1098</v>
      </c>
      <c r="C278" s="7" t="s">
        <v>1099</v>
      </c>
      <c r="D278" s="7" t="s">
        <v>1100</v>
      </c>
      <c r="E278" s="7" t="s">
        <v>81</v>
      </c>
      <c r="F278" s="7" t="s">
        <v>82</v>
      </c>
      <c r="G278" s="7" t="s">
        <v>83</v>
      </c>
      <c r="H278" s="7" t="s">
        <v>84</v>
      </c>
      <c r="I278" s="7" t="s">
        <v>85</v>
      </c>
      <c r="J278" s="7" t="s">
        <v>86</v>
      </c>
      <c r="K278" s="7" t="s">
        <v>87</v>
      </c>
      <c r="L278" s="7" t="s">
        <v>88</v>
      </c>
      <c r="M278" s="8" t="n">
        <v>45199</v>
      </c>
      <c r="N278" s="7" t="s">
        <v>89</v>
      </c>
      <c r="O278" s="9" t="n">
        <f aca="false">IF(COUNTIFS($B$2:B278,B278,$C$2:C278,C278)=1,1,0)</f>
        <v>1</v>
      </c>
      <c r="P278" s="9" t="str">
        <f aca="false">IFERROR(INDEX(dEtapa!$A$2:$A$6,MATCH(N278,dEtapa!$B$2:$B$6,0)),"Sin etapa")</f>
        <v>Gobernada</v>
      </c>
      <c r="Q278" s="9" t="n">
        <f aca="false">IF(L278="Si",1,0)</f>
        <v>1</v>
      </c>
      <c r="R278" s="9" t="n">
        <f aca="false">IF(ISNUMBER(SEARCH("CRITERIO",N278)),1,0)</f>
        <v>0</v>
      </c>
      <c r="S278" s="9" t="str">
        <f aca="false">IF(E278="","Sin dato",LEFT(E278,1))</f>
        <v>A</v>
      </c>
      <c r="T278" s="9" t="n">
        <f aca="false">IFERROR(INDEX(dCriticidad!$G$2:$G$7,MATCH(S278,dCriticidad!$A$2:$A$7,0)),0)</f>
        <v>1</v>
      </c>
      <c r="U278" s="9" t="n">
        <f aca="false">IF(OR(LEFT(C278,3)="GI0",LEFT(C278,3)="GA0"),1,0)</f>
        <v>0</v>
      </c>
      <c r="V278" s="9" t="str">
        <f aca="false">IF(G278="","Sin dato (ID GI)",TRIM(G278))</f>
        <v>TRIBU_CANALES</v>
      </c>
      <c r="W278" s="9" t="str">
        <f aca="false">IF(F278="","Sin dato",F278)</f>
        <v>On Premise</v>
      </c>
      <c r="X278" s="9" t="n">
        <f aca="false">IF(M278="","",YEAR(M278))</f>
        <v>2023</v>
      </c>
      <c r="Y278" s="10" t="n">
        <f aca="false">IF(M278="","",DATE(YEAR(M278),MONTH(M278),1))</f>
        <v>45170</v>
      </c>
      <c r="Z278" s="9" t="n">
        <f aca="false">IF(AND(Q278=0,COUNTIF(dDuplicadosGI!$A$2:$A$60,C278)&gt;0),1,0)</f>
        <v>0</v>
      </c>
      <c r="AA278" s="9" t="n">
        <f aca="false">IF(Q278=0,1,0)</f>
        <v>0</v>
      </c>
    </row>
    <row r="279" customFormat="false" ht="15" hidden="false" customHeight="false" outlineLevel="0" collapsed="false">
      <c r="A279" s="7" t="n">
        <v>278</v>
      </c>
      <c r="B279" s="7" t="s">
        <v>1101</v>
      </c>
      <c r="C279" s="7" t="s">
        <v>1102</v>
      </c>
      <c r="D279" s="7" t="s">
        <v>1103</v>
      </c>
      <c r="E279" s="7" t="s">
        <v>119</v>
      </c>
      <c r="F279" s="7" t="s">
        <v>94</v>
      </c>
      <c r="G279" s="7" t="s">
        <v>192</v>
      </c>
      <c r="H279" s="7" t="s">
        <v>193</v>
      </c>
      <c r="I279" s="7" t="s">
        <v>194</v>
      </c>
      <c r="J279" s="7" t="s">
        <v>195</v>
      </c>
      <c r="K279" s="7" t="s">
        <v>87</v>
      </c>
      <c r="L279" s="7" t="s">
        <v>99</v>
      </c>
      <c r="M279" s="8"/>
      <c r="N279" s="7" t="s">
        <v>109</v>
      </c>
      <c r="O279" s="9" t="n">
        <f aca="false">IF(COUNTIFS($B$2:B279,B279,$C$2:C279,C279)=1,1,0)</f>
        <v>1</v>
      </c>
      <c r="P279" s="9" t="str">
        <f aca="false">IFERROR(INDEX(dEtapa!$A$2:$A$6,MATCH(N279,dEtapa!$B$2:$B$6,0)),"Sin etapa")</f>
        <v>Planificada 2027</v>
      </c>
      <c r="Q279" s="9" t="n">
        <f aca="false">IF(L279="Si",1,0)</f>
        <v>0</v>
      </c>
      <c r="R279" s="9" t="n">
        <f aca="false">IF(ISNUMBER(SEARCH("CRITERIO",N279)),1,0)</f>
        <v>0</v>
      </c>
      <c r="S279" s="9" t="str">
        <f aca="false">IF(E279="","Sin dato",LEFT(E279,1))</f>
        <v>E</v>
      </c>
      <c r="T279" s="9" t="n">
        <f aca="false">IFERROR(INDEX(dCriticidad!$G$2:$G$7,MATCH(S279,dCriticidad!$A$2:$A$7,0)),0)</f>
        <v>0</v>
      </c>
      <c r="U279" s="9" t="n">
        <f aca="false">IF(OR(LEFT(C279,3)="GI0",LEFT(C279,3)="GA0"),1,0)</f>
        <v>0</v>
      </c>
      <c r="V279" s="9" t="str">
        <f aca="false">IF(G279="","Sin dato (ID GI)",TRIM(G279))</f>
        <v>AREAS_DE_APOYO</v>
      </c>
      <c r="W279" s="9" t="str">
        <f aca="false">IF(F279="","Sin dato",F279)</f>
        <v>Nube</v>
      </c>
      <c r="X279" s="9" t="str">
        <f aca="false">IF(M279="","",YEAR(M279))</f>
        <v/>
      </c>
      <c r="Y279" s="10" t="str">
        <f aca="false">IF(M279="","",DATE(YEAR(M279),MONTH(M279),1))</f>
        <v/>
      </c>
      <c r="Z279" s="9" t="n">
        <f aca="false">IF(AND(Q279=0,COUNTIF(dDuplicadosGI!$A$2:$A$60,C279)&gt;0),1,0)</f>
        <v>0</v>
      </c>
      <c r="AA279" s="9" t="n">
        <f aca="false">IF(Q279=0,1,0)</f>
        <v>1</v>
      </c>
    </row>
    <row r="280" customFormat="false" ht="15" hidden="false" customHeight="false" outlineLevel="0" collapsed="false">
      <c r="A280" s="7" t="n">
        <v>279</v>
      </c>
      <c r="B280" s="7" t="s">
        <v>1104</v>
      </c>
      <c r="C280" s="7" t="s">
        <v>1105</v>
      </c>
      <c r="D280" s="7" t="s">
        <v>1106</v>
      </c>
      <c r="E280" s="7" t="s">
        <v>119</v>
      </c>
      <c r="F280" s="7" t="s">
        <v>82</v>
      </c>
      <c r="G280" s="7" t="s">
        <v>153</v>
      </c>
      <c r="H280" s="7" t="s">
        <v>154</v>
      </c>
      <c r="I280" s="7" t="s">
        <v>412</v>
      </c>
      <c r="J280" s="7" t="s">
        <v>918</v>
      </c>
      <c r="K280" s="7" t="s">
        <v>87</v>
      </c>
      <c r="L280" s="7" t="s">
        <v>99</v>
      </c>
      <c r="M280" s="8"/>
      <c r="N280" s="7" t="s">
        <v>109</v>
      </c>
      <c r="O280" s="9" t="n">
        <f aca="false">IF(COUNTIFS($B$2:B280,B280,$C$2:C280,C280)=1,1,0)</f>
        <v>1</v>
      </c>
      <c r="P280" s="9" t="str">
        <f aca="false">IFERROR(INDEX(dEtapa!$A$2:$A$6,MATCH(N280,dEtapa!$B$2:$B$6,0)),"Sin etapa")</f>
        <v>Planificada 2027</v>
      </c>
      <c r="Q280" s="9" t="n">
        <f aca="false">IF(L280="Si",1,0)</f>
        <v>0</v>
      </c>
      <c r="R280" s="9" t="n">
        <f aca="false">IF(ISNUMBER(SEARCH("CRITERIO",N280)),1,0)</f>
        <v>0</v>
      </c>
      <c r="S280" s="9" t="str">
        <f aca="false">IF(E280="","Sin dato",LEFT(E280,1))</f>
        <v>E</v>
      </c>
      <c r="T280" s="9" t="n">
        <f aca="false">IFERROR(INDEX(dCriticidad!$G$2:$G$7,MATCH(S280,dCriticidad!$A$2:$A$7,0)),0)</f>
        <v>0</v>
      </c>
      <c r="U280" s="9" t="n">
        <f aca="false">IF(OR(LEFT(C280,3)="GI0",LEFT(C280,3)="GA0"),1,0)</f>
        <v>0</v>
      </c>
      <c r="V280" s="9" t="str">
        <f aca="false">IF(G280="","Sin dato (ID GI)",TRIM(G280))</f>
        <v>MEDIOS_DE_PAGO</v>
      </c>
      <c r="W280" s="9" t="str">
        <f aca="false">IF(F280="","Sin dato",F280)</f>
        <v>On Premise</v>
      </c>
      <c r="X280" s="9" t="str">
        <f aca="false">IF(M280="","",YEAR(M280))</f>
        <v/>
      </c>
      <c r="Y280" s="10" t="str">
        <f aca="false">IF(M280="","",DATE(YEAR(M280),MONTH(M280),1))</f>
        <v/>
      </c>
      <c r="Z280" s="9" t="n">
        <f aca="false">IF(AND(Q280=0,COUNTIF(dDuplicadosGI!$A$2:$A$60,C280)&gt;0),1,0)</f>
        <v>0</v>
      </c>
      <c r="AA280" s="9" t="n">
        <f aca="false">IF(Q280=0,1,0)</f>
        <v>1</v>
      </c>
    </row>
    <row r="281" customFormat="false" ht="15" hidden="false" customHeight="false" outlineLevel="0" collapsed="false">
      <c r="A281" s="7" t="n">
        <v>280</v>
      </c>
      <c r="B281" s="7" t="s">
        <v>1107</v>
      </c>
      <c r="C281" s="7" t="s">
        <v>1108</v>
      </c>
      <c r="D281" s="7" t="s">
        <v>1109</v>
      </c>
      <c r="E281" s="7" t="s">
        <v>119</v>
      </c>
      <c r="F281" s="7" t="s">
        <v>94</v>
      </c>
      <c r="G281" s="7" t="s">
        <v>192</v>
      </c>
      <c r="H281" s="7" t="s">
        <v>193</v>
      </c>
      <c r="I281" s="7" t="s">
        <v>194</v>
      </c>
      <c r="J281" s="7" t="s">
        <v>195</v>
      </c>
      <c r="K281" s="7" t="s">
        <v>98</v>
      </c>
      <c r="L281" s="7" t="s">
        <v>88</v>
      </c>
      <c r="M281" s="8" t="n">
        <v>45646</v>
      </c>
      <c r="N281" s="7" t="s">
        <v>89</v>
      </c>
      <c r="O281" s="9" t="n">
        <f aca="false">IF(COUNTIFS($B$2:B281,B281,$C$2:C281,C281)=1,1,0)</f>
        <v>1</v>
      </c>
      <c r="P281" s="9" t="str">
        <f aca="false">IFERROR(INDEX(dEtapa!$A$2:$A$6,MATCH(N281,dEtapa!$B$2:$B$6,0)),"Sin etapa")</f>
        <v>Gobernada</v>
      </c>
      <c r="Q281" s="9" t="n">
        <f aca="false">IF(L281="Si",1,0)</f>
        <v>1</v>
      </c>
      <c r="R281" s="9" t="n">
        <f aca="false">IF(ISNUMBER(SEARCH("CRITERIO",N281)),1,0)</f>
        <v>0</v>
      </c>
      <c r="S281" s="9" t="str">
        <f aca="false">IF(E281="","Sin dato",LEFT(E281,1))</f>
        <v>E</v>
      </c>
      <c r="T281" s="9" t="n">
        <f aca="false">IFERROR(INDEX(dCriticidad!$G$2:$G$7,MATCH(S281,dCriticidad!$A$2:$A$7,0)),0)</f>
        <v>0</v>
      </c>
      <c r="U281" s="9" t="n">
        <f aca="false">IF(OR(LEFT(C281,3)="GI0",LEFT(C281,3)="GA0"),1,0)</f>
        <v>0</v>
      </c>
      <c r="V281" s="9" t="str">
        <f aca="false">IF(G281="","Sin dato (ID GI)",TRIM(G281))</f>
        <v>AREAS_DE_APOYO</v>
      </c>
      <c r="W281" s="9" t="str">
        <f aca="false">IF(F281="","Sin dato",F281)</f>
        <v>Nube</v>
      </c>
      <c r="X281" s="9" t="n">
        <f aca="false">IF(M281="","",YEAR(M281))</f>
        <v>2024</v>
      </c>
      <c r="Y281" s="10" t="n">
        <f aca="false">IF(M281="","",DATE(YEAR(M281),MONTH(M281),1))</f>
        <v>45627</v>
      </c>
      <c r="Z281" s="9" t="n">
        <f aca="false">IF(AND(Q281=0,COUNTIF(dDuplicadosGI!$A$2:$A$60,C281)&gt;0),1,0)</f>
        <v>0</v>
      </c>
      <c r="AA281" s="9" t="n">
        <f aca="false">IF(Q281=0,1,0)</f>
        <v>0</v>
      </c>
    </row>
    <row r="282" customFormat="false" ht="15" hidden="false" customHeight="false" outlineLevel="0" collapsed="false">
      <c r="A282" s="7" t="n">
        <v>281</v>
      </c>
      <c r="B282" s="7" t="s">
        <v>1110</v>
      </c>
      <c r="C282" s="7" t="s">
        <v>1111</v>
      </c>
      <c r="D282" s="7" t="s">
        <v>1112</v>
      </c>
      <c r="E282" s="7" t="s">
        <v>119</v>
      </c>
      <c r="F282" s="7" t="s">
        <v>82</v>
      </c>
      <c r="G282" s="7" t="s">
        <v>211</v>
      </c>
      <c r="H282" s="7" t="s">
        <v>212</v>
      </c>
      <c r="I282" s="7" t="s">
        <v>213</v>
      </c>
      <c r="J282" s="7" t="s">
        <v>214</v>
      </c>
      <c r="K282" s="7" t="s">
        <v>170</v>
      </c>
      <c r="L282" s="7" t="s">
        <v>88</v>
      </c>
      <c r="M282" s="8" t="n">
        <v>45200</v>
      </c>
      <c r="N282" s="7" t="s">
        <v>89</v>
      </c>
      <c r="O282" s="9" t="n">
        <f aca="false">IF(COUNTIFS($B$2:B282,B282,$C$2:C282,C282)=1,1,0)</f>
        <v>1</v>
      </c>
      <c r="P282" s="9" t="str">
        <f aca="false">IFERROR(INDEX(dEtapa!$A$2:$A$6,MATCH(N282,dEtapa!$B$2:$B$6,0)),"Sin etapa")</f>
        <v>Gobernada</v>
      </c>
      <c r="Q282" s="9" t="n">
        <f aca="false">IF(L282="Si",1,0)</f>
        <v>1</v>
      </c>
      <c r="R282" s="9" t="n">
        <f aca="false">IF(ISNUMBER(SEARCH("CRITERIO",N282)),1,0)</f>
        <v>0</v>
      </c>
      <c r="S282" s="9" t="str">
        <f aca="false">IF(E282="","Sin dato",LEFT(E282,1))</f>
        <v>E</v>
      </c>
      <c r="T282" s="9" t="n">
        <f aca="false">IFERROR(INDEX(dCriticidad!$G$2:$G$7,MATCH(S282,dCriticidad!$A$2:$A$7,0)),0)</f>
        <v>0</v>
      </c>
      <c r="U282" s="9" t="n">
        <f aca="false">IF(OR(LEFT(C282,3)="GI0",LEFT(C282,3)="GA0"),1,0)</f>
        <v>0</v>
      </c>
      <c r="V282" s="9" t="str">
        <f aca="false">IF(G282="","Sin dato (ID GI)",TRIM(G282))</f>
        <v>Tribu Ciberseguridad</v>
      </c>
      <c r="W282" s="9" t="str">
        <f aca="false">IF(F282="","Sin dato",F282)</f>
        <v>On Premise</v>
      </c>
      <c r="X282" s="9" t="n">
        <f aca="false">IF(M282="","",YEAR(M282))</f>
        <v>2023</v>
      </c>
      <c r="Y282" s="10" t="n">
        <f aca="false">IF(M282="","",DATE(YEAR(M282),MONTH(M282),1))</f>
        <v>45200</v>
      </c>
      <c r="Z282" s="9" t="n">
        <f aca="false">IF(AND(Q282=0,COUNTIF(dDuplicadosGI!$A$2:$A$60,C282)&gt;0),1,0)</f>
        <v>0</v>
      </c>
      <c r="AA282" s="9" t="n">
        <f aca="false">IF(Q282=0,1,0)</f>
        <v>0</v>
      </c>
    </row>
    <row r="283" customFormat="false" ht="15" hidden="false" customHeight="false" outlineLevel="0" collapsed="false">
      <c r="A283" s="7" t="n">
        <v>282</v>
      </c>
      <c r="B283" s="7" t="s">
        <v>1113</v>
      </c>
      <c r="C283" s="7" t="s">
        <v>1114</v>
      </c>
      <c r="D283" s="7" t="s">
        <v>1115</v>
      </c>
      <c r="E283" s="7" t="s">
        <v>119</v>
      </c>
      <c r="F283" s="7" t="s">
        <v>152</v>
      </c>
      <c r="G283" s="7" t="s">
        <v>192</v>
      </c>
      <c r="H283" s="7" t="s">
        <v>193</v>
      </c>
      <c r="I283" s="7" t="s">
        <v>459</v>
      </c>
      <c r="J283" s="7" t="s">
        <v>239</v>
      </c>
      <c r="K283" s="7" t="s">
        <v>87</v>
      </c>
      <c r="L283" s="7" t="s">
        <v>88</v>
      </c>
      <c r="M283" s="8" t="n">
        <v>45200</v>
      </c>
      <c r="N283" s="7" t="s">
        <v>89</v>
      </c>
      <c r="O283" s="9" t="n">
        <f aca="false">IF(COUNTIFS($B$2:B283,B283,$C$2:C283,C283)=1,1,0)</f>
        <v>1</v>
      </c>
      <c r="P283" s="9" t="str">
        <f aca="false">IFERROR(INDEX(dEtapa!$A$2:$A$6,MATCH(N283,dEtapa!$B$2:$B$6,0)),"Sin etapa")</f>
        <v>Gobernada</v>
      </c>
      <c r="Q283" s="9" t="n">
        <f aca="false">IF(L283="Si",1,0)</f>
        <v>1</v>
      </c>
      <c r="R283" s="9" t="n">
        <f aca="false">IF(ISNUMBER(SEARCH("CRITERIO",N283)),1,0)</f>
        <v>0</v>
      </c>
      <c r="S283" s="9" t="str">
        <f aca="false">IF(E283="","Sin dato",LEFT(E283,1))</f>
        <v>E</v>
      </c>
      <c r="T283" s="9" t="n">
        <f aca="false">IFERROR(INDEX(dCriticidad!$G$2:$G$7,MATCH(S283,dCriticidad!$A$2:$A$7,0)),0)</f>
        <v>0</v>
      </c>
      <c r="U283" s="9" t="n">
        <f aca="false">IF(OR(LEFT(C283,3)="GI0",LEFT(C283,3)="GA0"),1,0)</f>
        <v>0</v>
      </c>
      <c r="V283" s="9" t="str">
        <f aca="false">IF(G283="","Sin dato (ID GI)",TRIM(G283))</f>
        <v>AREAS_DE_APOYO</v>
      </c>
      <c r="W283" s="9" t="str">
        <f aca="false">IF(F283="","Sin dato",F283)</f>
        <v>Terceros</v>
      </c>
      <c r="X283" s="9" t="n">
        <f aca="false">IF(M283="","",YEAR(M283))</f>
        <v>2023</v>
      </c>
      <c r="Y283" s="10" t="n">
        <f aca="false">IF(M283="","",DATE(YEAR(M283),MONTH(M283),1))</f>
        <v>45200</v>
      </c>
      <c r="Z283" s="9" t="n">
        <f aca="false">IF(AND(Q283=0,COUNTIF(dDuplicadosGI!$A$2:$A$60,C283)&gt;0),1,0)</f>
        <v>0</v>
      </c>
      <c r="AA283" s="9" t="n">
        <f aca="false">IF(Q283=0,1,0)</f>
        <v>0</v>
      </c>
    </row>
    <row r="284" customFormat="false" ht="15" hidden="false" customHeight="false" outlineLevel="0" collapsed="false">
      <c r="A284" s="7" t="n">
        <v>283</v>
      </c>
      <c r="B284" s="7" t="s">
        <v>1116</v>
      </c>
      <c r="C284" s="7" t="s">
        <v>1117</v>
      </c>
      <c r="D284" s="7" t="s">
        <v>1118</v>
      </c>
      <c r="E284" s="7" t="s">
        <v>119</v>
      </c>
      <c r="F284" s="7" t="s">
        <v>82</v>
      </c>
      <c r="G284" s="7" t="s">
        <v>104</v>
      </c>
      <c r="H284" s="7" t="s">
        <v>105</v>
      </c>
      <c r="I284" s="7" t="s">
        <v>388</v>
      </c>
      <c r="J284" s="7" t="s">
        <v>389</v>
      </c>
      <c r="K284" s="7" t="s">
        <v>234</v>
      </c>
      <c r="L284" s="7" t="s">
        <v>99</v>
      </c>
      <c r="M284" s="8"/>
      <c r="N284" s="7" t="s">
        <v>109</v>
      </c>
      <c r="O284" s="9" t="n">
        <f aca="false">IF(COUNTIFS($B$2:B284,B284,$C$2:C284,C284)=1,1,0)</f>
        <v>1</v>
      </c>
      <c r="P284" s="9" t="str">
        <f aca="false">IFERROR(INDEX(dEtapa!$A$2:$A$6,MATCH(N284,dEtapa!$B$2:$B$6,0)),"Sin etapa")</f>
        <v>Planificada 2027</v>
      </c>
      <c r="Q284" s="9" t="n">
        <f aca="false">IF(L284="Si",1,0)</f>
        <v>0</v>
      </c>
      <c r="R284" s="9" t="n">
        <f aca="false">IF(ISNUMBER(SEARCH("CRITERIO",N284)),1,0)</f>
        <v>0</v>
      </c>
      <c r="S284" s="9" t="str">
        <f aca="false">IF(E284="","Sin dato",LEFT(E284,1))</f>
        <v>E</v>
      </c>
      <c r="T284" s="9" t="n">
        <f aca="false">IFERROR(INDEX(dCriticidad!$G$2:$G$7,MATCH(S284,dCriticidad!$A$2:$A$7,0)),0)</f>
        <v>0</v>
      </c>
      <c r="U284" s="9" t="n">
        <f aca="false">IF(OR(LEFT(C284,3)="GI0",LEFT(C284,3)="GA0"),1,0)</f>
        <v>0</v>
      </c>
      <c r="V284" s="9" t="str">
        <f aca="false">IF(G284="","Sin dato (ID GI)",TRIM(G284))</f>
        <v>INFRAESTRUCTURA</v>
      </c>
      <c r="W284" s="9" t="str">
        <f aca="false">IF(F284="","Sin dato",F284)</f>
        <v>On Premise</v>
      </c>
      <c r="X284" s="9" t="str">
        <f aca="false">IF(M284="","",YEAR(M284))</f>
        <v/>
      </c>
      <c r="Y284" s="10" t="str">
        <f aca="false">IF(M284="","",DATE(YEAR(M284),MONTH(M284),1))</f>
        <v/>
      </c>
      <c r="Z284" s="9" t="n">
        <f aca="false">IF(AND(Q284=0,COUNTIF(dDuplicadosGI!$A$2:$A$60,C284)&gt;0),1,0)</f>
        <v>0</v>
      </c>
      <c r="AA284" s="9" t="n">
        <f aca="false">IF(Q284=0,1,0)</f>
        <v>1</v>
      </c>
    </row>
    <row r="285" customFormat="false" ht="15" hidden="false" customHeight="false" outlineLevel="0" collapsed="false">
      <c r="A285" s="7" t="n">
        <v>284</v>
      </c>
      <c r="B285" s="7" t="s">
        <v>467</v>
      </c>
      <c r="C285" s="7" t="s">
        <v>468</v>
      </c>
      <c r="D285" s="7" t="s">
        <v>1119</v>
      </c>
      <c r="E285" s="7" t="s">
        <v>119</v>
      </c>
      <c r="F285" s="7" t="s">
        <v>94</v>
      </c>
      <c r="G285" s="7" t="s">
        <v>125</v>
      </c>
      <c r="H285" s="7" t="s">
        <v>126</v>
      </c>
      <c r="I285" s="7" t="s">
        <v>470</v>
      </c>
      <c r="J285" s="7" t="s">
        <v>126</v>
      </c>
      <c r="K285" s="7" t="s">
        <v>87</v>
      </c>
      <c r="L285" s="7" t="s">
        <v>99</v>
      </c>
      <c r="M285" s="8"/>
      <c r="N285" s="7" t="s">
        <v>109</v>
      </c>
      <c r="O285" s="9" t="n">
        <f aca="false">IF(COUNTIFS($B$2:B285,B285,$C$2:C285,C285)=1,1,0)</f>
        <v>0</v>
      </c>
      <c r="P285" s="9" t="str">
        <f aca="false">IFERROR(INDEX(dEtapa!$A$2:$A$6,MATCH(N285,dEtapa!$B$2:$B$6,0)),"Sin etapa")</f>
        <v>Planificada 2027</v>
      </c>
      <c r="Q285" s="9" t="n">
        <f aca="false">IF(L285="Si",1,0)</f>
        <v>0</v>
      </c>
      <c r="R285" s="9" t="n">
        <f aca="false">IF(ISNUMBER(SEARCH("CRITERIO",N285)),1,0)</f>
        <v>0</v>
      </c>
      <c r="S285" s="9" t="str">
        <f aca="false">IF(E285="","Sin dato",LEFT(E285,1))</f>
        <v>E</v>
      </c>
      <c r="T285" s="9" t="n">
        <f aca="false">IFERROR(INDEX(dCriticidad!$G$2:$G$7,MATCH(S285,dCriticidad!$A$2:$A$7,0)),0)</f>
        <v>0</v>
      </c>
      <c r="U285" s="9" t="n">
        <f aca="false">IF(OR(LEFT(C285,3)="GI0",LEFT(C285,3)="GA0"),1,0)</f>
        <v>0</v>
      </c>
      <c r="V285" s="9" t="str">
        <f aca="false">IF(G285="","Sin dato (ID GI)",TRIM(G285))</f>
        <v>Negocios y Monetización</v>
      </c>
      <c r="W285" s="9" t="str">
        <f aca="false">IF(F285="","Sin dato",F285)</f>
        <v>Nube</v>
      </c>
      <c r="X285" s="9" t="str">
        <f aca="false">IF(M285="","",YEAR(M285))</f>
        <v/>
      </c>
      <c r="Y285" s="10" t="str">
        <f aca="false">IF(M285="","",DATE(YEAR(M285),MONTH(M285),1))</f>
        <v/>
      </c>
      <c r="Z285" s="9" t="n">
        <f aca="false">IF(AND(Q285=0,COUNTIF(dDuplicadosGI!$A$2:$A$60,C285)&gt;0),1,0)</f>
        <v>0</v>
      </c>
      <c r="AA285" s="9" t="n">
        <f aca="false">IF(Q285=0,1,0)</f>
        <v>1</v>
      </c>
    </row>
    <row r="286" customFormat="false" ht="15" hidden="false" customHeight="false" outlineLevel="0" collapsed="false">
      <c r="A286" s="7" t="n">
        <v>285</v>
      </c>
      <c r="B286" s="7" t="s">
        <v>1120</v>
      </c>
      <c r="C286" s="7" t="s">
        <v>1121</v>
      </c>
      <c r="D286" s="7"/>
      <c r="E286" s="7" t="s">
        <v>119</v>
      </c>
      <c r="F286" s="7" t="s">
        <v>94</v>
      </c>
      <c r="G286" s="7" t="s">
        <v>132</v>
      </c>
      <c r="H286" s="7" t="s">
        <v>133</v>
      </c>
      <c r="I286" s="7" t="s">
        <v>1122</v>
      </c>
      <c r="J286" s="7" t="s">
        <v>1123</v>
      </c>
      <c r="K286" s="7" t="s">
        <v>87</v>
      </c>
      <c r="L286" s="7" t="s">
        <v>88</v>
      </c>
      <c r="M286" s="8" t="n">
        <v>45854</v>
      </c>
      <c r="N286" s="7" t="s">
        <v>89</v>
      </c>
      <c r="O286" s="9" t="n">
        <f aca="false">IF(COUNTIFS($B$2:B286,B286,$C$2:C286,C286)=1,1,0)</f>
        <v>1</v>
      </c>
      <c r="P286" s="9" t="str">
        <f aca="false">IFERROR(INDEX(dEtapa!$A$2:$A$6,MATCH(N286,dEtapa!$B$2:$B$6,0)),"Sin etapa")</f>
        <v>Gobernada</v>
      </c>
      <c r="Q286" s="9" t="n">
        <f aca="false">IF(L286="Si",1,0)</f>
        <v>1</v>
      </c>
      <c r="R286" s="9" t="n">
        <f aca="false">IF(ISNUMBER(SEARCH("CRITERIO",N286)),1,0)</f>
        <v>0</v>
      </c>
      <c r="S286" s="9" t="str">
        <f aca="false">IF(E286="","Sin dato",LEFT(E286,1))</f>
        <v>E</v>
      </c>
      <c r="T286" s="9" t="n">
        <f aca="false">IFERROR(INDEX(dCriticidad!$G$2:$G$7,MATCH(S286,dCriticidad!$A$2:$A$7,0)),0)</f>
        <v>0</v>
      </c>
      <c r="U286" s="9" t="n">
        <f aca="false">IF(OR(LEFT(C286,3)="GI0",LEFT(C286,3)="GA0"),1,0)</f>
        <v>0</v>
      </c>
      <c r="V286" s="9" t="str">
        <f aca="false">IF(G286="","Sin dato (ID GI)",TRIM(G286))</f>
        <v>ACTIVOS</v>
      </c>
      <c r="W286" s="9" t="str">
        <f aca="false">IF(F286="","Sin dato",F286)</f>
        <v>Nube</v>
      </c>
      <c r="X286" s="9" t="n">
        <f aca="false">IF(M286="","",YEAR(M286))</f>
        <v>2025</v>
      </c>
      <c r="Y286" s="10" t="n">
        <f aca="false">IF(M286="","",DATE(YEAR(M286),MONTH(M286),1))</f>
        <v>45839</v>
      </c>
      <c r="Z286" s="9" t="n">
        <f aca="false">IF(AND(Q286=0,COUNTIF(dDuplicadosGI!$A$2:$A$60,C286)&gt;0),1,0)</f>
        <v>0</v>
      </c>
      <c r="AA286" s="9" t="n">
        <f aca="false">IF(Q286=0,1,0)</f>
        <v>0</v>
      </c>
    </row>
    <row r="287" customFormat="false" ht="15" hidden="false" customHeight="false" outlineLevel="0" collapsed="false">
      <c r="A287" s="7" t="n">
        <v>286</v>
      </c>
      <c r="B287" s="7" t="s">
        <v>1124</v>
      </c>
      <c r="C287" s="7" t="s">
        <v>1125</v>
      </c>
      <c r="D287" s="7" t="s">
        <v>1126</v>
      </c>
      <c r="E287" s="7" t="s">
        <v>119</v>
      </c>
      <c r="F287" s="7" t="s">
        <v>82</v>
      </c>
      <c r="G287" s="7" t="s">
        <v>369</v>
      </c>
      <c r="H287" s="7" t="s">
        <v>147</v>
      </c>
      <c r="I287" s="7" t="s">
        <v>594</v>
      </c>
      <c r="J287" s="7" t="s">
        <v>665</v>
      </c>
      <c r="K287" s="7" t="s">
        <v>87</v>
      </c>
      <c r="L287" s="7" t="s">
        <v>88</v>
      </c>
      <c r="M287" s="8" t="n">
        <v>45200</v>
      </c>
      <c r="N287" s="7" t="s">
        <v>89</v>
      </c>
      <c r="O287" s="9" t="n">
        <f aca="false">IF(COUNTIFS($B$2:B287,B287,$C$2:C287,C287)=1,1,0)</f>
        <v>1</v>
      </c>
      <c r="P287" s="9" t="str">
        <f aca="false">IFERROR(INDEX(dEtapa!$A$2:$A$6,MATCH(N287,dEtapa!$B$2:$B$6,0)),"Sin etapa")</f>
        <v>Gobernada</v>
      </c>
      <c r="Q287" s="9" t="n">
        <f aca="false">IF(L287="Si",1,0)</f>
        <v>1</v>
      </c>
      <c r="R287" s="9" t="n">
        <f aca="false">IF(ISNUMBER(SEARCH("CRITERIO",N287)),1,0)</f>
        <v>0</v>
      </c>
      <c r="S287" s="9" t="str">
        <f aca="false">IF(E287="","Sin dato",LEFT(E287,1))</f>
        <v>E</v>
      </c>
      <c r="T287" s="9" t="n">
        <f aca="false">IFERROR(INDEX(dCriticidad!$G$2:$G$7,MATCH(S287,dCriticidad!$A$2:$A$7,0)),0)</f>
        <v>0</v>
      </c>
      <c r="U287" s="9" t="n">
        <f aca="false">IF(OR(LEFT(C287,3)="GI0",LEFT(C287,3)="GA0"),1,0)</f>
        <v>0</v>
      </c>
      <c r="V287" s="9" t="str">
        <f aca="false">IF(G287="","Sin dato (ID GI)",TRIM(G287))</f>
        <v>Tribu_Cores_Transacciones</v>
      </c>
      <c r="W287" s="9" t="str">
        <f aca="false">IF(F287="","Sin dato",F287)</f>
        <v>On Premise</v>
      </c>
      <c r="X287" s="9" t="n">
        <f aca="false">IF(M287="","",YEAR(M287))</f>
        <v>2023</v>
      </c>
      <c r="Y287" s="10" t="n">
        <f aca="false">IF(M287="","",DATE(YEAR(M287),MONTH(M287),1))</f>
        <v>45200</v>
      </c>
      <c r="Z287" s="9" t="n">
        <f aca="false">IF(AND(Q287=0,COUNTIF(dDuplicadosGI!$A$2:$A$60,C287)&gt;0),1,0)</f>
        <v>0</v>
      </c>
      <c r="AA287" s="9" t="n">
        <f aca="false">IF(Q287=0,1,0)</f>
        <v>0</v>
      </c>
    </row>
    <row r="288" customFormat="false" ht="15" hidden="false" customHeight="false" outlineLevel="0" collapsed="false">
      <c r="A288" s="7" t="n">
        <v>287</v>
      </c>
      <c r="B288" s="7" t="s">
        <v>1127</v>
      </c>
      <c r="C288" s="7" t="s">
        <v>1128</v>
      </c>
      <c r="D288" s="7" t="s">
        <v>1129</v>
      </c>
      <c r="E288" s="7" t="s">
        <v>119</v>
      </c>
      <c r="F288" s="7" t="s">
        <v>82</v>
      </c>
      <c r="G288" s="7" t="s">
        <v>104</v>
      </c>
      <c r="H288" s="7" t="s">
        <v>105</v>
      </c>
      <c r="I288" s="7" t="s">
        <v>120</v>
      </c>
      <c r="J288" s="7" t="s">
        <v>1130</v>
      </c>
      <c r="K288" s="7" t="s">
        <v>108</v>
      </c>
      <c r="L288" s="7" t="s">
        <v>99</v>
      </c>
      <c r="M288" s="8"/>
      <c r="N288" s="7" t="s">
        <v>109</v>
      </c>
      <c r="O288" s="9" t="n">
        <f aca="false">IF(COUNTIFS($B$2:B288,B288,$C$2:C288,C288)=1,1,0)</f>
        <v>1</v>
      </c>
      <c r="P288" s="9" t="str">
        <f aca="false">IFERROR(INDEX(dEtapa!$A$2:$A$6,MATCH(N288,dEtapa!$B$2:$B$6,0)),"Sin etapa")</f>
        <v>Planificada 2027</v>
      </c>
      <c r="Q288" s="9" t="n">
        <f aca="false">IF(L288="Si",1,0)</f>
        <v>0</v>
      </c>
      <c r="R288" s="9" t="n">
        <f aca="false">IF(ISNUMBER(SEARCH("CRITERIO",N288)),1,0)</f>
        <v>0</v>
      </c>
      <c r="S288" s="9" t="str">
        <f aca="false">IF(E288="","Sin dato",LEFT(E288,1))</f>
        <v>E</v>
      </c>
      <c r="T288" s="9" t="n">
        <f aca="false">IFERROR(INDEX(dCriticidad!$G$2:$G$7,MATCH(S288,dCriticidad!$A$2:$A$7,0)),0)</f>
        <v>0</v>
      </c>
      <c r="U288" s="9" t="n">
        <f aca="false">IF(OR(LEFT(C288,3)="GI0",LEFT(C288,3)="GA0"),1,0)</f>
        <v>0</v>
      </c>
      <c r="V288" s="9" t="str">
        <f aca="false">IF(G288="","Sin dato (ID GI)",TRIM(G288))</f>
        <v>INFRAESTRUCTURA</v>
      </c>
      <c r="W288" s="9" t="str">
        <f aca="false">IF(F288="","Sin dato",F288)</f>
        <v>On Premise</v>
      </c>
      <c r="X288" s="9" t="str">
        <f aca="false">IF(M288="","",YEAR(M288))</f>
        <v/>
      </c>
      <c r="Y288" s="10" t="str">
        <f aca="false">IF(M288="","",DATE(YEAR(M288),MONTH(M288),1))</f>
        <v/>
      </c>
      <c r="Z288" s="9" t="n">
        <f aca="false">IF(AND(Q288=0,COUNTIF(dDuplicadosGI!$A$2:$A$60,C288)&gt;0),1,0)</f>
        <v>0</v>
      </c>
      <c r="AA288" s="9" t="n">
        <f aca="false">IF(Q288=0,1,0)</f>
        <v>1</v>
      </c>
    </row>
    <row r="289" customFormat="false" ht="15" hidden="false" customHeight="false" outlineLevel="0" collapsed="false">
      <c r="A289" s="7" t="n">
        <v>288</v>
      </c>
      <c r="B289" s="7" t="s">
        <v>1131</v>
      </c>
      <c r="C289" s="7" t="s">
        <v>1132</v>
      </c>
      <c r="D289" s="7" t="s">
        <v>1133</v>
      </c>
      <c r="E289" s="7" t="s">
        <v>119</v>
      </c>
      <c r="F289" s="7" t="s">
        <v>94</v>
      </c>
      <c r="G289" s="7" t="s">
        <v>451</v>
      </c>
      <c r="H289" s="7" t="s">
        <v>672</v>
      </c>
      <c r="I289" s="7" t="s">
        <v>1134</v>
      </c>
      <c r="J289" s="7" t="s">
        <v>1135</v>
      </c>
      <c r="K289" s="7"/>
      <c r="L289" s="7" t="s">
        <v>99</v>
      </c>
      <c r="M289" s="8"/>
      <c r="N289" s="7" t="s">
        <v>109</v>
      </c>
      <c r="O289" s="9" t="n">
        <f aca="false">IF(COUNTIFS($B$2:B289,B289,$C$2:C289,C289)=1,1,0)</f>
        <v>1</v>
      </c>
      <c r="P289" s="9" t="str">
        <f aca="false">IFERROR(INDEX(dEtapa!$A$2:$A$6,MATCH(N289,dEtapa!$B$2:$B$6,0)),"Sin etapa")</f>
        <v>Planificada 2027</v>
      </c>
      <c r="Q289" s="9" t="n">
        <f aca="false">IF(L289="Si",1,0)</f>
        <v>0</v>
      </c>
      <c r="R289" s="9" t="n">
        <f aca="false">IF(ISNUMBER(SEARCH("CRITERIO",N289)),1,0)</f>
        <v>0</v>
      </c>
      <c r="S289" s="9" t="str">
        <f aca="false">IF(E289="","Sin dato",LEFT(E289,1))</f>
        <v>E</v>
      </c>
      <c r="T289" s="9" t="n">
        <f aca="false">IFERROR(INDEX(dCriticidad!$G$2:$G$7,MATCH(S289,dCriticidad!$A$2:$A$7,0)),0)</f>
        <v>0</v>
      </c>
      <c r="U289" s="9" t="n">
        <f aca="false">IF(OR(LEFT(C289,3)="GI0",LEFT(C289,3)="GA0"),1,0)</f>
        <v>0</v>
      </c>
      <c r="V289" s="9" t="str">
        <f aca="false">IF(G289="","Sin dato (ID GI)",TRIM(G289))</f>
        <v>COE de Ingeniería</v>
      </c>
      <c r="W289" s="9" t="str">
        <f aca="false">IF(F289="","Sin dato",F289)</f>
        <v>Nube</v>
      </c>
      <c r="X289" s="9" t="str">
        <f aca="false">IF(M289="","",YEAR(M289))</f>
        <v/>
      </c>
      <c r="Y289" s="10" t="str">
        <f aca="false">IF(M289="","",DATE(YEAR(M289),MONTH(M289),1))</f>
        <v/>
      </c>
      <c r="Z289" s="9" t="n">
        <f aca="false">IF(AND(Q289=0,COUNTIF(dDuplicadosGI!$A$2:$A$60,C289)&gt;0),1,0)</f>
        <v>0</v>
      </c>
      <c r="AA289" s="9" t="n">
        <f aca="false">IF(Q289=0,1,0)</f>
        <v>1</v>
      </c>
    </row>
    <row r="290" customFormat="false" ht="15" hidden="false" customHeight="false" outlineLevel="0" collapsed="false">
      <c r="A290" s="7" t="n">
        <v>289</v>
      </c>
      <c r="B290" s="7" t="s">
        <v>1136</v>
      </c>
      <c r="C290" s="7" t="s">
        <v>1137</v>
      </c>
      <c r="D290" s="7"/>
      <c r="E290" s="7" t="s">
        <v>119</v>
      </c>
      <c r="F290" s="7" t="s">
        <v>94</v>
      </c>
      <c r="G290" s="7" t="s">
        <v>132</v>
      </c>
      <c r="H290" s="7" t="s">
        <v>133</v>
      </c>
      <c r="I290" s="7" t="s">
        <v>1138</v>
      </c>
      <c r="J290" s="7" t="s">
        <v>135</v>
      </c>
      <c r="K290" s="7"/>
      <c r="L290" s="7" t="s">
        <v>88</v>
      </c>
      <c r="M290" s="8" t="n">
        <v>46044</v>
      </c>
      <c r="N290" s="7" t="s">
        <v>89</v>
      </c>
      <c r="O290" s="9" t="n">
        <f aca="false">IF(COUNTIFS($B$2:B290,B290,$C$2:C290,C290)=1,1,0)</f>
        <v>1</v>
      </c>
      <c r="P290" s="9" t="str">
        <f aca="false">IFERROR(INDEX(dEtapa!$A$2:$A$6,MATCH(N290,dEtapa!$B$2:$B$6,0)),"Sin etapa")</f>
        <v>Gobernada</v>
      </c>
      <c r="Q290" s="9" t="n">
        <f aca="false">IF(L290="Si",1,0)</f>
        <v>1</v>
      </c>
      <c r="R290" s="9" t="n">
        <f aca="false">IF(ISNUMBER(SEARCH("CRITERIO",N290)),1,0)</f>
        <v>0</v>
      </c>
      <c r="S290" s="9" t="str">
        <f aca="false">IF(E290="","Sin dato",LEFT(E290,1))</f>
        <v>E</v>
      </c>
      <c r="T290" s="9" t="n">
        <f aca="false">IFERROR(INDEX(dCriticidad!$G$2:$G$7,MATCH(S290,dCriticidad!$A$2:$A$7,0)),0)</f>
        <v>0</v>
      </c>
      <c r="U290" s="9" t="n">
        <f aca="false">IF(OR(LEFT(C290,3)="GI0",LEFT(C290,3)="GA0"),1,0)</f>
        <v>0</v>
      </c>
      <c r="V290" s="9" t="str">
        <f aca="false">IF(G290="","Sin dato (ID GI)",TRIM(G290))</f>
        <v>ACTIVOS</v>
      </c>
      <c r="W290" s="9" t="str">
        <f aca="false">IF(F290="","Sin dato",F290)</f>
        <v>Nube</v>
      </c>
      <c r="X290" s="9" t="n">
        <f aca="false">IF(M290="","",YEAR(M290))</f>
        <v>2026</v>
      </c>
      <c r="Y290" s="10" t="n">
        <f aca="false">IF(M290="","",DATE(YEAR(M290),MONTH(M290),1))</f>
        <v>46023</v>
      </c>
      <c r="Z290" s="9" t="n">
        <f aca="false">IF(AND(Q290=0,COUNTIF(dDuplicadosGI!$A$2:$A$60,C290)&gt;0),1,0)</f>
        <v>0</v>
      </c>
      <c r="AA290" s="9" t="n">
        <f aca="false">IF(Q290=0,1,0)</f>
        <v>0</v>
      </c>
    </row>
    <row r="291" customFormat="false" ht="15" hidden="false" customHeight="false" outlineLevel="0" collapsed="false">
      <c r="A291" s="7" t="n">
        <v>290</v>
      </c>
      <c r="B291" s="7" t="s">
        <v>1139</v>
      </c>
      <c r="C291" s="7" t="s">
        <v>1140</v>
      </c>
      <c r="D291" s="7" t="s">
        <v>1141</v>
      </c>
      <c r="E291" s="7" t="s">
        <v>119</v>
      </c>
      <c r="F291" s="7" t="s">
        <v>82</v>
      </c>
      <c r="G291" s="7" t="s">
        <v>166</v>
      </c>
      <c r="H291" s="7" t="s">
        <v>167</v>
      </c>
      <c r="I291" s="7" t="s">
        <v>168</v>
      </c>
      <c r="J291" s="7" t="s">
        <v>797</v>
      </c>
      <c r="K291" s="7"/>
      <c r="L291" s="7" t="s">
        <v>99</v>
      </c>
      <c r="M291" s="8"/>
      <c r="N291" s="7" t="s">
        <v>189</v>
      </c>
      <c r="O291" s="9" t="n">
        <f aca="false">IF(COUNTIFS($B$2:B291,B291,$C$2:C291,C291)=1,1,0)</f>
        <v>1</v>
      </c>
      <c r="P291" s="9" t="str">
        <f aca="false">IFERROR(INDEX(dEtapa!$A$2:$A$6,MATCH(N291,dEtapa!$B$2:$B$6,0)),"Sin etapa")</f>
        <v>Criterio 3</v>
      </c>
      <c r="Q291" s="9" t="n">
        <f aca="false">IF(L291="Si",1,0)</f>
        <v>0</v>
      </c>
      <c r="R291" s="9" t="n">
        <f aca="false">IF(ISNUMBER(SEARCH("CRITERIO",N291)),1,0)</f>
        <v>1</v>
      </c>
      <c r="S291" s="9" t="str">
        <f aca="false">IF(E291="","Sin dato",LEFT(E291,1))</f>
        <v>E</v>
      </c>
      <c r="T291" s="9" t="n">
        <f aca="false">IFERROR(INDEX(dCriticidad!$G$2:$G$7,MATCH(S291,dCriticidad!$A$2:$A$7,0)),0)</f>
        <v>0</v>
      </c>
      <c r="U291" s="9" t="n">
        <f aca="false">IF(OR(LEFT(C291,3)="GI0",LEFT(C291,3)="GA0"),1,0)</f>
        <v>0</v>
      </c>
      <c r="V291" s="9" t="str">
        <f aca="false">IF(G291="","Sin dato (ID GI)",TRIM(G291))</f>
        <v>Ciberseguridad</v>
      </c>
      <c r="W291" s="9" t="str">
        <f aca="false">IF(F291="","Sin dato",F291)</f>
        <v>On Premise</v>
      </c>
      <c r="X291" s="9" t="str">
        <f aca="false">IF(M291="","",YEAR(M291))</f>
        <v/>
      </c>
      <c r="Y291" s="10" t="str">
        <f aca="false">IF(M291="","",DATE(YEAR(M291),MONTH(M291),1))</f>
        <v/>
      </c>
      <c r="Z291" s="9" t="n">
        <f aca="false">IF(AND(Q291=0,COUNTIF(dDuplicadosGI!$A$2:$A$60,C291)&gt;0),1,0)</f>
        <v>0</v>
      </c>
      <c r="AA291" s="9" t="n">
        <f aca="false">IF(Q291=0,1,0)</f>
        <v>1</v>
      </c>
    </row>
    <row r="292" customFormat="false" ht="15" hidden="false" customHeight="false" outlineLevel="0" collapsed="false">
      <c r="A292" s="7" t="n">
        <v>291</v>
      </c>
      <c r="B292" s="7" t="s">
        <v>1142</v>
      </c>
      <c r="C292" s="7" t="s">
        <v>1143</v>
      </c>
      <c r="D292" s="7"/>
      <c r="E292" s="7" t="s">
        <v>119</v>
      </c>
      <c r="F292" s="7" t="s">
        <v>94</v>
      </c>
      <c r="G292" s="7" t="s">
        <v>166</v>
      </c>
      <c r="H292" s="7" t="s">
        <v>1144</v>
      </c>
      <c r="I292" s="7" t="s">
        <v>1145</v>
      </c>
      <c r="J292" s="7" t="s">
        <v>1144</v>
      </c>
      <c r="K292" s="7"/>
      <c r="L292" s="7" t="s">
        <v>99</v>
      </c>
      <c r="M292" s="8"/>
      <c r="N292" s="7" t="s">
        <v>189</v>
      </c>
      <c r="O292" s="9" t="n">
        <f aca="false">IF(COUNTIFS($B$2:B292,B292,$C$2:C292,C292)=1,1,0)</f>
        <v>1</v>
      </c>
      <c r="P292" s="9" t="str">
        <f aca="false">IFERROR(INDEX(dEtapa!$A$2:$A$6,MATCH(N292,dEtapa!$B$2:$B$6,0)),"Sin etapa")</f>
        <v>Criterio 3</v>
      </c>
      <c r="Q292" s="9" t="n">
        <f aca="false">IF(L292="Si",1,0)</f>
        <v>0</v>
      </c>
      <c r="R292" s="9" t="n">
        <f aca="false">IF(ISNUMBER(SEARCH("CRITERIO",N292)),1,0)</f>
        <v>1</v>
      </c>
      <c r="S292" s="9" t="str">
        <f aca="false">IF(E292="","Sin dato",LEFT(E292,1))</f>
        <v>E</v>
      </c>
      <c r="T292" s="9" t="n">
        <f aca="false">IFERROR(INDEX(dCriticidad!$G$2:$G$7,MATCH(S292,dCriticidad!$A$2:$A$7,0)),0)</f>
        <v>0</v>
      </c>
      <c r="U292" s="9" t="n">
        <f aca="false">IF(OR(LEFT(C292,3)="GI0",LEFT(C292,3)="GA0"),1,0)</f>
        <v>0</v>
      </c>
      <c r="V292" s="9" t="str">
        <f aca="false">IF(G292="","Sin dato (ID GI)",TRIM(G292))</f>
        <v>Ciberseguridad</v>
      </c>
      <c r="W292" s="9" t="str">
        <f aca="false">IF(F292="","Sin dato",F292)</f>
        <v>Nube</v>
      </c>
      <c r="X292" s="9" t="str">
        <f aca="false">IF(M292="","",YEAR(M292))</f>
        <v/>
      </c>
      <c r="Y292" s="10" t="str">
        <f aca="false">IF(M292="","",DATE(YEAR(M292),MONTH(M292),1))</f>
        <v/>
      </c>
      <c r="Z292" s="9" t="n">
        <f aca="false">IF(AND(Q292=0,COUNTIF(dDuplicadosGI!$A$2:$A$60,C292)&gt;0),1,0)</f>
        <v>0</v>
      </c>
      <c r="AA292" s="9" t="n">
        <f aca="false">IF(Q292=0,1,0)</f>
        <v>1</v>
      </c>
    </row>
    <row r="293" customFormat="false" ht="15" hidden="false" customHeight="false" outlineLevel="0" collapsed="false">
      <c r="A293" s="7" t="n">
        <v>292</v>
      </c>
      <c r="B293" s="7" t="s">
        <v>219</v>
      </c>
      <c r="C293" s="7" t="s">
        <v>1146</v>
      </c>
      <c r="D293" s="7" t="s">
        <v>1147</v>
      </c>
      <c r="E293" s="7"/>
      <c r="F293" s="7"/>
      <c r="G293" s="7"/>
      <c r="H293" s="7"/>
      <c r="I293" s="7"/>
      <c r="J293" s="7"/>
      <c r="K293" s="7"/>
      <c r="L293" s="7" t="s">
        <v>88</v>
      </c>
      <c r="M293" s="8" t="n">
        <v>45199</v>
      </c>
      <c r="N293" s="7" t="s">
        <v>89</v>
      </c>
      <c r="O293" s="9" t="n">
        <f aca="false">IF(COUNTIFS($B$2:B293,B293,$C$2:C293,C293)=1,1,0)</f>
        <v>1</v>
      </c>
      <c r="P293" s="9" t="str">
        <f aca="false">IFERROR(INDEX(dEtapa!$A$2:$A$6,MATCH(N293,dEtapa!$B$2:$B$6,0)),"Sin etapa")</f>
        <v>Gobernada</v>
      </c>
      <c r="Q293" s="9" t="n">
        <f aca="false">IF(L293="Si",1,0)</f>
        <v>1</v>
      </c>
      <c r="R293" s="9" t="n">
        <f aca="false">IF(ISNUMBER(SEARCH("CRITERIO",N293)),1,0)</f>
        <v>0</v>
      </c>
      <c r="S293" s="9" t="str">
        <f aca="false">IF(E293="","Sin dato",LEFT(E293,1))</f>
        <v>Sin dato</v>
      </c>
      <c r="T293" s="9" t="n">
        <f aca="false">IFERROR(INDEX(dCriticidad!$G$2:$G$7,MATCH(S293,dCriticidad!$A$2:$A$7,0)),0)</f>
        <v>0</v>
      </c>
      <c r="U293" s="9" t="n">
        <f aca="false">IF(OR(LEFT(C293,3)="GI0",LEFT(C293,3)="GA0"),1,0)</f>
        <v>1</v>
      </c>
      <c r="V293" s="9" t="str">
        <f aca="false">IF(G293="","Sin dato (ID GI)",TRIM(G293))</f>
        <v>Sin dato (ID GI)</v>
      </c>
      <c r="W293" s="9" t="str">
        <f aca="false">IF(F293="","Sin dato",F293)</f>
        <v>Sin dato</v>
      </c>
      <c r="X293" s="9" t="n">
        <f aca="false">IF(M293="","",YEAR(M293))</f>
        <v>2023</v>
      </c>
      <c r="Y293" s="10" t="n">
        <f aca="false">IF(M293="","",DATE(YEAR(M293),MONTH(M293),1))</f>
        <v>45170</v>
      </c>
      <c r="Z293" s="9" t="n">
        <f aca="false">IF(AND(Q293=0,COUNTIF(dDuplicadosGI!$A$2:$A$60,C293)&gt;0),1,0)</f>
        <v>0</v>
      </c>
      <c r="AA293" s="9" t="n">
        <f aca="false">IF(Q293=0,1,0)</f>
        <v>0</v>
      </c>
    </row>
    <row r="294" customFormat="false" ht="15" hidden="false" customHeight="false" outlineLevel="0" collapsed="false">
      <c r="A294" s="7" t="n">
        <v>293</v>
      </c>
      <c r="B294" s="7" t="s">
        <v>1148</v>
      </c>
      <c r="C294" s="7" t="s">
        <v>1149</v>
      </c>
      <c r="D294" s="7"/>
      <c r="E294" s="7" t="s">
        <v>119</v>
      </c>
      <c r="F294" s="7" t="s">
        <v>94</v>
      </c>
      <c r="G294" s="7" t="s">
        <v>166</v>
      </c>
      <c r="H294" s="7" t="s">
        <v>182</v>
      </c>
      <c r="I294" s="7" t="s">
        <v>168</v>
      </c>
      <c r="J294" s="7" t="s">
        <v>183</v>
      </c>
      <c r="K294" s="7"/>
      <c r="L294" s="7" t="s">
        <v>88</v>
      </c>
      <c r="M294" s="8" t="n">
        <v>45715</v>
      </c>
      <c r="N294" s="7" t="s">
        <v>89</v>
      </c>
      <c r="O294" s="9" t="n">
        <f aca="false">IF(COUNTIFS($B$2:B294,B294,$C$2:C294,C294)=1,1,0)</f>
        <v>1</v>
      </c>
      <c r="P294" s="9" t="str">
        <f aca="false">IFERROR(INDEX(dEtapa!$A$2:$A$6,MATCH(N294,dEtapa!$B$2:$B$6,0)),"Sin etapa")</f>
        <v>Gobernada</v>
      </c>
      <c r="Q294" s="9" t="n">
        <f aca="false">IF(L294="Si",1,0)</f>
        <v>1</v>
      </c>
      <c r="R294" s="9" t="n">
        <f aca="false">IF(ISNUMBER(SEARCH("CRITERIO",N294)),1,0)</f>
        <v>0</v>
      </c>
      <c r="S294" s="9" t="str">
        <f aca="false">IF(E294="","Sin dato",LEFT(E294,1))</f>
        <v>E</v>
      </c>
      <c r="T294" s="9" t="n">
        <f aca="false">IFERROR(INDEX(dCriticidad!$G$2:$G$7,MATCH(S294,dCriticidad!$A$2:$A$7,0)),0)</f>
        <v>0</v>
      </c>
      <c r="U294" s="9" t="n">
        <f aca="false">IF(OR(LEFT(C294,3)="GI0",LEFT(C294,3)="GA0"),1,0)</f>
        <v>0</v>
      </c>
      <c r="V294" s="9" t="str">
        <f aca="false">IF(G294="","Sin dato (ID GI)",TRIM(G294))</f>
        <v>Ciberseguridad</v>
      </c>
      <c r="W294" s="9" t="str">
        <f aca="false">IF(F294="","Sin dato",F294)</f>
        <v>Nube</v>
      </c>
      <c r="X294" s="9" t="n">
        <f aca="false">IF(M294="","",YEAR(M294))</f>
        <v>2025</v>
      </c>
      <c r="Y294" s="10" t="n">
        <f aca="false">IF(M294="","",DATE(YEAR(M294),MONTH(M294),1))</f>
        <v>45689</v>
      </c>
      <c r="Z294" s="9" t="n">
        <f aca="false">IF(AND(Q294=0,COUNTIF(dDuplicadosGI!$A$2:$A$60,C294)&gt;0),1,0)</f>
        <v>0</v>
      </c>
      <c r="AA294" s="9" t="n">
        <f aca="false">IF(Q294=0,1,0)</f>
        <v>0</v>
      </c>
    </row>
    <row r="295" customFormat="false" ht="15" hidden="false" customHeight="false" outlineLevel="0" collapsed="false">
      <c r="A295" s="7" t="n">
        <v>294</v>
      </c>
      <c r="B295" s="7" t="s">
        <v>1150</v>
      </c>
      <c r="C295" s="7" t="s">
        <v>1151</v>
      </c>
      <c r="D295" s="7" t="s">
        <v>1147</v>
      </c>
      <c r="E295" s="7"/>
      <c r="F295" s="7"/>
      <c r="G295" s="7"/>
      <c r="H295" s="7"/>
      <c r="I295" s="7"/>
      <c r="J295" s="7"/>
      <c r="K295" s="7"/>
      <c r="L295" s="7" t="s">
        <v>88</v>
      </c>
      <c r="M295" s="8" t="n">
        <v>45199</v>
      </c>
      <c r="N295" s="7" t="s">
        <v>89</v>
      </c>
      <c r="O295" s="9" t="n">
        <f aca="false">IF(COUNTIFS($B$2:B295,B295,$C$2:C295,C295)=1,1,0)</f>
        <v>1</v>
      </c>
      <c r="P295" s="9" t="str">
        <f aca="false">IFERROR(INDEX(dEtapa!$A$2:$A$6,MATCH(N295,dEtapa!$B$2:$B$6,0)),"Sin etapa")</f>
        <v>Gobernada</v>
      </c>
      <c r="Q295" s="9" t="n">
        <f aca="false">IF(L295="Si",1,0)</f>
        <v>1</v>
      </c>
      <c r="R295" s="9" t="n">
        <f aca="false">IF(ISNUMBER(SEARCH("CRITERIO",N295)),1,0)</f>
        <v>0</v>
      </c>
      <c r="S295" s="9" t="str">
        <f aca="false">IF(E295="","Sin dato",LEFT(E295,1))</f>
        <v>Sin dato</v>
      </c>
      <c r="T295" s="9" t="n">
        <f aca="false">IFERROR(INDEX(dCriticidad!$G$2:$G$7,MATCH(S295,dCriticidad!$A$2:$A$7,0)),0)</f>
        <v>0</v>
      </c>
      <c r="U295" s="9" t="n">
        <f aca="false">IF(OR(LEFT(C295,3)="GI0",LEFT(C295,3)="GA0"),1,0)</f>
        <v>1</v>
      </c>
      <c r="V295" s="9" t="str">
        <f aca="false">IF(G295="","Sin dato (ID GI)",TRIM(G295))</f>
        <v>Sin dato (ID GI)</v>
      </c>
      <c r="W295" s="9" t="str">
        <f aca="false">IF(F295="","Sin dato",F295)</f>
        <v>Sin dato</v>
      </c>
      <c r="X295" s="9" t="n">
        <f aca="false">IF(M295="","",YEAR(M295))</f>
        <v>2023</v>
      </c>
      <c r="Y295" s="10" t="n">
        <f aca="false">IF(M295="","",DATE(YEAR(M295),MONTH(M295),1))</f>
        <v>45170</v>
      </c>
      <c r="Z295" s="9" t="n">
        <f aca="false">IF(AND(Q295=0,COUNTIF(dDuplicadosGI!$A$2:$A$60,C295)&gt;0),1,0)</f>
        <v>0</v>
      </c>
      <c r="AA295" s="9" t="n">
        <f aca="false">IF(Q295=0,1,0)</f>
        <v>0</v>
      </c>
    </row>
    <row r="296" customFormat="false" ht="15" hidden="false" customHeight="false" outlineLevel="0" collapsed="false">
      <c r="A296" s="7" t="n">
        <v>295</v>
      </c>
      <c r="B296" s="7" t="s">
        <v>1152</v>
      </c>
      <c r="C296" s="7" t="s">
        <v>1153</v>
      </c>
      <c r="D296" s="7"/>
      <c r="E296" s="7" t="s">
        <v>81</v>
      </c>
      <c r="F296" s="7" t="s">
        <v>94</v>
      </c>
      <c r="G296" s="7" t="s">
        <v>451</v>
      </c>
      <c r="H296" s="7" t="s">
        <v>672</v>
      </c>
      <c r="I296" s="7" t="s">
        <v>838</v>
      </c>
      <c r="J296" s="7" t="s">
        <v>839</v>
      </c>
      <c r="K296" s="7"/>
      <c r="L296" s="7" t="s">
        <v>88</v>
      </c>
      <c r="M296" s="8" t="n">
        <v>45382</v>
      </c>
      <c r="N296" s="7" t="s">
        <v>89</v>
      </c>
      <c r="O296" s="9" t="n">
        <f aca="false">IF(COUNTIFS($B$2:B296,B296,$C$2:C296,C296)=1,1,0)</f>
        <v>1</v>
      </c>
      <c r="P296" s="9" t="str">
        <f aca="false">IFERROR(INDEX(dEtapa!$A$2:$A$6,MATCH(N296,dEtapa!$B$2:$B$6,0)),"Sin etapa")</f>
        <v>Gobernada</v>
      </c>
      <c r="Q296" s="9" t="n">
        <f aca="false">IF(L296="Si",1,0)</f>
        <v>1</v>
      </c>
      <c r="R296" s="9" t="n">
        <f aca="false">IF(ISNUMBER(SEARCH("CRITERIO",N296)),1,0)</f>
        <v>0</v>
      </c>
      <c r="S296" s="9" t="str">
        <f aca="false">IF(E296="","Sin dato",LEFT(E296,1))</f>
        <v>A</v>
      </c>
      <c r="T296" s="9" t="n">
        <f aca="false">IFERROR(INDEX(dCriticidad!$G$2:$G$7,MATCH(S296,dCriticidad!$A$2:$A$7,0)),0)</f>
        <v>1</v>
      </c>
      <c r="U296" s="9" t="n">
        <f aca="false">IF(OR(LEFT(C296,3)="GI0",LEFT(C296,3)="GA0"),1,0)</f>
        <v>0</v>
      </c>
      <c r="V296" s="9" t="str">
        <f aca="false">IF(G296="","Sin dato (ID GI)",TRIM(G296))</f>
        <v>COE de Ingeniería</v>
      </c>
      <c r="W296" s="9" t="str">
        <f aca="false">IF(F296="","Sin dato",F296)</f>
        <v>Nube</v>
      </c>
      <c r="X296" s="9" t="n">
        <f aca="false">IF(M296="","",YEAR(M296))</f>
        <v>2024</v>
      </c>
      <c r="Y296" s="10" t="n">
        <f aca="false">IF(M296="","",DATE(YEAR(M296),MONTH(M296),1))</f>
        <v>45352</v>
      </c>
      <c r="Z296" s="9" t="n">
        <f aca="false">IF(AND(Q296=0,COUNTIF(dDuplicadosGI!$A$2:$A$60,C296)&gt;0),1,0)</f>
        <v>0</v>
      </c>
      <c r="AA296" s="9" t="n">
        <f aca="false">IF(Q296=0,1,0)</f>
        <v>0</v>
      </c>
    </row>
    <row r="297" customFormat="false" ht="15" hidden="false" customHeight="false" outlineLevel="0" collapsed="false">
      <c r="A297" s="7" t="n">
        <v>296</v>
      </c>
      <c r="B297" s="7" t="s">
        <v>1154</v>
      </c>
      <c r="C297" s="7" t="s">
        <v>1155</v>
      </c>
      <c r="D297" s="7" t="s">
        <v>1147</v>
      </c>
      <c r="E297" s="7"/>
      <c r="F297" s="7"/>
      <c r="G297" s="7"/>
      <c r="H297" s="7"/>
      <c r="I297" s="7"/>
      <c r="J297" s="7"/>
      <c r="K297" s="7"/>
      <c r="L297" s="7" t="s">
        <v>88</v>
      </c>
      <c r="M297" s="8" t="n">
        <v>45199</v>
      </c>
      <c r="N297" s="7" t="s">
        <v>89</v>
      </c>
      <c r="O297" s="9" t="n">
        <f aca="false">IF(COUNTIFS($B$2:B297,B297,$C$2:C297,C297)=1,1,0)</f>
        <v>1</v>
      </c>
      <c r="P297" s="9" t="str">
        <f aca="false">IFERROR(INDEX(dEtapa!$A$2:$A$6,MATCH(N297,dEtapa!$B$2:$B$6,0)),"Sin etapa")</f>
        <v>Gobernada</v>
      </c>
      <c r="Q297" s="9" t="n">
        <f aca="false">IF(L297="Si",1,0)</f>
        <v>1</v>
      </c>
      <c r="R297" s="9" t="n">
        <f aca="false">IF(ISNUMBER(SEARCH("CRITERIO",N297)),1,0)</f>
        <v>0</v>
      </c>
      <c r="S297" s="9" t="str">
        <f aca="false">IF(E297="","Sin dato",LEFT(E297,1))</f>
        <v>Sin dato</v>
      </c>
      <c r="T297" s="9" t="n">
        <f aca="false">IFERROR(INDEX(dCriticidad!$G$2:$G$7,MATCH(S297,dCriticidad!$A$2:$A$7,0)),0)</f>
        <v>0</v>
      </c>
      <c r="U297" s="9" t="n">
        <f aca="false">IF(OR(LEFT(C297,3)="GI0",LEFT(C297,3)="GA0"),1,0)</f>
        <v>1</v>
      </c>
      <c r="V297" s="9" t="str">
        <f aca="false">IF(G297="","Sin dato (ID GI)",TRIM(G297))</f>
        <v>Sin dato (ID GI)</v>
      </c>
      <c r="W297" s="9" t="str">
        <f aca="false">IF(F297="","Sin dato",F297)</f>
        <v>Sin dato</v>
      </c>
      <c r="X297" s="9" t="n">
        <f aca="false">IF(M297="","",YEAR(M297))</f>
        <v>2023</v>
      </c>
      <c r="Y297" s="10" t="n">
        <f aca="false">IF(M297="","",DATE(YEAR(M297),MONTH(M297),1))</f>
        <v>45170</v>
      </c>
      <c r="Z297" s="9" t="n">
        <f aca="false">IF(AND(Q297=0,COUNTIF(dDuplicadosGI!$A$2:$A$60,C297)&gt;0),1,0)</f>
        <v>0</v>
      </c>
      <c r="AA297" s="9" t="n">
        <f aca="false">IF(Q297=0,1,0)</f>
        <v>0</v>
      </c>
    </row>
    <row r="298" customFormat="false" ht="15" hidden="false" customHeight="false" outlineLevel="0" collapsed="false">
      <c r="A298" s="7" t="n">
        <v>297</v>
      </c>
      <c r="B298" s="7" t="s">
        <v>1156</v>
      </c>
      <c r="C298" s="7" t="s">
        <v>1157</v>
      </c>
      <c r="D298" s="7" t="s">
        <v>1147</v>
      </c>
      <c r="E298" s="7"/>
      <c r="F298" s="7"/>
      <c r="G298" s="7"/>
      <c r="H298" s="7"/>
      <c r="I298" s="7"/>
      <c r="J298" s="7"/>
      <c r="K298" s="7"/>
      <c r="L298" s="7" t="s">
        <v>88</v>
      </c>
      <c r="M298" s="8" t="n">
        <v>45199</v>
      </c>
      <c r="N298" s="7" t="s">
        <v>89</v>
      </c>
      <c r="O298" s="9" t="n">
        <f aca="false">IF(COUNTIFS($B$2:B298,B298,$C$2:C298,C298)=1,1,0)</f>
        <v>1</v>
      </c>
      <c r="P298" s="9" t="str">
        <f aca="false">IFERROR(INDEX(dEtapa!$A$2:$A$6,MATCH(N298,dEtapa!$B$2:$B$6,0)),"Sin etapa")</f>
        <v>Gobernada</v>
      </c>
      <c r="Q298" s="9" t="n">
        <f aca="false">IF(L298="Si",1,0)</f>
        <v>1</v>
      </c>
      <c r="R298" s="9" t="n">
        <f aca="false">IF(ISNUMBER(SEARCH("CRITERIO",N298)),1,0)</f>
        <v>0</v>
      </c>
      <c r="S298" s="9" t="str">
        <f aca="false">IF(E298="","Sin dato",LEFT(E298,1))</f>
        <v>Sin dato</v>
      </c>
      <c r="T298" s="9" t="n">
        <f aca="false">IFERROR(INDEX(dCriticidad!$G$2:$G$7,MATCH(S298,dCriticidad!$A$2:$A$7,0)),0)</f>
        <v>0</v>
      </c>
      <c r="U298" s="9" t="n">
        <f aca="false">IF(OR(LEFT(C298,3)="GI0",LEFT(C298,3)="GA0"),1,0)</f>
        <v>1</v>
      </c>
      <c r="V298" s="9" t="str">
        <f aca="false">IF(G298="","Sin dato (ID GI)",TRIM(G298))</f>
        <v>Sin dato (ID GI)</v>
      </c>
      <c r="W298" s="9" t="str">
        <f aca="false">IF(F298="","Sin dato",F298)</f>
        <v>Sin dato</v>
      </c>
      <c r="X298" s="9" t="n">
        <f aca="false">IF(M298="","",YEAR(M298))</f>
        <v>2023</v>
      </c>
      <c r="Y298" s="10" t="n">
        <f aca="false">IF(M298="","",DATE(YEAR(M298),MONTH(M298),1))</f>
        <v>45170</v>
      </c>
      <c r="Z298" s="9" t="n">
        <f aca="false">IF(AND(Q298=0,COUNTIF(dDuplicadosGI!$A$2:$A$60,C298)&gt;0),1,0)</f>
        <v>0</v>
      </c>
      <c r="AA298" s="9" t="n">
        <f aca="false">IF(Q298=0,1,0)</f>
        <v>0</v>
      </c>
    </row>
    <row r="299" customFormat="false" ht="15" hidden="false" customHeight="false" outlineLevel="0" collapsed="false">
      <c r="A299" s="7" t="n">
        <v>298</v>
      </c>
      <c r="B299" s="7" t="s">
        <v>1158</v>
      </c>
      <c r="C299" s="7" t="s">
        <v>1159</v>
      </c>
      <c r="D299" s="7" t="s">
        <v>1147</v>
      </c>
      <c r="E299" s="7"/>
      <c r="F299" s="7"/>
      <c r="G299" s="7"/>
      <c r="H299" s="7"/>
      <c r="I299" s="7"/>
      <c r="J299" s="7"/>
      <c r="K299" s="7"/>
      <c r="L299" s="7" t="s">
        <v>88</v>
      </c>
      <c r="M299" s="8" t="n">
        <v>45199</v>
      </c>
      <c r="N299" s="7" t="s">
        <v>89</v>
      </c>
      <c r="O299" s="9" t="n">
        <f aca="false">IF(COUNTIFS($B$2:B299,B299,$C$2:C299,C299)=1,1,0)</f>
        <v>1</v>
      </c>
      <c r="P299" s="9" t="str">
        <f aca="false">IFERROR(INDEX(dEtapa!$A$2:$A$6,MATCH(N299,dEtapa!$B$2:$B$6,0)),"Sin etapa")</f>
        <v>Gobernada</v>
      </c>
      <c r="Q299" s="9" t="n">
        <f aca="false">IF(L299="Si",1,0)</f>
        <v>1</v>
      </c>
      <c r="R299" s="9" t="n">
        <f aca="false">IF(ISNUMBER(SEARCH("CRITERIO",N299)),1,0)</f>
        <v>0</v>
      </c>
      <c r="S299" s="9" t="str">
        <f aca="false">IF(E299="","Sin dato",LEFT(E299,1))</f>
        <v>Sin dato</v>
      </c>
      <c r="T299" s="9" t="n">
        <f aca="false">IFERROR(INDEX(dCriticidad!$G$2:$G$7,MATCH(S299,dCriticidad!$A$2:$A$7,0)),0)</f>
        <v>0</v>
      </c>
      <c r="U299" s="9" t="n">
        <f aca="false">IF(OR(LEFT(C299,3)="GI0",LEFT(C299,3)="GA0"),1,0)</f>
        <v>1</v>
      </c>
      <c r="V299" s="9" t="str">
        <f aca="false">IF(G299="","Sin dato (ID GI)",TRIM(G299))</f>
        <v>Sin dato (ID GI)</v>
      </c>
      <c r="W299" s="9" t="str">
        <f aca="false">IF(F299="","Sin dato",F299)</f>
        <v>Sin dato</v>
      </c>
      <c r="X299" s="9" t="n">
        <f aca="false">IF(M299="","",YEAR(M299))</f>
        <v>2023</v>
      </c>
      <c r="Y299" s="10" t="n">
        <f aca="false">IF(M299="","",DATE(YEAR(M299),MONTH(M299),1))</f>
        <v>45170</v>
      </c>
      <c r="Z299" s="9" t="n">
        <f aca="false">IF(AND(Q299=0,COUNTIF(dDuplicadosGI!$A$2:$A$60,C299)&gt;0),1,0)</f>
        <v>0</v>
      </c>
      <c r="AA299" s="9" t="n">
        <f aca="false">IF(Q299=0,1,0)</f>
        <v>0</v>
      </c>
    </row>
    <row r="300" customFormat="false" ht="15" hidden="false" customHeight="false" outlineLevel="0" collapsed="false">
      <c r="A300" s="7" t="n">
        <v>299</v>
      </c>
      <c r="B300" s="7" t="s">
        <v>1160</v>
      </c>
      <c r="C300" s="7" t="s">
        <v>1161</v>
      </c>
      <c r="D300" s="7"/>
      <c r="E300" s="7" t="s">
        <v>119</v>
      </c>
      <c r="F300" s="7" t="s">
        <v>82</v>
      </c>
      <c r="G300" s="7" t="s">
        <v>192</v>
      </c>
      <c r="H300" s="7" t="s">
        <v>193</v>
      </c>
      <c r="I300" s="7"/>
      <c r="J300" s="7" t="s">
        <v>1162</v>
      </c>
      <c r="K300" s="7"/>
      <c r="L300" s="7" t="s">
        <v>88</v>
      </c>
      <c r="M300" s="8" t="n">
        <v>45199</v>
      </c>
      <c r="N300" s="7" t="s">
        <v>89</v>
      </c>
      <c r="O300" s="9" t="n">
        <f aca="false">IF(COUNTIFS($B$2:B300,B300,$C$2:C300,C300)=1,1,0)</f>
        <v>1</v>
      </c>
      <c r="P300" s="9" t="str">
        <f aca="false">IFERROR(INDEX(dEtapa!$A$2:$A$6,MATCH(N300,dEtapa!$B$2:$B$6,0)),"Sin etapa")</f>
        <v>Gobernada</v>
      </c>
      <c r="Q300" s="9" t="n">
        <f aca="false">IF(L300="Si",1,0)</f>
        <v>1</v>
      </c>
      <c r="R300" s="9" t="n">
        <f aca="false">IF(ISNUMBER(SEARCH("CRITERIO",N300)),1,0)</f>
        <v>0</v>
      </c>
      <c r="S300" s="9" t="str">
        <f aca="false">IF(E300="","Sin dato",LEFT(E300,1))</f>
        <v>E</v>
      </c>
      <c r="T300" s="9" t="n">
        <f aca="false">IFERROR(INDEX(dCriticidad!$G$2:$G$7,MATCH(S300,dCriticidad!$A$2:$A$7,0)),0)</f>
        <v>0</v>
      </c>
      <c r="U300" s="9" t="n">
        <f aca="false">IF(OR(LEFT(C300,3)="GI0",LEFT(C300,3)="GA0"),1,0)</f>
        <v>0</v>
      </c>
      <c r="V300" s="9" t="str">
        <f aca="false">IF(G300="","Sin dato (ID GI)",TRIM(G300))</f>
        <v>AREAS_DE_APOYO</v>
      </c>
      <c r="W300" s="9" t="str">
        <f aca="false">IF(F300="","Sin dato",F300)</f>
        <v>On Premise</v>
      </c>
      <c r="X300" s="9" t="n">
        <f aca="false">IF(M300="","",YEAR(M300))</f>
        <v>2023</v>
      </c>
      <c r="Y300" s="10" t="n">
        <f aca="false">IF(M300="","",DATE(YEAR(M300),MONTH(M300),1))</f>
        <v>45170</v>
      </c>
      <c r="Z300" s="9" t="n">
        <f aca="false">IF(AND(Q300=0,COUNTIF(dDuplicadosGI!$A$2:$A$60,C300)&gt;0),1,0)</f>
        <v>0</v>
      </c>
      <c r="AA300" s="9" t="n">
        <f aca="false">IF(Q300=0,1,0)</f>
        <v>0</v>
      </c>
    </row>
    <row r="301" customFormat="false" ht="15" hidden="false" customHeight="false" outlineLevel="0" collapsed="false">
      <c r="A301" s="7" t="n">
        <v>300</v>
      </c>
      <c r="B301" s="7" t="s">
        <v>1163</v>
      </c>
      <c r="C301" s="7" t="s">
        <v>1164</v>
      </c>
      <c r="D301" s="7" t="s">
        <v>1147</v>
      </c>
      <c r="E301" s="7"/>
      <c r="F301" s="7"/>
      <c r="G301" s="7"/>
      <c r="H301" s="7"/>
      <c r="I301" s="7"/>
      <c r="J301" s="7"/>
      <c r="K301" s="7"/>
      <c r="L301" s="7" t="s">
        <v>88</v>
      </c>
      <c r="M301" s="8" t="n">
        <v>45199</v>
      </c>
      <c r="N301" s="7" t="s">
        <v>89</v>
      </c>
      <c r="O301" s="9" t="n">
        <f aca="false">IF(COUNTIFS($B$2:B301,B301,$C$2:C301,C301)=1,1,0)</f>
        <v>1</v>
      </c>
      <c r="P301" s="9" t="str">
        <f aca="false">IFERROR(INDEX(dEtapa!$A$2:$A$6,MATCH(N301,dEtapa!$B$2:$B$6,0)),"Sin etapa")</f>
        <v>Gobernada</v>
      </c>
      <c r="Q301" s="9" t="n">
        <f aca="false">IF(L301="Si",1,0)</f>
        <v>1</v>
      </c>
      <c r="R301" s="9" t="n">
        <f aca="false">IF(ISNUMBER(SEARCH("CRITERIO",N301)),1,0)</f>
        <v>0</v>
      </c>
      <c r="S301" s="9" t="str">
        <f aca="false">IF(E301="","Sin dato",LEFT(E301,1))</f>
        <v>Sin dato</v>
      </c>
      <c r="T301" s="9" t="n">
        <f aca="false">IFERROR(INDEX(dCriticidad!$G$2:$G$7,MATCH(S301,dCriticidad!$A$2:$A$7,0)),0)</f>
        <v>0</v>
      </c>
      <c r="U301" s="9" t="n">
        <f aca="false">IF(OR(LEFT(C301,3)="GI0",LEFT(C301,3)="GA0"),1,0)</f>
        <v>1</v>
      </c>
      <c r="V301" s="9" t="str">
        <f aca="false">IF(G301="","Sin dato (ID GI)",TRIM(G301))</f>
        <v>Sin dato (ID GI)</v>
      </c>
      <c r="W301" s="9" t="str">
        <f aca="false">IF(F301="","Sin dato",F301)</f>
        <v>Sin dato</v>
      </c>
      <c r="X301" s="9" t="n">
        <f aca="false">IF(M301="","",YEAR(M301))</f>
        <v>2023</v>
      </c>
      <c r="Y301" s="10" t="n">
        <f aca="false">IF(M301="","",DATE(YEAR(M301),MONTH(M301),1))</f>
        <v>45170</v>
      </c>
      <c r="Z301" s="9" t="n">
        <f aca="false">IF(AND(Q301=0,COUNTIF(dDuplicadosGI!$A$2:$A$60,C301)&gt;0),1,0)</f>
        <v>0</v>
      </c>
      <c r="AA301" s="9" t="n">
        <f aca="false">IF(Q301=0,1,0)</f>
        <v>0</v>
      </c>
    </row>
    <row r="302" customFormat="false" ht="15" hidden="false" customHeight="false" outlineLevel="0" collapsed="false">
      <c r="A302" s="7" t="n">
        <v>301</v>
      </c>
      <c r="B302" s="7" t="s">
        <v>1165</v>
      </c>
      <c r="C302" s="7" t="s">
        <v>1166</v>
      </c>
      <c r="D302" s="7" t="s">
        <v>1147</v>
      </c>
      <c r="E302" s="7"/>
      <c r="F302" s="7"/>
      <c r="G302" s="7"/>
      <c r="H302" s="7"/>
      <c r="I302" s="7"/>
      <c r="J302" s="7"/>
      <c r="K302" s="7"/>
      <c r="L302" s="7" t="s">
        <v>88</v>
      </c>
      <c r="M302" s="8" t="n">
        <v>45199</v>
      </c>
      <c r="N302" s="7" t="s">
        <v>89</v>
      </c>
      <c r="O302" s="9" t="n">
        <f aca="false">IF(COUNTIFS($B$2:B302,B302,$C$2:C302,C302)=1,1,0)</f>
        <v>1</v>
      </c>
      <c r="P302" s="9" t="str">
        <f aca="false">IFERROR(INDEX(dEtapa!$A$2:$A$6,MATCH(N302,dEtapa!$B$2:$B$6,0)),"Sin etapa")</f>
        <v>Gobernada</v>
      </c>
      <c r="Q302" s="9" t="n">
        <f aca="false">IF(L302="Si",1,0)</f>
        <v>1</v>
      </c>
      <c r="R302" s="9" t="n">
        <f aca="false">IF(ISNUMBER(SEARCH("CRITERIO",N302)),1,0)</f>
        <v>0</v>
      </c>
      <c r="S302" s="9" t="str">
        <f aca="false">IF(E302="","Sin dato",LEFT(E302,1))</f>
        <v>Sin dato</v>
      </c>
      <c r="T302" s="9" t="n">
        <f aca="false">IFERROR(INDEX(dCriticidad!$G$2:$G$7,MATCH(S302,dCriticidad!$A$2:$A$7,0)),0)</f>
        <v>0</v>
      </c>
      <c r="U302" s="9" t="n">
        <f aca="false">IF(OR(LEFT(C302,3)="GI0",LEFT(C302,3)="GA0"),1,0)</f>
        <v>1</v>
      </c>
      <c r="V302" s="9" t="str">
        <f aca="false">IF(G302="","Sin dato (ID GI)",TRIM(G302))</f>
        <v>Sin dato (ID GI)</v>
      </c>
      <c r="W302" s="9" t="str">
        <f aca="false">IF(F302="","Sin dato",F302)</f>
        <v>Sin dato</v>
      </c>
      <c r="X302" s="9" t="n">
        <f aca="false">IF(M302="","",YEAR(M302))</f>
        <v>2023</v>
      </c>
      <c r="Y302" s="10" t="n">
        <f aca="false">IF(M302="","",DATE(YEAR(M302),MONTH(M302),1))</f>
        <v>45170</v>
      </c>
      <c r="Z302" s="9" t="n">
        <f aca="false">IF(AND(Q302=0,COUNTIF(dDuplicadosGI!$A$2:$A$60,C302)&gt;0),1,0)</f>
        <v>0</v>
      </c>
      <c r="AA302" s="9" t="n">
        <f aca="false">IF(Q302=0,1,0)</f>
        <v>0</v>
      </c>
    </row>
    <row r="303" customFormat="false" ht="15" hidden="false" customHeight="false" outlineLevel="0" collapsed="false">
      <c r="A303" s="7" t="n">
        <v>302</v>
      </c>
      <c r="B303" s="7" t="s">
        <v>1167</v>
      </c>
      <c r="C303" s="7" t="s">
        <v>1168</v>
      </c>
      <c r="D303" s="7" t="s">
        <v>1169</v>
      </c>
      <c r="E303" s="7"/>
      <c r="F303" s="7"/>
      <c r="G303" s="7"/>
      <c r="H303" s="7"/>
      <c r="I303" s="7"/>
      <c r="J303" s="7"/>
      <c r="K303" s="7"/>
      <c r="L303" s="7" t="s">
        <v>88</v>
      </c>
      <c r="M303" s="8" t="n">
        <v>45199</v>
      </c>
      <c r="N303" s="7" t="s">
        <v>89</v>
      </c>
      <c r="O303" s="9" t="n">
        <f aca="false">IF(COUNTIFS($B$2:B303,B303,$C$2:C303,C303)=1,1,0)</f>
        <v>1</v>
      </c>
      <c r="P303" s="9" t="str">
        <f aca="false">IFERROR(INDEX(dEtapa!$A$2:$A$6,MATCH(N303,dEtapa!$B$2:$B$6,0)),"Sin etapa")</f>
        <v>Gobernada</v>
      </c>
      <c r="Q303" s="9" t="n">
        <f aca="false">IF(L303="Si",1,0)</f>
        <v>1</v>
      </c>
      <c r="R303" s="9" t="n">
        <f aca="false">IF(ISNUMBER(SEARCH("CRITERIO",N303)),1,0)</f>
        <v>0</v>
      </c>
      <c r="S303" s="9" t="str">
        <f aca="false">IF(E303="","Sin dato",LEFT(E303,1))</f>
        <v>Sin dato</v>
      </c>
      <c r="T303" s="9" t="n">
        <f aca="false">IFERROR(INDEX(dCriticidad!$G$2:$G$7,MATCH(S303,dCriticidad!$A$2:$A$7,0)),0)</f>
        <v>0</v>
      </c>
      <c r="U303" s="9" t="n">
        <f aca="false">IF(OR(LEFT(C303,3)="GI0",LEFT(C303,3)="GA0"),1,0)</f>
        <v>1</v>
      </c>
      <c r="V303" s="9" t="str">
        <f aca="false">IF(G303="","Sin dato (ID GI)",TRIM(G303))</f>
        <v>Sin dato (ID GI)</v>
      </c>
      <c r="W303" s="9" t="str">
        <f aca="false">IF(F303="","Sin dato",F303)</f>
        <v>Sin dato</v>
      </c>
      <c r="X303" s="9" t="n">
        <f aca="false">IF(M303="","",YEAR(M303))</f>
        <v>2023</v>
      </c>
      <c r="Y303" s="10" t="n">
        <f aca="false">IF(M303="","",DATE(YEAR(M303),MONTH(M303),1))</f>
        <v>45170</v>
      </c>
      <c r="Z303" s="9" t="n">
        <f aca="false">IF(AND(Q303=0,COUNTIF(dDuplicadosGI!$A$2:$A$60,C303)&gt;0),1,0)</f>
        <v>0</v>
      </c>
      <c r="AA303" s="9" t="n">
        <f aca="false">IF(Q303=0,1,0)</f>
        <v>0</v>
      </c>
    </row>
    <row r="304" customFormat="false" ht="15" hidden="false" customHeight="false" outlineLevel="0" collapsed="false">
      <c r="A304" s="7" t="n">
        <v>303</v>
      </c>
      <c r="B304" s="7" t="s">
        <v>1170</v>
      </c>
      <c r="C304" s="7" t="s">
        <v>1171</v>
      </c>
      <c r="D304" s="7" t="s">
        <v>1147</v>
      </c>
      <c r="E304" s="7"/>
      <c r="F304" s="7"/>
      <c r="G304" s="7"/>
      <c r="H304" s="7"/>
      <c r="I304" s="7"/>
      <c r="J304" s="7"/>
      <c r="K304" s="7"/>
      <c r="L304" s="7" t="s">
        <v>88</v>
      </c>
      <c r="M304" s="8" t="n">
        <v>45199</v>
      </c>
      <c r="N304" s="7" t="s">
        <v>89</v>
      </c>
      <c r="O304" s="9" t="n">
        <f aca="false">IF(COUNTIFS($B$2:B304,B304,$C$2:C304,C304)=1,1,0)</f>
        <v>1</v>
      </c>
      <c r="P304" s="9" t="str">
        <f aca="false">IFERROR(INDEX(dEtapa!$A$2:$A$6,MATCH(N304,dEtapa!$B$2:$B$6,0)),"Sin etapa")</f>
        <v>Gobernada</v>
      </c>
      <c r="Q304" s="9" t="n">
        <f aca="false">IF(L304="Si",1,0)</f>
        <v>1</v>
      </c>
      <c r="R304" s="9" t="n">
        <f aca="false">IF(ISNUMBER(SEARCH("CRITERIO",N304)),1,0)</f>
        <v>0</v>
      </c>
      <c r="S304" s="9" t="str">
        <f aca="false">IF(E304="","Sin dato",LEFT(E304,1))</f>
        <v>Sin dato</v>
      </c>
      <c r="T304" s="9" t="n">
        <f aca="false">IFERROR(INDEX(dCriticidad!$G$2:$G$7,MATCH(S304,dCriticidad!$A$2:$A$7,0)),0)</f>
        <v>0</v>
      </c>
      <c r="U304" s="9" t="n">
        <f aca="false">IF(OR(LEFT(C304,3)="GI0",LEFT(C304,3)="GA0"),1,0)</f>
        <v>1</v>
      </c>
      <c r="V304" s="9" t="str">
        <f aca="false">IF(G304="","Sin dato (ID GI)",TRIM(G304))</f>
        <v>Sin dato (ID GI)</v>
      </c>
      <c r="W304" s="9" t="str">
        <f aca="false">IF(F304="","Sin dato",F304)</f>
        <v>Sin dato</v>
      </c>
      <c r="X304" s="9" t="n">
        <f aca="false">IF(M304="","",YEAR(M304))</f>
        <v>2023</v>
      </c>
      <c r="Y304" s="10" t="n">
        <f aca="false">IF(M304="","",DATE(YEAR(M304),MONTH(M304),1))</f>
        <v>45170</v>
      </c>
      <c r="Z304" s="9" t="n">
        <f aca="false">IF(AND(Q304=0,COUNTIF(dDuplicadosGI!$A$2:$A$60,C304)&gt;0),1,0)</f>
        <v>0</v>
      </c>
      <c r="AA304" s="9" t="n">
        <f aca="false">IF(Q304=0,1,0)</f>
        <v>0</v>
      </c>
    </row>
    <row r="305" customFormat="false" ht="15" hidden="false" customHeight="false" outlineLevel="0" collapsed="false">
      <c r="A305" s="7" t="n">
        <v>304</v>
      </c>
      <c r="B305" s="7" t="s">
        <v>1172</v>
      </c>
      <c r="C305" s="7" t="s">
        <v>1173</v>
      </c>
      <c r="D305" s="7"/>
      <c r="E305" s="7" t="s">
        <v>119</v>
      </c>
      <c r="F305" s="7" t="s">
        <v>94</v>
      </c>
      <c r="G305" s="7" t="s">
        <v>132</v>
      </c>
      <c r="H305" s="7" t="s">
        <v>133</v>
      </c>
      <c r="I305" s="7" t="s">
        <v>1122</v>
      </c>
      <c r="J305" s="7" t="s">
        <v>1123</v>
      </c>
      <c r="K305" s="7"/>
      <c r="L305" s="7" t="s">
        <v>88</v>
      </c>
      <c r="M305" s="8" t="n">
        <v>45812</v>
      </c>
      <c r="N305" s="7" t="s">
        <v>89</v>
      </c>
      <c r="O305" s="9" t="n">
        <f aca="false">IF(COUNTIFS($B$2:B305,B305,$C$2:C305,C305)=1,1,0)</f>
        <v>1</v>
      </c>
      <c r="P305" s="9" t="str">
        <f aca="false">IFERROR(INDEX(dEtapa!$A$2:$A$6,MATCH(N305,dEtapa!$B$2:$B$6,0)),"Sin etapa")</f>
        <v>Gobernada</v>
      </c>
      <c r="Q305" s="9" t="n">
        <f aca="false">IF(L305="Si",1,0)</f>
        <v>1</v>
      </c>
      <c r="R305" s="9" t="n">
        <f aca="false">IF(ISNUMBER(SEARCH("CRITERIO",N305)),1,0)</f>
        <v>0</v>
      </c>
      <c r="S305" s="9" t="str">
        <f aca="false">IF(E305="","Sin dato",LEFT(E305,1))</f>
        <v>E</v>
      </c>
      <c r="T305" s="9" t="n">
        <f aca="false">IFERROR(INDEX(dCriticidad!$G$2:$G$7,MATCH(S305,dCriticidad!$A$2:$A$7,0)),0)</f>
        <v>0</v>
      </c>
      <c r="U305" s="9" t="n">
        <f aca="false">IF(OR(LEFT(C305,3)="GI0",LEFT(C305,3)="GA0"),1,0)</f>
        <v>0</v>
      </c>
      <c r="V305" s="9" t="str">
        <f aca="false">IF(G305="","Sin dato (ID GI)",TRIM(G305))</f>
        <v>ACTIVOS</v>
      </c>
      <c r="W305" s="9" t="str">
        <f aca="false">IF(F305="","Sin dato",F305)</f>
        <v>Nube</v>
      </c>
      <c r="X305" s="9" t="n">
        <f aca="false">IF(M305="","",YEAR(M305))</f>
        <v>2025</v>
      </c>
      <c r="Y305" s="10" t="n">
        <f aca="false">IF(M305="","",DATE(YEAR(M305),MONTH(M305),1))</f>
        <v>45809</v>
      </c>
      <c r="Z305" s="9" t="n">
        <f aca="false">IF(AND(Q305=0,COUNTIF(dDuplicadosGI!$A$2:$A$60,C305)&gt;0),1,0)</f>
        <v>0</v>
      </c>
      <c r="AA305" s="9" t="n">
        <f aca="false">IF(Q305=0,1,0)</f>
        <v>0</v>
      </c>
    </row>
    <row r="306" customFormat="false" ht="15" hidden="false" customHeight="false" outlineLevel="0" collapsed="false">
      <c r="A306" s="7" t="n">
        <v>305</v>
      </c>
      <c r="B306" s="7" t="s">
        <v>1174</v>
      </c>
      <c r="C306" s="7" t="s">
        <v>1175</v>
      </c>
      <c r="D306" s="7"/>
      <c r="E306" s="7" t="s">
        <v>119</v>
      </c>
      <c r="F306" s="7" t="s">
        <v>94</v>
      </c>
      <c r="G306" s="7" t="s">
        <v>192</v>
      </c>
      <c r="H306" s="7" t="s">
        <v>193</v>
      </c>
      <c r="I306" s="7" t="s">
        <v>1176</v>
      </c>
      <c r="J306" s="7" t="s">
        <v>195</v>
      </c>
      <c r="K306" s="7"/>
      <c r="L306" s="7" t="s">
        <v>88</v>
      </c>
      <c r="M306" s="8" t="n">
        <v>45924</v>
      </c>
      <c r="N306" s="7" t="s">
        <v>89</v>
      </c>
      <c r="O306" s="9" t="n">
        <f aca="false">IF(COUNTIFS($B$2:B306,B306,$C$2:C306,C306)=1,1,0)</f>
        <v>1</v>
      </c>
      <c r="P306" s="9" t="str">
        <f aca="false">IFERROR(INDEX(dEtapa!$A$2:$A$6,MATCH(N306,dEtapa!$B$2:$B$6,0)),"Sin etapa")</f>
        <v>Gobernada</v>
      </c>
      <c r="Q306" s="9" t="n">
        <f aca="false">IF(L306="Si",1,0)</f>
        <v>1</v>
      </c>
      <c r="R306" s="9" t="n">
        <f aca="false">IF(ISNUMBER(SEARCH("CRITERIO",N306)),1,0)</f>
        <v>0</v>
      </c>
      <c r="S306" s="9" t="str">
        <f aca="false">IF(E306="","Sin dato",LEFT(E306,1))</f>
        <v>E</v>
      </c>
      <c r="T306" s="9" t="n">
        <f aca="false">IFERROR(INDEX(dCriticidad!$G$2:$G$7,MATCH(S306,dCriticidad!$A$2:$A$7,0)),0)</f>
        <v>0</v>
      </c>
      <c r="U306" s="9" t="n">
        <f aca="false">IF(OR(LEFT(C306,3)="GI0",LEFT(C306,3)="GA0"),1,0)</f>
        <v>0</v>
      </c>
      <c r="V306" s="9" t="str">
        <f aca="false">IF(G306="","Sin dato (ID GI)",TRIM(G306))</f>
        <v>AREAS_DE_APOYO</v>
      </c>
      <c r="W306" s="9" t="str">
        <f aca="false">IF(F306="","Sin dato",F306)</f>
        <v>Nube</v>
      </c>
      <c r="X306" s="9" t="n">
        <f aca="false">IF(M306="","",YEAR(M306))</f>
        <v>2025</v>
      </c>
      <c r="Y306" s="10" t="n">
        <f aca="false">IF(M306="","",DATE(YEAR(M306),MONTH(M306),1))</f>
        <v>45901</v>
      </c>
      <c r="Z306" s="9" t="n">
        <f aca="false">IF(AND(Q306=0,COUNTIF(dDuplicadosGI!$A$2:$A$60,C306)&gt;0),1,0)</f>
        <v>0</v>
      </c>
      <c r="AA306" s="9" t="n">
        <f aca="false">IF(Q306=0,1,0)</f>
        <v>0</v>
      </c>
    </row>
    <row r="307" customFormat="false" ht="15" hidden="false" customHeight="false" outlineLevel="0" collapsed="false">
      <c r="A307" s="7" t="n">
        <v>306</v>
      </c>
      <c r="B307" s="7" t="s">
        <v>1177</v>
      </c>
      <c r="C307" s="7" t="s">
        <v>1178</v>
      </c>
      <c r="D307" s="7"/>
      <c r="E307" s="7" t="s">
        <v>119</v>
      </c>
      <c r="F307" s="7" t="s">
        <v>269</v>
      </c>
      <c r="G307" s="7" t="s">
        <v>166</v>
      </c>
      <c r="H307" s="7" t="s">
        <v>906</v>
      </c>
      <c r="I307" s="7" t="s">
        <v>168</v>
      </c>
      <c r="J307" s="7" t="s">
        <v>183</v>
      </c>
      <c r="K307" s="7"/>
      <c r="L307" s="7" t="s">
        <v>88</v>
      </c>
      <c r="M307" s="8" t="n">
        <v>45716</v>
      </c>
      <c r="N307" s="7" t="s">
        <v>89</v>
      </c>
      <c r="O307" s="9" t="n">
        <f aca="false">IF(COUNTIFS($B$2:B307,B307,$C$2:C307,C307)=1,1,0)</f>
        <v>1</v>
      </c>
      <c r="P307" s="9" t="str">
        <f aca="false">IFERROR(INDEX(dEtapa!$A$2:$A$6,MATCH(N307,dEtapa!$B$2:$B$6,0)),"Sin etapa")</f>
        <v>Gobernada</v>
      </c>
      <c r="Q307" s="9" t="n">
        <f aca="false">IF(L307="Si",1,0)</f>
        <v>1</v>
      </c>
      <c r="R307" s="9" t="n">
        <f aca="false">IF(ISNUMBER(SEARCH("CRITERIO",N307)),1,0)</f>
        <v>0</v>
      </c>
      <c r="S307" s="9" t="str">
        <f aca="false">IF(E307="","Sin dato",LEFT(E307,1))</f>
        <v>E</v>
      </c>
      <c r="T307" s="9" t="n">
        <f aca="false">IFERROR(INDEX(dCriticidad!$G$2:$G$7,MATCH(S307,dCriticidad!$A$2:$A$7,0)),0)</f>
        <v>0</v>
      </c>
      <c r="U307" s="9" t="n">
        <f aca="false">IF(OR(LEFT(C307,3)="GI0",LEFT(C307,3)="GA0"),1,0)</f>
        <v>0</v>
      </c>
      <c r="V307" s="9" t="str">
        <f aca="false">IF(G307="","Sin dato (ID GI)",TRIM(G307))</f>
        <v>Ciberseguridad</v>
      </c>
      <c r="W307" s="9" t="str">
        <f aca="false">IF(F307="","Sin dato",F307)</f>
        <v>Híbrida</v>
      </c>
      <c r="X307" s="9" t="n">
        <f aca="false">IF(M307="","",YEAR(M307))</f>
        <v>2025</v>
      </c>
      <c r="Y307" s="10" t="n">
        <f aca="false">IF(M307="","",DATE(YEAR(M307),MONTH(M307),1))</f>
        <v>45689</v>
      </c>
      <c r="Z307" s="9" t="n">
        <f aca="false">IF(AND(Q307=0,COUNTIF(dDuplicadosGI!$A$2:$A$60,C307)&gt;0),1,0)</f>
        <v>0</v>
      </c>
      <c r="AA307" s="9" t="n">
        <f aca="false">IF(Q307=0,1,0)</f>
        <v>0</v>
      </c>
    </row>
    <row r="308" customFormat="false" ht="15" hidden="false" customHeight="false" outlineLevel="0" collapsed="false">
      <c r="A308" s="7" t="n">
        <v>307</v>
      </c>
      <c r="B308" s="7" t="s">
        <v>1179</v>
      </c>
      <c r="C308" s="7" t="s">
        <v>1180</v>
      </c>
      <c r="D308" s="7"/>
      <c r="E308" s="7" t="s">
        <v>119</v>
      </c>
      <c r="F308" s="7" t="s">
        <v>82</v>
      </c>
      <c r="G308" s="7" t="s">
        <v>153</v>
      </c>
      <c r="H308" s="7" t="s">
        <v>1181</v>
      </c>
      <c r="I308" s="7"/>
      <c r="J308" s="7" t="s">
        <v>154</v>
      </c>
      <c r="K308" s="7"/>
      <c r="L308" s="7" t="s">
        <v>88</v>
      </c>
      <c r="M308" s="8" t="n">
        <v>45199</v>
      </c>
      <c r="N308" s="7" t="s">
        <v>89</v>
      </c>
      <c r="O308" s="9" t="n">
        <f aca="false">IF(COUNTIFS($B$2:B308,B308,$C$2:C308,C308)=1,1,0)</f>
        <v>1</v>
      </c>
      <c r="P308" s="9" t="str">
        <f aca="false">IFERROR(INDEX(dEtapa!$A$2:$A$6,MATCH(N308,dEtapa!$B$2:$B$6,0)),"Sin etapa")</f>
        <v>Gobernada</v>
      </c>
      <c r="Q308" s="9" t="n">
        <f aca="false">IF(L308="Si",1,0)</f>
        <v>1</v>
      </c>
      <c r="R308" s="9" t="n">
        <f aca="false">IF(ISNUMBER(SEARCH("CRITERIO",N308)),1,0)</f>
        <v>0</v>
      </c>
      <c r="S308" s="9" t="str">
        <f aca="false">IF(E308="","Sin dato",LEFT(E308,1))</f>
        <v>E</v>
      </c>
      <c r="T308" s="9" t="n">
        <f aca="false">IFERROR(INDEX(dCriticidad!$G$2:$G$7,MATCH(S308,dCriticidad!$A$2:$A$7,0)),0)</f>
        <v>0</v>
      </c>
      <c r="U308" s="9" t="n">
        <f aca="false">IF(OR(LEFT(C308,3)="GI0",LEFT(C308,3)="GA0"),1,0)</f>
        <v>0</v>
      </c>
      <c r="V308" s="9" t="str">
        <f aca="false">IF(G308="","Sin dato (ID GI)",TRIM(G308))</f>
        <v>MEDIOS_DE_PAGO</v>
      </c>
      <c r="W308" s="9" t="str">
        <f aca="false">IF(F308="","Sin dato",F308)</f>
        <v>On Premise</v>
      </c>
      <c r="X308" s="9" t="n">
        <f aca="false">IF(M308="","",YEAR(M308))</f>
        <v>2023</v>
      </c>
      <c r="Y308" s="10" t="n">
        <f aca="false">IF(M308="","",DATE(YEAR(M308),MONTH(M308),1))</f>
        <v>45170</v>
      </c>
      <c r="Z308" s="9" t="n">
        <f aca="false">IF(AND(Q308=0,COUNTIF(dDuplicadosGI!$A$2:$A$60,C308)&gt;0),1,0)</f>
        <v>0</v>
      </c>
      <c r="AA308" s="9" t="n">
        <f aca="false">IF(Q308=0,1,0)</f>
        <v>0</v>
      </c>
    </row>
    <row r="309" customFormat="false" ht="15" hidden="false" customHeight="false" outlineLevel="0" collapsed="false">
      <c r="A309" s="7" t="n">
        <v>308</v>
      </c>
      <c r="B309" s="7" t="s">
        <v>1182</v>
      </c>
      <c r="C309" s="7" t="s">
        <v>1183</v>
      </c>
      <c r="D309" s="7" t="s">
        <v>1147</v>
      </c>
      <c r="E309" s="7"/>
      <c r="F309" s="7"/>
      <c r="G309" s="7"/>
      <c r="H309" s="7"/>
      <c r="I309" s="7"/>
      <c r="J309" s="7"/>
      <c r="K309" s="7"/>
      <c r="L309" s="7" t="s">
        <v>88</v>
      </c>
      <c r="M309" s="8" t="n">
        <v>45199</v>
      </c>
      <c r="N309" s="7" t="s">
        <v>89</v>
      </c>
      <c r="O309" s="9" t="n">
        <f aca="false">IF(COUNTIFS($B$2:B309,B309,$C$2:C309,C309)=1,1,0)</f>
        <v>1</v>
      </c>
      <c r="P309" s="9" t="str">
        <f aca="false">IFERROR(INDEX(dEtapa!$A$2:$A$6,MATCH(N309,dEtapa!$B$2:$B$6,0)),"Sin etapa")</f>
        <v>Gobernada</v>
      </c>
      <c r="Q309" s="9" t="n">
        <f aca="false">IF(L309="Si",1,0)</f>
        <v>1</v>
      </c>
      <c r="R309" s="9" t="n">
        <f aca="false">IF(ISNUMBER(SEARCH("CRITERIO",N309)),1,0)</f>
        <v>0</v>
      </c>
      <c r="S309" s="9" t="str">
        <f aca="false">IF(E309="","Sin dato",LEFT(E309,1))</f>
        <v>Sin dato</v>
      </c>
      <c r="T309" s="9" t="n">
        <f aca="false">IFERROR(INDEX(dCriticidad!$G$2:$G$7,MATCH(S309,dCriticidad!$A$2:$A$7,0)),0)</f>
        <v>0</v>
      </c>
      <c r="U309" s="9" t="n">
        <f aca="false">IF(OR(LEFT(C309,3)="GI0",LEFT(C309,3)="GA0"),1,0)</f>
        <v>1</v>
      </c>
      <c r="V309" s="9" t="str">
        <f aca="false">IF(G309="","Sin dato (ID GI)",TRIM(G309))</f>
        <v>Sin dato (ID GI)</v>
      </c>
      <c r="W309" s="9" t="str">
        <f aca="false">IF(F309="","Sin dato",F309)</f>
        <v>Sin dato</v>
      </c>
      <c r="X309" s="9" t="n">
        <f aca="false">IF(M309="","",YEAR(M309))</f>
        <v>2023</v>
      </c>
      <c r="Y309" s="10" t="n">
        <f aca="false">IF(M309="","",DATE(YEAR(M309),MONTH(M309),1))</f>
        <v>45170</v>
      </c>
      <c r="Z309" s="9" t="n">
        <f aca="false">IF(AND(Q309=0,COUNTIF(dDuplicadosGI!$A$2:$A$60,C309)&gt;0),1,0)</f>
        <v>0</v>
      </c>
      <c r="AA309" s="9" t="n">
        <f aca="false">IF(Q309=0,1,0)</f>
        <v>0</v>
      </c>
    </row>
    <row r="310" customFormat="false" ht="15" hidden="false" customHeight="false" outlineLevel="0" collapsed="false">
      <c r="A310" s="7" t="n">
        <v>309</v>
      </c>
      <c r="B310" s="7" t="s">
        <v>1184</v>
      </c>
      <c r="C310" s="7" t="s">
        <v>1185</v>
      </c>
      <c r="D310" s="7"/>
      <c r="E310" s="7" t="s">
        <v>113</v>
      </c>
      <c r="F310" s="7" t="s">
        <v>82</v>
      </c>
      <c r="G310" s="7" t="s">
        <v>104</v>
      </c>
      <c r="H310" s="7" t="s">
        <v>105</v>
      </c>
      <c r="I310" s="7" t="s">
        <v>120</v>
      </c>
      <c r="J310" s="7" t="s">
        <v>1130</v>
      </c>
      <c r="K310" s="7"/>
      <c r="L310" s="7" t="s">
        <v>88</v>
      </c>
      <c r="M310" s="8" t="n">
        <v>45579</v>
      </c>
      <c r="N310" s="7" t="s">
        <v>89</v>
      </c>
      <c r="O310" s="9" t="n">
        <f aca="false">IF(COUNTIFS($B$2:B310,B310,$C$2:C310,C310)=1,1,0)</f>
        <v>1</v>
      </c>
      <c r="P310" s="9" t="str">
        <f aca="false">IFERROR(INDEX(dEtapa!$A$2:$A$6,MATCH(N310,dEtapa!$B$2:$B$6,0)),"Sin etapa")</f>
        <v>Gobernada</v>
      </c>
      <c r="Q310" s="9" t="n">
        <f aca="false">IF(L310="Si",1,0)</f>
        <v>1</v>
      </c>
      <c r="R310" s="9" t="n">
        <f aca="false">IF(ISNUMBER(SEARCH("CRITERIO",N310)),1,0)</f>
        <v>0</v>
      </c>
      <c r="S310" s="9" t="str">
        <f aca="false">IF(E310="","Sin dato",LEFT(E310,1))</f>
        <v>C</v>
      </c>
      <c r="T310" s="9" t="n">
        <f aca="false">IFERROR(INDEX(dCriticidad!$G$2:$G$7,MATCH(S310,dCriticidad!$A$2:$A$7,0)),0)</f>
        <v>1</v>
      </c>
      <c r="U310" s="9" t="n">
        <f aca="false">IF(OR(LEFT(C310,3)="GI0",LEFT(C310,3)="GA0"),1,0)</f>
        <v>0</v>
      </c>
      <c r="V310" s="9" t="str">
        <f aca="false">IF(G310="","Sin dato (ID GI)",TRIM(G310))</f>
        <v>INFRAESTRUCTURA</v>
      </c>
      <c r="W310" s="9" t="str">
        <f aca="false">IF(F310="","Sin dato",F310)</f>
        <v>On Premise</v>
      </c>
      <c r="X310" s="9" t="n">
        <f aca="false">IF(M310="","",YEAR(M310))</f>
        <v>2024</v>
      </c>
      <c r="Y310" s="10" t="n">
        <f aca="false">IF(M310="","",DATE(YEAR(M310),MONTH(M310),1))</f>
        <v>45566</v>
      </c>
      <c r="Z310" s="9" t="n">
        <f aca="false">IF(AND(Q310=0,COUNTIF(dDuplicadosGI!$A$2:$A$60,C310)&gt;0),1,0)</f>
        <v>0</v>
      </c>
      <c r="AA310" s="9" t="n">
        <f aca="false">IF(Q310=0,1,0)</f>
        <v>0</v>
      </c>
    </row>
    <row r="311" customFormat="false" ht="15" hidden="false" customHeight="false" outlineLevel="0" collapsed="false">
      <c r="A311" s="7" t="n">
        <v>310</v>
      </c>
      <c r="B311" s="7" t="s">
        <v>1186</v>
      </c>
      <c r="C311" s="7" t="s">
        <v>1187</v>
      </c>
      <c r="D311" s="7" t="s">
        <v>1188</v>
      </c>
      <c r="E311" s="7" t="s">
        <v>113</v>
      </c>
      <c r="F311" s="7" t="s">
        <v>94</v>
      </c>
      <c r="G311" s="7"/>
      <c r="H311" s="7"/>
      <c r="I311" s="7"/>
      <c r="J311" s="7" t="s">
        <v>1189</v>
      </c>
      <c r="K311" s="7"/>
      <c r="L311" s="7" t="s">
        <v>88</v>
      </c>
      <c r="M311" s="8" t="n">
        <v>46160</v>
      </c>
      <c r="N311" s="7" t="s">
        <v>89</v>
      </c>
      <c r="O311" s="9" t="n">
        <f aca="false">IF(COUNTIFS($B$2:B311,B311,$C$2:C311,C311)=1,1,0)</f>
        <v>1</v>
      </c>
      <c r="P311" s="9" t="str">
        <f aca="false">IFERROR(INDEX(dEtapa!$A$2:$A$6,MATCH(N311,dEtapa!$B$2:$B$6,0)),"Sin etapa")</f>
        <v>Gobernada</v>
      </c>
      <c r="Q311" s="9" t="n">
        <f aca="false">IF(L311="Si",1,0)</f>
        <v>1</v>
      </c>
      <c r="R311" s="9" t="n">
        <f aca="false">IF(ISNUMBER(SEARCH("CRITERIO",N311)),1,0)</f>
        <v>0</v>
      </c>
      <c r="S311" s="9" t="str">
        <f aca="false">IF(E311="","Sin dato",LEFT(E311,1))</f>
        <v>C</v>
      </c>
      <c r="T311" s="9" t="n">
        <f aca="false">IFERROR(INDEX(dCriticidad!$G$2:$G$7,MATCH(S311,dCriticidad!$A$2:$A$7,0)),0)</f>
        <v>1</v>
      </c>
      <c r="U311" s="9" t="n">
        <f aca="false">IF(OR(LEFT(C311,3)="GI0",LEFT(C311,3)="GA0"),1,0)</f>
        <v>1</v>
      </c>
      <c r="V311" s="9" t="str">
        <f aca="false">IF(G311="","Sin dato (ID GI)",TRIM(G311))</f>
        <v>Sin dato (ID GI)</v>
      </c>
      <c r="W311" s="9" t="str">
        <f aca="false">IF(F311="","Sin dato",F311)</f>
        <v>Nube</v>
      </c>
      <c r="X311" s="9" t="n">
        <f aca="false">IF(M311="","",YEAR(M311))</f>
        <v>2026</v>
      </c>
      <c r="Y311" s="10" t="n">
        <f aca="false">IF(M311="","",DATE(YEAR(M311),MONTH(M311),1))</f>
        <v>46143</v>
      </c>
      <c r="Z311" s="9" t="n">
        <f aca="false">IF(AND(Q311=0,COUNTIF(dDuplicadosGI!$A$2:$A$60,C311)&gt;0),1,0)</f>
        <v>0</v>
      </c>
      <c r="AA311" s="9" t="n">
        <f aca="false">IF(Q311=0,1,0)</f>
        <v>0</v>
      </c>
    </row>
    <row r="312" customFormat="false" ht="15" hidden="false" customHeight="false" outlineLevel="0" collapsed="false">
      <c r="A312" s="7" t="n">
        <v>311</v>
      </c>
      <c r="B312" s="7" t="s">
        <v>1190</v>
      </c>
      <c r="C312" s="7" t="s">
        <v>1191</v>
      </c>
      <c r="D312" s="7"/>
      <c r="E312" s="7" t="s">
        <v>119</v>
      </c>
      <c r="F312" s="7" t="s">
        <v>94</v>
      </c>
      <c r="G312" s="7" t="s">
        <v>192</v>
      </c>
      <c r="H312" s="7" t="s">
        <v>193</v>
      </c>
      <c r="I312" s="7" t="s">
        <v>194</v>
      </c>
      <c r="J312" s="7" t="s">
        <v>195</v>
      </c>
      <c r="K312" s="7"/>
      <c r="L312" s="7" t="s">
        <v>88</v>
      </c>
      <c r="M312" s="8" t="n">
        <v>45770</v>
      </c>
      <c r="N312" s="7" t="s">
        <v>89</v>
      </c>
      <c r="O312" s="9" t="n">
        <f aca="false">IF(COUNTIFS($B$2:B312,B312,$C$2:C312,C312)=1,1,0)</f>
        <v>1</v>
      </c>
      <c r="P312" s="9" t="str">
        <f aca="false">IFERROR(INDEX(dEtapa!$A$2:$A$6,MATCH(N312,dEtapa!$B$2:$B$6,0)),"Sin etapa")</f>
        <v>Gobernada</v>
      </c>
      <c r="Q312" s="9" t="n">
        <f aca="false">IF(L312="Si",1,0)</f>
        <v>1</v>
      </c>
      <c r="R312" s="9" t="n">
        <f aca="false">IF(ISNUMBER(SEARCH("CRITERIO",N312)),1,0)</f>
        <v>0</v>
      </c>
      <c r="S312" s="9" t="str">
        <f aca="false">IF(E312="","Sin dato",LEFT(E312,1))</f>
        <v>E</v>
      </c>
      <c r="T312" s="9" t="n">
        <f aca="false">IFERROR(INDEX(dCriticidad!$G$2:$G$7,MATCH(S312,dCriticidad!$A$2:$A$7,0)),0)</f>
        <v>0</v>
      </c>
      <c r="U312" s="9" t="n">
        <f aca="false">IF(OR(LEFT(C312,3)="GI0",LEFT(C312,3)="GA0"),1,0)</f>
        <v>0</v>
      </c>
      <c r="V312" s="9" t="str">
        <f aca="false">IF(G312="","Sin dato (ID GI)",TRIM(G312))</f>
        <v>AREAS_DE_APOYO</v>
      </c>
      <c r="W312" s="9" t="str">
        <f aca="false">IF(F312="","Sin dato",F312)</f>
        <v>Nube</v>
      </c>
      <c r="X312" s="9" t="n">
        <f aca="false">IF(M312="","",YEAR(M312))</f>
        <v>2025</v>
      </c>
      <c r="Y312" s="10" t="n">
        <f aca="false">IF(M312="","",DATE(YEAR(M312),MONTH(M312),1))</f>
        <v>45748</v>
      </c>
      <c r="Z312" s="9" t="n">
        <f aca="false">IF(AND(Q312=0,COUNTIF(dDuplicadosGI!$A$2:$A$60,C312)&gt;0),1,0)</f>
        <v>0</v>
      </c>
      <c r="AA312" s="9" t="n">
        <f aca="false">IF(Q312=0,1,0)</f>
        <v>0</v>
      </c>
    </row>
    <row r="313" customFormat="false" ht="15" hidden="false" customHeight="false" outlineLevel="0" collapsed="false">
      <c r="A313" s="7" t="n">
        <v>312</v>
      </c>
      <c r="B313" s="7" t="s">
        <v>1192</v>
      </c>
      <c r="C313" s="7" t="s">
        <v>1193</v>
      </c>
      <c r="D313" s="7" t="s">
        <v>1194</v>
      </c>
      <c r="E313" s="7" t="s">
        <v>119</v>
      </c>
      <c r="F313" s="7" t="s">
        <v>94</v>
      </c>
      <c r="G313" s="7" t="s">
        <v>199</v>
      </c>
      <c r="H313" s="7" t="s">
        <v>201</v>
      </c>
      <c r="I313" s="7" t="s">
        <v>807</v>
      </c>
      <c r="J313" s="7" t="s">
        <v>1195</v>
      </c>
      <c r="K313" s="7"/>
      <c r="L313" s="7" t="s">
        <v>99</v>
      </c>
      <c r="M313" s="8"/>
      <c r="N313" s="7" t="s">
        <v>109</v>
      </c>
      <c r="O313" s="9" t="n">
        <f aca="false">IF(COUNTIFS($B$2:B313,B313,$C$2:C313,C313)=1,1,0)</f>
        <v>1</v>
      </c>
      <c r="P313" s="9" t="str">
        <f aca="false">IFERROR(INDEX(dEtapa!$A$2:$A$6,MATCH(N313,dEtapa!$B$2:$B$6,0)),"Sin etapa")</f>
        <v>Planificada 2027</v>
      </c>
      <c r="Q313" s="9" t="n">
        <f aca="false">IF(L313="Si",1,0)</f>
        <v>0</v>
      </c>
      <c r="R313" s="9" t="n">
        <f aca="false">IF(ISNUMBER(SEARCH("CRITERIO",N313)),1,0)</f>
        <v>0</v>
      </c>
      <c r="S313" s="9" t="str">
        <f aca="false">IF(E313="","Sin dato",LEFT(E313,1))</f>
        <v>E</v>
      </c>
      <c r="T313" s="9" t="n">
        <f aca="false">IFERROR(INDEX(dCriticidad!$G$2:$G$7,MATCH(S313,dCriticidad!$A$2:$A$7,0)),0)</f>
        <v>0</v>
      </c>
      <c r="U313" s="9" t="n">
        <f aca="false">IF(OR(LEFT(C313,3)="GI0",LEFT(C313,3)="GA0"),1,0)</f>
        <v>0</v>
      </c>
      <c r="V313" s="9" t="str">
        <f aca="false">IF(G313="","Sin dato (ID GI)",TRIM(G313))</f>
        <v>Gerencia Arquitectura Usuario Final</v>
      </c>
      <c r="W313" s="9" t="str">
        <f aca="false">IF(F313="","Sin dato",F313)</f>
        <v>Nube</v>
      </c>
      <c r="X313" s="9" t="str">
        <f aca="false">IF(M313="","",YEAR(M313))</f>
        <v/>
      </c>
      <c r="Y313" s="10" t="str">
        <f aca="false">IF(M313="","",DATE(YEAR(M313),MONTH(M313),1))</f>
        <v/>
      </c>
      <c r="Z313" s="9" t="n">
        <f aca="false">IF(AND(Q313=0,COUNTIF(dDuplicadosGI!$A$2:$A$60,C313)&gt;0),1,0)</f>
        <v>0</v>
      </c>
      <c r="AA313" s="9" t="n">
        <f aca="false">IF(Q313=0,1,0)</f>
        <v>1</v>
      </c>
    </row>
    <row r="314" customFormat="false" ht="15" hidden="false" customHeight="false" outlineLevel="0" collapsed="false">
      <c r="A314" s="7" t="n">
        <v>313</v>
      </c>
      <c r="B314" s="7" t="s">
        <v>1196</v>
      </c>
      <c r="C314" s="7" t="s">
        <v>1197</v>
      </c>
      <c r="D314" s="7" t="s">
        <v>1198</v>
      </c>
      <c r="E314" s="7" t="s">
        <v>119</v>
      </c>
      <c r="F314" s="7" t="s">
        <v>94</v>
      </c>
      <c r="G314" s="7" t="s">
        <v>132</v>
      </c>
      <c r="H314" s="7" t="s">
        <v>133</v>
      </c>
      <c r="I314" s="7" t="s">
        <v>1122</v>
      </c>
      <c r="J314" s="7" t="s">
        <v>1123</v>
      </c>
      <c r="K314" s="7"/>
      <c r="L314" s="7" t="s">
        <v>99</v>
      </c>
      <c r="M314" s="8"/>
      <c r="N314" s="7" t="s">
        <v>100</v>
      </c>
      <c r="O314" s="9" t="n">
        <f aca="false">IF(COUNTIFS($B$2:B314,B314,$C$2:C314,C314)=1,1,0)</f>
        <v>1</v>
      </c>
      <c r="P314" s="9" t="str">
        <f aca="false">IFERROR(INDEX(dEtapa!$A$2:$A$6,MATCH(N314,dEtapa!$B$2:$B$6,0)),"Sin etapa")</f>
        <v>Criterio 1</v>
      </c>
      <c r="Q314" s="9" t="n">
        <f aca="false">IF(L314="Si",1,0)</f>
        <v>0</v>
      </c>
      <c r="R314" s="9" t="n">
        <f aca="false">IF(ISNUMBER(SEARCH("CRITERIO",N314)),1,0)</f>
        <v>1</v>
      </c>
      <c r="S314" s="9" t="str">
        <f aca="false">IF(E314="","Sin dato",LEFT(E314,1))</f>
        <v>E</v>
      </c>
      <c r="T314" s="9" t="n">
        <f aca="false">IFERROR(INDEX(dCriticidad!$G$2:$G$7,MATCH(S314,dCriticidad!$A$2:$A$7,0)),0)</f>
        <v>0</v>
      </c>
      <c r="U314" s="9" t="n">
        <f aca="false">IF(OR(LEFT(C314,3)="GI0",LEFT(C314,3)="GA0"),1,0)</f>
        <v>0</v>
      </c>
      <c r="V314" s="9" t="str">
        <f aca="false">IF(G314="","Sin dato (ID GI)",TRIM(G314))</f>
        <v>ACTIVOS</v>
      </c>
      <c r="W314" s="9" t="str">
        <f aca="false">IF(F314="","Sin dato",F314)</f>
        <v>Nube</v>
      </c>
      <c r="X314" s="9" t="str">
        <f aca="false">IF(M314="","",YEAR(M314))</f>
        <v/>
      </c>
      <c r="Y314" s="10" t="str">
        <f aca="false">IF(M314="","",DATE(YEAR(M314),MONTH(M314),1))</f>
        <v/>
      </c>
      <c r="Z314" s="9" t="n">
        <f aca="false">IF(AND(Q314=0,COUNTIF(dDuplicadosGI!$A$2:$A$60,C314)&gt;0),1,0)</f>
        <v>0</v>
      </c>
      <c r="AA314" s="9" t="n">
        <f aca="false">IF(Q314=0,1,0)</f>
        <v>1</v>
      </c>
    </row>
    <row r="315" customFormat="false" ht="15" hidden="false" customHeight="false" outlineLevel="0" collapsed="false">
      <c r="A315" s="7" t="n">
        <v>314</v>
      </c>
      <c r="B315" s="7" t="s">
        <v>1199</v>
      </c>
      <c r="C315" s="7" t="s">
        <v>1200</v>
      </c>
      <c r="D315" s="7" t="s">
        <v>1147</v>
      </c>
      <c r="E315" s="7"/>
      <c r="F315" s="7"/>
      <c r="G315" s="7"/>
      <c r="H315" s="7"/>
      <c r="I315" s="7"/>
      <c r="J315" s="7"/>
      <c r="K315" s="7"/>
      <c r="L315" s="7" t="s">
        <v>88</v>
      </c>
      <c r="M315" s="8" t="n">
        <v>45199</v>
      </c>
      <c r="N315" s="7" t="s">
        <v>89</v>
      </c>
      <c r="O315" s="9" t="n">
        <f aca="false">IF(COUNTIFS($B$2:B315,B315,$C$2:C315,C315)=1,1,0)</f>
        <v>1</v>
      </c>
      <c r="P315" s="9" t="str">
        <f aca="false">IFERROR(INDEX(dEtapa!$A$2:$A$6,MATCH(N315,dEtapa!$B$2:$B$6,0)),"Sin etapa")</f>
        <v>Gobernada</v>
      </c>
      <c r="Q315" s="9" t="n">
        <f aca="false">IF(L315="Si",1,0)</f>
        <v>1</v>
      </c>
      <c r="R315" s="9" t="n">
        <f aca="false">IF(ISNUMBER(SEARCH("CRITERIO",N315)),1,0)</f>
        <v>0</v>
      </c>
      <c r="S315" s="9" t="str">
        <f aca="false">IF(E315="","Sin dato",LEFT(E315,1))</f>
        <v>Sin dato</v>
      </c>
      <c r="T315" s="9" t="n">
        <f aca="false">IFERROR(INDEX(dCriticidad!$G$2:$G$7,MATCH(S315,dCriticidad!$A$2:$A$7,0)),0)</f>
        <v>0</v>
      </c>
      <c r="U315" s="9" t="n">
        <f aca="false">IF(OR(LEFT(C315,3)="GI0",LEFT(C315,3)="GA0"),1,0)</f>
        <v>1</v>
      </c>
      <c r="V315" s="9" t="str">
        <f aca="false">IF(G315="","Sin dato (ID GI)",TRIM(G315))</f>
        <v>Sin dato (ID GI)</v>
      </c>
      <c r="W315" s="9" t="str">
        <f aca="false">IF(F315="","Sin dato",F315)</f>
        <v>Sin dato</v>
      </c>
      <c r="X315" s="9" t="n">
        <f aca="false">IF(M315="","",YEAR(M315))</f>
        <v>2023</v>
      </c>
      <c r="Y315" s="10" t="n">
        <f aca="false">IF(M315="","",DATE(YEAR(M315),MONTH(M315),1))</f>
        <v>45170</v>
      </c>
      <c r="Z315" s="9" t="n">
        <f aca="false">IF(AND(Q315=0,COUNTIF(dDuplicadosGI!$A$2:$A$60,C315)&gt;0),1,0)</f>
        <v>0</v>
      </c>
      <c r="AA315" s="9" t="n">
        <f aca="false">IF(Q315=0,1,0)</f>
        <v>0</v>
      </c>
    </row>
    <row r="316" customFormat="false" ht="15" hidden="false" customHeight="false" outlineLevel="0" collapsed="false">
      <c r="A316" s="7" t="n">
        <v>315</v>
      </c>
      <c r="B316" s="7" t="s">
        <v>1201</v>
      </c>
      <c r="C316" s="7" t="s">
        <v>1202</v>
      </c>
      <c r="D316" s="7" t="s">
        <v>1147</v>
      </c>
      <c r="E316" s="7"/>
      <c r="F316" s="7"/>
      <c r="G316" s="7"/>
      <c r="H316" s="7"/>
      <c r="I316" s="7"/>
      <c r="J316" s="7"/>
      <c r="K316" s="7"/>
      <c r="L316" s="7" t="s">
        <v>88</v>
      </c>
      <c r="M316" s="8" t="n">
        <v>45199</v>
      </c>
      <c r="N316" s="7" t="s">
        <v>89</v>
      </c>
      <c r="O316" s="9" t="n">
        <f aca="false">IF(COUNTIFS($B$2:B316,B316,$C$2:C316,C316)=1,1,0)</f>
        <v>1</v>
      </c>
      <c r="P316" s="9" t="str">
        <f aca="false">IFERROR(INDEX(dEtapa!$A$2:$A$6,MATCH(N316,dEtapa!$B$2:$B$6,0)),"Sin etapa")</f>
        <v>Gobernada</v>
      </c>
      <c r="Q316" s="9" t="n">
        <f aca="false">IF(L316="Si",1,0)</f>
        <v>1</v>
      </c>
      <c r="R316" s="9" t="n">
        <f aca="false">IF(ISNUMBER(SEARCH("CRITERIO",N316)),1,0)</f>
        <v>0</v>
      </c>
      <c r="S316" s="9" t="str">
        <f aca="false">IF(E316="","Sin dato",LEFT(E316,1))</f>
        <v>Sin dato</v>
      </c>
      <c r="T316" s="9" t="n">
        <f aca="false">IFERROR(INDEX(dCriticidad!$G$2:$G$7,MATCH(S316,dCriticidad!$A$2:$A$7,0)),0)</f>
        <v>0</v>
      </c>
      <c r="U316" s="9" t="n">
        <f aca="false">IF(OR(LEFT(C316,3)="GI0",LEFT(C316,3)="GA0"),1,0)</f>
        <v>1</v>
      </c>
      <c r="V316" s="9" t="str">
        <f aca="false">IF(G316="","Sin dato (ID GI)",TRIM(G316))</f>
        <v>Sin dato (ID GI)</v>
      </c>
      <c r="W316" s="9" t="str">
        <f aca="false">IF(F316="","Sin dato",F316)</f>
        <v>Sin dato</v>
      </c>
      <c r="X316" s="9" t="n">
        <f aca="false">IF(M316="","",YEAR(M316))</f>
        <v>2023</v>
      </c>
      <c r="Y316" s="10" t="n">
        <f aca="false">IF(M316="","",DATE(YEAR(M316),MONTH(M316),1))</f>
        <v>45170</v>
      </c>
      <c r="Z316" s="9" t="n">
        <f aca="false">IF(AND(Q316=0,COUNTIF(dDuplicadosGI!$A$2:$A$60,C316)&gt;0),1,0)</f>
        <v>0</v>
      </c>
      <c r="AA316" s="9" t="n">
        <f aca="false">IF(Q316=0,1,0)</f>
        <v>0</v>
      </c>
    </row>
    <row r="317" customFormat="false" ht="15" hidden="false" customHeight="false" outlineLevel="0" collapsed="false">
      <c r="A317" s="7" t="n">
        <v>316</v>
      </c>
      <c r="B317" s="7" t="s">
        <v>1203</v>
      </c>
      <c r="C317" s="7" t="s">
        <v>1204</v>
      </c>
      <c r="D317" s="7" t="s">
        <v>1147</v>
      </c>
      <c r="E317" s="7"/>
      <c r="F317" s="7"/>
      <c r="G317" s="7"/>
      <c r="H317" s="7"/>
      <c r="I317" s="7"/>
      <c r="J317" s="7"/>
      <c r="K317" s="7"/>
      <c r="L317" s="7" t="s">
        <v>88</v>
      </c>
      <c r="M317" s="8" t="n">
        <v>45199</v>
      </c>
      <c r="N317" s="7" t="s">
        <v>89</v>
      </c>
      <c r="O317" s="9" t="n">
        <f aca="false">IF(COUNTIFS($B$2:B317,B317,$C$2:C317,C317)=1,1,0)</f>
        <v>1</v>
      </c>
      <c r="P317" s="9" t="str">
        <f aca="false">IFERROR(INDEX(dEtapa!$A$2:$A$6,MATCH(N317,dEtapa!$B$2:$B$6,0)),"Sin etapa")</f>
        <v>Gobernada</v>
      </c>
      <c r="Q317" s="9" t="n">
        <f aca="false">IF(L317="Si",1,0)</f>
        <v>1</v>
      </c>
      <c r="R317" s="9" t="n">
        <f aca="false">IF(ISNUMBER(SEARCH("CRITERIO",N317)),1,0)</f>
        <v>0</v>
      </c>
      <c r="S317" s="9" t="str">
        <f aca="false">IF(E317="","Sin dato",LEFT(E317,1))</f>
        <v>Sin dato</v>
      </c>
      <c r="T317" s="9" t="n">
        <f aca="false">IFERROR(INDEX(dCriticidad!$G$2:$G$7,MATCH(S317,dCriticidad!$A$2:$A$7,0)),0)</f>
        <v>0</v>
      </c>
      <c r="U317" s="9" t="n">
        <f aca="false">IF(OR(LEFT(C317,3)="GI0",LEFT(C317,3)="GA0"),1,0)</f>
        <v>1</v>
      </c>
      <c r="V317" s="9" t="str">
        <f aca="false">IF(G317="","Sin dato (ID GI)",TRIM(G317))</f>
        <v>Sin dato (ID GI)</v>
      </c>
      <c r="W317" s="9" t="str">
        <f aca="false">IF(F317="","Sin dato",F317)</f>
        <v>Sin dato</v>
      </c>
      <c r="X317" s="9" t="n">
        <f aca="false">IF(M317="","",YEAR(M317))</f>
        <v>2023</v>
      </c>
      <c r="Y317" s="10" t="n">
        <f aca="false">IF(M317="","",DATE(YEAR(M317),MONTH(M317),1))</f>
        <v>45170</v>
      </c>
      <c r="Z317" s="9" t="n">
        <f aca="false">IF(AND(Q317=0,COUNTIF(dDuplicadosGI!$A$2:$A$60,C317)&gt;0),1,0)</f>
        <v>0</v>
      </c>
      <c r="AA317" s="9" t="n">
        <f aca="false">IF(Q317=0,1,0)</f>
        <v>0</v>
      </c>
    </row>
    <row r="318" customFormat="false" ht="15" hidden="false" customHeight="false" outlineLevel="0" collapsed="false">
      <c r="A318" s="7" t="n">
        <v>317</v>
      </c>
      <c r="B318" s="7" t="s">
        <v>1205</v>
      </c>
      <c r="C318" s="7" t="s">
        <v>1206</v>
      </c>
      <c r="D318" s="7" t="s">
        <v>1147</v>
      </c>
      <c r="E318" s="7"/>
      <c r="F318" s="7"/>
      <c r="G318" s="7"/>
      <c r="H318" s="7"/>
      <c r="I318" s="7"/>
      <c r="J318" s="7"/>
      <c r="K318" s="7"/>
      <c r="L318" s="7" t="s">
        <v>88</v>
      </c>
      <c r="M318" s="8" t="n">
        <v>45199</v>
      </c>
      <c r="N318" s="7" t="s">
        <v>89</v>
      </c>
      <c r="O318" s="9" t="n">
        <f aca="false">IF(COUNTIFS($B$2:B318,B318,$C$2:C318,C318)=1,1,0)</f>
        <v>1</v>
      </c>
      <c r="P318" s="9" t="str">
        <f aca="false">IFERROR(INDEX(dEtapa!$A$2:$A$6,MATCH(N318,dEtapa!$B$2:$B$6,0)),"Sin etapa")</f>
        <v>Gobernada</v>
      </c>
      <c r="Q318" s="9" t="n">
        <f aca="false">IF(L318="Si",1,0)</f>
        <v>1</v>
      </c>
      <c r="R318" s="9" t="n">
        <f aca="false">IF(ISNUMBER(SEARCH("CRITERIO",N318)),1,0)</f>
        <v>0</v>
      </c>
      <c r="S318" s="9" t="str">
        <f aca="false">IF(E318="","Sin dato",LEFT(E318,1))</f>
        <v>Sin dato</v>
      </c>
      <c r="T318" s="9" t="n">
        <f aca="false">IFERROR(INDEX(dCriticidad!$G$2:$G$7,MATCH(S318,dCriticidad!$A$2:$A$7,0)),0)</f>
        <v>0</v>
      </c>
      <c r="U318" s="9" t="n">
        <f aca="false">IF(OR(LEFT(C318,3)="GI0",LEFT(C318,3)="GA0"),1,0)</f>
        <v>1</v>
      </c>
      <c r="V318" s="9" t="str">
        <f aca="false">IF(G318="","Sin dato (ID GI)",TRIM(G318))</f>
        <v>Sin dato (ID GI)</v>
      </c>
      <c r="W318" s="9" t="str">
        <f aca="false">IF(F318="","Sin dato",F318)</f>
        <v>Sin dato</v>
      </c>
      <c r="X318" s="9" t="n">
        <f aca="false">IF(M318="","",YEAR(M318))</f>
        <v>2023</v>
      </c>
      <c r="Y318" s="10" t="n">
        <f aca="false">IF(M318="","",DATE(YEAR(M318),MONTH(M318),1))</f>
        <v>45170</v>
      </c>
      <c r="Z318" s="9" t="n">
        <f aca="false">IF(AND(Q318=0,COUNTIF(dDuplicadosGI!$A$2:$A$60,C318)&gt;0),1,0)</f>
        <v>0</v>
      </c>
      <c r="AA318" s="9" t="n">
        <f aca="false">IF(Q318=0,1,0)</f>
        <v>0</v>
      </c>
    </row>
    <row r="319" customFormat="false" ht="15" hidden="false" customHeight="false" outlineLevel="0" collapsed="false">
      <c r="A319" s="7" t="n">
        <v>318</v>
      </c>
      <c r="B319" s="7" t="s">
        <v>1207</v>
      </c>
      <c r="C319" s="7" t="s">
        <v>1208</v>
      </c>
      <c r="D319" s="7" t="s">
        <v>1169</v>
      </c>
      <c r="E319" s="7"/>
      <c r="F319" s="7"/>
      <c r="G319" s="7"/>
      <c r="H319" s="7"/>
      <c r="I319" s="7"/>
      <c r="J319" s="7"/>
      <c r="K319" s="7"/>
      <c r="L319" s="7" t="s">
        <v>88</v>
      </c>
      <c r="M319" s="8" t="n">
        <v>45199</v>
      </c>
      <c r="N319" s="7" t="s">
        <v>89</v>
      </c>
      <c r="O319" s="9" t="n">
        <f aca="false">IF(COUNTIFS($B$2:B319,B319,$C$2:C319,C319)=1,1,0)</f>
        <v>1</v>
      </c>
      <c r="P319" s="9" t="str">
        <f aca="false">IFERROR(INDEX(dEtapa!$A$2:$A$6,MATCH(N319,dEtapa!$B$2:$B$6,0)),"Sin etapa")</f>
        <v>Gobernada</v>
      </c>
      <c r="Q319" s="9" t="n">
        <f aca="false">IF(L319="Si",1,0)</f>
        <v>1</v>
      </c>
      <c r="R319" s="9" t="n">
        <f aca="false">IF(ISNUMBER(SEARCH("CRITERIO",N319)),1,0)</f>
        <v>0</v>
      </c>
      <c r="S319" s="9" t="str">
        <f aca="false">IF(E319="","Sin dato",LEFT(E319,1))</f>
        <v>Sin dato</v>
      </c>
      <c r="T319" s="9" t="n">
        <f aca="false">IFERROR(INDEX(dCriticidad!$G$2:$G$7,MATCH(S319,dCriticidad!$A$2:$A$7,0)),0)</f>
        <v>0</v>
      </c>
      <c r="U319" s="9" t="n">
        <f aca="false">IF(OR(LEFT(C319,3)="GI0",LEFT(C319,3)="GA0"),1,0)</f>
        <v>1</v>
      </c>
      <c r="V319" s="9" t="str">
        <f aca="false">IF(G319="","Sin dato (ID GI)",TRIM(G319))</f>
        <v>Sin dato (ID GI)</v>
      </c>
      <c r="W319" s="9" t="str">
        <f aca="false">IF(F319="","Sin dato",F319)</f>
        <v>Sin dato</v>
      </c>
      <c r="X319" s="9" t="n">
        <f aca="false">IF(M319="","",YEAR(M319))</f>
        <v>2023</v>
      </c>
      <c r="Y319" s="10" t="n">
        <f aca="false">IF(M319="","",DATE(YEAR(M319),MONTH(M319),1))</f>
        <v>45170</v>
      </c>
      <c r="Z319" s="9" t="n">
        <f aca="false">IF(AND(Q319=0,COUNTIF(dDuplicadosGI!$A$2:$A$60,C319)&gt;0),1,0)</f>
        <v>0</v>
      </c>
      <c r="AA319" s="9" t="n">
        <f aca="false">IF(Q319=0,1,0)</f>
        <v>0</v>
      </c>
    </row>
    <row r="320" customFormat="false" ht="15" hidden="false" customHeight="false" outlineLevel="0" collapsed="false">
      <c r="A320" s="7" t="n">
        <v>319</v>
      </c>
      <c r="B320" s="7" t="s">
        <v>1209</v>
      </c>
      <c r="C320" s="7" t="s">
        <v>1210</v>
      </c>
      <c r="D320" s="7" t="s">
        <v>1147</v>
      </c>
      <c r="E320" s="7"/>
      <c r="F320" s="7"/>
      <c r="G320" s="7"/>
      <c r="H320" s="7"/>
      <c r="I320" s="7"/>
      <c r="J320" s="7"/>
      <c r="K320" s="7"/>
      <c r="L320" s="7" t="s">
        <v>88</v>
      </c>
      <c r="M320" s="8" t="n">
        <v>45199</v>
      </c>
      <c r="N320" s="7" t="s">
        <v>89</v>
      </c>
      <c r="O320" s="9" t="n">
        <f aca="false">IF(COUNTIFS($B$2:B320,B320,$C$2:C320,C320)=1,1,0)</f>
        <v>1</v>
      </c>
      <c r="P320" s="9" t="str">
        <f aca="false">IFERROR(INDEX(dEtapa!$A$2:$A$6,MATCH(N320,dEtapa!$B$2:$B$6,0)),"Sin etapa")</f>
        <v>Gobernada</v>
      </c>
      <c r="Q320" s="9" t="n">
        <f aca="false">IF(L320="Si",1,0)</f>
        <v>1</v>
      </c>
      <c r="R320" s="9" t="n">
        <f aca="false">IF(ISNUMBER(SEARCH("CRITERIO",N320)),1,0)</f>
        <v>0</v>
      </c>
      <c r="S320" s="9" t="str">
        <f aca="false">IF(E320="","Sin dato",LEFT(E320,1))</f>
        <v>Sin dato</v>
      </c>
      <c r="T320" s="9" t="n">
        <f aca="false">IFERROR(INDEX(dCriticidad!$G$2:$G$7,MATCH(S320,dCriticidad!$A$2:$A$7,0)),0)</f>
        <v>0</v>
      </c>
      <c r="U320" s="9" t="n">
        <f aca="false">IF(OR(LEFT(C320,3)="GI0",LEFT(C320,3)="GA0"),1,0)</f>
        <v>1</v>
      </c>
      <c r="V320" s="9" t="str">
        <f aca="false">IF(G320="","Sin dato (ID GI)",TRIM(G320))</f>
        <v>Sin dato (ID GI)</v>
      </c>
      <c r="W320" s="9" t="str">
        <f aca="false">IF(F320="","Sin dato",F320)</f>
        <v>Sin dato</v>
      </c>
      <c r="X320" s="9" t="n">
        <f aca="false">IF(M320="","",YEAR(M320))</f>
        <v>2023</v>
      </c>
      <c r="Y320" s="10" t="n">
        <f aca="false">IF(M320="","",DATE(YEAR(M320),MONTH(M320),1))</f>
        <v>45170</v>
      </c>
      <c r="Z320" s="9" t="n">
        <f aca="false">IF(AND(Q320=0,COUNTIF(dDuplicadosGI!$A$2:$A$60,C320)&gt;0),1,0)</f>
        <v>0</v>
      </c>
      <c r="AA320" s="9" t="n">
        <f aca="false">IF(Q320=0,1,0)</f>
        <v>0</v>
      </c>
    </row>
    <row r="321" customFormat="false" ht="15" hidden="false" customHeight="false" outlineLevel="0" collapsed="false">
      <c r="A321" s="7" t="n">
        <v>320</v>
      </c>
      <c r="B321" s="7" t="s">
        <v>1211</v>
      </c>
      <c r="C321" s="7" t="s">
        <v>1212</v>
      </c>
      <c r="D321" s="7" t="s">
        <v>1147</v>
      </c>
      <c r="E321" s="7"/>
      <c r="F321" s="7"/>
      <c r="G321" s="7"/>
      <c r="H321" s="7"/>
      <c r="I321" s="7"/>
      <c r="J321" s="7"/>
      <c r="K321" s="7"/>
      <c r="L321" s="7" t="s">
        <v>88</v>
      </c>
      <c r="M321" s="8" t="n">
        <v>45199</v>
      </c>
      <c r="N321" s="7" t="s">
        <v>89</v>
      </c>
      <c r="O321" s="9" t="n">
        <f aca="false">IF(COUNTIFS($B$2:B321,B321,$C$2:C321,C321)=1,1,0)</f>
        <v>1</v>
      </c>
      <c r="P321" s="9" t="str">
        <f aca="false">IFERROR(INDEX(dEtapa!$A$2:$A$6,MATCH(N321,dEtapa!$B$2:$B$6,0)),"Sin etapa")</f>
        <v>Gobernada</v>
      </c>
      <c r="Q321" s="9" t="n">
        <f aca="false">IF(L321="Si",1,0)</f>
        <v>1</v>
      </c>
      <c r="R321" s="9" t="n">
        <f aca="false">IF(ISNUMBER(SEARCH("CRITERIO",N321)),1,0)</f>
        <v>0</v>
      </c>
      <c r="S321" s="9" t="str">
        <f aca="false">IF(E321="","Sin dato",LEFT(E321,1))</f>
        <v>Sin dato</v>
      </c>
      <c r="T321" s="9" t="n">
        <f aca="false">IFERROR(INDEX(dCriticidad!$G$2:$G$7,MATCH(S321,dCriticidad!$A$2:$A$7,0)),0)</f>
        <v>0</v>
      </c>
      <c r="U321" s="9" t="n">
        <f aca="false">IF(OR(LEFT(C321,3)="GI0",LEFT(C321,3)="GA0"),1,0)</f>
        <v>1</v>
      </c>
      <c r="V321" s="9" t="str">
        <f aca="false">IF(G321="","Sin dato (ID GI)",TRIM(G321))</f>
        <v>Sin dato (ID GI)</v>
      </c>
      <c r="W321" s="9" t="str">
        <f aca="false">IF(F321="","Sin dato",F321)</f>
        <v>Sin dato</v>
      </c>
      <c r="X321" s="9" t="n">
        <f aca="false">IF(M321="","",YEAR(M321))</f>
        <v>2023</v>
      </c>
      <c r="Y321" s="10" t="n">
        <f aca="false">IF(M321="","",DATE(YEAR(M321),MONTH(M321),1))</f>
        <v>45170</v>
      </c>
      <c r="Z321" s="9" t="n">
        <f aca="false">IF(AND(Q321=0,COUNTIF(dDuplicadosGI!$A$2:$A$60,C321)&gt;0),1,0)</f>
        <v>0</v>
      </c>
      <c r="AA321" s="9" t="n">
        <f aca="false">IF(Q321=0,1,0)</f>
        <v>0</v>
      </c>
    </row>
    <row r="322" customFormat="false" ht="15" hidden="false" customHeight="false" outlineLevel="0" collapsed="false">
      <c r="A322" s="7" t="n">
        <v>321</v>
      </c>
      <c r="B322" s="7" t="s">
        <v>1213</v>
      </c>
      <c r="C322" s="7" t="s">
        <v>1214</v>
      </c>
      <c r="D322" s="7" t="s">
        <v>1147</v>
      </c>
      <c r="E322" s="7"/>
      <c r="F322" s="7"/>
      <c r="G322" s="7"/>
      <c r="H322" s="7"/>
      <c r="I322" s="7"/>
      <c r="J322" s="7"/>
      <c r="K322" s="7"/>
      <c r="L322" s="7" t="s">
        <v>88</v>
      </c>
      <c r="M322" s="8" t="n">
        <v>45199</v>
      </c>
      <c r="N322" s="7" t="s">
        <v>89</v>
      </c>
      <c r="O322" s="9" t="n">
        <f aca="false">IF(COUNTIFS($B$2:B322,B322,$C$2:C322,C322)=1,1,0)</f>
        <v>1</v>
      </c>
      <c r="P322" s="9" t="str">
        <f aca="false">IFERROR(INDEX(dEtapa!$A$2:$A$6,MATCH(N322,dEtapa!$B$2:$B$6,0)),"Sin etapa")</f>
        <v>Gobernada</v>
      </c>
      <c r="Q322" s="9" t="n">
        <f aca="false">IF(L322="Si",1,0)</f>
        <v>1</v>
      </c>
      <c r="R322" s="9" t="n">
        <f aca="false">IF(ISNUMBER(SEARCH("CRITERIO",N322)),1,0)</f>
        <v>0</v>
      </c>
      <c r="S322" s="9" t="str">
        <f aca="false">IF(E322="","Sin dato",LEFT(E322,1))</f>
        <v>Sin dato</v>
      </c>
      <c r="T322" s="9" t="n">
        <f aca="false">IFERROR(INDEX(dCriticidad!$G$2:$G$7,MATCH(S322,dCriticidad!$A$2:$A$7,0)),0)</f>
        <v>0</v>
      </c>
      <c r="U322" s="9" t="n">
        <f aca="false">IF(OR(LEFT(C322,3)="GI0",LEFT(C322,3)="GA0"),1,0)</f>
        <v>1</v>
      </c>
      <c r="V322" s="9" t="str">
        <f aca="false">IF(G322="","Sin dato (ID GI)",TRIM(G322))</f>
        <v>Sin dato (ID GI)</v>
      </c>
      <c r="W322" s="9" t="str">
        <f aca="false">IF(F322="","Sin dato",F322)</f>
        <v>Sin dato</v>
      </c>
      <c r="X322" s="9" t="n">
        <f aca="false">IF(M322="","",YEAR(M322))</f>
        <v>2023</v>
      </c>
      <c r="Y322" s="10" t="n">
        <f aca="false">IF(M322="","",DATE(YEAR(M322),MONTH(M322),1))</f>
        <v>45170</v>
      </c>
      <c r="Z322" s="9" t="n">
        <f aca="false">IF(AND(Q322=0,COUNTIF(dDuplicadosGI!$A$2:$A$60,C322)&gt;0),1,0)</f>
        <v>0</v>
      </c>
      <c r="AA322" s="9" t="n">
        <f aca="false">IF(Q322=0,1,0)</f>
        <v>0</v>
      </c>
    </row>
    <row r="323" customFormat="false" ht="15" hidden="false" customHeight="false" outlineLevel="0" collapsed="false">
      <c r="A323" s="7" t="n">
        <v>322</v>
      </c>
      <c r="B323" s="7" t="s">
        <v>1215</v>
      </c>
      <c r="C323" s="7" t="s">
        <v>1216</v>
      </c>
      <c r="D323" s="7" t="s">
        <v>1147</v>
      </c>
      <c r="E323" s="7"/>
      <c r="F323" s="7"/>
      <c r="G323" s="7"/>
      <c r="H323" s="7"/>
      <c r="I323" s="7"/>
      <c r="J323" s="7"/>
      <c r="K323" s="7"/>
      <c r="L323" s="7" t="s">
        <v>88</v>
      </c>
      <c r="M323" s="8" t="n">
        <v>45199</v>
      </c>
      <c r="N323" s="7" t="s">
        <v>89</v>
      </c>
      <c r="O323" s="9" t="n">
        <f aca="false">IF(COUNTIFS($B$2:B323,B323,$C$2:C323,C323)=1,1,0)</f>
        <v>1</v>
      </c>
      <c r="P323" s="9" t="str">
        <f aca="false">IFERROR(INDEX(dEtapa!$A$2:$A$6,MATCH(N323,dEtapa!$B$2:$B$6,0)),"Sin etapa")</f>
        <v>Gobernada</v>
      </c>
      <c r="Q323" s="9" t="n">
        <f aca="false">IF(L323="Si",1,0)</f>
        <v>1</v>
      </c>
      <c r="R323" s="9" t="n">
        <f aca="false">IF(ISNUMBER(SEARCH("CRITERIO",N323)),1,0)</f>
        <v>0</v>
      </c>
      <c r="S323" s="9" t="str">
        <f aca="false">IF(E323="","Sin dato",LEFT(E323,1))</f>
        <v>Sin dato</v>
      </c>
      <c r="T323" s="9" t="n">
        <f aca="false">IFERROR(INDEX(dCriticidad!$G$2:$G$7,MATCH(S323,dCriticidad!$A$2:$A$7,0)),0)</f>
        <v>0</v>
      </c>
      <c r="U323" s="9" t="n">
        <f aca="false">IF(OR(LEFT(C323,3)="GI0",LEFT(C323,3)="GA0"),1,0)</f>
        <v>1</v>
      </c>
      <c r="V323" s="9" t="str">
        <f aca="false">IF(G323="","Sin dato (ID GI)",TRIM(G323))</f>
        <v>Sin dato (ID GI)</v>
      </c>
      <c r="W323" s="9" t="str">
        <f aca="false">IF(F323="","Sin dato",F323)</f>
        <v>Sin dato</v>
      </c>
      <c r="X323" s="9" t="n">
        <f aca="false">IF(M323="","",YEAR(M323))</f>
        <v>2023</v>
      </c>
      <c r="Y323" s="10" t="n">
        <f aca="false">IF(M323="","",DATE(YEAR(M323),MONTH(M323),1))</f>
        <v>45170</v>
      </c>
      <c r="Z323" s="9" t="n">
        <f aca="false">IF(AND(Q323=0,COUNTIF(dDuplicadosGI!$A$2:$A$60,C323)&gt;0),1,0)</f>
        <v>0</v>
      </c>
      <c r="AA323" s="9" t="n">
        <f aca="false">IF(Q323=0,1,0)</f>
        <v>0</v>
      </c>
    </row>
    <row r="324" customFormat="false" ht="15" hidden="false" customHeight="false" outlineLevel="0" collapsed="false">
      <c r="A324" s="7" t="n">
        <v>323</v>
      </c>
      <c r="B324" s="7" t="s">
        <v>1217</v>
      </c>
      <c r="C324" s="7" t="s">
        <v>1218</v>
      </c>
      <c r="D324" s="7" t="s">
        <v>1147</v>
      </c>
      <c r="E324" s="7"/>
      <c r="F324" s="7"/>
      <c r="G324" s="7"/>
      <c r="H324" s="7"/>
      <c r="I324" s="7"/>
      <c r="J324" s="7"/>
      <c r="K324" s="7"/>
      <c r="L324" s="7" t="s">
        <v>88</v>
      </c>
      <c r="M324" s="8" t="n">
        <v>45199</v>
      </c>
      <c r="N324" s="7" t="s">
        <v>89</v>
      </c>
      <c r="O324" s="9" t="n">
        <f aca="false">IF(COUNTIFS($B$2:B324,B324,$C$2:C324,C324)=1,1,0)</f>
        <v>1</v>
      </c>
      <c r="P324" s="9" t="str">
        <f aca="false">IFERROR(INDEX(dEtapa!$A$2:$A$6,MATCH(N324,dEtapa!$B$2:$B$6,0)),"Sin etapa")</f>
        <v>Gobernada</v>
      </c>
      <c r="Q324" s="9" t="n">
        <f aca="false">IF(L324="Si",1,0)</f>
        <v>1</v>
      </c>
      <c r="R324" s="9" t="n">
        <f aca="false">IF(ISNUMBER(SEARCH("CRITERIO",N324)),1,0)</f>
        <v>0</v>
      </c>
      <c r="S324" s="9" t="str">
        <f aca="false">IF(E324="","Sin dato",LEFT(E324,1))</f>
        <v>Sin dato</v>
      </c>
      <c r="T324" s="9" t="n">
        <f aca="false">IFERROR(INDEX(dCriticidad!$G$2:$G$7,MATCH(S324,dCriticidad!$A$2:$A$7,0)),0)</f>
        <v>0</v>
      </c>
      <c r="U324" s="9" t="n">
        <f aca="false">IF(OR(LEFT(C324,3)="GI0",LEFT(C324,3)="GA0"),1,0)</f>
        <v>1</v>
      </c>
      <c r="V324" s="9" t="str">
        <f aca="false">IF(G324="","Sin dato (ID GI)",TRIM(G324))</f>
        <v>Sin dato (ID GI)</v>
      </c>
      <c r="W324" s="9" t="str">
        <f aca="false">IF(F324="","Sin dato",F324)</f>
        <v>Sin dato</v>
      </c>
      <c r="X324" s="9" t="n">
        <f aca="false">IF(M324="","",YEAR(M324))</f>
        <v>2023</v>
      </c>
      <c r="Y324" s="10" t="n">
        <f aca="false">IF(M324="","",DATE(YEAR(M324),MONTH(M324),1))</f>
        <v>45170</v>
      </c>
      <c r="Z324" s="9" t="n">
        <f aca="false">IF(AND(Q324=0,COUNTIF(dDuplicadosGI!$A$2:$A$60,C324)&gt;0),1,0)</f>
        <v>0</v>
      </c>
      <c r="AA324" s="9" t="n">
        <f aca="false">IF(Q324=0,1,0)</f>
        <v>0</v>
      </c>
    </row>
    <row r="325" customFormat="false" ht="15" hidden="false" customHeight="false" outlineLevel="0" collapsed="false">
      <c r="A325" s="7" t="n">
        <v>324</v>
      </c>
      <c r="B325" s="7" t="s">
        <v>1219</v>
      </c>
      <c r="C325" s="7" t="s">
        <v>1220</v>
      </c>
      <c r="D325" s="7" t="s">
        <v>1147</v>
      </c>
      <c r="E325" s="7"/>
      <c r="F325" s="7"/>
      <c r="G325" s="7"/>
      <c r="H325" s="7"/>
      <c r="I325" s="7"/>
      <c r="J325" s="7"/>
      <c r="K325" s="7"/>
      <c r="L325" s="7" t="s">
        <v>88</v>
      </c>
      <c r="M325" s="8" t="n">
        <v>45199</v>
      </c>
      <c r="N325" s="7" t="s">
        <v>89</v>
      </c>
      <c r="O325" s="9" t="n">
        <f aca="false">IF(COUNTIFS($B$2:B325,B325,$C$2:C325,C325)=1,1,0)</f>
        <v>1</v>
      </c>
      <c r="P325" s="9" t="str">
        <f aca="false">IFERROR(INDEX(dEtapa!$A$2:$A$6,MATCH(N325,dEtapa!$B$2:$B$6,0)),"Sin etapa")</f>
        <v>Gobernada</v>
      </c>
      <c r="Q325" s="9" t="n">
        <f aca="false">IF(L325="Si",1,0)</f>
        <v>1</v>
      </c>
      <c r="R325" s="9" t="n">
        <f aca="false">IF(ISNUMBER(SEARCH("CRITERIO",N325)),1,0)</f>
        <v>0</v>
      </c>
      <c r="S325" s="9" t="str">
        <f aca="false">IF(E325="","Sin dato",LEFT(E325,1))</f>
        <v>Sin dato</v>
      </c>
      <c r="T325" s="9" t="n">
        <f aca="false">IFERROR(INDEX(dCriticidad!$G$2:$G$7,MATCH(S325,dCriticidad!$A$2:$A$7,0)),0)</f>
        <v>0</v>
      </c>
      <c r="U325" s="9" t="n">
        <f aca="false">IF(OR(LEFT(C325,3)="GI0",LEFT(C325,3)="GA0"),1,0)</f>
        <v>1</v>
      </c>
      <c r="V325" s="9" t="str">
        <f aca="false">IF(G325="","Sin dato (ID GI)",TRIM(G325))</f>
        <v>Sin dato (ID GI)</v>
      </c>
      <c r="W325" s="9" t="str">
        <f aca="false">IF(F325="","Sin dato",F325)</f>
        <v>Sin dato</v>
      </c>
      <c r="X325" s="9" t="n">
        <f aca="false">IF(M325="","",YEAR(M325))</f>
        <v>2023</v>
      </c>
      <c r="Y325" s="10" t="n">
        <f aca="false">IF(M325="","",DATE(YEAR(M325),MONTH(M325),1))</f>
        <v>45170</v>
      </c>
      <c r="Z325" s="9" t="n">
        <f aca="false">IF(AND(Q325=0,COUNTIF(dDuplicadosGI!$A$2:$A$60,C325)&gt;0),1,0)</f>
        <v>0</v>
      </c>
      <c r="AA325" s="9" t="n">
        <f aca="false">IF(Q325=0,1,0)</f>
        <v>0</v>
      </c>
    </row>
    <row r="326" customFormat="false" ht="15" hidden="false" customHeight="false" outlineLevel="0" collapsed="false">
      <c r="A326" s="7" t="n">
        <v>325</v>
      </c>
      <c r="B326" s="7" t="s">
        <v>1221</v>
      </c>
      <c r="C326" s="7" t="s">
        <v>1222</v>
      </c>
      <c r="D326" s="7" t="s">
        <v>1147</v>
      </c>
      <c r="E326" s="7"/>
      <c r="F326" s="7"/>
      <c r="G326" s="7"/>
      <c r="H326" s="7"/>
      <c r="I326" s="7"/>
      <c r="J326" s="7"/>
      <c r="K326" s="7"/>
      <c r="L326" s="7" t="s">
        <v>88</v>
      </c>
      <c r="M326" s="8" t="n">
        <v>45199</v>
      </c>
      <c r="N326" s="7" t="s">
        <v>89</v>
      </c>
      <c r="O326" s="9" t="n">
        <f aca="false">IF(COUNTIFS($B$2:B326,B326,$C$2:C326,C326)=1,1,0)</f>
        <v>1</v>
      </c>
      <c r="P326" s="9" t="str">
        <f aca="false">IFERROR(INDEX(dEtapa!$A$2:$A$6,MATCH(N326,dEtapa!$B$2:$B$6,0)),"Sin etapa")</f>
        <v>Gobernada</v>
      </c>
      <c r="Q326" s="9" t="n">
        <f aca="false">IF(L326="Si",1,0)</f>
        <v>1</v>
      </c>
      <c r="R326" s="9" t="n">
        <f aca="false">IF(ISNUMBER(SEARCH("CRITERIO",N326)),1,0)</f>
        <v>0</v>
      </c>
      <c r="S326" s="9" t="str">
        <f aca="false">IF(E326="","Sin dato",LEFT(E326,1))</f>
        <v>Sin dato</v>
      </c>
      <c r="T326" s="9" t="n">
        <f aca="false">IFERROR(INDEX(dCriticidad!$G$2:$G$7,MATCH(S326,dCriticidad!$A$2:$A$7,0)),0)</f>
        <v>0</v>
      </c>
      <c r="U326" s="9" t="n">
        <f aca="false">IF(OR(LEFT(C326,3)="GI0",LEFT(C326,3)="GA0"),1,0)</f>
        <v>1</v>
      </c>
      <c r="V326" s="9" t="str">
        <f aca="false">IF(G326="","Sin dato (ID GI)",TRIM(G326))</f>
        <v>Sin dato (ID GI)</v>
      </c>
      <c r="W326" s="9" t="str">
        <f aca="false">IF(F326="","Sin dato",F326)</f>
        <v>Sin dato</v>
      </c>
      <c r="X326" s="9" t="n">
        <f aca="false">IF(M326="","",YEAR(M326))</f>
        <v>2023</v>
      </c>
      <c r="Y326" s="10" t="n">
        <f aca="false">IF(M326="","",DATE(YEAR(M326),MONTH(M326),1))</f>
        <v>45170</v>
      </c>
      <c r="Z326" s="9" t="n">
        <f aca="false">IF(AND(Q326=0,COUNTIF(dDuplicadosGI!$A$2:$A$60,C326)&gt;0),1,0)</f>
        <v>0</v>
      </c>
      <c r="AA326" s="9" t="n">
        <f aca="false">IF(Q326=0,1,0)</f>
        <v>0</v>
      </c>
    </row>
    <row r="327" customFormat="false" ht="15" hidden="false" customHeight="false" outlineLevel="0" collapsed="false">
      <c r="A327" s="7" t="n">
        <v>326</v>
      </c>
      <c r="B327" s="7" t="s">
        <v>1223</v>
      </c>
      <c r="C327" s="7" t="s">
        <v>1224</v>
      </c>
      <c r="D327" s="7" t="s">
        <v>1147</v>
      </c>
      <c r="E327" s="7"/>
      <c r="F327" s="7"/>
      <c r="G327" s="7"/>
      <c r="H327" s="7"/>
      <c r="I327" s="7"/>
      <c r="J327" s="7"/>
      <c r="K327" s="7"/>
      <c r="L327" s="7" t="s">
        <v>88</v>
      </c>
      <c r="M327" s="8" t="n">
        <v>45199</v>
      </c>
      <c r="N327" s="7" t="s">
        <v>89</v>
      </c>
      <c r="O327" s="9" t="n">
        <f aca="false">IF(COUNTIFS($B$2:B327,B327,$C$2:C327,C327)=1,1,0)</f>
        <v>1</v>
      </c>
      <c r="P327" s="9" t="str">
        <f aca="false">IFERROR(INDEX(dEtapa!$A$2:$A$6,MATCH(N327,dEtapa!$B$2:$B$6,0)),"Sin etapa")</f>
        <v>Gobernada</v>
      </c>
      <c r="Q327" s="9" t="n">
        <f aca="false">IF(L327="Si",1,0)</f>
        <v>1</v>
      </c>
      <c r="R327" s="9" t="n">
        <f aca="false">IF(ISNUMBER(SEARCH("CRITERIO",N327)),1,0)</f>
        <v>0</v>
      </c>
      <c r="S327" s="9" t="str">
        <f aca="false">IF(E327="","Sin dato",LEFT(E327,1))</f>
        <v>Sin dato</v>
      </c>
      <c r="T327" s="9" t="n">
        <f aca="false">IFERROR(INDEX(dCriticidad!$G$2:$G$7,MATCH(S327,dCriticidad!$A$2:$A$7,0)),0)</f>
        <v>0</v>
      </c>
      <c r="U327" s="9" t="n">
        <f aca="false">IF(OR(LEFT(C327,3)="GI0",LEFT(C327,3)="GA0"),1,0)</f>
        <v>1</v>
      </c>
      <c r="V327" s="9" t="str">
        <f aca="false">IF(G327="","Sin dato (ID GI)",TRIM(G327))</f>
        <v>Sin dato (ID GI)</v>
      </c>
      <c r="W327" s="9" t="str">
        <f aca="false">IF(F327="","Sin dato",F327)</f>
        <v>Sin dato</v>
      </c>
      <c r="X327" s="9" t="n">
        <f aca="false">IF(M327="","",YEAR(M327))</f>
        <v>2023</v>
      </c>
      <c r="Y327" s="10" t="n">
        <f aca="false">IF(M327="","",DATE(YEAR(M327),MONTH(M327),1))</f>
        <v>45170</v>
      </c>
      <c r="Z327" s="9" t="n">
        <f aca="false">IF(AND(Q327=0,COUNTIF(dDuplicadosGI!$A$2:$A$60,C327)&gt;0),1,0)</f>
        <v>0</v>
      </c>
      <c r="AA327" s="9" t="n">
        <f aca="false">IF(Q327=0,1,0)</f>
        <v>0</v>
      </c>
    </row>
    <row r="328" customFormat="false" ht="15" hidden="false" customHeight="false" outlineLevel="0" collapsed="false">
      <c r="A328" s="7" t="n">
        <v>327</v>
      </c>
      <c r="B328" s="7" t="s">
        <v>1225</v>
      </c>
      <c r="C328" s="7" t="s">
        <v>1226</v>
      </c>
      <c r="D328" s="7" t="s">
        <v>1147</v>
      </c>
      <c r="E328" s="7"/>
      <c r="F328" s="7"/>
      <c r="G328" s="7"/>
      <c r="H328" s="7"/>
      <c r="I328" s="7"/>
      <c r="J328" s="7"/>
      <c r="K328" s="7"/>
      <c r="L328" s="7" t="s">
        <v>88</v>
      </c>
      <c r="M328" s="8" t="n">
        <v>45199</v>
      </c>
      <c r="N328" s="7" t="s">
        <v>89</v>
      </c>
      <c r="O328" s="9" t="n">
        <f aca="false">IF(COUNTIFS($B$2:B328,B328,$C$2:C328,C328)=1,1,0)</f>
        <v>1</v>
      </c>
      <c r="P328" s="9" t="str">
        <f aca="false">IFERROR(INDEX(dEtapa!$A$2:$A$6,MATCH(N328,dEtapa!$B$2:$B$6,0)),"Sin etapa")</f>
        <v>Gobernada</v>
      </c>
      <c r="Q328" s="9" t="n">
        <f aca="false">IF(L328="Si",1,0)</f>
        <v>1</v>
      </c>
      <c r="R328" s="9" t="n">
        <f aca="false">IF(ISNUMBER(SEARCH("CRITERIO",N328)),1,0)</f>
        <v>0</v>
      </c>
      <c r="S328" s="9" t="str">
        <f aca="false">IF(E328="","Sin dato",LEFT(E328,1))</f>
        <v>Sin dato</v>
      </c>
      <c r="T328" s="9" t="n">
        <f aca="false">IFERROR(INDEX(dCriticidad!$G$2:$G$7,MATCH(S328,dCriticidad!$A$2:$A$7,0)),0)</f>
        <v>0</v>
      </c>
      <c r="U328" s="9" t="n">
        <f aca="false">IF(OR(LEFT(C328,3)="GI0",LEFT(C328,3)="GA0"),1,0)</f>
        <v>1</v>
      </c>
      <c r="V328" s="9" t="str">
        <f aca="false">IF(G328="","Sin dato (ID GI)",TRIM(G328))</f>
        <v>Sin dato (ID GI)</v>
      </c>
      <c r="W328" s="9" t="str">
        <f aca="false">IF(F328="","Sin dato",F328)</f>
        <v>Sin dato</v>
      </c>
      <c r="X328" s="9" t="n">
        <f aca="false">IF(M328="","",YEAR(M328))</f>
        <v>2023</v>
      </c>
      <c r="Y328" s="10" t="n">
        <f aca="false">IF(M328="","",DATE(YEAR(M328),MONTH(M328),1))</f>
        <v>45170</v>
      </c>
      <c r="Z328" s="9" t="n">
        <f aca="false">IF(AND(Q328=0,COUNTIF(dDuplicadosGI!$A$2:$A$60,C328)&gt;0),1,0)</f>
        <v>0</v>
      </c>
      <c r="AA328" s="9" t="n">
        <f aca="false">IF(Q328=0,1,0)</f>
        <v>0</v>
      </c>
    </row>
    <row r="329" customFormat="false" ht="15" hidden="false" customHeight="false" outlineLevel="0" collapsed="false">
      <c r="A329" s="7" t="n">
        <v>328</v>
      </c>
      <c r="B329" s="7" t="s">
        <v>1227</v>
      </c>
      <c r="C329" s="7" t="s">
        <v>1228</v>
      </c>
      <c r="D329" s="7" t="s">
        <v>1147</v>
      </c>
      <c r="E329" s="7"/>
      <c r="F329" s="7"/>
      <c r="G329" s="7"/>
      <c r="H329" s="7"/>
      <c r="I329" s="7"/>
      <c r="J329" s="7"/>
      <c r="K329" s="7"/>
      <c r="L329" s="7" t="s">
        <v>88</v>
      </c>
      <c r="M329" s="8" t="n">
        <v>45199</v>
      </c>
      <c r="N329" s="7" t="s">
        <v>89</v>
      </c>
      <c r="O329" s="9" t="n">
        <f aca="false">IF(COUNTIFS($B$2:B329,B329,$C$2:C329,C329)=1,1,0)</f>
        <v>1</v>
      </c>
      <c r="P329" s="9" t="str">
        <f aca="false">IFERROR(INDEX(dEtapa!$A$2:$A$6,MATCH(N329,dEtapa!$B$2:$B$6,0)),"Sin etapa")</f>
        <v>Gobernada</v>
      </c>
      <c r="Q329" s="9" t="n">
        <f aca="false">IF(L329="Si",1,0)</f>
        <v>1</v>
      </c>
      <c r="R329" s="9" t="n">
        <f aca="false">IF(ISNUMBER(SEARCH("CRITERIO",N329)),1,0)</f>
        <v>0</v>
      </c>
      <c r="S329" s="9" t="str">
        <f aca="false">IF(E329="","Sin dato",LEFT(E329,1))</f>
        <v>Sin dato</v>
      </c>
      <c r="T329" s="9" t="n">
        <f aca="false">IFERROR(INDEX(dCriticidad!$G$2:$G$7,MATCH(S329,dCriticidad!$A$2:$A$7,0)),0)</f>
        <v>0</v>
      </c>
      <c r="U329" s="9" t="n">
        <f aca="false">IF(OR(LEFT(C329,3)="GI0",LEFT(C329,3)="GA0"),1,0)</f>
        <v>1</v>
      </c>
      <c r="V329" s="9" t="str">
        <f aca="false">IF(G329="","Sin dato (ID GI)",TRIM(G329))</f>
        <v>Sin dato (ID GI)</v>
      </c>
      <c r="W329" s="9" t="str">
        <f aca="false">IF(F329="","Sin dato",F329)</f>
        <v>Sin dato</v>
      </c>
      <c r="X329" s="9" t="n">
        <f aca="false">IF(M329="","",YEAR(M329))</f>
        <v>2023</v>
      </c>
      <c r="Y329" s="10" t="n">
        <f aca="false">IF(M329="","",DATE(YEAR(M329),MONTH(M329),1))</f>
        <v>45170</v>
      </c>
      <c r="Z329" s="9" t="n">
        <f aca="false">IF(AND(Q329=0,COUNTIF(dDuplicadosGI!$A$2:$A$60,C329)&gt;0),1,0)</f>
        <v>0</v>
      </c>
      <c r="AA329" s="9" t="n">
        <f aca="false">IF(Q329=0,1,0)</f>
        <v>0</v>
      </c>
    </row>
    <row r="330" customFormat="false" ht="15" hidden="false" customHeight="false" outlineLevel="0" collapsed="false">
      <c r="A330" s="7" t="n">
        <v>329</v>
      </c>
      <c r="B330" s="7" t="s">
        <v>1229</v>
      </c>
      <c r="C330" s="7" t="s">
        <v>1230</v>
      </c>
      <c r="D330" s="7"/>
      <c r="E330" s="7" t="s">
        <v>119</v>
      </c>
      <c r="F330" s="7" t="s">
        <v>82</v>
      </c>
      <c r="G330" s="7" t="s">
        <v>253</v>
      </c>
      <c r="H330" s="7" t="s">
        <v>254</v>
      </c>
      <c r="I330" s="7"/>
      <c r="J330" s="7" t="s">
        <v>1231</v>
      </c>
      <c r="K330" s="7"/>
      <c r="L330" s="7" t="s">
        <v>88</v>
      </c>
      <c r="M330" s="8" t="n">
        <v>45199</v>
      </c>
      <c r="N330" s="7" t="s">
        <v>89</v>
      </c>
      <c r="O330" s="9" t="n">
        <f aca="false">IF(COUNTIFS($B$2:B330,B330,$C$2:C330,C330)=1,1,0)</f>
        <v>1</v>
      </c>
      <c r="P330" s="9" t="str">
        <f aca="false">IFERROR(INDEX(dEtapa!$A$2:$A$6,MATCH(N330,dEtapa!$B$2:$B$6,0)),"Sin etapa")</f>
        <v>Gobernada</v>
      </c>
      <c r="Q330" s="9" t="n">
        <f aca="false">IF(L330="Si",1,0)</f>
        <v>1</v>
      </c>
      <c r="R330" s="9" t="n">
        <f aca="false">IF(ISNUMBER(SEARCH("CRITERIO",N330)),1,0)</f>
        <v>0</v>
      </c>
      <c r="S330" s="9" t="str">
        <f aca="false">IF(E330="","Sin dato",LEFT(E330,1))</f>
        <v>E</v>
      </c>
      <c r="T330" s="9" t="n">
        <f aca="false">IFERROR(INDEX(dCriticidad!$G$2:$G$7,MATCH(S330,dCriticidad!$A$2:$A$7,0)),0)</f>
        <v>0</v>
      </c>
      <c r="U330" s="9" t="n">
        <f aca="false">IF(OR(LEFT(C330,3)="GI0",LEFT(C330,3)="GA0"),1,0)</f>
        <v>0</v>
      </c>
      <c r="V330" s="9" t="str">
        <f aca="false">IF(G330="","Sin dato (ID GI)",TRIM(G330))</f>
        <v>Tribu Administración de Créditos</v>
      </c>
      <c r="W330" s="9" t="str">
        <f aca="false">IF(F330="","Sin dato",F330)</f>
        <v>On Premise</v>
      </c>
      <c r="X330" s="9" t="n">
        <f aca="false">IF(M330="","",YEAR(M330))</f>
        <v>2023</v>
      </c>
      <c r="Y330" s="10" t="n">
        <f aca="false">IF(M330="","",DATE(YEAR(M330),MONTH(M330),1))</f>
        <v>45170</v>
      </c>
      <c r="Z330" s="9" t="n">
        <f aca="false">IF(AND(Q330=0,COUNTIF(dDuplicadosGI!$A$2:$A$60,C330)&gt;0),1,0)</f>
        <v>0</v>
      </c>
      <c r="AA330" s="9" t="n">
        <f aca="false">IF(Q330=0,1,0)</f>
        <v>0</v>
      </c>
    </row>
    <row r="331" customFormat="false" ht="15" hidden="false" customHeight="false" outlineLevel="0" collapsed="false">
      <c r="A331" s="7" t="n">
        <v>330</v>
      </c>
      <c r="B331" s="7" t="s">
        <v>1232</v>
      </c>
      <c r="C331" s="7" t="s">
        <v>1233</v>
      </c>
      <c r="D331" s="7"/>
      <c r="E331" s="7" t="s">
        <v>119</v>
      </c>
      <c r="F331" s="7" t="s">
        <v>82</v>
      </c>
      <c r="G331" s="7" t="s">
        <v>104</v>
      </c>
      <c r="H331" s="7" t="s">
        <v>1234</v>
      </c>
      <c r="I331" s="7"/>
      <c r="J331" s="7" t="s">
        <v>432</v>
      </c>
      <c r="K331" s="7" t="s">
        <v>108</v>
      </c>
      <c r="L331" s="7" t="s">
        <v>99</v>
      </c>
      <c r="M331" s="8"/>
      <c r="N331" s="7" t="s">
        <v>109</v>
      </c>
      <c r="O331" s="9" t="n">
        <f aca="false">IF(COUNTIFS($B$2:B331,B331,$C$2:C331,C331)=1,1,0)</f>
        <v>1</v>
      </c>
      <c r="P331" s="9" t="str">
        <f aca="false">IFERROR(INDEX(dEtapa!$A$2:$A$6,MATCH(N331,dEtapa!$B$2:$B$6,0)),"Sin etapa")</f>
        <v>Planificada 2027</v>
      </c>
      <c r="Q331" s="9" t="n">
        <f aca="false">IF(L331="Si",1,0)</f>
        <v>0</v>
      </c>
      <c r="R331" s="9" t="n">
        <f aca="false">IF(ISNUMBER(SEARCH("CRITERIO",N331)),1,0)</f>
        <v>0</v>
      </c>
      <c r="S331" s="9" t="str">
        <f aca="false">IF(E331="","Sin dato",LEFT(E331,1))</f>
        <v>E</v>
      </c>
      <c r="T331" s="9" t="n">
        <f aca="false">IFERROR(INDEX(dCriticidad!$G$2:$G$7,MATCH(S331,dCriticidad!$A$2:$A$7,0)),0)</f>
        <v>0</v>
      </c>
      <c r="U331" s="9" t="n">
        <f aca="false">IF(OR(LEFT(C331,3)="GI0",LEFT(C331,3)="GA0"),1,0)</f>
        <v>0</v>
      </c>
      <c r="V331" s="9" t="str">
        <f aca="false">IF(G331="","Sin dato (ID GI)",TRIM(G331))</f>
        <v>INFRAESTRUCTURA</v>
      </c>
      <c r="W331" s="9" t="str">
        <f aca="false">IF(F331="","Sin dato",F331)</f>
        <v>On Premise</v>
      </c>
      <c r="X331" s="9" t="str">
        <f aca="false">IF(M331="","",YEAR(M331))</f>
        <v/>
      </c>
      <c r="Y331" s="10" t="str">
        <f aca="false">IF(M331="","",DATE(YEAR(M331),MONTH(M331),1))</f>
        <v/>
      </c>
      <c r="Z331" s="9" t="n">
        <f aca="false">IF(AND(Q331=0,COUNTIF(dDuplicadosGI!$A$2:$A$60,C331)&gt;0),1,0)</f>
        <v>0</v>
      </c>
      <c r="AA331" s="9" t="n">
        <f aca="false">IF(Q331=0,1,0)</f>
        <v>1</v>
      </c>
    </row>
    <row r="332" customFormat="false" ht="15" hidden="false" customHeight="false" outlineLevel="0" collapsed="false">
      <c r="A332" s="7" t="n">
        <v>331</v>
      </c>
      <c r="B332" s="7" t="s">
        <v>1235</v>
      </c>
      <c r="C332" s="7" t="s">
        <v>1236</v>
      </c>
      <c r="D332" s="7" t="s">
        <v>816</v>
      </c>
      <c r="E332" s="7" t="s">
        <v>119</v>
      </c>
      <c r="F332" s="7" t="s">
        <v>94</v>
      </c>
      <c r="G332" s="7" t="s">
        <v>1237</v>
      </c>
      <c r="H332" s="7" t="s">
        <v>1237</v>
      </c>
      <c r="I332" s="7" t="s">
        <v>1238</v>
      </c>
      <c r="J332" s="7" t="s">
        <v>1239</v>
      </c>
      <c r="K332" s="7" t="s">
        <v>170</v>
      </c>
      <c r="L332" s="7" t="s">
        <v>88</v>
      </c>
      <c r="M332" s="8" t="n">
        <v>46261</v>
      </c>
      <c r="N332" s="7" t="s">
        <v>89</v>
      </c>
      <c r="O332" s="9" t="n">
        <f aca="false">IF(COUNTIFS($B$2:B332,B332,$C$2:C332,C332)=1,1,0)</f>
        <v>1</v>
      </c>
      <c r="P332" s="9" t="str">
        <f aca="false">IFERROR(INDEX(dEtapa!$A$2:$A$6,MATCH(N332,dEtapa!$B$2:$B$6,0)),"Sin etapa")</f>
        <v>Gobernada</v>
      </c>
      <c r="Q332" s="9" t="n">
        <f aca="false">IF(L332="Si",1,0)</f>
        <v>1</v>
      </c>
      <c r="R332" s="9" t="n">
        <f aca="false">IF(ISNUMBER(SEARCH("CRITERIO",N332)),1,0)</f>
        <v>0</v>
      </c>
      <c r="S332" s="9" t="str">
        <f aca="false">IF(E332="","Sin dato",LEFT(E332,1))</f>
        <v>E</v>
      </c>
      <c r="T332" s="9" t="n">
        <f aca="false">IFERROR(INDEX(dCriticidad!$G$2:$G$7,MATCH(S332,dCriticidad!$A$2:$A$7,0)),0)</f>
        <v>0</v>
      </c>
      <c r="U332" s="9" t="n">
        <f aca="false">IF(OR(LEFT(C332,3)="GI0",LEFT(C332,3)="GA0"),1,0)</f>
        <v>1</v>
      </c>
      <c r="V332" s="9" t="str">
        <f aca="false">IF(G332="","Sin dato (ID GI)",TRIM(G332))</f>
        <v>LUCERO GALLEGOS JORGE XAVIER</v>
      </c>
      <c r="W332" s="9" t="str">
        <f aca="false">IF(F332="","Sin dato",F332)</f>
        <v>Nube</v>
      </c>
      <c r="X332" s="9" t="n">
        <f aca="false">IF(M332="","",YEAR(M332))</f>
        <v>2026</v>
      </c>
      <c r="Y332" s="10" t="n">
        <f aca="false">IF(M332="","",DATE(YEAR(M332),MONTH(M332),1))</f>
        <v>46235</v>
      </c>
      <c r="Z332" s="9" t="n">
        <f aca="false">IF(AND(Q332=0,COUNTIF(dDuplicadosGI!$A$2:$A$60,C332)&gt;0),1,0)</f>
        <v>0</v>
      </c>
      <c r="AA332" s="9" t="n">
        <f aca="false">IF(Q332=0,1,0)</f>
        <v>0</v>
      </c>
    </row>
    <row r="333" customFormat="false" ht="15" hidden="false" customHeight="false" outlineLevel="0" collapsed="false">
      <c r="A333" s="7" t="n">
        <v>332</v>
      </c>
      <c r="B333" s="7" t="s">
        <v>1240</v>
      </c>
      <c r="C333" s="7" t="s">
        <v>1241</v>
      </c>
      <c r="D333" s="7" t="s">
        <v>1242</v>
      </c>
      <c r="E333" s="7" t="s">
        <v>113</v>
      </c>
      <c r="F333" s="7" t="s">
        <v>94</v>
      </c>
      <c r="G333" s="7" t="s">
        <v>1243</v>
      </c>
      <c r="H333" s="7" t="s">
        <v>1243</v>
      </c>
      <c r="I333" s="7"/>
      <c r="J333" s="7" t="s">
        <v>1243</v>
      </c>
      <c r="K333" s="7" t="s">
        <v>170</v>
      </c>
      <c r="L333" s="7" t="s">
        <v>88</v>
      </c>
      <c r="M333" s="8" t="n">
        <v>45554</v>
      </c>
      <c r="N333" s="7" t="s">
        <v>89</v>
      </c>
      <c r="O333" s="9" t="n">
        <f aca="false">IF(COUNTIFS($B$2:B333,B333,$C$2:C333,C333)=1,1,0)</f>
        <v>1</v>
      </c>
      <c r="P333" s="9" t="str">
        <f aca="false">IFERROR(INDEX(dEtapa!$A$2:$A$6,MATCH(N333,dEtapa!$B$2:$B$6,0)),"Sin etapa")</f>
        <v>Gobernada</v>
      </c>
      <c r="Q333" s="9" t="n">
        <f aca="false">IF(L333="Si",1,0)</f>
        <v>1</v>
      </c>
      <c r="R333" s="9" t="n">
        <f aca="false">IF(ISNUMBER(SEARCH("CRITERIO",N333)),1,0)</f>
        <v>0</v>
      </c>
      <c r="S333" s="9" t="str">
        <f aca="false">IF(E333="","Sin dato",LEFT(E333,1))</f>
        <v>C</v>
      </c>
      <c r="T333" s="9" t="n">
        <f aca="false">IFERROR(INDEX(dCriticidad!$G$2:$G$7,MATCH(S333,dCriticidad!$A$2:$A$7,0)),0)</f>
        <v>1</v>
      </c>
      <c r="U333" s="9" t="n">
        <f aca="false">IF(OR(LEFT(C333,3)="GI0",LEFT(C333,3)="GA0"),1,0)</f>
        <v>1</v>
      </c>
      <c r="V333" s="9" t="str">
        <f aca="false">IF(G333="","Sin dato (ID GI)",TRIM(G333))</f>
        <v>NOGALES LEON LUIS GUSTAVO</v>
      </c>
      <c r="W333" s="9" t="str">
        <f aca="false">IF(F333="","Sin dato",F333)</f>
        <v>Nube</v>
      </c>
      <c r="X333" s="9" t="n">
        <f aca="false">IF(M333="","",YEAR(M333))</f>
        <v>2024</v>
      </c>
      <c r="Y333" s="10" t="n">
        <f aca="false">IF(M333="","",DATE(YEAR(M333),MONTH(M333),1))</f>
        <v>45536</v>
      </c>
      <c r="Z333" s="9" t="n">
        <f aca="false">IF(AND(Q333=0,COUNTIF(dDuplicadosGI!$A$2:$A$60,C333)&gt;0),1,0)</f>
        <v>0</v>
      </c>
      <c r="AA333" s="9" t="n">
        <f aca="false">IF(Q333=0,1,0)</f>
        <v>0</v>
      </c>
    </row>
    <row r="334" customFormat="false" ht="15" hidden="false" customHeight="false" outlineLevel="0" collapsed="false">
      <c r="A334" s="7" t="n">
        <v>333</v>
      </c>
      <c r="B334" s="7" t="s">
        <v>1244</v>
      </c>
      <c r="C334" s="7" t="s">
        <v>1245</v>
      </c>
      <c r="D334" s="7" t="s">
        <v>1246</v>
      </c>
      <c r="E334" s="7" t="s">
        <v>145</v>
      </c>
      <c r="F334" s="7" t="s">
        <v>82</v>
      </c>
      <c r="G334" s="7" t="s">
        <v>146</v>
      </c>
      <c r="H334" s="7" t="s">
        <v>147</v>
      </c>
      <c r="I334" s="7" t="s">
        <v>148</v>
      </c>
      <c r="J334" s="7" t="s">
        <v>310</v>
      </c>
      <c r="K334" s="7" t="s">
        <v>108</v>
      </c>
      <c r="L334" s="7" t="s">
        <v>88</v>
      </c>
      <c r="M334" s="8" t="n">
        <v>46197</v>
      </c>
      <c r="N334" s="7" t="s">
        <v>89</v>
      </c>
      <c r="O334" s="9" t="n">
        <f aca="false">IF(COUNTIFS($B$2:B334,B334,$C$2:C334,C334)=1,1,0)</f>
        <v>1</v>
      </c>
      <c r="P334" s="9" t="str">
        <f aca="false">IFERROR(INDEX(dEtapa!$A$2:$A$6,MATCH(N334,dEtapa!$B$2:$B$6,0)),"Sin etapa")</f>
        <v>Gobernada</v>
      </c>
      <c r="Q334" s="9" t="n">
        <f aca="false">IF(L334="Si",1,0)</f>
        <v>1</v>
      </c>
      <c r="R334" s="9" t="n">
        <f aca="false">IF(ISNUMBER(SEARCH("CRITERIO",N334)),1,0)</f>
        <v>0</v>
      </c>
      <c r="S334" s="9" t="str">
        <f aca="false">IF(E334="","Sin dato",LEFT(E334,1))</f>
        <v>B</v>
      </c>
      <c r="T334" s="9" t="n">
        <f aca="false">IFERROR(INDEX(dCriticidad!$G$2:$G$7,MATCH(S334,dCriticidad!$A$2:$A$7,0)),0)</f>
        <v>1</v>
      </c>
      <c r="U334" s="9" t="n">
        <f aca="false">IF(OR(LEFT(C334,3)="GI0",LEFT(C334,3)="GA0"),1,0)</f>
        <v>0</v>
      </c>
      <c r="V334" s="9" t="str">
        <f aca="false">IF(G334="","Sin dato (ID GI)",TRIM(G334))</f>
        <v>Tribu_Integraciones_Apis</v>
      </c>
      <c r="W334" s="9" t="str">
        <f aca="false">IF(F334="","Sin dato",F334)</f>
        <v>On Premise</v>
      </c>
      <c r="X334" s="9" t="n">
        <f aca="false">IF(M334="","",YEAR(M334))</f>
        <v>2026</v>
      </c>
      <c r="Y334" s="10" t="n">
        <f aca="false">IF(M334="","",DATE(YEAR(M334),MONTH(M334),1))</f>
        <v>46174</v>
      </c>
      <c r="Z334" s="9" t="n">
        <f aca="false">IF(AND(Q334=0,COUNTIF(dDuplicadosGI!$A$2:$A$60,C334)&gt;0),1,0)</f>
        <v>0</v>
      </c>
      <c r="AA334" s="9" t="n">
        <f aca="false">IF(Q334=0,1,0)</f>
        <v>0</v>
      </c>
    </row>
    <row r="335" customFormat="false" ht="15" hidden="false" customHeight="false" outlineLevel="0" collapsed="false">
      <c r="A335" s="7" t="n">
        <v>334</v>
      </c>
      <c r="B335" s="7" t="s">
        <v>1247</v>
      </c>
      <c r="C335" s="7" t="s">
        <v>1248</v>
      </c>
      <c r="D335" s="7" t="s">
        <v>144</v>
      </c>
      <c r="E335" s="7" t="s">
        <v>145</v>
      </c>
      <c r="F335" s="7" t="s">
        <v>82</v>
      </c>
      <c r="G335" s="7" t="s">
        <v>146</v>
      </c>
      <c r="H335" s="7" t="s">
        <v>147</v>
      </c>
      <c r="I335" s="7" t="s">
        <v>148</v>
      </c>
      <c r="J335" s="7" t="s">
        <v>148</v>
      </c>
      <c r="K335" s="7" t="s">
        <v>108</v>
      </c>
      <c r="L335" s="7" t="s">
        <v>88</v>
      </c>
      <c r="M335" s="8" t="n">
        <v>46197</v>
      </c>
      <c r="N335" s="7" t="s">
        <v>89</v>
      </c>
      <c r="O335" s="9" t="n">
        <f aca="false">IF(COUNTIFS($B$2:B335,B335,$C$2:C335,C335)=1,1,0)</f>
        <v>1</v>
      </c>
      <c r="P335" s="9" t="str">
        <f aca="false">IFERROR(INDEX(dEtapa!$A$2:$A$6,MATCH(N335,dEtapa!$B$2:$B$6,0)),"Sin etapa")</f>
        <v>Gobernada</v>
      </c>
      <c r="Q335" s="9" t="n">
        <f aca="false">IF(L335="Si",1,0)</f>
        <v>1</v>
      </c>
      <c r="R335" s="9" t="n">
        <f aca="false">IF(ISNUMBER(SEARCH("CRITERIO",N335)),1,0)</f>
        <v>0</v>
      </c>
      <c r="S335" s="9" t="str">
        <f aca="false">IF(E335="","Sin dato",LEFT(E335,1))</f>
        <v>B</v>
      </c>
      <c r="T335" s="9" t="n">
        <f aca="false">IFERROR(INDEX(dCriticidad!$G$2:$G$7,MATCH(S335,dCriticidad!$A$2:$A$7,0)),0)</f>
        <v>1</v>
      </c>
      <c r="U335" s="9" t="n">
        <f aca="false">IF(OR(LEFT(C335,3)="GI0",LEFT(C335,3)="GA0"),1,0)</f>
        <v>0</v>
      </c>
      <c r="V335" s="9" t="str">
        <f aca="false">IF(G335="","Sin dato (ID GI)",TRIM(G335))</f>
        <v>Tribu_Integraciones_Apis</v>
      </c>
      <c r="W335" s="9" t="str">
        <f aca="false">IF(F335="","Sin dato",F335)</f>
        <v>On Premise</v>
      </c>
      <c r="X335" s="9" t="n">
        <f aca="false">IF(M335="","",YEAR(M335))</f>
        <v>2026</v>
      </c>
      <c r="Y335" s="10" t="n">
        <f aca="false">IF(M335="","",DATE(YEAR(M335),MONTH(M335),1))</f>
        <v>46174</v>
      </c>
      <c r="Z335" s="9" t="n">
        <f aca="false">IF(AND(Q335=0,COUNTIF(dDuplicadosGI!$A$2:$A$60,C335)&gt;0),1,0)</f>
        <v>0</v>
      </c>
      <c r="AA335" s="9" t="n">
        <f aca="false">IF(Q335=0,1,0)</f>
        <v>0</v>
      </c>
    </row>
    <row r="336" customFormat="false" ht="15" hidden="false" customHeight="false" outlineLevel="0" collapsed="false">
      <c r="A336" s="7" t="n">
        <v>335</v>
      </c>
      <c r="B336" s="7" t="s">
        <v>1249</v>
      </c>
      <c r="C336" s="7" t="s">
        <v>1250</v>
      </c>
      <c r="D336" s="7"/>
      <c r="E336" s="7" t="s">
        <v>119</v>
      </c>
      <c r="F336" s="7" t="s">
        <v>94</v>
      </c>
      <c r="G336" s="7" t="s">
        <v>192</v>
      </c>
      <c r="H336" s="7" t="s">
        <v>193</v>
      </c>
      <c r="I336" s="7" t="s">
        <v>1251</v>
      </c>
      <c r="J336" s="7" t="s">
        <v>1252</v>
      </c>
      <c r="K336" s="7"/>
      <c r="L336" s="7" t="s">
        <v>88</v>
      </c>
      <c r="M336" s="8" t="n">
        <v>46184</v>
      </c>
      <c r="N336" s="7" t="s">
        <v>89</v>
      </c>
      <c r="O336" s="9" t="n">
        <f aca="false">IF(COUNTIFS($B$2:B336,B336,$C$2:C336,C336)=1,1,0)</f>
        <v>1</v>
      </c>
      <c r="P336" s="9" t="str">
        <f aca="false">IFERROR(INDEX(dEtapa!$A$2:$A$6,MATCH(N336,dEtapa!$B$2:$B$6,0)),"Sin etapa")</f>
        <v>Gobernada</v>
      </c>
      <c r="Q336" s="9" t="n">
        <f aca="false">IF(L336="Si",1,0)</f>
        <v>1</v>
      </c>
      <c r="R336" s="9" t="n">
        <f aca="false">IF(ISNUMBER(SEARCH("CRITERIO",N336)),1,0)</f>
        <v>0</v>
      </c>
      <c r="S336" s="9" t="str">
        <f aca="false">IF(E336="","Sin dato",LEFT(E336,1))</f>
        <v>E</v>
      </c>
      <c r="T336" s="9" t="n">
        <f aca="false">IFERROR(INDEX(dCriticidad!$G$2:$G$7,MATCH(S336,dCriticidad!$A$2:$A$7,0)),0)</f>
        <v>0</v>
      </c>
      <c r="U336" s="9" t="n">
        <f aca="false">IF(OR(LEFT(C336,3)="GI0",LEFT(C336,3)="GA0"),1,0)</f>
        <v>0</v>
      </c>
      <c r="V336" s="9" t="str">
        <f aca="false">IF(G336="","Sin dato (ID GI)",TRIM(G336))</f>
        <v>AREAS_DE_APOYO</v>
      </c>
      <c r="W336" s="9" t="str">
        <f aca="false">IF(F336="","Sin dato",F336)</f>
        <v>Nube</v>
      </c>
      <c r="X336" s="9" t="n">
        <f aca="false">IF(M336="","",YEAR(M336))</f>
        <v>2026</v>
      </c>
      <c r="Y336" s="10" t="n">
        <f aca="false">IF(M336="","",DATE(YEAR(M336),MONTH(M336),1))</f>
        <v>46174</v>
      </c>
      <c r="Z336" s="9" t="n">
        <f aca="false">IF(AND(Q336=0,COUNTIF(dDuplicadosGI!$A$2:$A$60,C336)&gt;0),1,0)</f>
        <v>0</v>
      </c>
      <c r="AA336" s="9" t="n">
        <f aca="false">IF(Q336=0,1,0)</f>
        <v>0</v>
      </c>
    </row>
    <row r="337" customFormat="false" ht="15" hidden="false" customHeight="false" outlineLevel="0" collapsed="false">
      <c r="A337" s="7" t="n">
        <v>336</v>
      </c>
      <c r="B337" s="7" t="s">
        <v>1253</v>
      </c>
      <c r="C337" s="7" t="s">
        <v>1254</v>
      </c>
      <c r="D337" s="7"/>
      <c r="E337" s="7" t="s">
        <v>119</v>
      </c>
      <c r="F337" s="7" t="s">
        <v>94</v>
      </c>
      <c r="G337" s="7" t="s">
        <v>166</v>
      </c>
      <c r="H337" s="7" t="s">
        <v>653</v>
      </c>
      <c r="I337" s="7" t="s">
        <v>653</v>
      </c>
      <c r="J337" s="7" t="s">
        <v>1255</v>
      </c>
      <c r="K337" s="7" t="s">
        <v>170</v>
      </c>
      <c r="L337" s="7" t="s">
        <v>99</v>
      </c>
      <c r="M337" s="8"/>
      <c r="N337" s="7" t="s">
        <v>189</v>
      </c>
      <c r="O337" s="9" t="n">
        <f aca="false">IF(COUNTIFS($B$2:B337,B337,$C$2:C337,C337)=1,1,0)</f>
        <v>1</v>
      </c>
      <c r="P337" s="9" t="str">
        <f aca="false">IFERROR(INDEX(dEtapa!$A$2:$A$6,MATCH(N337,dEtapa!$B$2:$B$6,0)),"Sin etapa")</f>
        <v>Criterio 3</v>
      </c>
      <c r="Q337" s="9" t="n">
        <f aca="false">IF(L337="Si",1,0)</f>
        <v>0</v>
      </c>
      <c r="R337" s="9" t="n">
        <f aca="false">IF(ISNUMBER(SEARCH("CRITERIO",N337)),1,0)</f>
        <v>1</v>
      </c>
      <c r="S337" s="9" t="str">
        <f aca="false">IF(E337="","Sin dato",LEFT(E337,1))</f>
        <v>E</v>
      </c>
      <c r="T337" s="9" t="n">
        <f aca="false">IFERROR(INDEX(dCriticidad!$G$2:$G$7,MATCH(S337,dCriticidad!$A$2:$A$7,0)),0)</f>
        <v>0</v>
      </c>
      <c r="U337" s="9" t="n">
        <f aca="false">IF(OR(LEFT(C337,3)="GI0",LEFT(C337,3)="GA0"),1,0)</f>
        <v>0</v>
      </c>
      <c r="V337" s="9" t="str">
        <f aca="false">IF(G337="","Sin dato (ID GI)",TRIM(G337))</f>
        <v>Ciberseguridad</v>
      </c>
      <c r="W337" s="9" t="str">
        <f aca="false">IF(F337="","Sin dato",F337)</f>
        <v>Nube</v>
      </c>
      <c r="X337" s="9" t="str">
        <f aca="false">IF(M337="","",YEAR(M337))</f>
        <v/>
      </c>
      <c r="Y337" s="10" t="str">
        <f aca="false">IF(M337="","",DATE(YEAR(M337),MONTH(M337),1))</f>
        <v/>
      </c>
      <c r="Z337" s="9" t="n">
        <f aca="false">IF(AND(Q337=0,COUNTIF(dDuplicadosGI!$A$2:$A$60,C337)&gt;0),1,0)</f>
        <v>0</v>
      </c>
      <c r="AA337" s="9" t="n">
        <f aca="false">IF(Q337=0,1,0)</f>
        <v>1</v>
      </c>
    </row>
    <row r="338" customFormat="false" ht="15" hidden="false" customHeight="false" outlineLevel="0" collapsed="false">
      <c r="A338" s="7" t="n">
        <v>337</v>
      </c>
      <c r="B338" s="7" t="s">
        <v>1256</v>
      </c>
      <c r="C338" s="7" t="s">
        <v>1257</v>
      </c>
      <c r="D338" s="7"/>
      <c r="E338" s="7" t="s">
        <v>119</v>
      </c>
      <c r="F338" s="7" t="s">
        <v>82</v>
      </c>
      <c r="G338" s="7" t="s">
        <v>104</v>
      </c>
      <c r="H338" s="7" t="s">
        <v>105</v>
      </c>
      <c r="I338" s="7" t="s">
        <v>120</v>
      </c>
      <c r="J338" s="7" t="s">
        <v>963</v>
      </c>
      <c r="K338" s="7" t="s">
        <v>108</v>
      </c>
      <c r="L338" s="7" t="s">
        <v>99</v>
      </c>
      <c r="M338" s="8"/>
      <c r="N338" s="7" t="s">
        <v>109</v>
      </c>
      <c r="O338" s="9" t="n">
        <f aca="false">IF(COUNTIFS($B$2:B338,B338,$C$2:C338,C338)=1,1,0)</f>
        <v>1</v>
      </c>
      <c r="P338" s="9" t="str">
        <f aca="false">IFERROR(INDEX(dEtapa!$A$2:$A$6,MATCH(N338,dEtapa!$B$2:$B$6,0)),"Sin etapa")</f>
        <v>Planificada 2027</v>
      </c>
      <c r="Q338" s="9" t="n">
        <f aca="false">IF(L338="Si",1,0)</f>
        <v>0</v>
      </c>
      <c r="R338" s="9" t="n">
        <f aca="false">IF(ISNUMBER(SEARCH("CRITERIO",N338)),1,0)</f>
        <v>0</v>
      </c>
      <c r="S338" s="9" t="str">
        <f aca="false">IF(E338="","Sin dato",LEFT(E338,1))</f>
        <v>E</v>
      </c>
      <c r="T338" s="9" t="n">
        <f aca="false">IFERROR(INDEX(dCriticidad!$G$2:$G$7,MATCH(S338,dCriticidad!$A$2:$A$7,0)),0)</f>
        <v>0</v>
      </c>
      <c r="U338" s="9" t="n">
        <f aca="false">IF(OR(LEFT(C338,3)="GI0",LEFT(C338,3)="GA0"),1,0)</f>
        <v>0</v>
      </c>
      <c r="V338" s="9" t="str">
        <f aca="false">IF(G338="","Sin dato (ID GI)",TRIM(G338))</f>
        <v>INFRAESTRUCTURA</v>
      </c>
      <c r="W338" s="9" t="str">
        <f aca="false">IF(F338="","Sin dato",F338)</f>
        <v>On Premise</v>
      </c>
      <c r="X338" s="9" t="str">
        <f aca="false">IF(M338="","",YEAR(M338))</f>
        <v/>
      </c>
      <c r="Y338" s="10" t="str">
        <f aca="false">IF(M338="","",DATE(YEAR(M338),MONTH(M338),1))</f>
        <v/>
      </c>
      <c r="Z338" s="9" t="n">
        <f aca="false">IF(AND(Q338=0,COUNTIF(dDuplicadosGI!$A$2:$A$60,C338)&gt;0),1,0)</f>
        <v>0</v>
      </c>
      <c r="AA338" s="9" t="n">
        <f aca="false">IF(Q338=0,1,0)</f>
        <v>1</v>
      </c>
    </row>
    <row r="339" customFormat="false" ht="15" hidden="false" customHeight="false" outlineLevel="0" collapsed="false">
      <c r="A339" s="7" t="n">
        <v>338</v>
      </c>
      <c r="B339" s="7" t="s">
        <v>1258</v>
      </c>
      <c r="C339" s="7" t="s">
        <v>1259</v>
      </c>
      <c r="D339" s="7"/>
      <c r="E339" s="7" t="s">
        <v>119</v>
      </c>
      <c r="F339" s="7" t="s">
        <v>94</v>
      </c>
      <c r="G339" s="7" t="s">
        <v>192</v>
      </c>
      <c r="H339" s="7" t="s">
        <v>193</v>
      </c>
      <c r="I339" s="7" t="s">
        <v>843</v>
      </c>
      <c r="J339" s="7" t="s">
        <v>239</v>
      </c>
      <c r="K339" s="7" t="s">
        <v>108</v>
      </c>
      <c r="L339" s="7" t="s">
        <v>99</v>
      </c>
      <c r="M339" s="8"/>
      <c r="N339" s="7" t="s">
        <v>189</v>
      </c>
      <c r="O339" s="9" t="n">
        <f aca="false">IF(COUNTIFS($B$2:B339,B339,$C$2:C339,C339)=1,1,0)</f>
        <v>1</v>
      </c>
      <c r="P339" s="9" t="str">
        <f aca="false">IFERROR(INDEX(dEtapa!$A$2:$A$6,MATCH(N339,dEtapa!$B$2:$B$6,0)),"Sin etapa")</f>
        <v>Criterio 3</v>
      </c>
      <c r="Q339" s="9" t="n">
        <f aca="false">IF(L339="Si",1,0)</f>
        <v>0</v>
      </c>
      <c r="R339" s="9" t="n">
        <f aca="false">IF(ISNUMBER(SEARCH("CRITERIO",N339)),1,0)</f>
        <v>1</v>
      </c>
      <c r="S339" s="9" t="str">
        <f aca="false">IF(E339="","Sin dato",LEFT(E339,1))</f>
        <v>E</v>
      </c>
      <c r="T339" s="9" t="n">
        <f aca="false">IFERROR(INDEX(dCriticidad!$G$2:$G$7,MATCH(S339,dCriticidad!$A$2:$A$7,0)),0)</f>
        <v>0</v>
      </c>
      <c r="U339" s="9" t="n">
        <f aca="false">IF(OR(LEFT(C339,3)="GI0",LEFT(C339,3)="GA0"),1,0)</f>
        <v>0</v>
      </c>
      <c r="V339" s="9" t="str">
        <f aca="false">IF(G339="","Sin dato (ID GI)",TRIM(G339))</f>
        <v>AREAS_DE_APOYO</v>
      </c>
      <c r="W339" s="9" t="str">
        <f aca="false">IF(F339="","Sin dato",F339)</f>
        <v>Nube</v>
      </c>
      <c r="X339" s="9" t="str">
        <f aca="false">IF(M339="","",YEAR(M339))</f>
        <v/>
      </c>
      <c r="Y339" s="10" t="str">
        <f aca="false">IF(M339="","",DATE(YEAR(M339),MONTH(M339),1))</f>
        <v/>
      </c>
      <c r="Z339" s="9" t="n">
        <f aca="false">IF(AND(Q339=0,COUNTIF(dDuplicadosGI!$A$2:$A$60,C339)&gt;0),1,0)</f>
        <v>0</v>
      </c>
      <c r="AA339" s="9" t="n">
        <f aca="false">IF(Q339=0,1,0)</f>
        <v>1</v>
      </c>
    </row>
    <row r="340" customFormat="false" ht="15" hidden="false" customHeight="false" outlineLevel="0" collapsed="false">
      <c r="A340" s="7" t="n">
        <v>339</v>
      </c>
      <c r="B340" s="7" t="s">
        <v>1260</v>
      </c>
      <c r="C340" s="7" t="s">
        <v>1261</v>
      </c>
      <c r="D340" s="7"/>
      <c r="E340" s="7" t="s">
        <v>119</v>
      </c>
      <c r="F340" s="7" t="s">
        <v>82</v>
      </c>
      <c r="G340" s="7" t="s">
        <v>243</v>
      </c>
      <c r="H340" s="7" t="s">
        <v>244</v>
      </c>
      <c r="I340" s="7"/>
      <c r="J340" s="7"/>
      <c r="K340" s="7"/>
      <c r="L340" s="7" t="s">
        <v>99</v>
      </c>
      <c r="M340" s="8"/>
      <c r="N340" s="7" t="s">
        <v>109</v>
      </c>
      <c r="O340" s="9" t="n">
        <f aca="false">IF(COUNTIFS($B$2:B340,B340,$C$2:C340,C340)=1,1,0)</f>
        <v>1</v>
      </c>
      <c r="P340" s="9" t="str">
        <f aca="false">IFERROR(INDEX(dEtapa!$A$2:$A$6,MATCH(N340,dEtapa!$B$2:$B$6,0)),"Sin etapa")</f>
        <v>Planificada 2027</v>
      </c>
      <c r="Q340" s="9" t="n">
        <f aca="false">IF(L340="Si",1,0)</f>
        <v>0</v>
      </c>
      <c r="R340" s="9" t="n">
        <f aca="false">IF(ISNUMBER(SEARCH("CRITERIO",N340)),1,0)</f>
        <v>0</v>
      </c>
      <c r="S340" s="9" t="str">
        <f aca="false">IF(E340="","Sin dato",LEFT(E340,1))</f>
        <v>E</v>
      </c>
      <c r="T340" s="9" t="n">
        <f aca="false">IFERROR(INDEX(dCriticidad!$G$2:$G$7,MATCH(S340,dCriticidad!$A$2:$A$7,0)),0)</f>
        <v>0</v>
      </c>
      <c r="U340" s="9" t="n">
        <f aca="false">IF(OR(LEFT(C340,3)="GI0",LEFT(C340,3)="GA0"),1,0)</f>
        <v>0</v>
      </c>
      <c r="V340" s="9" t="str">
        <f aca="false">IF(G340="","Sin dato (ID GI)",TRIM(G340))</f>
        <v>MICROFINANZAS</v>
      </c>
      <c r="W340" s="9" t="str">
        <f aca="false">IF(F340="","Sin dato",F340)</f>
        <v>On Premise</v>
      </c>
      <c r="X340" s="9" t="str">
        <f aca="false">IF(M340="","",YEAR(M340))</f>
        <v/>
      </c>
      <c r="Y340" s="10" t="str">
        <f aca="false">IF(M340="","",DATE(YEAR(M340),MONTH(M340),1))</f>
        <v/>
      </c>
      <c r="Z340" s="9" t="n">
        <f aca="false">IF(AND(Q340=0,COUNTIF(dDuplicadosGI!$A$2:$A$60,C340)&gt;0),1,0)</f>
        <v>0</v>
      </c>
      <c r="AA340" s="9" t="n">
        <f aca="false">IF(Q340=0,1,0)</f>
        <v>1</v>
      </c>
    </row>
    <row r="341" customFormat="false" ht="15" hidden="false" customHeight="false" outlineLevel="0" collapsed="false">
      <c r="A341" s="7" t="n">
        <v>340</v>
      </c>
      <c r="B341" s="7" t="s">
        <v>1262</v>
      </c>
      <c r="C341" s="7" t="s">
        <v>1263</v>
      </c>
      <c r="D341" s="7"/>
      <c r="E341" s="7" t="s">
        <v>119</v>
      </c>
      <c r="F341" s="7" t="s">
        <v>82</v>
      </c>
      <c r="G341" s="7" t="s">
        <v>166</v>
      </c>
      <c r="H341" s="7" t="s">
        <v>1264</v>
      </c>
      <c r="I341" s="7" t="s">
        <v>1265</v>
      </c>
      <c r="J341" s="7" t="s">
        <v>1264</v>
      </c>
      <c r="K341" s="7" t="s">
        <v>170</v>
      </c>
      <c r="L341" s="7" t="s">
        <v>99</v>
      </c>
      <c r="M341" s="8"/>
      <c r="N341" s="7" t="s">
        <v>189</v>
      </c>
      <c r="O341" s="9" t="n">
        <f aca="false">IF(COUNTIFS($B$2:B341,B341,$C$2:C341,C341)=1,1,0)</f>
        <v>1</v>
      </c>
      <c r="P341" s="9" t="str">
        <f aca="false">IFERROR(INDEX(dEtapa!$A$2:$A$6,MATCH(N341,dEtapa!$B$2:$B$6,0)),"Sin etapa")</f>
        <v>Criterio 3</v>
      </c>
      <c r="Q341" s="9" t="n">
        <f aca="false">IF(L341="Si",1,0)</f>
        <v>0</v>
      </c>
      <c r="R341" s="9" t="n">
        <f aca="false">IF(ISNUMBER(SEARCH("CRITERIO",N341)),1,0)</f>
        <v>1</v>
      </c>
      <c r="S341" s="9" t="str">
        <f aca="false">IF(E341="","Sin dato",LEFT(E341,1))</f>
        <v>E</v>
      </c>
      <c r="T341" s="9" t="n">
        <f aca="false">IFERROR(INDEX(dCriticidad!$G$2:$G$7,MATCH(S341,dCriticidad!$A$2:$A$7,0)),0)</f>
        <v>0</v>
      </c>
      <c r="U341" s="9" t="n">
        <f aca="false">IF(OR(LEFT(C341,3)="GI0",LEFT(C341,3)="GA0"),1,0)</f>
        <v>0</v>
      </c>
      <c r="V341" s="9" t="str">
        <f aca="false">IF(G341="","Sin dato (ID GI)",TRIM(G341))</f>
        <v>Ciberseguridad</v>
      </c>
      <c r="W341" s="9" t="str">
        <f aca="false">IF(F341="","Sin dato",F341)</f>
        <v>On Premise</v>
      </c>
      <c r="X341" s="9" t="str">
        <f aca="false">IF(M341="","",YEAR(M341))</f>
        <v/>
      </c>
      <c r="Y341" s="10" t="str">
        <f aca="false">IF(M341="","",DATE(YEAR(M341),MONTH(M341),1))</f>
        <v/>
      </c>
      <c r="Z341" s="9" t="n">
        <f aca="false">IF(AND(Q341=0,COUNTIF(dDuplicadosGI!$A$2:$A$60,C341)&gt;0),1,0)</f>
        <v>0</v>
      </c>
      <c r="AA341" s="9" t="n">
        <f aca="false">IF(Q341=0,1,0)</f>
        <v>1</v>
      </c>
    </row>
    <row r="342" customFormat="false" ht="15" hidden="false" customHeight="false" outlineLevel="0" collapsed="false">
      <c r="A342" s="7" t="n">
        <v>341</v>
      </c>
      <c r="B342" s="7" t="s">
        <v>1266</v>
      </c>
      <c r="C342" s="7" t="s">
        <v>1267</v>
      </c>
      <c r="D342" s="7"/>
      <c r="E342" s="7" t="s">
        <v>119</v>
      </c>
      <c r="F342" s="7" t="s">
        <v>82</v>
      </c>
      <c r="G342" s="7" t="s">
        <v>104</v>
      </c>
      <c r="H342" s="7" t="s">
        <v>105</v>
      </c>
      <c r="I342" s="7" t="s">
        <v>120</v>
      </c>
      <c r="J342" s="7" t="s">
        <v>641</v>
      </c>
      <c r="K342" s="7" t="s">
        <v>108</v>
      </c>
      <c r="L342" s="7" t="s">
        <v>99</v>
      </c>
      <c r="M342" s="8"/>
      <c r="N342" s="7" t="s">
        <v>109</v>
      </c>
      <c r="O342" s="9" t="n">
        <f aca="false">IF(COUNTIFS($B$2:B342,B342,$C$2:C342,C342)=1,1,0)</f>
        <v>1</v>
      </c>
      <c r="P342" s="9" t="str">
        <f aca="false">IFERROR(INDEX(dEtapa!$A$2:$A$6,MATCH(N342,dEtapa!$B$2:$B$6,0)),"Sin etapa")</f>
        <v>Planificada 2027</v>
      </c>
      <c r="Q342" s="9" t="n">
        <f aca="false">IF(L342="Si",1,0)</f>
        <v>0</v>
      </c>
      <c r="R342" s="9" t="n">
        <f aca="false">IF(ISNUMBER(SEARCH("CRITERIO",N342)),1,0)</f>
        <v>0</v>
      </c>
      <c r="S342" s="9" t="str">
        <f aca="false">IF(E342="","Sin dato",LEFT(E342,1))</f>
        <v>E</v>
      </c>
      <c r="T342" s="9" t="n">
        <f aca="false">IFERROR(INDEX(dCriticidad!$G$2:$G$7,MATCH(S342,dCriticidad!$A$2:$A$7,0)),0)</f>
        <v>0</v>
      </c>
      <c r="U342" s="9" t="n">
        <f aca="false">IF(OR(LEFT(C342,3)="GI0",LEFT(C342,3)="GA0"),1,0)</f>
        <v>0</v>
      </c>
      <c r="V342" s="9" t="str">
        <f aca="false">IF(G342="","Sin dato (ID GI)",TRIM(G342))</f>
        <v>INFRAESTRUCTURA</v>
      </c>
      <c r="W342" s="9" t="str">
        <f aca="false">IF(F342="","Sin dato",F342)</f>
        <v>On Premise</v>
      </c>
      <c r="X342" s="9" t="str">
        <f aca="false">IF(M342="","",YEAR(M342))</f>
        <v/>
      </c>
      <c r="Y342" s="10" t="str">
        <f aca="false">IF(M342="","",DATE(YEAR(M342),MONTH(M342),1))</f>
        <v/>
      </c>
      <c r="Z342" s="9" t="n">
        <f aca="false">IF(AND(Q342=0,COUNTIF(dDuplicadosGI!$A$2:$A$60,C342)&gt;0),1,0)</f>
        <v>0</v>
      </c>
      <c r="AA342" s="9" t="n">
        <f aca="false">IF(Q342=0,1,0)</f>
        <v>1</v>
      </c>
    </row>
    <row r="343" customFormat="false" ht="15" hidden="false" customHeight="false" outlineLevel="0" collapsed="false">
      <c r="A343" s="7" t="n">
        <v>342</v>
      </c>
      <c r="B343" s="7" t="s">
        <v>1268</v>
      </c>
      <c r="C343" s="7" t="s">
        <v>1269</v>
      </c>
      <c r="D343" s="7" t="s">
        <v>1270</v>
      </c>
      <c r="E343" s="7" t="s">
        <v>119</v>
      </c>
      <c r="F343" s="7" t="s">
        <v>94</v>
      </c>
      <c r="G343" s="7" t="s">
        <v>451</v>
      </c>
      <c r="H343" s="7" t="s">
        <v>452</v>
      </c>
      <c r="I343" s="7" t="s">
        <v>1271</v>
      </c>
      <c r="J343" s="7" t="s">
        <v>1272</v>
      </c>
      <c r="K343" s="7" t="s">
        <v>87</v>
      </c>
      <c r="L343" s="7" t="s">
        <v>88</v>
      </c>
      <c r="M343" s="8" t="n">
        <v>46246</v>
      </c>
      <c r="N343" s="7" t="s">
        <v>89</v>
      </c>
      <c r="O343" s="9" t="n">
        <f aca="false">IF(COUNTIFS($B$2:B343,B343,$C$2:C343,C343)=1,1,0)</f>
        <v>1</v>
      </c>
      <c r="P343" s="9" t="str">
        <f aca="false">IFERROR(INDEX(dEtapa!$A$2:$A$6,MATCH(N343,dEtapa!$B$2:$B$6,0)),"Sin etapa")</f>
        <v>Gobernada</v>
      </c>
      <c r="Q343" s="9" t="n">
        <f aca="false">IF(L343="Si",1,0)</f>
        <v>1</v>
      </c>
      <c r="R343" s="9" t="n">
        <f aca="false">IF(ISNUMBER(SEARCH("CRITERIO",N343)),1,0)</f>
        <v>0</v>
      </c>
      <c r="S343" s="9" t="str">
        <f aca="false">IF(E343="","Sin dato",LEFT(E343,1))</f>
        <v>E</v>
      </c>
      <c r="T343" s="9" t="n">
        <f aca="false">IFERROR(INDEX(dCriticidad!$G$2:$G$7,MATCH(S343,dCriticidad!$A$2:$A$7,0)),0)</f>
        <v>0</v>
      </c>
      <c r="U343" s="9" t="n">
        <f aca="false">IF(OR(LEFT(C343,3)="GI0",LEFT(C343,3)="GA0"),1,0)</f>
        <v>0</v>
      </c>
      <c r="V343" s="9" t="str">
        <f aca="false">IF(G343="","Sin dato (ID GI)",TRIM(G343))</f>
        <v>COE de Ingeniería</v>
      </c>
      <c r="W343" s="9" t="str">
        <f aca="false">IF(F343="","Sin dato",F343)</f>
        <v>Nube</v>
      </c>
      <c r="X343" s="9" t="n">
        <f aca="false">IF(M343="","",YEAR(M343))</f>
        <v>2026</v>
      </c>
      <c r="Y343" s="10" t="n">
        <f aca="false">IF(M343="","",DATE(YEAR(M343),MONTH(M343),1))</f>
        <v>46235</v>
      </c>
      <c r="Z343" s="9" t="n">
        <f aca="false">IF(AND(Q343=0,COUNTIF(dDuplicadosGI!$A$2:$A$60,C343)&gt;0),1,0)</f>
        <v>0</v>
      </c>
      <c r="AA343" s="9" t="n">
        <f aca="false">IF(Q343=0,1,0)</f>
        <v>0</v>
      </c>
    </row>
    <row r="344" customFormat="false" ht="15" hidden="false" customHeight="false" outlineLevel="0" collapsed="false">
      <c r="A344" s="7" t="n">
        <v>343</v>
      </c>
      <c r="B344" s="7" t="s">
        <v>1273</v>
      </c>
      <c r="C344" s="7" t="s">
        <v>1274</v>
      </c>
      <c r="D344" s="7" t="s">
        <v>1275</v>
      </c>
      <c r="E344" s="7"/>
      <c r="F344" s="7" t="s">
        <v>94</v>
      </c>
      <c r="G344" s="7"/>
      <c r="H344" s="7" t="s">
        <v>1276</v>
      </c>
      <c r="I344" s="7" t="s">
        <v>1276</v>
      </c>
      <c r="J344" s="7" t="s">
        <v>1277</v>
      </c>
      <c r="K344" s="7" t="s">
        <v>463</v>
      </c>
      <c r="L344" s="7" t="s">
        <v>88</v>
      </c>
      <c r="M344" s="8" t="n">
        <v>46245</v>
      </c>
      <c r="N344" s="7" t="s">
        <v>89</v>
      </c>
      <c r="O344" s="9" t="n">
        <f aca="false">IF(COUNTIFS($B$2:B344,B344,$C$2:C344,C344)=1,1,0)</f>
        <v>1</v>
      </c>
      <c r="P344" s="9" t="str">
        <f aca="false">IFERROR(INDEX(dEtapa!$A$2:$A$6,MATCH(N344,dEtapa!$B$2:$B$6,0)),"Sin etapa")</f>
        <v>Gobernada</v>
      </c>
      <c r="Q344" s="9" t="n">
        <f aca="false">IF(L344="Si",1,0)</f>
        <v>1</v>
      </c>
      <c r="R344" s="9" t="n">
        <f aca="false">IF(ISNUMBER(SEARCH("CRITERIO",N344)),1,0)</f>
        <v>0</v>
      </c>
      <c r="S344" s="9" t="str">
        <f aca="false">IF(E344="","Sin dato",LEFT(E344,1))</f>
        <v>Sin dato</v>
      </c>
      <c r="T344" s="9" t="n">
        <f aca="false">IFERROR(INDEX(dCriticidad!$G$2:$G$7,MATCH(S344,dCriticidad!$A$2:$A$7,0)),0)</f>
        <v>0</v>
      </c>
      <c r="U344" s="9" t="n">
        <f aca="false">IF(OR(LEFT(C344,3)="GI0",LEFT(C344,3)="GA0"),1,0)</f>
        <v>1</v>
      </c>
      <c r="V344" s="9" t="str">
        <f aca="false">IF(G344="","Sin dato (ID GI)",TRIM(G344))</f>
        <v>Sin dato (ID GI)</v>
      </c>
      <c r="W344" s="9" t="str">
        <f aca="false">IF(F344="","Sin dato",F344)</f>
        <v>Nube</v>
      </c>
      <c r="X344" s="9" t="n">
        <f aca="false">IF(M344="","",YEAR(M344))</f>
        <v>2026</v>
      </c>
      <c r="Y344" s="10" t="n">
        <f aca="false">IF(M344="","",DATE(YEAR(M344),MONTH(M344),1))</f>
        <v>46235</v>
      </c>
      <c r="Z344" s="9" t="n">
        <f aca="false">IF(AND(Q344=0,COUNTIF(dDuplicadosGI!$A$2:$A$60,C344)&gt;0),1,0)</f>
        <v>0</v>
      </c>
      <c r="AA344" s="9" t="n">
        <f aca="false">IF(Q344=0,1,0)</f>
        <v>0</v>
      </c>
    </row>
    <row r="345" customFormat="false" ht="15" hidden="false" customHeight="false" outlineLevel="0" collapsed="false">
      <c r="A345" s="7" t="n">
        <v>344</v>
      </c>
      <c r="B345" s="7" t="s">
        <v>1278</v>
      </c>
      <c r="C345" s="7" t="s">
        <v>1279</v>
      </c>
      <c r="D345" s="7"/>
      <c r="E345" s="7" t="s">
        <v>119</v>
      </c>
      <c r="F345" s="7" t="s">
        <v>82</v>
      </c>
      <c r="G345" s="7" t="s">
        <v>337</v>
      </c>
      <c r="H345" s="7" t="s">
        <v>338</v>
      </c>
      <c r="I345" s="7" t="s">
        <v>338</v>
      </c>
      <c r="J345" s="7" t="s">
        <v>1280</v>
      </c>
      <c r="K345" s="7" t="s">
        <v>108</v>
      </c>
      <c r="L345" s="7" t="s">
        <v>99</v>
      </c>
      <c r="M345" s="8"/>
      <c r="N345" s="7" t="s">
        <v>109</v>
      </c>
      <c r="O345" s="9" t="n">
        <f aca="false">IF(COUNTIFS($B$2:B345,B345,$C$2:C345,C345)=1,1,0)</f>
        <v>1</v>
      </c>
      <c r="P345" s="9" t="str">
        <f aca="false">IFERROR(INDEX(dEtapa!$A$2:$A$6,MATCH(N345,dEtapa!$B$2:$B$6,0)),"Sin etapa")</f>
        <v>Planificada 2027</v>
      </c>
      <c r="Q345" s="9" t="n">
        <f aca="false">IF(L345="Si",1,0)</f>
        <v>0</v>
      </c>
      <c r="R345" s="9" t="n">
        <f aca="false">IF(ISNUMBER(SEARCH("CRITERIO",N345)),1,0)</f>
        <v>0</v>
      </c>
      <c r="S345" s="9" t="str">
        <f aca="false">IF(E345="","Sin dato",LEFT(E345,1))</f>
        <v>E</v>
      </c>
      <c r="T345" s="9" t="n">
        <f aca="false">IFERROR(INDEX(dCriticidad!$G$2:$G$7,MATCH(S345,dCriticidad!$A$2:$A$7,0)),0)</f>
        <v>0</v>
      </c>
      <c r="U345" s="9" t="n">
        <f aca="false">IF(OR(LEFT(C345,3)="GI0",LEFT(C345,3)="GA0"),1,0)</f>
        <v>0</v>
      </c>
      <c r="V345" s="9" t="str">
        <f aca="false">IF(G345="","Sin dato (ID GI)",TRIM(G345))</f>
        <v>Gerencia SRE</v>
      </c>
      <c r="W345" s="9" t="str">
        <f aca="false">IF(F345="","Sin dato",F345)</f>
        <v>On Premise</v>
      </c>
      <c r="X345" s="9" t="str">
        <f aca="false">IF(M345="","",YEAR(M345))</f>
        <v/>
      </c>
      <c r="Y345" s="10" t="str">
        <f aca="false">IF(M345="","",DATE(YEAR(M345),MONTH(M345),1))</f>
        <v/>
      </c>
      <c r="Z345" s="9" t="n">
        <f aca="false">IF(AND(Q345=0,COUNTIF(dDuplicadosGI!$A$2:$A$60,C345)&gt;0),1,0)</f>
        <v>0</v>
      </c>
      <c r="AA345" s="9" t="n">
        <f aca="false">IF(Q345=0,1,0)</f>
        <v>1</v>
      </c>
    </row>
    <row r="346" customFormat="false" ht="15" hidden="false" customHeight="false" outlineLevel="0" collapsed="false">
      <c r="A346" s="7" t="n">
        <v>345</v>
      </c>
      <c r="B346" s="7" t="s">
        <v>1281</v>
      </c>
      <c r="C346" s="7" t="s">
        <v>1282</v>
      </c>
      <c r="D346" s="7"/>
      <c r="E346" s="7" t="s">
        <v>145</v>
      </c>
      <c r="F346" s="7" t="s">
        <v>82</v>
      </c>
      <c r="G346" s="7" t="s">
        <v>401</v>
      </c>
      <c r="H346" s="7" t="s">
        <v>402</v>
      </c>
      <c r="I346" s="7" t="s">
        <v>475</v>
      </c>
      <c r="J346" s="7" t="s">
        <v>1283</v>
      </c>
      <c r="K346" s="7" t="s">
        <v>87</v>
      </c>
      <c r="L346" s="7" t="s">
        <v>99</v>
      </c>
      <c r="M346" s="8"/>
      <c r="N346" s="7" t="s">
        <v>109</v>
      </c>
      <c r="O346" s="9" t="n">
        <f aca="false">IF(COUNTIFS($B$2:B346,B346,$C$2:C346,C346)=1,1,0)</f>
        <v>1</v>
      </c>
      <c r="P346" s="9" t="str">
        <f aca="false">IFERROR(INDEX(dEtapa!$A$2:$A$6,MATCH(N346,dEtapa!$B$2:$B$6,0)),"Sin etapa")</f>
        <v>Planificada 2027</v>
      </c>
      <c r="Q346" s="9" t="n">
        <f aca="false">IF(L346="Si",1,0)</f>
        <v>0</v>
      </c>
      <c r="R346" s="9" t="n">
        <f aca="false">IF(ISNUMBER(SEARCH("CRITERIO",N346)),1,0)</f>
        <v>0</v>
      </c>
      <c r="S346" s="9" t="str">
        <f aca="false">IF(E346="","Sin dato",LEFT(E346,1))</f>
        <v>B</v>
      </c>
      <c r="T346" s="9" t="n">
        <f aca="false">IFERROR(INDEX(dCriticidad!$G$2:$G$7,MATCH(S346,dCriticidad!$A$2:$A$7,0)),0)</f>
        <v>1</v>
      </c>
      <c r="U346" s="9" t="n">
        <f aca="false">IF(OR(LEFT(C346,3)="GI0",LEFT(C346,3)="GA0"),1,0)</f>
        <v>0</v>
      </c>
      <c r="V346" s="9" t="str">
        <f aca="false">IF(G346="","Sin dato (ID GI)",TRIM(G346))</f>
        <v>EMPRESAS</v>
      </c>
      <c r="W346" s="9" t="str">
        <f aca="false">IF(F346="","Sin dato",F346)</f>
        <v>On Premise</v>
      </c>
      <c r="X346" s="9" t="str">
        <f aca="false">IF(M346="","",YEAR(M346))</f>
        <v/>
      </c>
      <c r="Y346" s="10" t="str">
        <f aca="false">IF(M346="","",DATE(YEAR(M346),MONTH(M346),1))</f>
        <v/>
      </c>
      <c r="Z346" s="9" t="n">
        <f aca="false">IF(AND(Q346=0,COUNTIF(dDuplicadosGI!$A$2:$A$60,C346)&gt;0),1,0)</f>
        <v>0</v>
      </c>
      <c r="AA346" s="9" t="n">
        <f aca="false">IF(Q346=0,1,0)</f>
        <v>1</v>
      </c>
    </row>
    <row r="347" customFormat="false" ht="15" hidden="false" customHeight="false" outlineLevel="0" collapsed="false">
      <c r="A347" s="7" t="n">
        <v>346</v>
      </c>
      <c r="B347" s="7" t="s">
        <v>1284</v>
      </c>
      <c r="C347" s="7" t="s">
        <v>1285</v>
      </c>
      <c r="D347" s="7"/>
      <c r="E347" s="7" t="s">
        <v>113</v>
      </c>
      <c r="F347" s="7" t="s">
        <v>94</v>
      </c>
      <c r="G347" s="7" t="s">
        <v>1286</v>
      </c>
      <c r="H347" s="7" t="s">
        <v>126</v>
      </c>
      <c r="I347" s="7" t="s">
        <v>1287</v>
      </c>
      <c r="J347" s="7" t="s">
        <v>126</v>
      </c>
      <c r="K347" s="7" t="s">
        <v>98</v>
      </c>
      <c r="L347" s="7" t="s">
        <v>99</v>
      </c>
      <c r="M347" s="8"/>
      <c r="N347" s="7" t="s">
        <v>178</v>
      </c>
      <c r="O347" s="9" t="n">
        <f aca="false">IF(COUNTIFS($B$2:B347,B347,$C$2:C347,C347)=1,1,0)</f>
        <v>1</v>
      </c>
      <c r="P347" s="9" t="str">
        <f aca="false">IFERROR(INDEX(dEtapa!$A$2:$A$6,MATCH(N347,dEtapa!$B$2:$B$6,0)),"Sin etapa")</f>
        <v>Criterio 2</v>
      </c>
      <c r="Q347" s="9" t="n">
        <f aca="false">IF(L347="Si",1,0)</f>
        <v>0</v>
      </c>
      <c r="R347" s="9" t="n">
        <f aca="false">IF(ISNUMBER(SEARCH("CRITERIO",N347)),1,0)</f>
        <v>1</v>
      </c>
      <c r="S347" s="9" t="str">
        <f aca="false">IF(E347="","Sin dato",LEFT(E347,1))</f>
        <v>C</v>
      </c>
      <c r="T347" s="9" t="n">
        <f aca="false">IFERROR(INDEX(dCriticidad!$G$2:$G$7,MATCH(S347,dCriticidad!$A$2:$A$7,0)),0)</f>
        <v>1</v>
      </c>
      <c r="U347" s="9" t="n">
        <f aca="false">IF(OR(LEFT(C347,3)="GI0",LEFT(C347,3)="GA0"),1,0)</f>
        <v>0</v>
      </c>
      <c r="V347" s="9" t="str">
        <f aca="false">IF(G347="","Sin dato (ID GI)",TRIM(G347))</f>
        <v>Clientes y Segmentos</v>
      </c>
      <c r="W347" s="9" t="str">
        <f aca="false">IF(F347="","Sin dato",F347)</f>
        <v>Nube</v>
      </c>
      <c r="X347" s="9" t="str">
        <f aca="false">IF(M347="","",YEAR(M347))</f>
        <v/>
      </c>
      <c r="Y347" s="10" t="str">
        <f aca="false">IF(M347="","",DATE(YEAR(M347),MONTH(M347),1))</f>
        <v/>
      </c>
      <c r="Z347" s="9" t="n">
        <f aca="false">IF(AND(Q347=0,COUNTIF(dDuplicadosGI!$A$2:$A$60,C347)&gt;0),1,0)</f>
        <v>0</v>
      </c>
      <c r="AA347" s="9" t="n">
        <f aca="false">IF(Q347=0,1,0)</f>
        <v>1</v>
      </c>
    </row>
    <row r="348" customFormat="false" ht="15" hidden="false" customHeight="false" outlineLevel="0" collapsed="false">
      <c r="A348" s="7" t="n">
        <v>347</v>
      </c>
      <c r="B348" s="7" t="s">
        <v>1288</v>
      </c>
      <c r="C348" s="7" t="s">
        <v>1289</v>
      </c>
      <c r="D348" s="7"/>
      <c r="E348" s="7" t="s">
        <v>119</v>
      </c>
      <c r="F348" s="7" t="s">
        <v>152</v>
      </c>
      <c r="G348" s="7" t="s">
        <v>104</v>
      </c>
      <c r="H348" s="7" t="s">
        <v>105</v>
      </c>
      <c r="I348" s="7" t="s">
        <v>388</v>
      </c>
      <c r="J348" s="7" t="s">
        <v>389</v>
      </c>
      <c r="K348" s="7" t="s">
        <v>108</v>
      </c>
      <c r="L348" s="7" t="s">
        <v>99</v>
      </c>
      <c r="M348" s="8"/>
      <c r="N348" s="7" t="s">
        <v>109</v>
      </c>
      <c r="O348" s="9" t="n">
        <f aca="false">IF(COUNTIFS($B$2:B348,B348,$C$2:C348,C348)=1,1,0)</f>
        <v>1</v>
      </c>
      <c r="P348" s="9" t="str">
        <f aca="false">IFERROR(INDEX(dEtapa!$A$2:$A$6,MATCH(N348,dEtapa!$B$2:$B$6,0)),"Sin etapa")</f>
        <v>Planificada 2027</v>
      </c>
      <c r="Q348" s="9" t="n">
        <f aca="false">IF(L348="Si",1,0)</f>
        <v>0</v>
      </c>
      <c r="R348" s="9" t="n">
        <f aca="false">IF(ISNUMBER(SEARCH("CRITERIO",N348)),1,0)</f>
        <v>0</v>
      </c>
      <c r="S348" s="9" t="str">
        <f aca="false">IF(E348="","Sin dato",LEFT(E348,1))</f>
        <v>E</v>
      </c>
      <c r="T348" s="9" t="n">
        <f aca="false">IFERROR(INDEX(dCriticidad!$G$2:$G$7,MATCH(S348,dCriticidad!$A$2:$A$7,0)),0)</f>
        <v>0</v>
      </c>
      <c r="U348" s="9" t="n">
        <f aca="false">IF(OR(LEFT(C348,3)="GI0",LEFT(C348,3)="GA0"),1,0)</f>
        <v>0</v>
      </c>
      <c r="V348" s="9" t="str">
        <f aca="false">IF(G348="","Sin dato (ID GI)",TRIM(G348))</f>
        <v>INFRAESTRUCTURA</v>
      </c>
      <c r="W348" s="9" t="str">
        <f aca="false">IF(F348="","Sin dato",F348)</f>
        <v>Terceros</v>
      </c>
      <c r="X348" s="9" t="str">
        <f aca="false">IF(M348="","",YEAR(M348))</f>
        <v/>
      </c>
      <c r="Y348" s="10" t="str">
        <f aca="false">IF(M348="","",DATE(YEAR(M348),MONTH(M348),1))</f>
        <v/>
      </c>
      <c r="Z348" s="9" t="n">
        <f aca="false">IF(AND(Q348=0,COUNTIF(dDuplicadosGI!$A$2:$A$60,C348)&gt;0),1,0)</f>
        <v>0</v>
      </c>
      <c r="AA348" s="9" t="n">
        <f aca="false">IF(Q348=0,1,0)</f>
        <v>1</v>
      </c>
    </row>
    <row r="349" customFormat="false" ht="15" hidden="false" customHeight="false" outlineLevel="0" collapsed="false">
      <c r="A349" s="7" t="n">
        <v>348</v>
      </c>
      <c r="B349" s="7" t="s">
        <v>1290</v>
      </c>
      <c r="C349" s="7" t="s">
        <v>1291</v>
      </c>
      <c r="D349" s="7" t="s">
        <v>1292</v>
      </c>
      <c r="E349" s="7" t="s">
        <v>119</v>
      </c>
      <c r="F349" s="7" t="s">
        <v>82</v>
      </c>
      <c r="G349" s="7" t="s">
        <v>211</v>
      </c>
      <c r="H349" s="7" t="s">
        <v>212</v>
      </c>
      <c r="I349" s="7" t="s">
        <v>213</v>
      </c>
      <c r="J349" s="7" t="s">
        <v>214</v>
      </c>
      <c r="K349" s="7" t="s">
        <v>170</v>
      </c>
      <c r="L349" s="7" t="s">
        <v>88</v>
      </c>
      <c r="M349" s="8" t="n">
        <v>46247</v>
      </c>
      <c r="N349" s="7" t="s">
        <v>89</v>
      </c>
      <c r="O349" s="9" t="n">
        <f aca="false">IF(COUNTIFS($B$2:B349,B349,$C$2:C349,C349)=1,1,0)</f>
        <v>1</v>
      </c>
      <c r="P349" s="9" t="str">
        <f aca="false">IFERROR(INDEX(dEtapa!$A$2:$A$6,MATCH(N349,dEtapa!$B$2:$B$6,0)),"Sin etapa")</f>
        <v>Gobernada</v>
      </c>
      <c r="Q349" s="9" t="n">
        <f aca="false">IF(L349="Si",1,0)</f>
        <v>1</v>
      </c>
      <c r="R349" s="9" t="n">
        <f aca="false">IF(ISNUMBER(SEARCH("CRITERIO",N349)),1,0)</f>
        <v>0</v>
      </c>
      <c r="S349" s="9" t="str">
        <f aca="false">IF(E349="","Sin dato",LEFT(E349,1))</f>
        <v>E</v>
      </c>
      <c r="T349" s="9" t="n">
        <f aca="false">IFERROR(INDEX(dCriticidad!$G$2:$G$7,MATCH(S349,dCriticidad!$A$2:$A$7,0)),0)</f>
        <v>0</v>
      </c>
      <c r="U349" s="9" t="n">
        <f aca="false">IF(OR(LEFT(C349,3)="GI0",LEFT(C349,3)="GA0"),1,0)</f>
        <v>0</v>
      </c>
      <c r="V349" s="9" t="str">
        <f aca="false">IF(G349="","Sin dato (ID GI)",TRIM(G349))</f>
        <v>Tribu Ciberseguridad</v>
      </c>
      <c r="W349" s="9" t="str">
        <f aca="false">IF(F349="","Sin dato",F349)</f>
        <v>On Premise</v>
      </c>
      <c r="X349" s="9" t="n">
        <f aca="false">IF(M349="","",YEAR(M349))</f>
        <v>2026</v>
      </c>
      <c r="Y349" s="10" t="n">
        <f aca="false">IF(M349="","",DATE(YEAR(M349),MONTH(M349),1))</f>
        <v>46235</v>
      </c>
      <c r="Z349" s="9" t="n">
        <f aca="false">IF(AND(Q349=0,COUNTIF(dDuplicadosGI!$A$2:$A$60,C349)&gt;0),1,0)</f>
        <v>0</v>
      </c>
      <c r="AA349" s="9" t="n">
        <f aca="false">IF(Q349=0,1,0)</f>
        <v>0</v>
      </c>
    </row>
    <row r="350" customFormat="false" ht="15" hidden="false" customHeight="false" outlineLevel="0" collapsed="false">
      <c r="A350" s="7" t="n">
        <v>349</v>
      </c>
      <c r="B350" s="7" t="s">
        <v>1293</v>
      </c>
      <c r="C350" s="7" t="s">
        <v>1294</v>
      </c>
      <c r="D350" s="7" t="s">
        <v>1295</v>
      </c>
      <c r="E350" s="7" t="s">
        <v>119</v>
      </c>
      <c r="F350" s="7" t="s">
        <v>94</v>
      </c>
      <c r="G350" s="7" t="s">
        <v>192</v>
      </c>
      <c r="H350" s="7" t="s">
        <v>193</v>
      </c>
      <c r="I350" s="7" t="s">
        <v>1296</v>
      </c>
      <c r="J350" s="7" t="s">
        <v>195</v>
      </c>
      <c r="K350" s="7" t="s">
        <v>87</v>
      </c>
      <c r="L350" s="7" t="s">
        <v>88</v>
      </c>
      <c r="M350" s="8" t="n">
        <v>46262</v>
      </c>
      <c r="N350" s="7" t="s">
        <v>89</v>
      </c>
      <c r="O350" s="9" t="n">
        <f aca="false">IF(COUNTIFS($B$2:B350,B350,$C$2:C350,C350)=1,1,0)</f>
        <v>1</v>
      </c>
      <c r="P350" s="9" t="str">
        <f aca="false">IFERROR(INDEX(dEtapa!$A$2:$A$6,MATCH(N350,dEtapa!$B$2:$B$6,0)),"Sin etapa")</f>
        <v>Gobernada</v>
      </c>
      <c r="Q350" s="9" t="n">
        <f aca="false">IF(L350="Si",1,0)</f>
        <v>1</v>
      </c>
      <c r="R350" s="9" t="n">
        <f aca="false">IF(ISNUMBER(SEARCH("CRITERIO",N350)),1,0)</f>
        <v>0</v>
      </c>
      <c r="S350" s="9" t="str">
        <f aca="false">IF(E350="","Sin dato",LEFT(E350,1))</f>
        <v>E</v>
      </c>
      <c r="T350" s="9" t="n">
        <f aca="false">IFERROR(INDEX(dCriticidad!$G$2:$G$7,MATCH(S350,dCriticidad!$A$2:$A$7,0)),0)</f>
        <v>0</v>
      </c>
      <c r="U350" s="9" t="n">
        <f aca="false">IF(OR(LEFT(C350,3)="GI0",LEFT(C350,3)="GA0"),1,0)</f>
        <v>0</v>
      </c>
      <c r="V350" s="9" t="str">
        <f aca="false">IF(G350="","Sin dato (ID GI)",TRIM(G350))</f>
        <v>AREAS_DE_APOYO</v>
      </c>
      <c r="W350" s="9" t="str">
        <f aca="false">IF(F350="","Sin dato",F350)</f>
        <v>Nube</v>
      </c>
      <c r="X350" s="9" t="n">
        <f aca="false">IF(M350="","",YEAR(M350))</f>
        <v>2026</v>
      </c>
      <c r="Y350" s="10" t="n">
        <f aca="false">IF(M350="","",DATE(YEAR(M350),MONTH(M350),1))</f>
        <v>46235</v>
      </c>
      <c r="Z350" s="9" t="n">
        <f aca="false">IF(AND(Q350=0,COUNTIF(dDuplicadosGI!$A$2:$A$60,C350)&gt;0),1,0)</f>
        <v>0</v>
      </c>
      <c r="AA350" s="9" t="n">
        <f aca="false">IF(Q350=0,1,0)</f>
        <v>0</v>
      </c>
    </row>
    <row r="351" customFormat="false" ht="15" hidden="false" customHeight="false" outlineLevel="0" collapsed="false">
      <c r="A351" s="7" t="n">
        <v>350</v>
      </c>
      <c r="B351" s="7" t="s">
        <v>1297</v>
      </c>
      <c r="C351" s="7" t="s">
        <v>1298</v>
      </c>
      <c r="D351" s="7"/>
      <c r="E351" s="7" t="s">
        <v>113</v>
      </c>
      <c r="F351" s="7" t="s">
        <v>82</v>
      </c>
      <c r="G351" s="7" t="s">
        <v>104</v>
      </c>
      <c r="H351" s="7" t="s">
        <v>1234</v>
      </c>
      <c r="I351" s="7" t="s">
        <v>106</v>
      </c>
      <c r="J351" s="7" t="s">
        <v>432</v>
      </c>
      <c r="K351" s="7" t="s">
        <v>108</v>
      </c>
      <c r="L351" s="7" t="s">
        <v>99</v>
      </c>
      <c r="M351" s="8"/>
      <c r="N351" s="7" t="s">
        <v>109</v>
      </c>
      <c r="O351" s="9" t="n">
        <f aca="false">IF(COUNTIFS($B$2:B351,B351,$C$2:C351,C351)=1,1,0)</f>
        <v>1</v>
      </c>
      <c r="P351" s="9" t="str">
        <f aca="false">IFERROR(INDEX(dEtapa!$A$2:$A$6,MATCH(N351,dEtapa!$B$2:$B$6,0)),"Sin etapa")</f>
        <v>Planificada 2027</v>
      </c>
      <c r="Q351" s="9" t="n">
        <f aca="false">IF(L351="Si",1,0)</f>
        <v>0</v>
      </c>
      <c r="R351" s="9" t="n">
        <f aca="false">IF(ISNUMBER(SEARCH("CRITERIO",N351)),1,0)</f>
        <v>0</v>
      </c>
      <c r="S351" s="9" t="str">
        <f aca="false">IF(E351="","Sin dato",LEFT(E351,1))</f>
        <v>C</v>
      </c>
      <c r="T351" s="9" t="n">
        <f aca="false">IFERROR(INDEX(dCriticidad!$G$2:$G$7,MATCH(S351,dCriticidad!$A$2:$A$7,0)),0)</f>
        <v>1</v>
      </c>
      <c r="U351" s="9" t="n">
        <f aca="false">IF(OR(LEFT(C351,3)="GI0",LEFT(C351,3)="GA0"),1,0)</f>
        <v>0</v>
      </c>
      <c r="V351" s="9" t="str">
        <f aca="false">IF(G351="","Sin dato (ID GI)",TRIM(G351))</f>
        <v>INFRAESTRUCTURA</v>
      </c>
      <c r="W351" s="9" t="str">
        <f aca="false">IF(F351="","Sin dato",F351)</f>
        <v>On Premise</v>
      </c>
      <c r="X351" s="9" t="str">
        <f aca="false">IF(M351="","",YEAR(M351))</f>
        <v/>
      </c>
      <c r="Y351" s="10" t="str">
        <f aca="false">IF(M351="","",DATE(YEAR(M351),MONTH(M351),1))</f>
        <v/>
      </c>
      <c r="Z351" s="9" t="n">
        <f aca="false">IF(AND(Q351=0,COUNTIF(dDuplicadosGI!$A$2:$A$60,C351)&gt;0),1,0)</f>
        <v>0</v>
      </c>
      <c r="AA351" s="9" t="n">
        <f aca="false">IF(Q351=0,1,0)</f>
        <v>1</v>
      </c>
    </row>
    <row r="352" customFormat="false" ht="15" hidden="false" customHeight="false" outlineLevel="0" collapsed="false">
      <c r="A352" s="7" t="n">
        <v>351</v>
      </c>
      <c r="B352" s="7" t="s">
        <v>1299</v>
      </c>
      <c r="C352" s="7" t="s">
        <v>1300</v>
      </c>
      <c r="D352" s="7"/>
      <c r="E352" s="7" t="s">
        <v>119</v>
      </c>
      <c r="F352" s="7" t="s">
        <v>82</v>
      </c>
      <c r="G352" s="7" t="s">
        <v>494</v>
      </c>
      <c r="H352" s="7" t="s">
        <v>338</v>
      </c>
      <c r="I352" s="7" t="s">
        <v>495</v>
      </c>
      <c r="J352" s="7" t="s">
        <v>959</v>
      </c>
      <c r="K352" s="7" t="s">
        <v>170</v>
      </c>
      <c r="L352" s="7" t="s">
        <v>99</v>
      </c>
      <c r="M352" s="8"/>
      <c r="N352" s="7" t="s">
        <v>109</v>
      </c>
      <c r="O352" s="9" t="n">
        <f aca="false">IF(COUNTIFS($B$2:B352,B352,$C$2:C352,C352)=1,1,0)</f>
        <v>1</v>
      </c>
      <c r="P352" s="9" t="str">
        <f aca="false">IFERROR(INDEX(dEtapa!$A$2:$A$6,MATCH(N352,dEtapa!$B$2:$B$6,0)),"Sin etapa")</f>
        <v>Planificada 2027</v>
      </c>
      <c r="Q352" s="9" t="n">
        <f aca="false">IF(L352="Si",1,0)</f>
        <v>0</v>
      </c>
      <c r="R352" s="9" t="n">
        <f aca="false">IF(ISNUMBER(SEARCH("CRITERIO",N352)),1,0)</f>
        <v>0</v>
      </c>
      <c r="S352" s="9" t="str">
        <f aca="false">IF(E352="","Sin dato",LEFT(E352,1))</f>
        <v>E</v>
      </c>
      <c r="T352" s="9" t="n">
        <f aca="false">IFERROR(INDEX(dCriticidad!$G$2:$G$7,MATCH(S352,dCriticidad!$A$2:$A$7,0)),0)</f>
        <v>0</v>
      </c>
      <c r="U352" s="9" t="n">
        <f aca="false">IF(OR(LEFT(C352,3)="GI0",LEFT(C352,3)="GA0"),1,0)</f>
        <v>0</v>
      </c>
      <c r="V352" s="9" t="str">
        <f aca="false">IF(G352="","Sin dato (ID GI)",TRIM(G352))</f>
        <v>Gerencia Ingeniería de Seguridad Tecnológica</v>
      </c>
      <c r="W352" s="9" t="str">
        <f aca="false">IF(F352="","Sin dato",F352)</f>
        <v>On Premise</v>
      </c>
      <c r="X352" s="9" t="str">
        <f aca="false">IF(M352="","",YEAR(M352))</f>
        <v/>
      </c>
      <c r="Y352" s="10" t="str">
        <f aca="false">IF(M352="","",DATE(YEAR(M352),MONTH(M352),1))</f>
        <v/>
      </c>
      <c r="Z352" s="9" t="n">
        <f aca="false">IF(AND(Q352=0,COUNTIF(dDuplicadosGI!$A$2:$A$60,C352)&gt;0),1,0)</f>
        <v>0</v>
      </c>
      <c r="AA352" s="9" t="n">
        <f aca="false">IF(Q352=0,1,0)</f>
        <v>1</v>
      </c>
    </row>
    <row r="353" customFormat="false" ht="15" hidden="false" customHeight="false" outlineLevel="0" collapsed="false">
      <c r="A353" s="7" t="n">
        <v>352</v>
      </c>
      <c r="B353" s="7" t="s">
        <v>1301</v>
      </c>
      <c r="C353" s="7" t="s">
        <v>1302</v>
      </c>
      <c r="D353" s="7"/>
      <c r="E353" s="7" t="s">
        <v>119</v>
      </c>
      <c r="F353" s="7" t="s">
        <v>82</v>
      </c>
      <c r="G353" s="7" t="s">
        <v>104</v>
      </c>
      <c r="H353" s="7" t="s">
        <v>105</v>
      </c>
      <c r="I353" s="7" t="s">
        <v>106</v>
      </c>
      <c r="J353" s="7" t="s">
        <v>1303</v>
      </c>
      <c r="K353" s="7" t="s">
        <v>108</v>
      </c>
      <c r="L353" s="7" t="s">
        <v>99</v>
      </c>
      <c r="M353" s="8"/>
      <c r="N353" s="7" t="s">
        <v>109</v>
      </c>
      <c r="O353" s="9" t="n">
        <f aca="false">IF(COUNTIFS($B$2:B353,B353,$C$2:C353,C353)=1,1,0)</f>
        <v>1</v>
      </c>
      <c r="P353" s="9" t="str">
        <f aca="false">IFERROR(INDEX(dEtapa!$A$2:$A$6,MATCH(N353,dEtapa!$B$2:$B$6,0)),"Sin etapa")</f>
        <v>Planificada 2027</v>
      </c>
      <c r="Q353" s="9" t="n">
        <f aca="false">IF(L353="Si",1,0)</f>
        <v>0</v>
      </c>
      <c r="R353" s="9" t="n">
        <f aca="false">IF(ISNUMBER(SEARCH("CRITERIO",N353)),1,0)</f>
        <v>0</v>
      </c>
      <c r="S353" s="9" t="str">
        <f aca="false">IF(E353="","Sin dato",LEFT(E353,1))</f>
        <v>E</v>
      </c>
      <c r="T353" s="9" t="n">
        <f aca="false">IFERROR(INDEX(dCriticidad!$G$2:$G$7,MATCH(S353,dCriticidad!$A$2:$A$7,0)),0)</f>
        <v>0</v>
      </c>
      <c r="U353" s="9" t="n">
        <f aca="false">IF(OR(LEFT(C353,3)="GI0",LEFT(C353,3)="GA0"),1,0)</f>
        <v>0</v>
      </c>
      <c r="V353" s="9" t="str">
        <f aca="false">IF(G353="","Sin dato (ID GI)",TRIM(G353))</f>
        <v>INFRAESTRUCTURA</v>
      </c>
      <c r="W353" s="9" t="str">
        <f aca="false">IF(F353="","Sin dato",F353)</f>
        <v>On Premise</v>
      </c>
      <c r="X353" s="9" t="str">
        <f aca="false">IF(M353="","",YEAR(M353))</f>
        <v/>
      </c>
      <c r="Y353" s="10" t="str">
        <f aca="false">IF(M353="","",DATE(YEAR(M353),MONTH(M353),1))</f>
        <v/>
      </c>
      <c r="Z353" s="9" t="n">
        <f aca="false">IF(AND(Q353=0,COUNTIF(dDuplicadosGI!$A$2:$A$60,C353)&gt;0),1,0)</f>
        <v>0</v>
      </c>
      <c r="AA353" s="9" t="n">
        <f aca="false">IF(Q353=0,1,0)</f>
        <v>1</v>
      </c>
    </row>
    <row r="354" customFormat="false" ht="15" hidden="false" customHeight="false" outlineLevel="0" collapsed="false">
      <c r="A354" s="7" t="n">
        <v>353</v>
      </c>
      <c r="B354" s="7" t="s">
        <v>1304</v>
      </c>
      <c r="C354" s="7" t="s">
        <v>1305</v>
      </c>
      <c r="D354" s="7"/>
      <c r="E354" s="7" t="s">
        <v>113</v>
      </c>
      <c r="F354" s="7" t="s">
        <v>94</v>
      </c>
      <c r="G354" s="7" t="s">
        <v>199</v>
      </c>
      <c r="H354" s="7" t="s">
        <v>201</v>
      </c>
      <c r="I354" s="7" t="s">
        <v>1306</v>
      </c>
      <c r="J354" s="7" t="s">
        <v>1306</v>
      </c>
      <c r="K354" s="7"/>
      <c r="L354" s="7" t="s">
        <v>99</v>
      </c>
      <c r="M354" s="8"/>
      <c r="N354" s="7" t="s">
        <v>178</v>
      </c>
      <c r="O354" s="9" t="n">
        <f aca="false">IF(COUNTIFS($B$2:B354,B354,$C$2:C354,C354)=1,1,0)</f>
        <v>1</v>
      </c>
      <c r="P354" s="9" t="str">
        <f aca="false">IFERROR(INDEX(dEtapa!$A$2:$A$6,MATCH(N354,dEtapa!$B$2:$B$6,0)),"Sin etapa")</f>
        <v>Criterio 2</v>
      </c>
      <c r="Q354" s="9" t="n">
        <f aca="false">IF(L354="Si",1,0)</f>
        <v>0</v>
      </c>
      <c r="R354" s="9" t="n">
        <f aca="false">IF(ISNUMBER(SEARCH("CRITERIO",N354)),1,0)</f>
        <v>1</v>
      </c>
      <c r="S354" s="9" t="str">
        <f aca="false">IF(E354="","Sin dato",LEFT(E354,1))</f>
        <v>C</v>
      </c>
      <c r="T354" s="9" t="n">
        <f aca="false">IFERROR(INDEX(dCriticidad!$G$2:$G$7,MATCH(S354,dCriticidad!$A$2:$A$7,0)),0)</f>
        <v>1</v>
      </c>
      <c r="U354" s="9" t="n">
        <f aca="false">IF(OR(LEFT(C354,3)="GI0",LEFT(C354,3)="GA0"),1,0)</f>
        <v>0</v>
      </c>
      <c r="V354" s="9" t="str">
        <f aca="false">IF(G354="","Sin dato (ID GI)",TRIM(G354))</f>
        <v>Gerencia Arquitectura Usuario Final</v>
      </c>
      <c r="W354" s="9" t="str">
        <f aca="false">IF(F354="","Sin dato",F354)</f>
        <v>Nube</v>
      </c>
      <c r="X354" s="9" t="str">
        <f aca="false">IF(M354="","",YEAR(M354))</f>
        <v/>
      </c>
      <c r="Y354" s="10" t="str">
        <f aca="false">IF(M354="","",DATE(YEAR(M354),MONTH(M354),1))</f>
        <v/>
      </c>
      <c r="Z354" s="9" t="n">
        <f aca="false">IF(AND(Q354=0,COUNTIF(dDuplicadosGI!$A$2:$A$60,C354)&gt;0),1,0)</f>
        <v>0</v>
      </c>
      <c r="AA354" s="9" t="n">
        <f aca="false">IF(Q354=0,1,0)</f>
        <v>1</v>
      </c>
    </row>
    <row r="355" customFormat="false" ht="15" hidden="false" customHeight="false" outlineLevel="0" collapsed="false">
      <c r="A355" s="7" t="n">
        <v>354</v>
      </c>
      <c r="B355" s="7" t="s">
        <v>1307</v>
      </c>
      <c r="C355" s="7" t="s">
        <v>1308</v>
      </c>
      <c r="D355" s="7"/>
      <c r="E355" s="7" t="s">
        <v>119</v>
      </c>
      <c r="F355" s="7" t="s">
        <v>82</v>
      </c>
      <c r="G355" s="7" t="s">
        <v>104</v>
      </c>
      <c r="H355" s="7" t="s">
        <v>105</v>
      </c>
      <c r="I355" s="7" t="s">
        <v>106</v>
      </c>
      <c r="J355" s="7" t="s">
        <v>107</v>
      </c>
      <c r="K355" s="7"/>
      <c r="L355" s="7" t="s">
        <v>99</v>
      </c>
      <c r="M355" s="8"/>
      <c r="N355" s="7" t="s">
        <v>109</v>
      </c>
      <c r="O355" s="9" t="n">
        <f aca="false">IF(COUNTIFS($B$2:B355,B355,$C$2:C355,C355)=1,1,0)</f>
        <v>1</v>
      </c>
      <c r="P355" s="9" t="str">
        <f aca="false">IFERROR(INDEX(dEtapa!$A$2:$A$6,MATCH(N355,dEtapa!$B$2:$B$6,0)),"Sin etapa")</f>
        <v>Planificada 2027</v>
      </c>
      <c r="Q355" s="9" t="n">
        <f aca="false">IF(L355="Si",1,0)</f>
        <v>0</v>
      </c>
      <c r="R355" s="9" t="n">
        <f aca="false">IF(ISNUMBER(SEARCH("CRITERIO",N355)),1,0)</f>
        <v>0</v>
      </c>
      <c r="S355" s="9" t="str">
        <f aca="false">IF(E355="","Sin dato",LEFT(E355,1))</f>
        <v>E</v>
      </c>
      <c r="T355" s="9" t="n">
        <f aca="false">IFERROR(INDEX(dCriticidad!$G$2:$G$7,MATCH(S355,dCriticidad!$A$2:$A$7,0)),0)</f>
        <v>0</v>
      </c>
      <c r="U355" s="9" t="n">
        <f aca="false">IF(OR(LEFT(C355,3)="GI0",LEFT(C355,3)="GA0"),1,0)</f>
        <v>0</v>
      </c>
      <c r="V355" s="9" t="str">
        <f aca="false">IF(G355="","Sin dato (ID GI)",TRIM(G355))</f>
        <v>INFRAESTRUCTURA</v>
      </c>
      <c r="W355" s="9" t="str">
        <f aca="false">IF(F355="","Sin dato",F355)</f>
        <v>On Premise</v>
      </c>
      <c r="X355" s="9" t="str">
        <f aca="false">IF(M355="","",YEAR(M355))</f>
        <v/>
      </c>
      <c r="Y355" s="10" t="str">
        <f aca="false">IF(M355="","",DATE(YEAR(M355),MONTH(M355),1))</f>
        <v/>
      </c>
      <c r="Z355" s="9" t="n">
        <f aca="false">IF(AND(Q355=0,COUNTIF(dDuplicadosGI!$A$2:$A$60,C355)&gt;0),1,0)</f>
        <v>0</v>
      </c>
      <c r="AA355" s="9" t="n">
        <f aca="false">IF(Q355=0,1,0)</f>
        <v>1</v>
      </c>
    </row>
    <row r="356" customFormat="false" ht="15" hidden="false" customHeight="false" outlineLevel="0" collapsed="false">
      <c r="A356" s="7" t="n">
        <v>355</v>
      </c>
      <c r="B356" s="7" t="s">
        <v>1309</v>
      </c>
      <c r="C356" s="7" t="s">
        <v>1310</v>
      </c>
      <c r="D356" s="7"/>
      <c r="E356" s="7" t="s">
        <v>119</v>
      </c>
      <c r="F356" s="7" t="s">
        <v>82</v>
      </c>
      <c r="G356" s="7" t="s">
        <v>104</v>
      </c>
      <c r="H356" s="7" t="s">
        <v>105</v>
      </c>
      <c r="I356" s="7" t="s">
        <v>120</v>
      </c>
      <c r="J356" s="7" t="s">
        <v>1130</v>
      </c>
      <c r="K356" s="7"/>
      <c r="L356" s="7" t="s">
        <v>99</v>
      </c>
      <c r="M356" s="8"/>
      <c r="N356" s="7" t="s">
        <v>109</v>
      </c>
      <c r="O356" s="9" t="n">
        <f aca="false">IF(COUNTIFS($B$2:B356,B356,$C$2:C356,C356)=1,1,0)</f>
        <v>1</v>
      </c>
      <c r="P356" s="9" t="str">
        <f aca="false">IFERROR(INDEX(dEtapa!$A$2:$A$6,MATCH(N356,dEtapa!$B$2:$B$6,0)),"Sin etapa")</f>
        <v>Planificada 2027</v>
      </c>
      <c r="Q356" s="9" t="n">
        <f aca="false">IF(L356="Si",1,0)</f>
        <v>0</v>
      </c>
      <c r="R356" s="9" t="n">
        <f aca="false">IF(ISNUMBER(SEARCH("CRITERIO",N356)),1,0)</f>
        <v>0</v>
      </c>
      <c r="S356" s="9" t="str">
        <f aca="false">IF(E356="","Sin dato",LEFT(E356,1))</f>
        <v>E</v>
      </c>
      <c r="T356" s="9" t="n">
        <f aca="false">IFERROR(INDEX(dCriticidad!$G$2:$G$7,MATCH(S356,dCriticidad!$A$2:$A$7,0)),0)</f>
        <v>0</v>
      </c>
      <c r="U356" s="9" t="n">
        <f aca="false">IF(OR(LEFT(C356,3)="GI0",LEFT(C356,3)="GA0"),1,0)</f>
        <v>0</v>
      </c>
      <c r="V356" s="9" t="str">
        <f aca="false">IF(G356="","Sin dato (ID GI)",TRIM(G356))</f>
        <v>INFRAESTRUCTURA</v>
      </c>
      <c r="W356" s="9" t="str">
        <f aca="false">IF(F356="","Sin dato",F356)</f>
        <v>On Premise</v>
      </c>
      <c r="X356" s="9" t="str">
        <f aca="false">IF(M356="","",YEAR(M356))</f>
        <v/>
      </c>
      <c r="Y356" s="10" t="str">
        <f aca="false">IF(M356="","",DATE(YEAR(M356),MONTH(M356),1))</f>
        <v/>
      </c>
      <c r="Z356" s="9" t="n">
        <f aca="false">IF(AND(Q356=0,COUNTIF(dDuplicadosGI!$A$2:$A$60,C356)&gt;0),1,0)</f>
        <v>0</v>
      </c>
      <c r="AA356" s="9" t="n">
        <f aca="false">IF(Q356=0,1,0)</f>
        <v>1</v>
      </c>
    </row>
    <row r="357" customFormat="false" ht="15" hidden="false" customHeight="false" outlineLevel="0" collapsed="false">
      <c r="A357" s="7" t="n">
        <v>356</v>
      </c>
      <c r="B357" s="7" t="s">
        <v>1311</v>
      </c>
      <c r="C357" s="7" t="s">
        <v>1312</v>
      </c>
      <c r="D357" s="7"/>
      <c r="E357" s="7" t="s">
        <v>119</v>
      </c>
      <c r="F357" s="7" t="s">
        <v>82</v>
      </c>
      <c r="G357" s="7" t="s">
        <v>104</v>
      </c>
      <c r="H357" s="7" t="s">
        <v>105</v>
      </c>
      <c r="I357" s="7" t="s">
        <v>120</v>
      </c>
      <c r="J357" s="7" t="s">
        <v>1130</v>
      </c>
      <c r="K357" s="7"/>
      <c r="L357" s="7" t="s">
        <v>99</v>
      </c>
      <c r="M357" s="8"/>
      <c r="N357" s="7" t="s">
        <v>109</v>
      </c>
      <c r="O357" s="9" t="n">
        <f aca="false">IF(COUNTIFS($B$2:B357,B357,$C$2:C357,C357)=1,1,0)</f>
        <v>1</v>
      </c>
      <c r="P357" s="9" t="str">
        <f aca="false">IFERROR(INDEX(dEtapa!$A$2:$A$6,MATCH(N357,dEtapa!$B$2:$B$6,0)),"Sin etapa")</f>
        <v>Planificada 2027</v>
      </c>
      <c r="Q357" s="9" t="n">
        <f aca="false">IF(L357="Si",1,0)</f>
        <v>0</v>
      </c>
      <c r="R357" s="9" t="n">
        <f aca="false">IF(ISNUMBER(SEARCH("CRITERIO",N357)),1,0)</f>
        <v>0</v>
      </c>
      <c r="S357" s="9" t="str">
        <f aca="false">IF(E357="","Sin dato",LEFT(E357,1))</f>
        <v>E</v>
      </c>
      <c r="T357" s="9" t="n">
        <f aca="false">IFERROR(INDEX(dCriticidad!$G$2:$G$7,MATCH(S357,dCriticidad!$A$2:$A$7,0)),0)</f>
        <v>0</v>
      </c>
      <c r="U357" s="9" t="n">
        <f aca="false">IF(OR(LEFT(C357,3)="GI0",LEFT(C357,3)="GA0"),1,0)</f>
        <v>0</v>
      </c>
      <c r="V357" s="9" t="str">
        <f aca="false">IF(G357="","Sin dato (ID GI)",TRIM(G357))</f>
        <v>INFRAESTRUCTURA</v>
      </c>
      <c r="W357" s="9" t="str">
        <f aca="false">IF(F357="","Sin dato",F357)</f>
        <v>On Premise</v>
      </c>
      <c r="X357" s="9" t="str">
        <f aca="false">IF(M357="","",YEAR(M357))</f>
        <v/>
      </c>
      <c r="Y357" s="10" t="str">
        <f aca="false">IF(M357="","",DATE(YEAR(M357),MONTH(M357),1))</f>
        <v/>
      </c>
      <c r="Z357" s="9" t="n">
        <f aca="false">IF(AND(Q357=0,COUNTIF(dDuplicadosGI!$A$2:$A$60,C357)&gt;0),1,0)</f>
        <v>0</v>
      </c>
      <c r="AA357" s="9" t="n">
        <f aca="false">IF(Q357=0,1,0)</f>
        <v>1</v>
      </c>
    </row>
    <row r="358" customFormat="false" ht="15" hidden="false" customHeight="false" outlineLevel="0" collapsed="false">
      <c r="A358" s="7" t="n">
        <v>357</v>
      </c>
      <c r="B358" s="7" t="s">
        <v>1313</v>
      </c>
      <c r="C358" s="7" t="s">
        <v>1314</v>
      </c>
      <c r="D358" s="7"/>
      <c r="E358" s="7" t="s">
        <v>119</v>
      </c>
      <c r="F358" s="7" t="s">
        <v>94</v>
      </c>
      <c r="G358" s="7" t="s">
        <v>153</v>
      </c>
      <c r="H358" s="7" t="s">
        <v>154</v>
      </c>
      <c r="I358" s="7" t="s">
        <v>1315</v>
      </c>
      <c r="J358" s="7" t="s">
        <v>918</v>
      </c>
      <c r="K358" s="7"/>
      <c r="L358" s="7" t="s">
        <v>99</v>
      </c>
      <c r="M358" s="8"/>
      <c r="N358" s="7" t="s">
        <v>109</v>
      </c>
      <c r="O358" s="9" t="n">
        <f aca="false">IF(COUNTIFS($B$2:B358,B358,$C$2:C358,C358)=1,1,0)</f>
        <v>1</v>
      </c>
      <c r="P358" s="9" t="str">
        <f aca="false">IFERROR(INDEX(dEtapa!$A$2:$A$6,MATCH(N358,dEtapa!$B$2:$B$6,0)),"Sin etapa")</f>
        <v>Planificada 2027</v>
      </c>
      <c r="Q358" s="9" t="n">
        <f aca="false">IF(L358="Si",1,0)</f>
        <v>0</v>
      </c>
      <c r="R358" s="9" t="n">
        <f aca="false">IF(ISNUMBER(SEARCH("CRITERIO",N358)),1,0)</f>
        <v>0</v>
      </c>
      <c r="S358" s="9" t="str">
        <f aca="false">IF(E358="","Sin dato",LEFT(E358,1))</f>
        <v>E</v>
      </c>
      <c r="T358" s="9" t="n">
        <f aca="false">IFERROR(INDEX(dCriticidad!$G$2:$G$7,MATCH(S358,dCriticidad!$A$2:$A$7,0)),0)</f>
        <v>0</v>
      </c>
      <c r="U358" s="9" t="n">
        <f aca="false">IF(OR(LEFT(C358,3)="GI0",LEFT(C358,3)="GA0"),1,0)</f>
        <v>0</v>
      </c>
      <c r="V358" s="9" t="str">
        <f aca="false">IF(G358="","Sin dato (ID GI)",TRIM(G358))</f>
        <v>MEDIOS_DE_PAGO</v>
      </c>
      <c r="W358" s="9" t="str">
        <f aca="false">IF(F358="","Sin dato",F358)</f>
        <v>Nube</v>
      </c>
      <c r="X358" s="9" t="str">
        <f aca="false">IF(M358="","",YEAR(M358))</f>
        <v/>
      </c>
      <c r="Y358" s="10" t="str">
        <f aca="false">IF(M358="","",DATE(YEAR(M358),MONTH(M358),1))</f>
        <v/>
      </c>
      <c r="Z358" s="9" t="n">
        <f aca="false">IF(AND(Q358=0,COUNTIF(dDuplicadosGI!$A$2:$A$60,C358)&gt;0),1,0)</f>
        <v>0</v>
      </c>
      <c r="AA358" s="9" t="n">
        <f aca="false">IF(Q358=0,1,0)</f>
        <v>1</v>
      </c>
    </row>
    <row r="359" customFormat="false" ht="15" hidden="false" customHeight="false" outlineLevel="0" collapsed="false">
      <c r="A359" s="7" t="n">
        <v>358</v>
      </c>
      <c r="B359" s="7" t="s">
        <v>1316</v>
      </c>
      <c r="C359" s="7" t="s">
        <v>1317</v>
      </c>
      <c r="D359" s="7"/>
      <c r="E359" s="7" t="s">
        <v>119</v>
      </c>
      <c r="F359" s="7" t="s">
        <v>94</v>
      </c>
      <c r="G359" s="7" t="s">
        <v>104</v>
      </c>
      <c r="H359" s="7" t="s">
        <v>105</v>
      </c>
      <c r="I359" s="7" t="s">
        <v>380</v>
      </c>
      <c r="J359" s="7" t="s">
        <v>1318</v>
      </c>
      <c r="K359" s="7"/>
      <c r="L359" s="7" t="s">
        <v>99</v>
      </c>
      <c r="M359" s="8"/>
      <c r="N359" s="7" t="s">
        <v>109</v>
      </c>
      <c r="O359" s="9" t="n">
        <f aca="false">IF(COUNTIFS($B$2:B359,B359,$C$2:C359,C359)=1,1,0)</f>
        <v>1</v>
      </c>
      <c r="P359" s="9" t="str">
        <f aca="false">IFERROR(INDEX(dEtapa!$A$2:$A$6,MATCH(N359,dEtapa!$B$2:$B$6,0)),"Sin etapa")</f>
        <v>Planificada 2027</v>
      </c>
      <c r="Q359" s="9" t="n">
        <f aca="false">IF(L359="Si",1,0)</f>
        <v>0</v>
      </c>
      <c r="R359" s="9" t="n">
        <f aca="false">IF(ISNUMBER(SEARCH("CRITERIO",N359)),1,0)</f>
        <v>0</v>
      </c>
      <c r="S359" s="9" t="str">
        <f aca="false">IF(E359="","Sin dato",LEFT(E359,1))</f>
        <v>E</v>
      </c>
      <c r="T359" s="9" t="n">
        <f aca="false">IFERROR(INDEX(dCriticidad!$G$2:$G$7,MATCH(S359,dCriticidad!$A$2:$A$7,0)),0)</f>
        <v>0</v>
      </c>
      <c r="U359" s="9" t="n">
        <f aca="false">IF(OR(LEFT(C359,3)="GI0",LEFT(C359,3)="GA0"),1,0)</f>
        <v>0</v>
      </c>
      <c r="V359" s="9" t="str">
        <f aca="false">IF(G359="","Sin dato (ID GI)",TRIM(G359))</f>
        <v>INFRAESTRUCTURA</v>
      </c>
      <c r="W359" s="9" t="str">
        <f aca="false">IF(F359="","Sin dato",F359)</f>
        <v>Nube</v>
      </c>
      <c r="X359" s="9" t="str">
        <f aca="false">IF(M359="","",YEAR(M359))</f>
        <v/>
      </c>
      <c r="Y359" s="10" t="str">
        <f aca="false">IF(M359="","",DATE(YEAR(M359),MONTH(M359),1))</f>
        <v/>
      </c>
      <c r="Z359" s="9" t="n">
        <f aca="false">IF(AND(Q359=0,COUNTIF(dDuplicadosGI!$A$2:$A$60,C359)&gt;0),1,0)</f>
        <v>0</v>
      </c>
      <c r="AA359" s="9" t="n">
        <f aca="false">IF(Q359=0,1,0)</f>
        <v>1</v>
      </c>
    </row>
    <row r="360" customFormat="false" ht="15" hidden="false" customHeight="false" outlineLevel="0" collapsed="false">
      <c r="A360" s="7" t="n">
        <v>359</v>
      </c>
      <c r="B360" s="7" t="s">
        <v>1319</v>
      </c>
      <c r="C360" s="7" t="s">
        <v>1320</v>
      </c>
      <c r="D360" s="7"/>
      <c r="E360" s="7" t="s">
        <v>119</v>
      </c>
      <c r="F360" s="7" t="s">
        <v>82</v>
      </c>
      <c r="G360" s="7" t="s">
        <v>166</v>
      </c>
      <c r="H360" s="7" t="s">
        <v>1144</v>
      </c>
      <c r="I360" s="7" t="s">
        <v>1321</v>
      </c>
      <c r="J360" s="7" t="s">
        <v>1144</v>
      </c>
      <c r="K360" s="7"/>
      <c r="L360" s="7" t="s">
        <v>99</v>
      </c>
      <c r="M360" s="8"/>
      <c r="N360" s="7" t="s">
        <v>189</v>
      </c>
      <c r="O360" s="9" t="n">
        <f aca="false">IF(COUNTIFS($B$2:B360,B360,$C$2:C360,C360)=1,1,0)</f>
        <v>1</v>
      </c>
      <c r="P360" s="9" t="str">
        <f aca="false">IFERROR(INDEX(dEtapa!$A$2:$A$6,MATCH(N360,dEtapa!$B$2:$B$6,0)),"Sin etapa")</f>
        <v>Criterio 3</v>
      </c>
      <c r="Q360" s="9" t="n">
        <f aca="false">IF(L360="Si",1,0)</f>
        <v>0</v>
      </c>
      <c r="R360" s="9" t="n">
        <f aca="false">IF(ISNUMBER(SEARCH("CRITERIO",N360)),1,0)</f>
        <v>1</v>
      </c>
      <c r="S360" s="9" t="str">
        <f aca="false">IF(E360="","Sin dato",LEFT(E360,1))</f>
        <v>E</v>
      </c>
      <c r="T360" s="9" t="n">
        <f aca="false">IFERROR(INDEX(dCriticidad!$G$2:$G$7,MATCH(S360,dCriticidad!$A$2:$A$7,0)),0)</f>
        <v>0</v>
      </c>
      <c r="U360" s="9" t="n">
        <f aca="false">IF(OR(LEFT(C360,3)="GI0",LEFT(C360,3)="GA0"),1,0)</f>
        <v>0</v>
      </c>
      <c r="V360" s="9" t="str">
        <f aca="false">IF(G360="","Sin dato (ID GI)",TRIM(G360))</f>
        <v>Ciberseguridad</v>
      </c>
      <c r="W360" s="9" t="str">
        <f aca="false">IF(F360="","Sin dato",F360)</f>
        <v>On Premise</v>
      </c>
      <c r="X360" s="9" t="str">
        <f aca="false">IF(M360="","",YEAR(M360))</f>
        <v/>
      </c>
      <c r="Y360" s="10" t="str">
        <f aca="false">IF(M360="","",DATE(YEAR(M360),MONTH(M360),1))</f>
        <v/>
      </c>
      <c r="Z360" s="9" t="n">
        <f aca="false">IF(AND(Q360=0,COUNTIF(dDuplicadosGI!$A$2:$A$60,C360)&gt;0),1,0)</f>
        <v>0</v>
      </c>
      <c r="AA360" s="9" t="n">
        <f aca="false">IF(Q360=0,1,0)</f>
        <v>1</v>
      </c>
    </row>
    <row r="361" customFormat="false" ht="15" hidden="false" customHeight="false" outlineLevel="0" collapsed="false">
      <c r="A361" s="7" t="n">
        <v>360</v>
      </c>
      <c r="B361" s="7" t="s">
        <v>1322</v>
      </c>
      <c r="C361" s="7" t="s">
        <v>1323</v>
      </c>
      <c r="D361" s="7"/>
      <c r="E361" s="7" t="s">
        <v>93</v>
      </c>
      <c r="F361" s="7" t="s">
        <v>94</v>
      </c>
      <c r="G361" s="7" t="s">
        <v>146</v>
      </c>
      <c r="H361" s="7" t="s">
        <v>351</v>
      </c>
      <c r="I361" s="7" t="s">
        <v>350</v>
      </c>
      <c r="J361" s="7" t="s">
        <v>1324</v>
      </c>
      <c r="K361" s="7"/>
      <c r="L361" s="7" t="s">
        <v>99</v>
      </c>
      <c r="M361" s="8"/>
      <c r="N361" s="7" t="s">
        <v>109</v>
      </c>
      <c r="O361" s="9" t="n">
        <f aca="false">IF(COUNTIFS($B$2:B361,B361,$C$2:C361,C361)=1,1,0)</f>
        <v>1</v>
      </c>
      <c r="P361" s="9" t="str">
        <f aca="false">IFERROR(INDEX(dEtapa!$A$2:$A$6,MATCH(N361,dEtapa!$B$2:$B$6,0)),"Sin etapa")</f>
        <v>Planificada 2027</v>
      </c>
      <c r="Q361" s="9" t="n">
        <f aca="false">IF(L361="Si",1,0)</f>
        <v>0</v>
      </c>
      <c r="R361" s="9" t="n">
        <f aca="false">IF(ISNUMBER(SEARCH("CRITERIO",N361)),1,0)</f>
        <v>0</v>
      </c>
      <c r="S361" s="9" t="str">
        <f aca="false">IF(E361="","Sin dato",LEFT(E361,1))</f>
        <v>D</v>
      </c>
      <c r="T361" s="9" t="n">
        <f aca="false">IFERROR(INDEX(dCriticidad!$G$2:$G$7,MATCH(S361,dCriticidad!$A$2:$A$7,0)),0)</f>
        <v>0</v>
      </c>
      <c r="U361" s="9" t="n">
        <f aca="false">IF(OR(LEFT(C361,3)="GI0",LEFT(C361,3)="GA0"),1,0)</f>
        <v>0</v>
      </c>
      <c r="V361" s="9" t="str">
        <f aca="false">IF(G361="","Sin dato (ID GI)",TRIM(G361))</f>
        <v>Tribu_Integraciones_Apis</v>
      </c>
      <c r="W361" s="9" t="str">
        <f aca="false">IF(F361="","Sin dato",F361)</f>
        <v>Nube</v>
      </c>
      <c r="X361" s="9" t="str">
        <f aca="false">IF(M361="","",YEAR(M361))</f>
        <v/>
      </c>
      <c r="Y361" s="10" t="str">
        <f aca="false">IF(M361="","",DATE(YEAR(M361),MONTH(M361),1))</f>
        <v/>
      </c>
      <c r="Z361" s="9" t="n">
        <f aca="false">IF(AND(Q361=0,COUNTIF(dDuplicadosGI!$A$2:$A$60,C361)&gt;0),1,0)</f>
        <v>0</v>
      </c>
      <c r="AA361" s="9" t="n">
        <f aca="false">IF(Q361=0,1,0)</f>
        <v>1</v>
      </c>
    </row>
    <row r="362" customFormat="false" ht="15" hidden="false" customHeight="false" outlineLevel="0" collapsed="false">
      <c r="A362" s="7" t="n">
        <v>361</v>
      </c>
      <c r="B362" s="7" t="s">
        <v>1325</v>
      </c>
      <c r="C362" s="7" t="s">
        <v>1326</v>
      </c>
      <c r="D362" s="7"/>
      <c r="E362" s="7" t="s">
        <v>145</v>
      </c>
      <c r="F362" s="7" t="s">
        <v>94</v>
      </c>
      <c r="G362" s="7" t="s">
        <v>104</v>
      </c>
      <c r="H362" s="7" t="s">
        <v>105</v>
      </c>
      <c r="I362" s="7" t="s">
        <v>380</v>
      </c>
      <c r="J362" s="7" t="s">
        <v>1318</v>
      </c>
      <c r="K362" s="7"/>
      <c r="L362" s="7" t="s">
        <v>99</v>
      </c>
      <c r="M362" s="8"/>
      <c r="N362" s="7" t="s">
        <v>178</v>
      </c>
      <c r="O362" s="9" t="n">
        <f aca="false">IF(COUNTIFS($B$2:B362,B362,$C$2:C362,C362)=1,1,0)</f>
        <v>1</v>
      </c>
      <c r="P362" s="9" t="str">
        <f aca="false">IFERROR(INDEX(dEtapa!$A$2:$A$6,MATCH(N362,dEtapa!$B$2:$B$6,0)),"Sin etapa")</f>
        <v>Criterio 2</v>
      </c>
      <c r="Q362" s="9" t="n">
        <f aca="false">IF(L362="Si",1,0)</f>
        <v>0</v>
      </c>
      <c r="R362" s="9" t="n">
        <f aca="false">IF(ISNUMBER(SEARCH("CRITERIO",N362)),1,0)</f>
        <v>1</v>
      </c>
      <c r="S362" s="9" t="str">
        <f aca="false">IF(E362="","Sin dato",LEFT(E362,1))</f>
        <v>B</v>
      </c>
      <c r="T362" s="9" t="n">
        <f aca="false">IFERROR(INDEX(dCriticidad!$G$2:$G$7,MATCH(S362,dCriticidad!$A$2:$A$7,0)),0)</f>
        <v>1</v>
      </c>
      <c r="U362" s="9" t="n">
        <f aca="false">IF(OR(LEFT(C362,3)="GI0",LEFT(C362,3)="GA0"),1,0)</f>
        <v>0</v>
      </c>
      <c r="V362" s="9" t="str">
        <f aca="false">IF(G362="","Sin dato (ID GI)",TRIM(G362))</f>
        <v>INFRAESTRUCTURA</v>
      </c>
      <c r="W362" s="9" t="str">
        <f aca="false">IF(F362="","Sin dato",F362)</f>
        <v>Nube</v>
      </c>
      <c r="X362" s="9" t="str">
        <f aca="false">IF(M362="","",YEAR(M362))</f>
        <v/>
      </c>
      <c r="Y362" s="10" t="str">
        <f aca="false">IF(M362="","",DATE(YEAR(M362),MONTH(M362),1))</f>
        <v/>
      </c>
      <c r="Z362" s="9" t="n">
        <f aca="false">IF(AND(Q362=0,COUNTIF(dDuplicadosGI!$A$2:$A$60,C362)&gt;0),1,0)</f>
        <v>0</v>
      </c>
      <c r="AA362" s="9" t="n">
        <f aca="false">IF(Q362=0,1,0)</f>
        <v>1</v>
      </c>
    </row>
    <row r="363" customFormat="false" ht="15" hidden="false" customHeight="false" outlineLevel="0" collapsed="false">
      <c r="A363" s="7" t="n">
        <v>362</v>
      </c>
      <c r="B363" s="7" t="s">
        <v>1327</v>
      </c>
      <c r="C363" s="7" t="s">
        <v>1328</v>
      </c>
      <c r="D363" s="7"/>
      <c r="E363" s="7" t="s">
        <v>119</v>
      </c>
      <c r="F363" s="7" t="s">
        <v>152</v>
      </c>
      <c r="G363" s="7" t="s">
        <v>211</v>
      </c>
      <c r="H363" s="7" t="s">
        <v>212</v>
      </c>
      <c r="I363" s="7" t="s">
        <v>327</v>
      </c>
      <c r="J363" s="7" t="s">
        <v>214</v>
      </c>
      <c r="K363" s="7"/>
      <c r="L363" s="7" t="s">
        <v>99</v>
      </c>
      <c r="M363" s="8"/>
      <c r="N363" s="7" t="s">
        <v>109</v>
      </c>
      <c r="O363" s="9" t="n">
        <f aca="false">IF(COUNTIFS($B$2:B363,B363,$C$2:C363,C363)=1,1,0)</f>
        <v>1</v>
      </c>
      <c r="P363" s="9" t="str">
        <f aca="false">IFERROR(INDEX(dEtapa!$A$2:$A$6,MATCH(N363,dEtapa!$B$2:$B$6,0)),"Sin etapa")</f>
        <v>Planificada 2027</v>
      </c>
      <c r="Q363" s="9" t="n">
        <f aca="false">IF(L363="Si",1,0)</f>
        <v>0</v>
      </c>
      <c r="R363" s="9" t="n">
        <f aca="false">IF(ISNUMBER(SEARCH("CRITERIO",N363)),1,0)</f>
        <v>0</v>
      </c>
      <c r="S363" s="9" t="str">
        <f aca="false">IF(E363="","Sin dato",LEFT(E363,1))</f>
        <v>E</v>
      </c>
      <c r="T363" s="9" t="n">
        <f aca="false">IFERROR(INDEX(dCriticidad!$G$2:$G$7,MATCH(S363,dCriticidad!$A$2:$A$7,0)),0)</f>
        <v>0</v>
      </c>
      <c r="U363" s="9" t="n">
        <f aca="false">IF(OR(LEFT(C363,3)="GI0",LEFT(C363,3)="GA0"),1,0)</f>
        <v>0</v>
      </c>
      <c r="V363" s="9" t="str">
        <f aca="false">IF(G363="","Sin dato (ID GI)",TRIM(G363))</f>
        <v>Tribu Ciberseguridad</v>
      </c>
      <c r="W363" s="9" t="str">
        <f aca="false">IF(F363="","Sin dato",F363)</f>
        <v>Terceros</v>
      </c>
      <c r="X363" s="9" t="str">
        <f aca="false">IF(M363="","",YEAR(M363))</f>
        <v/>
      </c>
      <c r="Y363" s="10" t="str">
        <f aca="false">IF(M363="","",DATE(YEAR(M363),MONTH(M363),1))</f>
        <v/>
      </c>
      <c r="Z363" s="9" t="n">
        <f aca="false">IF(AND(Q363=0,COUNTIF(dDuplicadosGI!$A$2:$A$60,C363)&gt;0),1,0)</f>
        <v>0</v>
      </c>
      <c r="AA363" s="9" t="n">
        <f aca="false">IF(Q363=0,1,0)</f>
        <v>1</v>
      </c>
    </row>
    <row r="364" customFormat="false" ht="15" hidden="false" customHeight="false" outlineLevel="0" collapsed="false">
      <c r="A364" s="7" t="n">
        <v>363</v>
      </c>
      <c r="B364" s="7" t="s">
        <v>1329</v>
      </c>
      <c r="C364" s="7" t="s">
        <v>1330</v>
      </c>
      <c r="D364" s="7"/>
      <c r="E364" s="7" t="s">
        <v>119</v>
      </c>
      <c r="F364" s="7" t="s">
        <v>94</v>
      </c>
      <c r="G364" s="7" t="s">
        <v>192</v>
      </c>
      <c r="H364" s="7" t="s">
        <v>193</v>
      </c>
      <c r="I364" s="7" t="s">
        <v>193</v>
      </c>
      <c r="J364" s="7" t="s">
        <v>1331</v>
      </c>
      <c r="K364" s="7"/>
      <c r="L364" s="7" t="s">
        <v>99</v>
      </c>
      <c r="M364" s="8"/>
      <c r="N364" s="7" t="s">
        <v>109</v>
      </c>
      <c r="O364" s="9" t="n">
        <f aca="false">IF(COUNTIFS($B$2:B364,B364,$C$2:C364,C364)=1,1,0)</f>
        <v>1</v>
      </c>
      <c r="P364" s="9" t="str">
        <f aca="false">IFERROR(INDEX(dEtapa!$A$2:$A$6,MATCH(N364,dEtapa!$B$2:$B$6,0)),"Sin etapa")</f>
        <v>Planificada 2027</v>
      </c>
      <c r="Q364" s="9" t="n">
        <f aca="false">IF(L364="Si",1,0)</f>
        <v>0</v>
      </c>
      <c r="R364" s="9" t="n">
        <f aca="false">IF(ISNUMBER(SEARCH("CRITERIO",N364)),1,0)</f>
        <v>0</v>
      </c>
      <c r="S364" s="9" t="str">
        <f aca="false">IF(E364="","Sin dato",LEFT(E364,1))</f>
        <v>E</v>
      </c>
      <c r="T364" s="9" t="n">
        <f aca="false">IFERROR(INDEX(dCriticidad!$G$2:$G$7,MATCH(S364,dCriticidad!$A$2:$A$7,0)),0)</f>
        <v>0</v>
      </c>
      <c r="U364" s="9" t="n">
        <f aca="false">IF(OR(LEFT(C364,3)="GI0",LEFT(C364,3)="GA0"),1,0)</f>
        <v>0</v>
      </c>
      <c r="V364" s="9" t="str">
        <f aca="false">IF(G364="","Sin dato (ID GI)",TRIM(G364))</f>
        <v>AREAS_DE_APOYO</v>
      </c>
      <c r="W364" s="9" t="str">
        <f aca="false">IF(F364="","Sin dato",F364)</f>
        <v>Nube</v>
      </c>
      <c r="X364" s="9" t="str">
        <f aca="false">IF(M364="","",YEAR(M364))</f>
        <v/>
      </c>
      <c r="Y364" s="10" t="str">
        <f aca="false">IF(M364="","",DATE(YEAR(M364),MONTH(M364),1))</f>
        <v/>
      </c>
      <c r="Z364" s="9" t="n">
        <f aca="false">IF(AND(Q364=0,COUNTIF(dDuplicadosGI!$A$2:$A$60,C364)&gt;0),1,0)</f>
        <v>0</v>
      </c>
      <c r="AA364" s="9" t="n">
        <f aca="false">IF(Q364=0,1,0)</f>
        <v>1</v>
      </c>
    </row>
    <row r="365" customFormat="false" ht="15" hidden="false" customHeight="false" outlineLevel="0" collapsed="false">
      <c r="A365" s="7" t="n">
        <v>364</v>
      </c>
      <c r="B365" s="7" t="s">
        <v>1332</v>
      </c>
      <c r="C365" s="7" t="s">
        <v>1333</v>
      </c>
      <c r="D365" s="7"/>
      <c r="E365" s="7" t="s">
        <v>119</v>
      </c>
      <c r="F365" s="7" t="s">
        <v>82</v>
      </c>
      <c r="G365" s="7" t="s">
        <v>451</v>
      </c>
      <c r="H365" s="7" t="s">
        <v>672</v>
      </c>
      <c r="I365" s="7" t="s">
        <v>1334</v>
      </c>
      <c r="J365" s="7" t="s">
        <v>1334</v>
      </c>
      <c r="K365" s="7"/>
      <c r="L365" s="7" t="s">
        <v>99</v>
      </c>
      <c r="M365" s="8"/>
      <c r="N365" s="7" t="s">
        <v>109</v>
      </c>
      <c r="O365" s="9" t="n">
        <f aca="false">IF(COUNTIFS($B$2:B365,B365,$C$2:C365,C365)=1,1,0)</f>
        <v>1</v>
      </c>
      <c r="P365" s="9" t="str">
        <f aca="false">IFERROR(INDEX(dEtapa!$A$2:$A$6,MATCH(N365,dEtapa!$B$2:$B$6,0)),"Sin etapa")</f>
        <v>Planificada 2027</v>
      </c>
      <c r="Q365" s="9" t="n">
        <f aca="false">IF(L365="Si",1,0)</f>
        <v>0</v>
      </c>
      <c r="R365" s="9" t="n">
        <f aca="false">IF(ISNUMBER(SEARCH("CRITERIO",N365)),1,0)</f>
        <v>0</v>
      </c>
      <c r="S365" s="9" t="str">
        <f aca="false">IF(E365="","Sin dato",LEFT(E365,1))</f>
        <v>E</v>
      </c>
      <c r="T365" s="9" t="n">
        <f aca="false">IFERROR(INDEX(dCriticidad!$G$2:$G$7,MATCH(S365,dCriticidad!$A$2:$A$7,0)),0)</f>
        <v>0</v>
      </c>
      <c r="U365" s="9" t="n">
        <f aca="false">IF(OR(LEFT(C365,3)="GI0",LEFT(C365,3)="GA0"),1,0)</f>
        <v>0</v>
      </c>
      <c r="V365" s="9" t="str">
        <f aca="false">IF(G365="","Sin dato (ID GI)",TRIM(G365))</f>
        <v>COE de Ingeniería</v>
      </c>
      <c r="W365" s="9" t="str">
        <f aca="false">IF(F365="","Sin dato",F365)</f>
        <v>On Premise</v>
      </c>
      <c r="X365" s="9" t="str">
        <f aca="false">IF(M365="","",YEAR(M365))</f>
        <v/>
      </c>
      <c r="Y365" s="10" t="str">
        <f aca="false">IF(M365="","",DATE(YEAR(M365),MONTH(M365),1))</f>
        <v/>
      </c>
      <c r="Z365" s="9" t="n">
        <f aca="false">IF(AND(Q365=0,COUNTIF(dDuplicadosGI!$A$2:$A$60,C365)&gt;0),1,0)</f>
        <v>0</v>
      </c>
      <c r="AA365" s="9" t="n">
        <f aca="false">IF(Q365=0,1,0)</f>
        <v>1</v>
      </c>
    </row>
    <row r="366" customFormat="false" ht="15" hidden="false" customHeight="false" outlineLevel="0" collapsed="false">
      <c r="A366" s="7" t="n">
        <v>365</v>
      </c>
      <c r="B366" s="7" t="s">
        <v>1335</v>
      </c>
      <c r="C366" s="7" t="s">
        <v>1336</v>
      </c>
      <c r="D366" s="7"/>
      <c r="E366" s="7" t="s">
        <v>119</v>
      </c>
      <c r="F366" s="7" t="s">
        <v>269</v>
      </c>
      <c r="G366" s="7" t="s">
        <v>153</v>
      </c>
      <c r="H366" s="7" t="s">
        <v>154</v>
      </c>
      <c r="I366" s="7" t="s">
        <v>412</v>
      </c>
      <c r="J366" s="7" t="s">
        <v>1337</v>
      </c>
      <c r="K366" s="7"/>
      <c r="L366" s="7" t="s">
        <v>99</v>
      </c>
      <c r="M366" s="8"/>
      <c r="N366" s="7" t="s">
        <v>109</v>
      </c>
      <c r="O366" s="9" t="n">
        <f aca="false">IF(COUNTIFS($B$2:B366,B366,$C$2:C366,C366)=1,1,0)</f>
        <v>1</v>
      </c>
      <c r="P366" s="9" t="str">
        <f aca="false">IFERROR(INDEX(dEtapa!$A$2:$A$6,MATCH(N366,dEtapa!$B$2:$B$6,0)),"Sin etapa")</f>
        <v>Planificada 2027</v>
      </c>
      <c r="Q366" s="9" t="n">
        <f aca="false">IF(L366="Si",1,0)</f>
        <v>0</v>
      </c>
      <c r="R366" s="9" t="n">
        <f aca="false">IF(ISNUMBER(SEARCH("CRITERIO",N366)),1,0)</f>
        <v>0</v>
      </c>
      <c r="S366" s="9" t="str">
        <f aca="false">IF(E366="","Sin dato",LEFT(E366,1))</f>
        <v>E</v>
      </c>
      <c r="T366" s="9" t="n">
        <f aca="false">IFERROR(INDEX(dCriticidad!$G$2:$G$7,MATCH(S366,dCriticidad!$A$2:$A$7,0)),0)</f>
        <v>0</v>
      </c>
      <c r="U366" s="9" t="n">
        <f aca="false">IF(OR(LEFT(C366,3)="GI0",LEFT(C366,3)="GA0"),1,0)</f>
        <v>0</v>
      </c>
      <c r="V366" s="9" t="str">
        <f aca="false">IF(G366="","Sin dato (ID GI)",TRIM(G366))</f>
        <v>MEDIOS_DE_PAGO</v>
      </c>
      <c r="W366" s="9" t="str">
        <f aca="false">IF(F366="","Sin dato",F366)</f>
        <v>Híbrida</v>
      </c>
      <c r="X366" s="9" t="str">
        <f aca="false">IF(M366="","",YEAR(M366))</f>
        <v/>
      </c>
      <c r="Y366" s="10" t="str">
        <f aca="false">IF(M366="","",DATE(YEAR(M366),MONTH(M366),1))</f>
        <v/>
      </c>
      <c r="Z366" s="9" t="n">
        <f aca="false">IF(AND(Q366=0,COUNTIF(dDuplicadosGI!$A$2:$A$60,C366)&gt;0),1,0)</f>
        <v>0</v>
      </c>
      <c r="AA366" s="9" t="n">
        <f aca="false">IF(Q366=0,1,0)</f>
        <v>1</v>
      </c>
    </row>
    <row r="367" customFormat="false" ht="15" hidden="false" customHeight="false" outlineLevel="0" collapsed="false">
      <c r="A367" s="7" t="n">
        <v>366</v>
      </c>
      <c r="B367" s="7" t="s">
        <v>1338</v>
      </c>
      <c r="C367" s="7" t="s">
        <v>1339</v>
      </c>
      <c r="D367" s="7"/>
      <c r="E367" s="7" t="s">
        <v>119</v>
      </c>
      <c r="F367" s="7" t="s">
        <v>94</v>
      </c>
      <c r="G367" s="7" t="s">
        <v>160</v>
      </c>
      <c r="H367" s="7" t="s">
        <v>133</v>
      </c>
      <c r="I367" s="7" t="s">
        <v>1340</v>
      </c>
      <c r="J367" s="7" t="s">
        <v>162</v>
      </c>
      <c r="K367" s="7"/>
      <c r="L367" s="7" t="s">
        <v>99</v>
      </c>
      <c r="M367" s="8"/>
      <c r="N367" s="7" t="s">
        <v>109</v>
      </c>
      <c r="O367" s="9" t="n">
        <f aca="false">IF(COUNTIFS($B$2:B367,B367,$C$2:C367,C367)=1,1,0)</f>
        <v>1</v>
      </c>
      <c r="P367" s="9" t="str">
        <f aca="false">IFERROR(INDEX(dEtapa!$A$2:$A$6,MATCH(N367,dEtapa!$B$2:$B$6,0)),"Sin etapa")</f>
        <v>Planificada 2027</v>
      </c>
      <c r="Q367" s="9" t="n">
        <f aca="false">IF(L367="Si",1,0)</f>
        <v>0</v>
      </c>
      <c r="R367" s="9" t="n">
        <f aca="false">IF(ISNUMBER(SEARCH("CRITERIO",N367)),1,0)</f>
        <v>0</v>
      </c>
      <c r="S367" s="9" t="str">
        <f aca="false">IF(E367="","Sin dato",LEFT(E367,1))</f>
        <v>E</v>
      </c>
      <c r="T367" s="9" t="n">
        <f aca="false">IFERROR(INDEX(dCriticidad!$G$2:$G$7,MATCH(S367,dCriticidad!$A$2:$A$7,0)),0)</f>
        <v>0</v>
      </c>
      <c r="U367" s="9" t="n">
        <f aca="false">IF(OR(LEFT(C367,3)="GI0",LEFT(C367,3)="GA0"),1,0)</f>
        <v>0</v>
      </c>
      <c r="V367" s="9" t="str">
        <f aca="false">IF(G367="","Sin dato (ID GI)",TRIM(G367))</f>
        <v>PASIVOS Y SEGUROS</v>
      </c>
      <c r="W367" s="9" t="str">
        <f aca="false">IF(F367="","Sin dato",F367)</f>
        <v>Nube</v>
      </c>
      <c r="X367" s="9" t="str">
        <f aca="false">IF(M367="","",YEAR(M367))</f>
        <v/>
      </c>
      <c r="Y367" s="10" t="str">
        <f aca="false">IF(M367="","",DATE(YEAR(M367),MONTH(M367),1))</f>
        <v/>
      </c>
      <c r="Z367" s="9" t="n">
        <f aca="false">IF(AND(Q367=0,COUNTIF(dDuplicadosGI!$A$2:$A$60,C367)&gt;0),1,0)</f>
        <v>0</v>
      </c>
      <c r="AA367" s="9" t="n">
        <f aca="false">IF(Q367=0,1,0)</f>
        <v>1</v>
      </c>
    </row>
    <row r="368" customFormat="false" ht="15" hidden="false" customHeight="false" outlineLevel="0" collapsed="false">
      <c r="A368" s="7" t="n">
        <v>367</v>
      </c>
      <c r="B368" s="7" t="s">
        <v>1341</v>
      </c>
      <c r="C368" s="7" t="s">
        <v>1342</v>
      </c>
      <c r="D368" s="7"/>
      <c r="E368" s="7" t="s">
        <v>119</v>
      </c>
      <c r="F368" s="7" t="s">
        <v>94</v>
      </c>
      <c r="G368" s="7" t="s">
        <v>337</v>
      </c>
      <c r="H368" s="7" t="s">
        <v>631</v>
      </c>
      <c r="I368" s="7" t="s">
        <v>630</v>
      </c>
      <c r="J368" s="7" t="s">
        <v>630</v>
      </c>
      <c r="K368" s="7"/>
      <c r="L368" s="7" t="s">
        <v>99</v>
      </c>
      <c r="M368" s="8"/>
      <c r="N368" s="7" t="s">
        <v>109</v>
      </c>
      <c r="O368" s="9" t="n">
        <f aca="false">IF(COUNTIFS($B$2:B368,B368,$C$2:C368,C368)=1,1,0)</f>
        <v>1</v>
      </c>
      <c r="P368" s="9" t="str">
        <f aca="false">IFERROR(INDEX(dEtapa!$A$2:$A$6,MATCH(N368,dEtapa!$B$2:$B$6,0)),"Sin etapa")</f>
        <v>Planificada 2027</v>
      </c>
      <c r="Q368" s="9" t="n">
        <f aca="false">IF(L368="Si",1,0)</f>
        <v>0</v>
      </c>
      <c r="R368" s="9" t="n">
        <f aca="false">IF(ISNUMBER(SEARCH("CRITERIO",N368)),1,0)</f>
        <v>0</v>
      </c>
      <c r="S368" s="9" t="str">
        <f aca="false">IF(E368="","Sin dato",LEFT(E368,1))</f>
        <v>E</v>
      </c>
      <c r="T368" s="9" t="n">
        <f aca="false">IFERROR(INDEX(dCriticidad!$G$2:$G$7,MATCH(S368,dCriticidad!$A$2:$A$7,0)),0)</f>
        <v>0</v>
      </c>
      <c r="U368" s="9" t="n">
        <f aca="false">IF(OR(LEFT(C368,3)="GI0",LEFT(C368,3)="GA0"),1,0)</f>
        <v>0</v>
      </c>
      <c r="V368" s="9" t="str">
        <f aca="false">IF(G368="","Sin dato (ID GI)",TRIM(G368))</f>
        <v>Gerencia SRE</v>
      </c>
      <c r="W368" s="9" t="str">
        <f aca="false">IF(F368="","Sin dato",F368)</f>
        <v>Nube</v>
      </c>
      <c r="X368" s="9" t="str">
        <f aca="false">IF(M368="","",YEAR(M368))</f>
        <v/>
      </c>
      <c r="Y368" s="10" t="str">
        <f aca="false">IF(M368="","",DATE(YEAR(M368),MONTH(M368),1))</f>
        <v/>
      </c>
      <c r="Z368" s="9" t="n">
        <f aca="false">IF(AND(Q368=0,COUNTIF(dDuplicadosGI!$A$2:$A$60,C368)&gt;0),1,0)</f>
        <v>0</v>
      </c>
      <c r="AA368" s="9" t="n">
        <f aca="false">IF(Q368=0,1,0)</f>
        <v>1</v>
      </c>
    </row>
    <row r="369" customFormat="false" ht="15" hidden="false" customHeight="false" outlineLevel="0" collapsed="false">
      <c r="A369" s="7" t="n">
        <v>368</v>
      </c>
      <c r="B369" s="7" t="s">
        <v>1343</v>
      </c>
      <c r="C369" s="7" t="s">
        <v>1344</v>
      </c>
      <c r="D369" s="7"/>
      <c r="E369" s="7" t="s">
        <v>145</v>
      </c>
      <c r="F369" s="7" t="s">
        <v>94</v>
      </c>
      <c r="G369" s="7" t="s">
        <v>451</v>
      </c>
      <c r="H369" s="7" t="s">
        <v>452</v>
      </c>
      <c r="I369" s="7" t="s">
        <v>380</v>
      </c>
      <c r="J369" s="7" t="s">
        <v>1272</v>
      </c>
      <c r="K369" s="7"/>
      <c r="L369" s="7" t="s">
        <v>99</v>
      </c>
      <c r="M369" s="8"/>
      <c r="N369" s="7" t="s">
        <v>178</v>
      </c>
      <c r="O369" s="9" t="n">
        <f aca="false">IF(COUNTIFS($B$2:B369,B369,$C$2:C369,C369)=1,1,0)</f>
        <v>1</v>
      </c>
      <c r="P369" s="9" t="str">
        <f aca="false">IFERROR(INDEX(dEtapa!$A$2:$A$6,MATCH(N369,dEtapa!$B$2:$B$6,0)),"Sin etapa")</f>
        <v>Criterio 2</v>
      </c>
      <c r="Q369" s="9" t="n">
        <f aca="false">IF(L369="Si",1,0)</f>
        <v>0</v>
      </c>
      <c r="R369" s="9" t="n">
        <f aca="false">IF(ISNUMBER(SEARCH("CRITERIO",N369)),1,0)</f>
        <v>1</v>
      </c>
      <c r="S369" s="9" t="str">
        <f aca="false">IF(E369="","Sin dato",LEFT(E369,1))</f>
        <v>B</v>
      </c>
      <c r="T369" s="9" t="n">
        <f aca="false">IFERROR(INDEX(dCriticidad!$G$2:$G$7,MATCH(S369,dCriticidad!$A$2:$A$7,0)),0)</f>
        <v>1</v>
      </c>
      <c r="U369" s="9" t="n">
        <f aca="false">IF(OR(LEFT(C369,3)="GI0",LEFT(C369,3)="GA0"),1,0)</f>
        <v>0</v>
      </c>
      <c r="V369" s="9" t="str">
        <f aca="false">IF(G369="","Sin dato (ID GI)",TRIM(G369))</f>
        <v>COE de Ingeniería</v>
      </c>
      <c r="W369" s="9" t="str">
        <f aca="false">IF(F369="","Sin dato",F369)</f>
        <v>Nube</v>
      </c>
      <c r="X369" s="9" t="str">
        <f aca="false">IF(M369="","",YEAR(M369))</f>
        <v/>
      </c>
      <c r="Y369" s="10" t="str">
        <f aca="false">IF(M369="","",DATE(YEAR(M369),MONTH(M369),1))</f>
        <v/>
      </c>
      <c r="Z369" s="9" t="n">
        <f aca="false">IF(AND(Q369=0,COUNTIF(dDuplicadosGI!$A$2:$A$60,C369)&gt;0),1,0)</f>
        <v>0</v>
      </c>
      <c r="AA369" s="9" t="n">
        <f aca="false">IF(Q369=0,1,0)</f>
        <v>1</v>
      </c>
    </row>
    <row r="370" customFormat="false" ht="15" hidden="false" customHeight="false" outlineLevel="0" collapsed="false">
      <c r="A370" s="7" t="n">
        <v>369</v>
      </c>
      <c r="B370" s="7" t="s">
        <v>1345</v>
      </c>
      <c r="C370" s="7" t="s">
        <v>1346</v>
      </c>
      <c r="D370" s="7"/>
      <c r="E370" s="7" t="s">
        <v>119</v>
      </c>
      <c r="F370" s="7" t="s">
        <v>94</v>
      </c>
      <c r="G370" s="7" t="s">
        <v>1286</v>
      </c>
      <c r="H370" s="7" t="s">
        <v>126</v>
      </c>
      <c r="I370" s="7" t="s">
        <v>1347</v>
      </c>
      <c r="J370" s="7" t="s">
        <v>126</v>
      </c>
      <c r="K370" s="7"/>
      <c r="L370" s="7" t="s">
        <v>99</v>
      </c>
      <c r="M370" s="8"/>
      <c r="N370" s="7" t="s">
        <v>109</v>
      </c>
      <c r="O370" s="9" t="n">
        <f aca="false">IF(COUNTIFS($B$2:B370,B370,$C$2:C370,C370)=1,1,0)</f>
        <v>1</v>
      </c>
      <c r="P370" s="9" t="str">
        <f aca="false">IFERROR(INDEX(dEtapa!$A$2:$A$6,MATCH(N370,dEtapa!$B$2:$B$6,0)),"Sin etapa")</f>
        <v>Planificada 2027</v>
      </c>
      <c r="Q370" s="9" t="n">
        <f aca="false">IF(L370="Si",1,0)</f>
        <v>0</v>
      </c>
      <c r="R370" s="9" t="n">
        <f aca="false">IF(ISNUMBER(SEARCH("CRITERIO",N370)),1,0)</f>
        <v>0</v>
      </c>
      <c r="S370" s="9" t="str">
        <f aca="false">IF(E370="","Sin dato",LEFT(E370,1))</f>
        <v>E</v>
      </c>
      <c r="T370" s="9" t="n">
        <f aca="false">IFERROR(INDEX(dCriticidad!$G$2:$G$7,MATCH(S370,dCriticidad!$A$2:$A$7,0)),0)</f>
        <v>0</v>
      </c>
      <c r="U370" s="9" t="n">
        <f aca="false">IF(OR(LEFT(C370,3)="GI0",LEFT(C370,3)="GA0"),1,0)</f>
        <v>0</v>
      </c>
      <c r="V370" s="9" t="str">
        <f aca="false">IF(G370="","Sin dato (ID GI)",TRIM(G370))</f>
        <v>Clientes y Segmentos</v>
      </c>
      <c r="W370" s="9" t="str">
        <f aca="false">IF(F370="","Sin dato",F370)</f>
        <v>Nube</v>
      </c>
      <c r="X370" s="9" t="str">
        <f aca="false">IF(M370="","",YEAR(M370))</f>
        <v/>
      </c>
      <c r="Y370" s="10" t="str">
        <f aca="false">IF(M370="","",DATE(YEAR(M370),MONTH(M370),1))</f>
        <v/>
      </c>
      <c r="Z370" s="9" t="n">
        <f aca="false">IF(AND(Q370=0,COUNTIF(dDuplicadosGI!$A$2:$A$60,C370)&gt;0),1,0)</f>
        <v>0</v>
      </c>
      <c r="AA370" s="9" t="n">
        <f aca="false">IF(Q370=0,1,0)</f>
        <v>1</v>
      </c>
    </row>
    <row r="371" customFormat="false" ht="15" hidden="false" customHeight="false" outlineLevel="0" collapsed="false">
      <c r="A371" s="7" t="n">
        <v>370</v>
      </c>
      <c r="B371" s="7" t="s">
        <v>1348</v>
      </c>
      <c r="C371" s="7" t="s">
        <v>1349</v>
      </c>
      <c r="D371" s="7"/>
      <c r="E371" s="7" t="s">
        <v>145</v>
      </c>
      <c r="F371" s="7" t="s">
        <v>94</v>
      </c>
      <c r="G371" s="7" t="s">
        <v>260</v>
      </c>
      <c r="H371" s="7" t="s">
        <v>1350</v>
      </c>
      <c r="I371" s="7" t="s">
        <v>1350</v>
      </c>
      <c r="J371" s="7" t="s">
        <v>572</v>
      </c>
      <c r="K371" s="7"/>
      <c r="L371" s="7" t="s">
        <v>99</v>
      </c>
      <c r="M371" s="8"/>
      <c r="N371" s="7" t="s">
        <v>100</v>
      </c>
      <c r="O371" s="9" t="n">
        <f aca="false">IF(COUNTIFS($B$2:B371,B371,$C$2:C371,C371)=1,1,0)</f>
        <v>1</v>
      </c>
      <c r="P371" s="9" t="str">
        <f aca="false">IFERROR(INDEX(dEtapa!$A$2:$A$6,MATCH(N371,dEtapa!$B$2:$B$6,0)),"Sin etapa")</f>
        <v>Criterio 1</v>
      </c>
      <c r="Q371" s="9" t="n">
        <f aca="false">IF(L371="Si",1,0)</f>
        <v>0</v>
      </c>
      <c r="R371" s="9" t="n">
        <f aca="false">IF(ISNUMBER(SEARCH("CRITERIO",N371)),1,0)</f>
        <v>1</v>
      </c>
      <c r="S371" s="9" t="str">
        <f aca="false">IF(E371="","Sin dato",LEFT(E371,1))</f>
        <v>B</v>
      </c>
      <c r="T371" s="9" t="n">
        <f aca="false">IFERROR(INDEX(dCriticidad!$G$2:$G$7,MATCH(S371,dCriticidad!$A$2:$A$7,0)),0)</f>
        <v>1</v>
      </c>
      <c r="U371" s="9" t="n">
        <f aca="false">IF(OR(LEFT(C371,3)="GI0",LEFT(C371,3)="GA0"),1,0)</f>
        <v>0</v>
      </c>
      <c r="V371" s="9" t="str">
        <f aca="false">IF(G371="","Sin dato (ID GI)",TRIM(G371))</f>
        <v>COE DATOS&amp;ANALITICA</v>
      </c>
      <c r="W371" s="9" t="str">
        <f aca="false">IF(F371="","Sin dato",F371)</f>
        <v>Nube</v>
      </c>
      <c r="X371" s="9" t="str">
        <f aca="false">IF(M371="","",YEAR(M371))</f>
        <v/>
      </c>
      <c r="Y371" s="10" t="str">
        <f aca="false">IF(M371="","",DATE(YEAR(M371),MONTH(M371),1))</f>
        <v/>
      </c>
      <c r="Z371" s="9" t="n">
        <f aca="false">IF(AND(Q371=0,COUNTIF(dDuplicadosGI!$A$2:$A$60,C371)&gt;0),1,0)</f>
        <v>0</v>
      </c>
      <c r="AA371" s="9" t="n">
        <f aca="false">IF(Q371=0,1,0)</f>
        <v>1</v>
      </c>
    </row>
    <row r="372" customFormat="false" ht="15" hidden="false" customHeight="false" outlineLevel="0" collapsed="false">
      <c r="A372" s="7" t="n">
        <v>371</v>
      </c>
      <c r="B372" s="7" t="s">
        <v>1351</v>
      </c>
      <c r="C372" s="7" t="s">
        <v>1352</v>
      </c>
      <c r="D372" s="7"/>
      <c r="E372" s="7" t="s">
        <v>119</v>
      </c>
      <c r="F372" s="7" t="s">
        <v>94</v>
      </c>
      <c r="G372" s="7" t="s">
        <v>337</v>
      </c>
      <c r="H372" s="7" t="s">
        <v>338</v>
      </c>
      <c r="I372" s="7" t="s">
        <v>1280</v>
      </c>
      <c r="J372" s="7" t="s">
        <v>1280</v>
      </c>
      <c r="K372" s="7"/>
      <c r="L372" s="7" t="s">
        <v>99</v>
      </c>
      <c r="M372" s="8"/>
      <c r="N372" s="7" t="s">
        <v>109</v>
      </c>
      <c r="O372" s="9" t="n">
        <f aca="false">IF(COUNTIFS($B$2:B372,B372,$C$2:C372,C372)=1,1,0)</f>
        <v>1</v>
      </c>
      <c r="P372" s="9" t="str">
        <f aca="false">IFERROR(INDEX(dEtapa!$A$2:$A$6,MATCH(N372,dEtapa!$B$2:$B$6,0)),"Sin etapa")</f>
        <v>Planificada 2027</v>
      </c>
      <c r="Q372" s="9" t="n">
        <f aca="false">IF(L372="Si",1,0)</f>
        <v>0</v>
      </c>
      <c r="R372" s="9" t="n">
        <f aca="false">IF(ISNUMBER(SEARCH("CRITERIO",N372)),1,0)</f>
        <v>0</v>
      </c>
      <c r="S372" s="9" t="str">
        <f aca="false">IF(E372="","Sin dato",LEFT(E372,1))</f>
        <v>E</v>
      </c>
      <c r="T372" s="9" t="n">
        <f aca="false">IFERROR(INDEX(dCriticidad!$G$2:$G$7,MATCH(S372,dCriticidad!$A$2:$A$7,0)),0)</f>
        <v>0</v>
      </c>
      <c r="U372" s="9" t="n">
        <f aca="false">IF(OR(LEFT(C372,3)="GI0",LEFT(C372,3)="GA0"),1,0)</f>
        <v>0</v>
      </c>
      <c r="V372" s="9" t="str">
        <f aca="false">IF(G372="","Sin dato (ID GI)",TRIM(G372))</f>
        <v>Gerencia SRE</v>
      </c>
      <c r="W372" s="9" t="str">
        <f aca="false">IF(F372="","Sin dato",F372)</f>
        <v>Nube</v>
      </c>
      <c r="X372" s="9" t="str">
        <f aca="false">IF(M372="","",YEAR(M372))</f>
        <v/>
      </c>
      <c r="Y372" s="10" t="str">
        <f aca="false">IF(M372="","",DATE(YEAR(M372),MONTH(M372),1))</f>
        <v/>
      </c>
      <c r="Z372" s="9" t="n">
        <f aca="false">IF(AND(Q372=0,COUNTIF(dDuplicadosGI!$A$2:$A$60,C372)&gt;0),1,0)</f>
        <v>0</v>
      </c>
      <c r="AA372" s="9" t="n">
        <f aca="false">IF(Q372=0,1,0)</f>
        <v>1</v>
      </c>
    </row>
    <row r="373" customFormat="false" ht="15" hidden="false" customHeight="false" outlineLevel="0" collapsed="false">
      <c r="A373" s="7" t="n">
        <v>372</v>
      </c>
      <c r="B373" s="7" t="s">
        <v>1353</v>
      </c>
      <c r="C373" s="7" t="s">
        <v>1354</v>
      </c>
      <c r="D373" s="7"/>
      <c r="E373" s="7" t="s">
        <v>119</v>
      </c>
      <c r="F373" s="7" t="s">
        <v>94</v>
      </c>
      <c r="G373" s="7" t="s">
        <v>192</v>
      </c>
      <c r="H373" s="7" t="s">
        <v>193</v>
      </c>
      <c r="I373" s="7" t="s">
        <v>1176</v>
      </c>
      <c r="J373" s="7" t="s">
        <v>195</v>
      </c>
      <c r="K373" s="7"/>
      <c r="L373" s="7" t="s">
        <v>99</v>
      </c>
      <c r="M373" s="8"/>
      <c r="N373" s="7" t="s">
        <v>109</v>
      </c>
      <c r="O373" s="9" t="n">
        <f aca="false">IF(COUNTIFS($B$2:B373,B373,$C$2:C373,C373)=1,1,0)</f>
        <v>1</v>
      </c>
      <c r="P373" s="9" t="str">
        <f aca="false">IFERROR(INDEX(dEtapa!$A$2:$A$6,MATCH(N373,dEtapa!$B$2:$B$6,0)),"Sin etapa")</f>
        <v>Planificada 2027</v>
      </c>
      <c r="Q373" s="9" t="n">
        <f aca="false">IF(L373="Si",1,0)</f>
        <v>0</v>
      </c>
      <c r="R373" s="9" t="n">
        <f aca="false">IF(ISNUMBER(SEARCH("CRITERIO",N373)),1,0)</f>
        <v>0</v>
      </c>
      <c r="S373" s="9" t="str">
        <f aca="false">IF(E373="","Sin dato",LEFT(E373,1))</f>
        <v>E</v>
      </c>
      <c r="T373" s="9" t="n">
        <f aca="false">IFERROR(INDEX(dCriticidad!$G$2:$G$7,MATCH(S373,dCriticidad!$A$2:$A$7,0)),0)</f>
        <v>0</v>
      </c>
      <c r="U373" s="9" t="n">
        <f aca="false">IF(OR(LEFT(C373,3)="GI0",LEFT(C373,3)="GA0"),1,0)</f>
        <v>0</v>
      </c>
      <c r="V373" s="9" t="str">
        <f aca="false">IF(G373="","Sin dato (ID GI)",TRIM(G373))</f>
        <v>AREAS_DE_APOYO</v>
      </c>
      <c r="W373" s="9" t="str">
        <f aca="false">IF(F373="","Sin dato",F373)</f>
        <v>Nube</v>
      </c>
      <c r="X373" s="9" t="str">
        <f aca="false">IF(M373="","",YEAR(M373))</f>
        <v/>
      </c>
      <c r="Y373" s="10" t="str">
        <f aca="false">IF(M373="","",DATE(YEAR(M373),MONTH(M373),1))</f>
        <v/>
      </c>
      <c r="Z373" s="9" t="n">
        <f aca="false">IF(AND(Q373=0,COUNTIF(dDuplicadosGI!$A$2:$A$60,C373)&gt;0),1,0)</f>
        <v>0</v>
      </c>
      <c r="AA373" s="9" t="n">
        <f aca="false">IF(Q373=0,1,0)</f>
        <v>1</v>
      </c>
    </row>
    <row r="374" customFormat="false" ht="15" hidden="false" customHeight="false" outlineLevel="0" collapsed="false">
      <c r="A374" s="7" t="n">
        <v>373</v>
      </c>
      <c r="B374" s="7" t="s">
        <v>1355</v>
      </c>
      <c r="C374" s="7" t="s">
        <v>1356</v>
      </c>
      <c r="D374" s="7"/>
      <c r="E374" s="7" t="s">
        <v>119</v>
      </c>
      <c r="F374" s="7" t="s">
        <v>82</v>
      </c>
      <c r="G374" s="7" t="s">
        <v>104</v>
      </c>
      <c r="H374" s="7" t="s">
        <v>105</v>
      </c>
      <c r="I374" s="7" t="s">
        <v>120</v>
      </c>
      <c r="J374" s="7" t="s">
        <v>963</v>
      </c>
      <c r="K374" s="7"/>
      <c r="L374" s="7" t="s">
        <v>99</v>
      </c>
      <c r="M374" s="8"/>
      <c r="N374" s="7" t="s">
        <v>109</v>
      </c>
      <c r="O374" s="9" t="n">
        <f aca="false">IF(COUNTIFS($B$2:B374,B374,$C$2:C374,C374)=1,1,0)</f>
        <v>1</v>
      </c>
      <c r="P374" s="9" t="str">
        <f aca="false">IFERROR(INDEX(dEtapa!$A$2:$A$6,MATCH(N374,dEtapa!$B$2:$B$6,0)),"Sin etapa")</f>
        <v>Planificada 2027</v>
      </c>
      <c r="Q374" s="9" t="n">
        <f aca="false">IF(L374="Si",1,0)</f>
        <v>0</v>
      </c>
      <c r="R374" s="9" t="n">
        <f aca="false">IF(ISNUMBER(SEARCH("CRITERIO",N374)),1,0)</f>
        <v>0</v>
      </c>
      <c r="S374" s="9" t="str">
        <f aca="false">IF(E374="","Sin dato",LEFT(E374,1))</f>
        <v>E</v>
      </c>
      <c r="T374" s="9" t="n">
        <f aca="false">IFERROR(INDEX(dCriticidad!$G$2:$G$7,MATCH(S374,dCriticidad!$A$2:$A$7,0)),0)</f>
        <v>0</v>
      </c>
      <c r="U374" s="9" t="n">
        <f aca="false">IF(OR(LEFT(C374,3)="GI0",LEFT(C374,3)="GA0"),1,0)</f>
        <v>0</v>
      </c>
      <c r="V374" s="9" t="str">
        <f aca="false">IF(G374="","Sin dato (ID GI)",TRIM(G374))</f>
        <v>INFRAESTRUCTURA</v>
      </c>
      <c r="W374" s="9" t="str">
        <f aca="false">IF(F374="","Sin dato",F374)</f>
        <v>On Premise</v>
      </c>
      <c r="X374" s="9" t="str">
        <f aca="false">IF(M374="","",YEAR(M374))</f>
        <v/>
      </c>
      <c r="Y374" s="10" t="str">
        <f aca="false">IF(M374="","",DATE(YEAR(M374),MONTH(M374),1))</f>
        <v/>
      </c>
      <c r="Z374" s="9" t="n">
        <f aca="false">IF(AND(Q374=0,COUNTIF(dDuplicadosGI!$A$2:$A$60,C374)&gt;0),1,0)</f>
        <v>0</v>
      </c>
      <c r="AA374" s="9" t="n">
        <f aca="false">IF(Q374=0,1,0)</f>
        <v>1</v>
      </c>
    </row>
    <row r="375" customFormat="false" ht="15" hidden="false" customHeight="false" outlineLevel="0" collapsed="false">
      <c r="A375" s="7" t="n">
        <v>374</v>
      </c>
      <c r="B375" s="7" t="s">
        <v>1357</v>
      </c>
      <c r="C375" s="7" t="s">
        <v>1358</v>
      </c>
      <c r="D375" s="7"/>
      <c r="E375" s="7" t="s">
        <v>119</v>
      </c>
      <c r="F375" s="7" t="s">
        <v>94</v>
      </c>
      <c r="G375" s="7" t="s">
        <v>362</v>
      </c>
      <c r="H375" s="7" t="s">
        <v>1359</v>
      </c>
      <c r="I375" s="7" t="s">
        <v>364</v>
      </c>
      <c r="J375" s="7" t="s">
        <v>365</v>
      </c>
      <c r="K375" s="7"/>
      <c r="L375" s="7" t="s">
        <v>99</v>
      </c>
      <c r="M375" s="8"/>
      <c r="N375" s="7" t="s">
        <v>109</v>
      </c>
      <c r="O375" s="9" t="n">
        <f aca="false">IF(COUNTIFS($B$2:B375,B375,$C$2:C375,C375)=1,1,0)</f>
        <v>1</v>
      </c>
      <c r="P375" s="9" t="str">
        <f aca="false">IFERROR(INDEX(dEtapa!$A$2:$A$6,MATCH(N375,dEtapa!$B$2:$B$6,0)),"Sin etapa")</f>
        <v>Planificada 2027</v>
      </c>
      <c r="Q375" s="9" t="n">
        <f aca="false">IF(L375="Si",1,0)</f>
        <v>0</v>
      </c>
      <c r="R375" s="9" t="n">
        <f aca="false">IF(ISNUMBER(SEARCH("CRITERIO",N375)),1,0)</f>
        <v>0</v>
      </c>
      <c r="S375" s="9" t="str">
        <f aca="false">IF(E375="","Sin dato",LEFT(E375,1))</f>
        <v>E</v>
      </c>
      <c r="T375" s="9" t="n">
        <f aca="false">IFERROR(INDEX(dCriticidad!$G$2:$G$7,MATCH(S375,dCriticidad!$A$2:$A$7,0)),0)</f>
        <v>0</v>
      </c>
      <c r="U375" s="9" t="n">
        <f aca="false">IF(OR(LEFT(C375,3)="GI0",LEFT(C375,3)="GA0"),1,0)</f>
        <v>0</v>
      </c>
      <c r="V375" s="9" t="str">
        <f aca="false">IF(G375="","Sin dato (ID GI)",TRIM(G375))</f>
        <v>COE_TRANSFORMACION_PROCESOS</v>
      </c>
      <c r="W375" s="9" t="str">
        <f aca="false">IF(F375="","Sin dato",F375)</f>
        <v>Nube</v>
      </c>
      <c r="X375" s="9" t="str">
        <f aca="false">IF(M375="","",YEAR(M375))</f>
        <v/>
      </c>
      <c r="Y375" s="10" t="str">
        <f aca="false">IF(M375="","",DATE(YEAR(M375),MONTH(M375),1))</f>
        <v/>
      </c>
      <c r="Z375" s="9" t="n">
        <f aca="false">IF(AND(Q375=0,COUNTIF(dDuplicadosGI!$A$2:$A$60,C375)&gt;0),1,0)</f>
        <v>0</v>
      </c>
      <c r="AA375" s="9" t="n">
        <f aca="false">IF(Q375=0,1,0)</f>
        <v>1</v>
      </c>
    </row>
    <row r="376" customFormat="false" ht="15" hidden="false" customHeight="false" outlineLevel="0" collapsed="false">
      <c r="A376" s="7" t="n">
        <v>375</v>
      </c>
      <c r="B376" s="7" t="s">
        <v>1360</v>
      </c>
      <c r="C376" s="7" t="s">
        <v>1361</v>
      </c>
      <c r="D376" s="7"/>
      <c r="E376" s="7" t="s">
        <v>119</v>
      </c>
      <c r="F376" s="7" t="s">
        <v>94</v>
      </c>
      <c r="G376" s="7" t="s">
        <v>451</v>
      </c>
      <c r="H376" s="7" t="s">
        <v>452</v>
      </c>
      <c r="I376" s="7" t="s">
        <v>380</v>
      </c>
      <c r="J376" s="7" t="s">
        <v>1272</v>
      </c>
      <c r="K376" s="7"/>
      <c r="L376" s="7" t="s">
        <v>99</v>
      </c>
      <c r="M376" s="8"/>
      <c r="N376" s="7" t="s">
        <v>109</v>
      </c>
      <c r="O376" s="9" t="n">
        <f aca="false">IF(COUNTIFS($B$2:B376,B376,$C$2:C376,C376)=1,1,0)</f>
        <v>1</v>
      </c>
      <c r="P376" s="9" t="str">
        <f aca="false">IFERROR(INDEX(dEtapa!$A$2:$A$6,MATCH(N376,dEtapa!$B$2:$B$6,0)),"Sin etapa")</f>
        <v>Planificada 2027</v>
      </c>
      <c r="Q376" s="9" t="n">
        <f aca="false">IF(L376="Si",1,0)</f>
        <v>0</v>
      </c>
      <c r="R376" s="9" t="n">
        <f aca="false">IF(ISNUMBER(SEARCH("CRITERIO",N376)),1,0)</f>
        <v>0</v>
      </c>
      <c r="S376" s="9" t="str">
        <f aca="false">IF(E376="","Sin dato",LEFT(E376,1))</f>
        <v>E</v>
      </c>
      <c r="T376" s="9" t="n">
        <f aca="false">IFERROR(INDEX(dCriticidad!$G$2:$G$7,MATCH(S376,dCriticidad!$A$2:$A$7,0)),0)</f>
        <v>0</v>
      </c>
      <c r="U376" s="9" t="n">
        <f aca="false">IF(OR(LEFT(C376,3)="GI0",LEFT(C376,3)="GA0"),1,0)</f>
        <v>0</v>
      </c>
      <c r="V376" s="9" t="str">
        <f aca="false">IF(G376="","Sin dato (ID GI)",TRIM(G376))</f>
        <v>COE de Ingeniería</v>
      </c>
      <c r="W376" s="9" t="str">
        <f aca="false">IF(F376="","Sin dato",F376)</f>
        <v>Nube</v>
      </c>
      <c r="X376" s="9" t="str">
        <f aca="false">IF(M376="","",YEAR(M376))</f>
        <v/>
      </c>
      <c r="Y376" s="10" t="str">
        <f aca="false">IF(M376="","",DATE(YEAR(M376),MONTH(M376),1))</f>
        <v/>
      </c>
      <c r="Z376" s="9" t="n">
        <f aca="false">IF(AND(Q376=0,COUNTIF(dDuplicadosGI!$A$2:$A$60,C376)&gt;0),1,0)</f>
        <v>0</v>
      </c>
      <c r="AA376" s="9" t="n">
        <f aca="false">IF(Q376=0,1,0)</f>
        <v>1</v>
      </c>
    </row>
    <row r="377" customFormat="false" ht="15" hidden="false" customHeight="false" outlineLevel="0" collapsed="false">
      <c r="A377" s="7" t="n">
        <v>376</v>
      </c>
      <c r="B377" s="7" t="s">
        <v>1362</v>
      </c>
      <c r="C377" s="7" t="s">
        <v>1363</v>
      </c>
      <c r="D377" s="7"/>
      <c r="E377" s="7" t="s">
        <v>113</v>
      </c>
      <c r="F377" s="7" t="s">
        <v>82</v>
      </c>
      <c r="G377" s="7" t="s">
        <v>192</v>
      </c>
      <c r="H377" s="7" t="s">
        <v>193</v>
      </c>
      <c r="I377" s="7" t="s">
        <v>1364</v>
      </c>
      <c r="J377" s="7" t="s">
        <v>1331</v>
      </c>
      <c r="K377" s="7"/>
      <c r="L377" s="7" t="s">
        <v>99</v>
      </c>
      <c r="M377" s="8"/>
      <c r="N377" s="7" t="s">
        <v>178</v>
      </c>
      <c r="O377" s="9" t="n">
        <f aca="false">IF(COUNTIFS($B$2:B377,B377,$C$2:C377,C377)=1,1,0)</f>
        <v>1</v>
      </c>
      <c r="P377" s="9" t="str">
        <f aca="false">IFERROR(INDEX(dEtapa!$A$2:$A$6,MATCH(N377,dEtapa!$B$2:$B$6,0)),"Sin etapa")</f>
        <v>Criterio 2</v>
      </c>
      <c r="Q377" s="9" t="n">
        <f aca="false">IF(L377="Si",1,0)</f>
        <v>0</v>
      </c>
      <c r="R377" s="9" t="n">
        <f aca="false">IF(ISNUMBER(SEARCH("CRITERIO",N377)),1,0)</f>
        <v>1</v>
      </c>
      <c r="S377" s="9" t="str">
        <f aca="false">IF(E377="","Sin dato",LEFT(E377,1))</f>
        <v>C</v>
      </c>
      <c r="T377" s="9" t="n">
        <f aca="false">IFERROR(INDEX(dCriticidad!$G$2:$G$7,MATCH(S377,dCriticidad!$A$2:$A$7,0)),0)</f>
        <v>1</v>
      </c>
      <c r="U377" s="9" t="n">
        <f aca="false">IF(OR(LEFT(C377,3)="GI0",LEFT(C377,3)="GA0"),1,0)</f>
        <v>0</v>
      </c>
      <c r="V377" s="9" t="str">
        <f aca="false">IF(G377="","Sin dato (ID GI)",TRIM(G377))</f>
        <v>AREAS_DE_APOYO</v>
      </c>
      <c r="W377" s="9" t="str">
        <f aca="false">IF(F377="","Sin dato",F377)</f>
        <v>On Premise</v>
      </c>
      <c r="X377" s="9" t="str">
        <f aca="false">IF(M377="","",YEAR(M377))</f>
        <v/>
      </c>
      <c r="Y377" s="10" t="str">
        <f aca="false">IF(M377="","",DATE(YEAR(M377),MONTH(M377),1))</f>
        <v/>
      </c>
      <c r="Z377" s="9" t="n">
        <f aca="false">IF(AND(Q377=0,COUNTIF(dDuplicadosGI!$A$2:$A$60,C377)&gt;0),1,0)</f>
        <v>0</v>
      </c>
      <c r="AA377" s="9" t="n">
        <f aca="false">IF(Q377=0,1,0)</f>
        <v>1</v>
      </c>
    </row>
    <row r="378" customFormat="false" ht="15" hidden="false" customHeight="false" outlineLevel="0" collapsed="false">
      <c r="A378" s="7" t="n">
        <v>377</v>
      </c>
      <c r="B378" s="7" t="s">
        <v>463</v>
      </c>
      <c r="C378" s="7" t="s">
        <v>1365</v>
      </c>
      <c r="D378" s="7"/>
      <c r="E378" s="7" t="s">
        <v>145</v>
      </c>
      <c r="F378" s="7" t="s">
        <v>94</v>
      </c>
      <c r="G378" s="7" t="s">
        <v>146</v>
      </c>
      <c r="H378" s="7" t="s">
        <v>147</v>
      </c>
      <c r="I378" s="7" t="s">
        <v>1366</v>
      </c>
      <c r="J378" s="7" t="s">
        <v>1366</v>
      </c>
      <c r="K378" s="7"/>
      <c r="L378" s="7" t="s">
        <v>99</v>
      </c>
      <c r="M378" s="8"/>
      <c r="N378" s="7" t="s">
        <v>178</v>
      </c>
      <c r="O378" s="9" t="n">
        <f aca="false">IF(COUNTIFS($B$2:B378,B378,$C$2:C378,C378)=1,1,0)</f>
        <v>1</v>
      </c>
      <c r="P378" s="9" t="str">
        <f aca="false">IFERROR(INDEX(dEtapa!$A$2:$A$6,MATCH(N378,dEtapa!$B$2:$B$6,0)),"Sin etapa")</f>
        <v>Criterio 2</v>
      </c>
      <c r="Q378" s="9" t="n">
        <f aca="false">IF(L378="Si",1,0)</f>
        <v>0</v>
      </c>
      <c r="R378" s="9" t="n">
        <f aca="false">IF(ISNUMBER(SEARCH("CRITERIO",N378)),1,0)</f>
        <v>1</v>
      </c>
      <c r="S378" s="9" t="str">
        <f aca="false">IF(E378="","Sin dato",LEFT(E378,1))</f>
        <v>B</v>
      </c>
      <c r="T378" s="9" t="n">
        <f aca="false">IFERROR(INDEX(dCriticidad!$G$2:$G$7,MATCH(S378,dCriticidad!$A$2:$A$7,0)),0)</f>
        <v>1</v>
      </c>
      <c r="U378" s="9" t="n">
        <f aca="false">IF(OR(LEFT(C378,3)="GI0",LEFT(C378,3)="GA0"),1,0)</f>
        <v>0</v>
      </c>
      <c r="V378" s="9" t="str">
        <f aca="false">IF(G378="","Sin dato (ID GI)",TRIM(G378))</f>
        <v>Tribu_Integraciones_Apis</v>
      </c>
      <c r="W378" s="9" t="str">
        <f aca="false">IF(F378="","Sin dato",F378)</f>
        <v>Nube</v>
      </c>
      <c r="X378" s="9" t="str">
        <f aca="false">IF(M378="","",YEAR(M378))</f>
        <v/>
      </c>
      <c r="Y378" s="10" t="str">
        <f aca="false">IF(M378="","",DATE(YEAR(M378),MONTH(M378),1))</f>
        <v/>
      </c>
      <c r="Z378" s="9" t="n">
        <f aca="false">IF(AND(Q378=0,COUNTIF(dDuplicadosGI!$A$2:$A$60,C378)&gt;0),1,0)</f>
        <v>0</v>
      </c>
      <c r="AA378" s="9" t="n">
        <f aca="false">IF(Q378=0,1,0)</f>
        <v>1</v>
      </c>
    </row>
    <row r="379" customFormat="false" ht="15" hidden="false" customHeight="false" outlineLevel="0" collapsed="false">
      <c r="A379" s="7" t="n">
        <v>378</v>
      </c>
      <c r="B379" s="7" t="s">
        <v>1367</v>
      </c>
      <c r="C379" s="7" t="s">
        <v>1368</v>
      </c>
      <c r="D379" s="7"/>
      <c r="E379" s="7" t="s">
        <v>119</v>
      </c>
      <c r="F379" s="7" t="s">
        <v>94</v>
      </c>
      <c r="G379" s="7" t="s">
        <v>132</v>
      </c>
      <c r="H379" s="7" t="s">
        <v>133</v>
      </c>
      <c r="I379" s="7" t="s">
        <v>1138</v>
      </c>
      <c r="J379" s="7" t="s">
        <v>135</v>
      </c>
      <c r="K379" s="7"/>
      <c r="L379" s="7" t="s">
        <v>99</v>
      </c>
      <c r="M379" s="8"/>
      <c r="N379" s="7" t="s">
        <v>109</v>
      </c>
      <c r="O379" s="9" t="n">
        <f aca="false">IF(COUNTIFS($B$2:B379,B379,$C$2:C379,C379)=1,1,0)</f>
        <v>1</v>
      </c>
      <c r="P379" s="9" t="str">
        <f aca="false">IFERROR(INDEX(dEtapa!$A$2:$A$6,MATCH(N379,dEtapa!$B$2:$B$6,0)),"Sin etapa")</f>
        <v>Planificada 2027</v>
      </c>
      <c r="Q379" s="9" t="n">
        <f aca="false">IF(L379="Si",1,0)</f>
        <v>0</v>
      </c>
      <c r="R379" s="9" t="n">
        <f aca="false">IF(ISNUMBER(SEARCH("CRITERIO",N379)),1,0)</f>
        <v>0</v>
      </c>
      <c r="S379" s="9" t="str">
        <f aca="false">IF(E379="","Sin dato",LEFT(E379,1))</f>
        <v>E</v>
      </c>
      <c r="T379" s="9" t="n">
        <f aca="false">IFERROR(INDEX(dCriticidad!$G$2:$G$7,MATCH(S379,dCriticidad!$A$2:$A$7,0)),0)</f>
        <v>0</v>
      </c>
      <c r="U379" s="9" t="n">
        <f aca="false">IF(OR(LEFT(C379,3)="GI0",LEFT(C379,3)="GA0"),1,0)</f>
        <v>0</v>
      </c>
      <c r="V379" s="9" t="str">
        <f aca="false">IF(G379="","Sin dato (ID GI)",TRIM(G379))</f>
        <v>ACTIVOS</v>
      </c>
      <c r="W379" s="9" t="str">
        <f aca="false">IF(F379="","Sin dato",F379)</f>
        <v>Nube</v>
      </c>
      <c r="X379" s="9" t="str">
        <f aca="false">IF(M379="","",YEAR(M379))</f>
        <v/>
      </c>
      <c r="Y379" s="10" t="str">
        <f aca="false">IF(M379="","",DATE(YEAR(M379),MONTH(M379),1))</f>
        <v/>
      </c>
      <c r="Z379" s="9" t="n">
        <f aca="false">IF(AND(Q379=0,COUNTIF(dDuplicadosGI!$A$2:$A$60,C379)&gt;0),1,0)</f>
        <v>0</v>
      </c>
      <c r="AA379" s="9" t="n">
        <f aca="false">IF(Q379=0,1,0)</f>
        <v>1</v>
      </c>
    </row>
    <row r="380" customFormat="false" ht="15" hidden="false" customHeight="false" outlineLevel="0" collapsed="false">
      <c r="A380" s="7" t="n">
        <v>379</v>
      </c>
      <c r="B380" s="7" t="s">
        <v>1369</v>
      </c>
      <c r="C380" s="7" t="s">
        <v>1370</v>
      </c>
      <c r="D380" s="7"/>
      <c r="E380" s="7" t="s">
        <v>119</v>
      </c>
      <c r="F380" s="7" t="s">
        <v>94</v>
      </c>
      <c r="G380" s="7" t="s">
        <v>160</v>
      </c>
      <c r="H380" s="7" t="s">
        <v>133</v>
      </c>
      <c r="I380" s="7" t="s">
        <v>1371</v>
      </c>
      <c r="J380" s="7" t="s">
        <v>1123</v>
      </c>
      <c r="K380" s="7"/>
      <c r="L380" s="7" t="s">
        <v>99</v>
      </c>
      <c r="M380" s="8"/>
      <c r="N380" s="7" t="s">
        <v>109</v>
      </c>
      <c r="O380" s="9" t="n">
        <f aca="false">IF(COUNTIFS($B$2:B380,B380,$C$2:C380,C380)=1,1,0)</f>
        <v>1</v>
      </c>
      <c r="P380" s="9" t="str">
        <f aca="false">IFERROR(INDEX(dEtapa!$A$2:$A$6,MATCH(N380,dEtapa!$B$2:$B$6,0)),"Sin etapa")</f>
        <v>Planificada 2027</v>
      </c>
      <c r="Q380" s="9" t="n">
        <f aca="false">IF(L380="Si",1,0)</f>
        <v>0</v>
      </c>
      <c r="R380" s="9" t="n">
        <f aca="false">IF(ISNUMBER(SEARCH("CRITERIO",N380)),1,0)</f>
        <v>0</v>
      </c>
      <c r="S380" s="9" t="str">
        <f aca="false">IF(E380="","Sin dato",LEFT(E380,1))</f>
        <v>E</v>
      </c>
      <c r="T380" s="9" t="n">
        <f aca="false">IFERROR(INDEX(dCriticidad!$G$2:$G$7,MATCH(S380,dCriticidad!$A$2:$A$7,0)),0)</f>
        <v>0</v>
      </c>
      <c r="U380" s="9" t="n">
        <f aca="false">IF(OR(LEFT(C380,3)="GI0",LEFT(C380,3)="GA0"),1,0)</f>
        <v>0</v>
      </c>
      <c r="V380" s="9" t="str">
        <f aca="false">IF(G380="","Sin dato (ID GI)",TRIM(G380))</f>
        <v>PASIVOS Y SEGUROS</v>
      </c>
      <c r="W380" s="9" t="str">
        <f aca="false">IF(F380="","Sin dato",F380)</f>
        <v>Nube</v>
      </c>
      <c r="X380" s="9" t="str">
        <f aca="false">IF(M380="","",YEAR(M380))</f>
        <v/>
      </c>
      <c r="Y380" s="10" t="str">
        <f aca="false">IF(M380="","",DATE(YEAR(M380),MONTH(M380),1))</f>
        <v/>
      </c>
      <c r="Z380" s="9" t="n">
        <f aca="false">IF(AND(Q380=0,COUNTIF(dDuplicadosGI!$A$2:$A$60,C380)&gt;0),1,0)</f>
        <v>0</v>
      </c>
      <c r="AA380" s="9" t="n">
        <f aca="false">IF(Q380=0,1,0)</f>
        <v>1</v>
      </c>
    </row>
    <row r="381" customFormat="false" ht="15" hidden="false" customHeight="false" outlineLevel="0" collapsed="false">
      <c r="A381" s="7" t="n">
        <v>380</v>
      </c>
      <c r="B381" s="7" t="s">
        <v>1372</v>
      </c>
      <c r="C381" s="7" t="s">
        <v>1373</v>
      </c>
      <c r="D381" s="7"/>
      <c r="E381" s="7" t="s">
        <v>119</v>
      </c>
      <c r="F381" s="7" t="s">
        <v>94</v>
      </c>
      <c r="G381" s="7" t="s">
        <v>166</v>
      </c>
      <c r="H381" s="7" t="s">
        <v>1321</v>
      </c>
      <c r="I381" s="7" t="s">
        <v>1374</v>
      </c>
      <c r="J381" s="7" t="s">
        <v>959</v>
      </c>
      <c r="K381" s="7"/>
      <c r="L381" s="7" t="s">
        <v>99</v>
      </c>
      <c r="M381" s="8"/>
      <c r="N381" s="7" t="s">
        <v>109</v>
      </c>
      <c r="O381" s="9" t="n">
        <f aca="false">IF(COUNTIFS($B$2:B381,B381,$C$2:C381,C381)=1,1,0)</f>
        <v>1</v>
      </c>
      <c r="P381" s="9" t="str">
        <f aca="false">IFERROR(INDEX(dEtapa!$A$2:$A$6,MATCH(N381,dEtapa!$B$2:$B$6,0)),"Sin etapa")</f>
        <v>Planificada 2027</v>
      </c>
      <c r="Q381" s="9" t="n">
        <f aca="false">IF(L381="Si",1,0)</f>
        <v>0</v>
      </c>
      <c r="R381" s="9" t="n">
        <f aca="false">IF(ISNUMBER(SEARCH("CRITERIO",N381)),1,0)</f>
        <v>0</v>
      </c>
      <c r="S381" s="9" t="str">
        <f aca="false">IF(E381="","Sin dato",LEFT(E381,1))</f>
        <v>E</v>
      </c>
      <c r="T381" s="9" t="n">
        <f aca="false">IFERROR(INDEX(dCriticidad!$G$2:$G$7,MATCH(S381,dCriticidad!$A$2:$A$7,0)),0)</f>
        <v>0</v>
      </c>
      <c r="U381" s="9" t="n">
        <f aca="false">IF(OR(LEFT(C381,3)="GI0",LEFT(C381,3)="GA0"),1,0)</f>
        <v>0</v>
      </c>
      <c r="V381" s="9" t="str">
        <f aca="false">IF(G381="","Sin dato (ID GI)",TRIM(G381))</f>
        <v>Ciberseguridad</v>
      </c>
      <c r="W381" s="9" t="str">
        <f aca="false">IF(F381="","Sin dato",F381)</f>
        <v>Nube</v>
      </c>
      <c r="X381" s="9" t="str">
        <f aca="false">IF(M381="","",YEAR(M381))</f>
        <v/>
      </c>
      <c r="Y381" s="10" t="str">
        <f aca="false">IF(M381="","",DATE(YEAR(M381),MONTH(M381),1))</f>
        <v/>
      </c>
      <c r="Z381" s="9" t="n">
        <f aca="false">IF(AND(Q381=0,COUNTIF(dDuplicadosGI!$A$2:$A$60,C381)&gt;0),1,0)</f>
        <v>0</v>
      </c>
      <c r="AA381" s="9" t="n">
        <f aca="false">IF(Q381=0,1,0)</f>
        <v>1</v>
      </c>
    </row>
    <row r="382" customFormat="false" ht="15" hidden="false" customHeight="false" outlineLevel="0" collapsed="false">
      <c r="A382" s="7" t="n">
        <v>381</v>
      </c>
      <c r="B382" s="7" t="s">
        <v>1375</v>
      </c>
      <c r="C382" s="7" t="s">
        <v>1376</v>
      </c>
      <c r="D382" s="7"/>
      <c r="E382" s="7" t="s">
        <v>119</v>
      </c>
      <c r="F382" s="7" t="s">
        <v>94</v>
      </c>
      <c r="G382" s="7" t="s">
        <v>125</v>
      </c>
      <c r="H382" s="7" t="s">
        <v>126</v>
      </c>
      <c r="I382" s="7" t="s">
        <v>1377</v>
      </c>
      <c r="J382" s="7" t="s">
        <v>126</v>
      </c>
      <c r="K382" s="7"/>
      <c r="L382" s="7" t="s">
        <v>99</v>
      </c>
      <c r="M382" s="8"/>
      <c r="N382" s="7" t="s">
        <v>109</v>
      </c>
      <c r="O382" s="9" t="n">
        <f aca="false">IF(COUNTIFS($B$2:B382,B382,$C$2:C382,C382)=1,1,0)</f>
        <v>1</v>
      </c>
      <c r="P382" s="9" t="str">
        <f aca="false">IFERROR(INDEX(dEtapa!$A$2:$A$6,MATCH(N382,dEtapa!$B$2:$B$6,0)),"Sin etapa")</f>
        <v>Planificada 2027</v>
      </c>
      <c r="Q382" s="9" t="n">
        <f aca="false">IF(L382="Si",1,0)</f>
        <v>0</v>
      </c>
      <c r="R382" s="9" t="n">
        <f aca="false">IF(ISNUMBER(SEARCH("CRITERIO",N382)),1,0)</f>
        <v>0</v>
      </c>
      <c r="S382" s="9" t="str">
        <f aca="false">IF(E382="","Sin dato",LEFT(E382,1))</f>
        <v>E</v>
      </c>
      <c r="T382" s="9" t="n">
        <f aca="false">IFERROR(INDEX(dCriticidad!$G$2:$G$7,MATCH(S382,dCriticidad!$A$2:$A$7,0)),0)</f>
        <v>0</v>
      </c>
      <c r="U382" s="9" t="n">
        <f aca="false">IF(OR(LEFT(C382,3)="GI0",LEFT(C382,3)="GA0"),1,0)</f>
        <v>0</v>
      </c>
      <c r="V382" s="9" t="str">
        <f aca="false">IF(G382="","Sin dato (ID GI)",TRIM(G382))</f>
        <v>Negocios y Monetización</v>
      </c>
      <c r="W382" s="9" t="str">
        <f aca="false">IF(F382="","Sin dato",F382)</f>
        <v>Nube</v>
      </c>
      <c r="X382" s="9" t="str">
        <f aca="false">IF(M382="","",YEAR(M382))</f>
        <v/>
      </c>
      <c r="Y382" s="10" t="str">
        <f aca="false">IF(M382="","",DATE(YEAR(M382),MONTH(M382),1))</f>
        <v/>
      </c>
      <c r="Z382" s="9" t="n">
        <f aca="false">IF(AND(Q382=0,COUNTIF(dDuplicadosGI!$A$2:$A$60,C382)&gt;0),1,0)</f>
        <v>0</v>
      </c>
      <c r="AA382" s="9" t="n">
        <f aca="false">IF(Q382=0,1,0)</f>
        <v>1</v>
      </c>
    </row>
    <row r="383" customFormat="false" ht="15" hidden="false" customHeight="false" outlineLevel="0" collapsed="false">
      <c r="A383" s="7" t="n">
        <v>382</v>
      </c>
      <c r="B383" s="7" t="s">
        <v>1378</v>
      </c>
      <c r="C383" s="7" t="s">
        <v>1379</v>
      </c>
      <c r="D383" s="7"/>
      <c r="E383" s="7" t="s">
        <v>145</v>
      </c>
      <c r="F383" s="7" t="s">
        <v>94</v>
      </c>
      <c r="G383" s="7" t="s">
        <v>104</v>
      </c>
      <c r="H383" s="7" t="s">
        <v>105</v>
      </c>
      <c r="I383" s="7" t="s">
        <v>380</v>
      </c>
      <c r="J383" s="7" t="s">
        <v>1318</v>
      </c>
      <c r="K383" s="7"/>
      <c r="L383" s="7" t="s">
        <v>99</v>
      </c>
      <c r="M383" s="8"/>
      <c r="N383" s="7" t="s">
        <v>178</v>
      </c>
      <c r="O383" s="9" t="n">
        <f aca="false">IF(COUNTIFS($B$2:B383,B383,$C$2:C383,C383)=1,1,0)</f>
        <v>1</v>
      </c>
      <c r="P383" s="9" t="str">
        <f aca="false">IFERROR(INDEX(dEtapa!$A$2:$A$6,MATCH(N383,dEtapa!$B$2:$B$6,0)),"Sin etapa")</f>
        <v>Criterio 2</v>
      </c>
      <c r="Q383" s="9" t="n">
        <f aca="false">IF(L383="Si",1,0)</f>
        <v>0</v>
      </c>
      <c r="R383" s="9" t="n">
        <f aca="false">IF(ISNUMBER(SEARCH("CRITERIO",N383)),1,0)</f>
        <v>1</v>
      </c>
      <c r="S383" s="9" t="str">
        <f aca="false">IF(E383="","Sin dato",LEFT(E383,1))</f>
        <v>B</v>
      </c>
      <c r="T383" s="9" t="n">
        <f aca="false">IFERROR(INDEX(dCriticidad!$G$2:$G$7,MATCH(S383,dCriticidad!$A$2:$A$7,0)),0)</f>
        <v>1</v>
      </c>
      <c r="U383" s="9" t="n">
        <f aca="false">IF(OR(LEFT(C383,3)="GI0",LEFT(C383,3)="GA0"),1,0)</f>
        <v>0</v>
      </c>
      <c r="V383" s="9" t="str">
        <f aca="false">IF(G383="","Sin dato (ID GI)",TRIM(G383))</f>
        <v>INFRAESTRUCTURA</v>
      </c>
      <c r="W383" s="9" t="str">
        <f aca="false">IF(F383="","Sin dato",F383)</f>
        <v>Nube</v>
      </c>
      <c r="X383" s="9" t="str">
        <f aca="false">IF(M383="","",YEAR(M383))</f>
        <v/>
      </c>
      <c r="Y383" s="10" t="str">
        <f aca="false">IF(M383="","",DATE(YEAR(M383),MONTH(M383),1))</f>
        <v/>
      </c>
      <c r="Z383" s="9" t="n">
        <f aca="false">IF(AND(Q383=0,COUNTIF(dDuplicadosGI!$A$2:$A$60,C383)&gt;0),1,0)</f>
        <v>0</v>
      </c>
      <c r="AA383" s="9" t="n">
        <f aca="false">IF(Q383=0,1,0)</f>
        <v>1</v>
      </c>
    </row>
    <row r="384" customFormat="false" ht="15" hidden="false" customHeight="false" outlineLevel="0" collapsed="false">
      <c r="A384" s="7" t="n">
        <v>383</v>
      </c>
      <c r="B384" s="7" t="s">
        <v>1380</v>
      </c>
      <c r="C384" s="7" t="s">
        <v>1381</v>
      </c>
      <c r="D384" s="7"/>
      <c r="E384" s="7" t="s">
        <v>119</v>
      </c>
      <c r="F384" s="7" t="s">
        <v>94</v>
      </c>
      <c r="G384" s="7" t="s">
        <v>1382</v>
      </c>
      <c r="H384" s="7" t="s">
        <v>1383</v>
      </c>
      <c r="I384" s="7" t="s">
        <v>1384</v>
      </c>
      <c r="J384" s="7" t="s">
        <v>975</v>
      </c>
      <c r="K384" s="7"/>
      <c r="L384" s="7" t="s">
        <v>99</v>
      </c>
      <c r="M384" s="8"/>
      <c r="N384" s="7" t="s">
        <v>109</v>
      </c>
      <c r="O384" s="9" t="n">
        <f aca="false">IF(COUNTIFS($B$2:B384,B384,$C$2:C384,C384)=1,1,0)</f>
        <v>1</v>
      </c>
      <c r="P384" s="9" t="str">
        <f aca="false">IFERROR(INDEX(dEtapa!$A$2:$A$6,MATCH(N384,dEtapa!$B$2:$B$6,0)),"Sin etapa")</f>
        <v>Planificada 2027</v>
      </c>
      <c r="Q384" s="9" t="n">
        <f aca="false">IF(L384="Si",1,0)</f>
        <v>0</v>
      </c>
      <c r="R384" s="9" t="n">
        <f aca="false">IF(ISNUMBER(SEARCH("CRITERIO",N384)),1,0)</f>
        <v>0</v>
      </c>
      <c r="S384" s="9" t="str">
        <f aca="false">IF(E384="","Sin dato",LEFT(E384,1))</f>
        <v>E</v>
      </c>
      <c r="T384" s="9" t="n">
        <f aca="false">IFERROR(INDEX(dCriticidad!$G$2:$G$7,MATCH(S384,dCriticidad!$A$2:$A$7,0)),0)</f>
        <v>0</v>
      </c>
      <c r="U384" s="9" t="n">
        <f aca="false">IF(OR(LEFT(C384,3)="GI0",LEFT(C384,3)="GA0"),1,0)</f>
        <v>0</v>
      </c>
      <c r="V384" s="9" t="str">
        <f aca="false">IF(G384="","Sin dato (ID GI)",TRIM(G384))</f>
        <v>Tribu Inteligencia Artificial</v>
      </c>
      <c r="W384" s="9" t="str">
        <f aca="false">IF(F384="","Sin dato",F384)</f>
        <v>Nube</v>
      </c>
      <c r="X384" s="9" t="str">
        <f aca="false">IF(M384="","",YEAR(M384))</f>
        <v/>
      </c>
      <c r="Y384" s="10" t="str">
        <f aca="false">IF(M384="","",DATE(YEAR(M384),MONTH(M384),1))</f>
        <v/>
      </c>
      <c r="Z384" s="9" t="n">
        <f aca="false">IF(AND(Q384=0,COUNTIF(dDuplicadosGI!$A$2:$A$60,C384)&gt;0),1,0)</f>
        <v>0</v>
      </c>
      <c r="AA384" s="9" t="n">
        <f aca="false">IF(Q384=0,1,0)</f>
        <v>1</v>
      </c>
    </row>
    <row r="385" customFormat="false" ht="15" hidden="false" customHeight="false" outlineLevel="0" collapsed="false">
      <c r="A385" s="7" t="n">
        <v>384</v>
      </c>
      <c r="B385" s="7" t="s">
        <v>1385</v>
      </c>
      <c r="C385" s="7" t="s">
        <v>1386</v>
      </c>
      <c r="D385" s="7"/>
      <c r="E385" s="7" t="s">
        <v>81</v>
      </c>
      <c r="F385" s="7" t="s">
        <v>94</v>
      </c>
      <c r="G385" s="7" t="s">
        <v>211</v>
      </c>
      <c r="H385" s="7" t="s">
        <v>212</v>
      </c>
      <c r="I385" s="7" t="s">
        <v>214</v>
      </c>
      <c r="J385" s="7" t="s">
        <v>214</v>
      </c>
      <c r="K385" s="7"/>
      <c r="L385" s="7" t="s">
        <v>99</v>
      </c>
      <c r="M385" s="8"/>
      <c r="N385" s="7" t="s">
        <v>109</v>
      </c>
      <c r="O385" s="9" t="n">
        <f aca="false">IF(COUNTIFS($B$2:B385,B385,$C$2:C385,C385)=1,1,0)</f>
        <v>1</v>
      </c>
      <c r="P385" s="9" t="str">
        <f aca="false">IFERROR(INDEX(dEtapa!$A$2:$A$6,MATCH(N385,dEtapa!$B$2:$B$6,0)),"Sin etapa")</f>
        <v>Planificada 2027</v>
      </c>
      <c r="Q385" s="9" t="n">
        <f aca="false">IF(L385="Si",1,0)</f>
        <v>0</v>
      </c>
      <c r="R385" s="9" t="n">
        <f aca="false">IF(ISNUMBER(SEARCH("CRITERIO",N385)),1,0)</f>
        <v>0</v>
      </c>
      <c r="S385" s="9" t="str">
        <f aca="false">IF(E385="","Sin dato",LEFT(E385,1))</f>
        <v>A</v>
      </c>
      <c r="T385" s="9" t="n">
        <f aca="false">IFERROR(INDEX(dCriticidad!$G$2:$G$7,MATCH(S385,dCriticidad!$A$2:$A$7,0)),0)</f>
        <v>1</v>
      </c>
      <c r="U385" s="9" t="n">
        <f aca="false">IF(OR(LEFT(C385,3)="GI0",LEFT(C385,3)="GA0"),1,0)</f>
        <v>0</v>
      </c>
      <c r="V385" s="9" t="str">
        <f aca="false">IF(G385="","Sin dato (ID GI)",TRIM(G385))</f>
        <v>Tribu Ciberseguridad</v>
      </c>
      <c r="W385" s="9" t="str">
        <f aca="false">IF(F385="","Sin dato",F385)</f>
        <v>Nube</v>
      </c>
      <c r="X385" s="9" t="str">
        <f aca="false">IF(M385="","",YEAR(M385))</f>
        <v/>
      </c>
      <c r="Y385" s="10" t="str">
        <f aca="false">IF(M385="","",DATE(YEAR(M385),MONTH(M385),1))</f>
        <v/>
      </c>
      <c r="Z385" s="9" t="n">
        <f aca="false">IF(AND(Q385=0,COUNTIF(dDuplicadosGI!$A$2:$A$60,C385)&gt;0),1,0)</f>
        <v>0</v>
      </c>
      <c r="AA385" s="9" t="n">
        <f aca="false">IF(Q385=0,1,0)</f>
        <v>1</v>
      </c>
    </row>
    <row r="386" customFormat="false" ht="15" hidden="false" customHeight="false" outlineLevel="0" collapsed="false">
      <c r="A386" s="7" t="n">
        <v>385</v>
      </c>
      <c r="B386" s="7" t="s">
        <v>1387</v>
      </c>
      <c r="C386" s="7" t="s">
        <v>1388</v>
      </c>
      <c r="D386" s="7"/>
      <c r="E386" s="7" t="s">
        <v>119</v>
      </c>
      <c r="F386" s="7" t="s">
        <v>94</v>
      </c>
      <c r="G386" s="7" t="s">
        <v>451</v>
      </c>
      <c r="H386" s="7" t="s">
        <v>672</v>
      </c>
      <c r="I386" s="7" t="s">
        <v>322</v>
      </c>
      <c r="J386" s="7" t="s">
        <v>1389</v>
      </c>
      <c r="K386" s="7"/>
      <c r="L386" s="7" t="s">
        <v>99</v>
      </c>
      <c r="M386" s="8"/>
      <c r="N386" s="7" t="s">
        <v>109</v>
      </c>
      <c r="O386" s="9" t="n">
        <f aca="false">IF(COUNTIFS($B$2:B386,B386,$C$2:C386,C386)=1,1,0)</f>
        <v>1</v>
      </c>
      <c r="P386" s="9" t="str">
        <f aca="false">IFERROR(INDEX(dEtapa!$A$2:$A$6,MATCH(N386,dEtapa!$B$2:$B$6,0)),"Sin etapa")</f>
        <v>Planificada 2027</v>
      </c>
      <c r="Q386" s="9" t="n">
        <f aca="false">IF(L386="Si",1,0)</f>
        <v>0</v>
      </c>
      <c r="R386" s="9" t="n">
        <f aca="false">IF(ISNUMBER(SEARCH("CRITERIO",N386)),1,0)</f>
        <v>0</v>
      </c>
      <c r="S386" s="9" t="str">
        <f aca="false">IF(E386="","Sin dato",LEFT(E386,1))</f>
        <v>E</v>
      </c>
      <c r="T386" s="9" t="n">
        <f aca="false">IFERROR(INDEX(dCriticidad!$G$2:$G$7,MATCH(S386,dCriticidad!$A$2:$A$7,0)),0)</f>
        <v>0</v>
      </c>
      <c r="U386" s="9" t="n">
        <f aca="false">IF(OR(LEFT(C386,3)="GI0",LEFT(C386,3)="GA0"),1,0)</f>
        <v>0</v>
      </c>
      <c r="V386" s="9" t="str">
        <f aca="false">IF(G386="","Sin dato (ID GI)",TRIM(G386))</f>
        <v>COE de Ingeniería</v>
      </c>
      <c r="W386" s="9" t="str">
        <f aca="false">IF(F386="","Sin dato",F386)</f>
        <v>Nube</v>
      </c>
      <c r="X386" s="9" t="str">
        <f aca="false">IF(M386="","",YEAR(M386))</f>
        <v/>
      </c>
      <c r="Y386" s="10" t="str">
        <f aca="false">IF(M386="","",DATE(YEAR(M386),MONTH(M386),1))</f>
        <v/>
      </c>
      <c r="Z386" s="9" t="n">
        <f aca="false">IF(AND(Q386=0,COUNTIF(dDuplicadosGI!$A$2:$A$60,C386)&gt;0),1,0)</f>
        <v>0</v>
      </c>
      <c r="AA386" s="9" t="n">
        <f aca="false">IF(Q386=0,1,0)</f>
        <v>1</v>
      </c>
    </row>
    <row r="387" customFormat="false" ht="15" hidden="false" customHeight="false" outlineLevel="0" collapsed="false">
      <c r="A387" s="7" t="n">
        <v>386</v>
      </c>
      <c r="B387" s="7" t="s">
        <v>1390</v>
      </c>
      <c r="C387" s="7" t="s">
        <v>1391</v>
      </c>
      <c r="D387" s="7"/>
      <c r="E387" s="7" t="s">
        <v>119</v>
      </c>
      <c r="F387" s="7" t="s">
        <v>82</v>
      </c>
      <c r="G387" s="7" t="s">
        <v>192</v>
      </c>
      <c r="H387" s="7" t="s">
        <v>193</v>
      </c>
      <c r="I387" s="7" t="s">
        <v>1176</v>
      </c>
      <c r="J387" s="7" t="s">
        <v>195</v>
      </c>
      <c r="K387" s="7"/>
      <c r="L387" s="7" t="s">
        <v>99</v>
      </c>
      <c r="M387" s="8"/>
      <c r="N387" s="7" t="s">
        <v>109</v>
      </c>
      <c r="O387" s="9" t="n">
        <f aca="false">IF(COUNTIFS($B$2:B387,B387,$C$2:C387,C387)=1,1,0)</f>
        <v>1</v>
      </c>
      <c r="P387" s="9" t="str">
        <f aca="false">IFERROR(INDEX(dEtapa!$A$2:$A$6,MATCH(N387,dEtapa!$B$2:$B$6,0)),"Sin etapa")</f>
        <v>Planificada 2027</v>
      </c>
      <c r="Q387" s="9" t="n">
        <f aca="false">IF(L387="Si",1,0)</f>
        <v>0</v>
      </c>
      <c r="R387" s="9" t="n">
        <f aca="false">IF(ISNUMBER(SEARCH("CRITERIO",N387)),1,0)</f>
        <v>0</v>
      </c>
      <c r="S387" s="9" t="str">
        <f aca="false">IF(E387="","Sin dato",LEFT(E387,1))</f>
        <v>E</v>
      </c>
      <c r="T387" s="9" t="n">
        <f aca="false">IFERROR(INDEX(dCriticidad!$G$2:$G$7,MATCH(S387,dCriticidad!$A$2:$A$7,0)),0)</f>
        <v>0</v>
      </c>
      <c r="U387" s="9" t="n">
        <f aca="false">IF(OR(LEFT(C387,3)="GI0",LEFT(C387,3)="GA0"),1,0)</f>
        <v>0</v>
      </c>
      <c r="V387" s="9" t="str">
        <f aca="false">IF(G387="","Sin dato (ID GI)",TRIM(G387))</f>
        <v>AREAS_DE_APOYO</v>
      </c>
      <c r="W387" s="9" t="str">
        <f aca="false">IF(F387="","Sin dato",F387)</f>
        <v>On Premise</v>
      </c>
      <c r="X387" s="9" t="str">
        <f aca="false">IF(M387="","",YEAR(M387))</f>
        <v/>
      </c>
      <c r="Y387" s="10" t="str">
        <f aca="false">IF(M387="","",DATE(YEAR(M387),MONTH(M387),1))</f>
        <v/>
      </c>
      <c r="Z387" s="9" t="n">
        <f aca="false">IF(AND(Q387=0,COUNTIF(dDuplicadosGI!$A$2:$A$60,C387)&gt;0),1,0)</f>
        <v>0</v>
      </c>
      <c r="AA387" s="9" t="n">
        <f aca="false">IF(Q387=0,1,0)</f>
        <v>1</v>
      </c>
    </row>
    <row r="388" customFormat="false" ht="15" hidden="false" customHeight="false" outlineLevel="0" collapsed="false">
      <c r="A388" s="7" t="n">
        <v>387</v>
      </c>
      <c r="B388" s="7" t="s">
        <v>1392</v>
      </c>
      <c r="C388" s="7" t="s">
        <v>1393</v>
      </c>
      <c r="D388" s="7"/>
      <c r="E388" s="7" t="s">
        <v>119</v>
      </c>
      <c r="F388" s="7" t="s">
        <v>152</v>
      </c>
      <c r="G388" s="7" t="s">
        <v>192</v>
      </c>
      <c r="H388" s="7" t="s">
        <v>193</v>
      </c>
      <c r="I388" s="7" t="s">
        <v>459</v>
      </c>
      <c r="J388" s="7" t="s">
        <v>239</v>
      </c>
      <c r="K388" s="7"/>
      <c r="L388" s="7" t="s">
        <v>99</v>
      </c>
      <c r="M388" s="8"/>
      <c r="N388" s="7" t="s">
        <v>109</v>
      </c>
      <c r="O388" s="9" t="n">
        <f aca="false">IF(COUNTIFS($B$2:B388,B388,$C$2:C388,C388)=1,1,0)</f>
        <v>1</v>
      </c>
      <c r="P388" s="9" t="str">
        <f aca="false">IFERROR(INDEX(dEtapa!$A$2:$A$6,MATCH(N388,dEtapa!$B$2:$B$6,0)),"Sin etapa")</f>
        <v>Planificada 2027</v>
      </c>
      <c r="Q388" s="9" t="n">
        <f aca="false">IF(L388="Si",1,0)</f>
        <v>0</v>
      </c>
      <c r="R388" s="9" t="n">
        <f aca="false">IF(ISNUMBER(SEARCH("CRITERIO",N388)),1,0)</f>
        <v>0</v>
      </c>
      <c r="S388" s="9" t="str">
        <f aca="false">IF(E388="","Sin dato",LEFT(E388,1))</f>
        <v>E</v>
      </c>
      <c r="T388" s="9" t="n">
        <f aca="false">IFERROR(INDEX(dCriticidad!$G$2:$G$7,MATCH(S388,dCriticidad!$A$2:$A$7,0)),0)</f>
        <v>0</v>
      </c>
      <c r="U388" s="9" t="n">
        <f aca="false">IF(OR(LEFT(C388,3)="GI0",LEFT(C388,3)="GA0"),1,0)</f>
        <v>0</v>
      </c>
      <c r="V388" s="9" t="str">
        <f aca="false">IF(G388="","Sin dato (ID GI)",TRIM(G388))</f>
        <v>AREAS_DE_APOYO</v>
      </c>
      <c r="W388" s="9" t="str">
        <f aca="false">IF(F388="","Sin dato",F388)</f>
        <v>Terceros</v>
      </c>
      <c r="X388" s="9" t="str">
        <f aca="false">IF(M388="","",YEAR(M388))</f>
        <v/>
      </c>
      <c r="Y388" s="10" t="str">
        <f aca="false">IF(M388="","",DATE(YEAR(M388),MONTH(M388),1))</f>
        <v/>
      </c>
      <c r="Z388" s="9" t="n">
        <f aca="false">IF(AND(Q388=0,COUNTIF(dDuplicadosGI!$A$2:$A$60,C388)&gt;0),1,0)</f>
        <v>0</v>
      </c>
      <c r="AA388" s="9" t="n">
        <f aca="false">IF(Q388=0,1,0)</f>
        <v>1</v>
      </c>
    </row>
    <row r="389" customFormat="false" ht="15" hidden="false" customHeight="false" outlineLevel="0" collapsed="false">
      <c r="A389" s="7" t="n">
        <v>388</v>
      </c>
      <c r="B389" s="7" t="s">
        <v>1394</v>
      </c>
      <c r="C389" s="7" t="s">
        <v>1395</v>
      </c>
      <c r="D389" s="7"/>
      <c r="E389" s="7" t="s">
        <v>119</v>
      </c>
      <c r="F389" s="7" t="s">
        <v>94</v>
      </c>
      <c r="G389" s="7" t="s">
        <v>451</v>
      </c>
      <c r="H389" s="7" t="s">
        <v>452</v>
      </c>
      <c r="I389" s="7" t="s">
        <v>380</v>
      </c>
      <c r="J389" s="7" t="s">
        <v>1271</v>
      </c>
      <c r="K389" s="7"/>
      <c r="L389" s="7" t="s">
        <v>99</v>
      </c>
      <c r="M389" s="8"/>
      <c r="N389" s="7" t="s">
        <v>109</v>
      </c>
      <c r="O389" s="9" t="n">
        <f aca="false">IF(COUNTIFS($B$2:B389,B389,$C$2:C389,C389)=1,1,0)</f>
        <v>1</v>
      </c>
      <c r="P389" s="9" t="str">
        <f aca="false">IFERROR(INDEX(dEtapa!$A$2:$A$6,MATCH(N389,dEtapa!$B$2:$B$6,0)),"Sin etapa")</f>
        <v>Planificada 2027</v>
      </c>
      <c r="Q389" s="9" t="n">
        <f aca="false">IF(L389="Si",1,0)</f>
        <v>0</v>
      </c>
      <c r="R389" s="9" t="n">
        <f aca="false">IF(ISNUMBER(SEARCH("CRITERIO",N389)),1,0)</f>
        <v>0</v>
      </c>
      <c r="S389" s="9" t="str">
        <f aca="false">IF(E389="","Sin dato",LEFT(E389,1))</f>
        <v>E</v>
      </c>
      <c r="T389" s="9" t="n">
        <f aca="false">IFERROR(INDEX(dCriticidad!$G$2:$G$7,MATCH(S389,dCriticidad!$A$2:$A$7,0)),0)</f>
        <v>0</v>
      </c>
      <c r="U389" s="9" t="n">
        <f aca="false">IF(OR(LEFT(C389,3)="GI0",LEFT(C389,3)="GA0"),1,0)</f>
        <v>0</v>
      </c>
      <c r="V389" s="9" t="str">
        <f aca="false">IF(G389="","Sin dato (ID GI)",TRIM(G389))</f>
        <v>COE de Ingeniería</v>
      </c>
      <c r="W389" s="9" t="str">
        <f aca="false">IF(F389="","Sin dato",F389)</f>
        <v>Nube</v>
      </c>
      <c r="X389" s="9" t="str">
        <f aca="false">IF(M389="","",YEAR(M389))</f>
        <v/>
      </c>
      <c r="Y389" s="10" t="str">
        <f aca="false">IF(M389="","",DATE(YEAR(M389),MONTH(M389),1))</f>
        <v/>
      </c>
      <c r="Z389" s="9" t="n">
        <f aca="false">IF(AND(Q389=0,COUNTIF(dDuplicadosGI!$A$2:$A$60,C389)&gt;0),1,0)</f>
        <v>0</v>
      </c>
      <c r="AA389" s="9" t="n">
        <f aca="false">IF(Q389=0,1,0)</f>
        <v>1</v>
      </c>
    </row>
    <row r="390" customFormat="false" ht="15" hidden="false" customHeight="false" outlineLevel="0" collapsed="false">
      <c r="A390" s="7" t="n">
        <v>389</v>
      </c>
      <c r="B390" s="7" t="s">
        <v>1396</v>
      </c>
      <c r="C390" s="7" t="s">
        <v>1397</v>
      </c>
      <c r="D390" s="7"/>
      <c r="E390" s="7" t="s">
        <v>119</v>
      </c>
      <c r="F390" s="7" t="s">
        <v>94</v>
      </c>
      <c r="G390" s="7" t="s">
        <v>166</v>
      </c>
      <c r="H390" s="7" t="s">
        <v>174</v>
      </c>
      <c r="I390" s="7" t="s">
        <v>168</v>
      </c>
      <c r="J390" s="7" t="s">
        <v>183</v>
      </c>
      <c r="K390" s="7"/>
      <c r="L390" s="7" t="s">
        <v>99</v>
      </c>
      <c r="M390" s="8"/>
      <c r="N390" s="7" t="s">
        <v>189</v>
      </c>
      <c r="O390" s="9" t="n">
        <f aca="false">IF(COUNTIFS($B$2:B390,B390,$C$2:C390,C390)=1,1,0)</f>
        <v>1</v>
      </c>
      <c r="P390" s="9" t="str">
        <f aca="false">IFERROR(INDEX(dEtapa!$A$2:$A$6,MATCH(N390,dEtapa!$B$2:$B$6,0)),"Sin etapa")</f>
        <v>Criterio 3</v>
      </c>
      <c r="Q390" s="9" t="n">
        <f aca="false">IF(L390="Si",1,0)</f>
        <v>0</v>
      </c>
      <c r="R390" s="9" t="n">
        <f aca="false">IF(ISNUMBER(SEARCH("CRITERIO",N390)),1,0)</f>
        <v>1</v>
      </c>
      <c r="S390" s="9" t="str">
        <f aca="false">IF(E390="","Sin dato",LEFT(E390,1))</f>
        <v>E</v>
      </c>
      <c r="T390" s="9" t="n">
        <f aca="false">IFERROR(INDEX(dCriticidad!$G$2:$G$7,MATCH(S390,dCriticidad!$A$2:$A$7,0)),0)</f>
        <v>0</v>
      </c>
      <c r="U390" s="9" t="n">
        <f aca="false">IF(OR(LEFT(C390,3)="GI0",LEFT(C390,3)="GA0"),1,0)</f>
        <v>0</v>
      </c>
      <c r="V390" s="9" t="str">
        <f aca="false">IF(G390="","Sin dato (ID GI)",TRIM(G390))</f>
        <v>Ciberseguridad</v>
      </c>
      <c r="W390" s="9" t="str">
        <f aca="false">IF(F390="","Sin dato",F390)</f>
        <v>Nube</v>
      </c>
      <c r="X390" s="9" t="str">
        <f aca="false">IF(M390="","",YEAR(M390))</f>
        <v/>
      </c>
      <c r="Y390" s="10" t="str">
        <f aca="false">IF(M390="","",DATE(YEAR(M390),MONTH(M390),1))</f>
        <v/>
      </c>
      <c r="Z390" s="9" t="n">
        <f aca="false">IF(AND(Q390=0,COUNTIF(dDuplicadosGI!$A$2:$A$60,C390)&gt;0),1,0)</f>
        <v>0</v>
      </c>
      <c r="AA390" s="9" t="n">
        <f aca="false">IF(Q390=0,1,0)</f>
        <v>1</v>
      </c>
    </row>
    <row r="391" customFormat="false" ht="15" hidden="false" customHeight="false" outlineLevel="0" collapsed="false">
      <c r="A391" s="7" t="n">
        <v>390</v>
      </c>
      <c r="B391" s="7" t="s">
        <v>1398</v>
      </c>
      <c r="C391" s="7" t="s">
        <v>1399</v>
      </c>
      <c r="D391" s="7"/>
      <c r="E391" s="7" t="s">
        <v>119</v>
      </c>
      <c r="F391" s="7" t="s">
        <v>82</v>
      </c>
      <c r="G391" s="7" t="s">
        <v>104</v>
      </c>
      <c r="H391" s="7" t="s">
        <v>105</v>
      </c>
      <c r="I391" s="7" t="s">
        <v>106</v>
      </c>
      <c r="J391" s="7" t="s">
        <v>1303</v>
      </c>
      <c r="K391" s="7"/>
      <c r="L391" s="7" t="s">
        <v>99</v>
      </c>
      <c r="M391" s="8"/>
      <c r="N391" s="7" t="s">
        <v>109</v>
      </c>
      <c r="O391" s="9" t="n">
        <f aca="false">IF(COUNTIFS($B$2:B391,B391,$C$2:C391,C391)=1,1,0)</f>
        <v>1</v>
      </c>
      <c r="P391" s="9" t="str">
        <f aca="false">IFERROR(INDEX(dEtapa!$A$2:$A$6,MATCH(N391,dEtapa!$B$2:$B$6,0)),"Sin etapa")</f>
        <v>Planificada 2027</v>
      </c>
      <c r="Q391" s="9" t="n">
        <f aca="false">IF(L391="Si",1,0)</f>
        <v>0</v>
      </c>
      <c r="R391" s="9" t="n">
        <f aca="false">IF(ISNUMBER(SEARCH("CRITERIO",N391)),1,0)</f>
        <v>0</v>
      </c>
      <c r="S391" s="9" t="str">
        <f aca="false">IF(E391="","Sin dato",LEFT(E391,1))</f>
        <v>E</v>
      </c>
      <c r="T391" s="9" t="n">
        <f aca="false">IFERROR(INDEX(dCriticidad!$G$2:$G$7,MATCH(S391,dCriticidad!$A$2:$A$7,0)),0)</f>
        <v>0</v>
      </c>
      <c r="U391" s="9" t="n">
        <f aca="false">IF(OR(LEFT(C391,3)="GI0",LEFT(C391,3)="GA0"),1,0)</f>
        <v>0</v>
      </c>
      <c r="V391" s="9" t="str">
        <f aca="false">IF(G391="","Sin dato (ID GI)",TRIM(G391))</f>
        <v>INFRAESTRUCTURA</v>
      </c>
      <c r="W391" s="9" t="str">
        <f aca="false">IF(F391="","Sin dato",F391)</f>
        <v>On Premise</v>
      </c>
      <c r="X391" s="9" t="str">
        <f aca="false">IF(M391="","",YEAR(M391))</f>
        <v/>
      </c>
      <c r="Y391" s="10" t="str">
        <f aca="false">IF(M391="","",DATE(YEAR(M391),MONTH(M391),1))</f>
        <v/>
      </c>
      <c r="Z391" s="9" t="n">
        <f aca="false">IF(AND(Q391=0,COUNTIF(dDuplicadosGI!$A$2:$A$60,C391)&gt;0),1,0)</f>
        <v>0</v>
      </c>
      <c r="AA391" s="9" t="n">
        <f aca="false">IF(Q391=0,1,0)</f>
        <v>1</v>
      </c>
    </row>
    <row r="392" customFormat="false" ht="15" hidden="false" customHeight="false" outlineLevel="0" collapsed="false">
      <c r="A392" s="7" t="n">
        <v>391</v>
      </c>
      <c r="B392" s="7" t="s">
        <v>1400</v>
      </c>
      <c r="C392" s="7" t="s">
        <v>1401</v>
      </c>
      <c r="D392" s="7"/>
      <c r="E392" s="7" t="s">
        <v>119</v>
      </c>
      <c r="F392" s="7" t="s">
        <v>82</v>
      </c>
      <c r="G392" s="7" t="s">
        <v>104</v>
      </c>
      <c r="H392" s="7" t="s">
        <v>105</v>
      </c>
      <c r="I392" s="7" t="s">
        <v>120</v>
      </c>
      <c r="J392" s="7" t="s">
        <v>1130</v>
      </c>
      <c r="K392" s="7"/>
      <c r="L392" s="7" t="s">
        <v>99</v>
      </c>
      <c r="M392" s="8"/>
      <c r="N392" s="7" t="s">
        <v>109</v>
      </c>
      <c r="O392" s="9" t="n">
        <f aca="false">IF(COUNTIFS($B$2:B392,B392,$C$2:C392,C392)=1,1,0)</f>
        <v>1</v>
      </c>
      <c r="P392" s="9" t="str">
        <f aca="false">IFERROR(INDEX(dEtapa!$A$2:$A$6,MATCH(N392,dEtapa!$B$2:$B$6,0)),"Sin etapa")</f>
        <v>Planificada 2027</v>
      </c>
      <c r="Q392" s="9" t="n">
        <f aca="false">IF(L392="Si",1,0)</f>
        <v>0</v>
      </c>
      <c r="R392" s="9" t="n">
        <f aca="false">IF(ISNUMBER(SEARCH("CRITERIO",N392)),1,0)</f>
        <v>0</v>
      </c>
      <c r="S392" s="9" t="str">
        <f aca="false">IF(E392="","Sin dato",LEFT(E392,1))</f>
        <v>E</v>
      </c>
      <c r="T392" s="9" t="n">
        <f aca="false">IFERROR(INDEX(dCriticidad!$G$2:$G$7,MATCH(S392,dCriticidad!$A$2:$A$7,0)),0)</f>
        <v>0</v>
      </c>
      <c r="U392" s="9" t="n">
        <f aca="false">IF(OR(LEFT(C392,3)="GI0",LEFT(C392,3)="GA0"),1,0)</f>
        <v>0</v>
      </c>
      <c r="V392" s="9" t="str">
        <f aca="false">IF(G392="","Sin dato (ID GI)",TRIM(G392))</f>
        <v>INFRAESTRUCTURA</v>
      </c>
      <c r="W392" s="9" t="str">
        <f aca="false">IF(F392="","Sin dato",F392)</f>
        <v>On Premise</v>
      </c>
      <c r="X392" s="9" t="str">
        <f aca="false">IF(M392="","",YEAR(M392))</f>
        <v/>
      </c>
      <c r="Y392" s="10" t="str">
        <f aca="false">IF(M392="","",DATE(YEAR(M392),MONTH(M392),1))</f>
        <v/>
      </c>
      <c r="Z392" s="9" t="n">
        <f aca="false">IF(AND(Q392=0,COUNTIF(dDuplicadosGI!$A$2:$A$60,C392)&gt;0),1,0)</f>
        <v>0</v>
      </c>
      <c r="AA392" s="9" t="n">
        <f aca="false">IF(Q392=0,1,0)</f>
        <v>1</v>
      </c>
    </row>
    <row r="393" customFormat="false" ht="15" hidden="false" customHeight="false" outlineLevel="0" collapsed="false">
      <c r="A393" s="7" t="n">
        <v>392</v>
      </c>
      <c r="B393" s="7" t="s">
        <v>1402</v>
      </c>
      <c r="C393" s="7" t="s">
        <v>1403</v>
      </c>
      <c r="D393" s="7"/>
      <c r="E393" s="7" t="s">
        <v>119</v>
      </c>
      <c r="F393" s="7" t="s">
        <v>94</v>
      </c>
      <c r="G393" s="7" t="s">
        <v>83</v>
      </c>
      <c r="H393" s="7" t="s">
        <v>84</v>
      </c>
      <c r="I393" s="7" t="s">
        <v>601</v>
      </c>
      <c r="J393" s="7" t="s">
        <v>602</v>
      </c>
      <c r="K393" s="7"/>
      <c r="L393" s="7" t="s">
        <v>99</v>
      </c>
      <c r="M393" s="8"/>
      <c r="N393" s="7" t="s">
        <v>109</v>
      </c>
      <c r="O393" s="9" t="n">
        <f aca="false">IF(COUNTIFS($B$2:B393,B393,$C$2:C393,C393)=1,1,0)</f>
        <v>1</v>
      </c>
      <c r="P393" s="9" t="str">
        <f aca="false">IFERROR(INDEX(dEtapa!$A$2:$A$6,MATCH(N393,dEtapa!$B$2:$B$6,0)),"Sin etapa")</f>
        <v>Planificada 2027</v>
      </c>
      <c r="Q393" s="9" t="n">
        <f aca="false">IF(L393="Si",1,0)</f>
        <v>0</v>
      </c>
      <c r="R393" s="9" t="n">
        <f aca="false">IF(ISNUMBER(SEARCH("CRITERIO",N393)),1,0)</f>
        <v>0</v>
      </c>
      <c r="S393" s="9" t="str">
        <f aca="false">IF(E393="","Sin dato",LEFT(E393,1))</f>
        <v>E</v>
      </c>
      <c r="T393" s="9" t="n">
        <f aca="false">IFERROR(INDEX(dCriticidad!$G$2:$G$7,MATCH(S393,dCriticidad!$A$2:$A$7,0)),0)</f>
        <v>0</v>
      </c>
      <c r="U393" s="9" t="n">
        <f aca="false">IF(OR(LEFT(C393,3)="GI0",LEFT(C393,3)="GA0"),1,0)</f>
        <v>0</v>
      </c>
      <c r="V393" s="9" t="str">
        <f aca="false">IF(G393="","Sin dato (ID GI)",TRIM(G393))</f>
        <v>TRIBU_CANALES</v>
      </c>
      <c r="W393" s="9" t="str">
        <f aca="false">IF(F393="","Sin dato",F393)</f>
        <v>Nube</v>
      </c>
      <c r="X393" s="9" t="str">
        <f aca="false">IF(M393="","",YEAR(M393))</f>
        <v/>
      </c>
      <c r="Y393" s="10" t="str">
        <f aca="false">IF(M393="","",DATE(YEAR(M393),MONTH(M393),1))</f>
        <v/>
      </c>
      <c r="Z393" s="9" t="n">
        <f aca="false">IF(AND(Q393=0,COUNTIF(dDuplicadosGI!$A$2:$A$60,C393)&gt;0),1,0)</f>
        <v>0</v>
      </c>
      <c r="AA393" s="9" t="n">
        <f aca="false">IF(Q393=0,1,0)</f>
        <v>1</v>
      </c>
    </row>
    <row r="394" customFormat="false" ht="15" hidden="false" customHeight="false" outlineLevel="0" collapsed="false">
      <c r="A394" s="7" t="n">
        <v>393</v>
      </c>
      <c r="B394" s="7" t="s">
        <v>1404</v>
      </c>
      <c r="C394" s="7" t="s">
        <v>1405</v>
      </c>
      <c r="D394" s="7"/>
      <c r="E394" s="7" t="s">
        <v>119</v>
      </c>
      <c r="F394" s="7" t="s">
        <v>94</v>
      </c>
      <c r="G394" s="7" t="s">
        <v>451</v>
      </c>
      <c r="H394" s="7" t="s">
        <v>1406</v>
      </c>
      <c r="I394" s="7" t="s">
        <v>322</v>
      </c>
      <c r="J394" s="7" t="s">
        <v>1407</v>
      </c>
      <c r="K394" s="7"/>
      <c r="L394" s="7" t="s">
        <v>99</v>
      </c>
      <c r="M394" s="8"/>
      <c r="N394" s="7" t="s">
        <v>109</v>
      </c>
      <c r="O394" s="9" t="n">
        <f aca="false">IF(COUNTIFS($B$2:B394,B394,$C$2:C394,C394)=1,1,0)</f>
        <v>1</v>
      </c>
      <c r="P394" s="9" t="str">
        <f aca="false">IFERROR(INDEX(dEtapa!$A$2:$A$6,MATCH(N394,dEtapa!$B$2:$B$6,0)),"Sin etapa")</f>
        <v>Planificada 2027</v>
      </c>
      <c r="Q394" s="9" t="n">
        <f aca="false">IF(L394="Si",1,0)</f>
        <v>0</v>
      </c>
      <c r="R394" s="9" t="n">
        <f aca="false">IF(ISNUMBER(SEARCH("CRITERIO",N394)),1,0)</f>
        <v>0</v>
      </c>
      <c r="S394" s="9" t="str">
        <f aca="false">IF(E394="","Sin dato",LEFT(E394,1))</f>
        <v>E</v>
      </c>
      <c r="T394" s="9" t="n">
        <f aca="false">IFERROR(INDEX(dCriticidad!$G$2:$G$7,MATCH(S394,dCriticidad!$A$2:$A$7,0)),0)</f>
        <v>0</v>
      </c>
      <c r="U394" s="9" t="n">
        <f aca="false">IF(OR(LEFT(C394,3)="GI0",LEFT(C394,3)="GA0"),1,0)</f>
        <v>0</v>
      </c>
      <c r="V394" s="9" t="str">
        <f aca="false">IF(G394="","Sin dato (ID GI)",TRIM(G394))</f>
        <v>COE de Ingeniería</v>
      </c>
      <c r="W394" s="9" t="str">
        <f aca="false">IF(F394="","Sin dato",F394)</f>
        <v>Nube</v>
      </c>
      <c r="X394" s="9" t="str">
        <f aca="false">IF(M394="","",YEAR(M394))</f>
        <v/>
      </c>
      <c r="Y394" s="10" t="str">
        <f aca="false">IF(M394="","",DATE(YEAR(M394),MONTH(M394),1))</f>
        <v/>
      </c>
      <c r="Z394" s="9" t="n">
        <f aca="false">IF(AND(Q394=0,COUNTIF(dDuplicadosGI!$A$2:$A$60,C394)&gt;0),1,0)</f>
        <v>0</v>
      </c>
      <c r="AA394" s="9" t="n">
        <f aca="false">IF(Q394=0,1,0)</f>
        <v>1</v>
      </c>
    </row>
    <row r="395" customFormat="false" ht="15" hidden="false" customHeight="false" outlineLevel="0" collapsed="false">
      <c r="A395" s="7" t="n">
        <v>394</v>
      </c>
      <c r="B395" s="7" t="s">
        <v>1408</v>
      </c>
      <c r="C395" s="7" t="s">
        <v>1405</v>
      </c>
      <c r="D395" s="7"/>
      <c r="E395" s="7" t="s">
        <v>119</v>
      </c>
      <c r="F395" s="7" t="s">
        <v>152</v>
      </c>
      <c r="G395" s="7" t="s">
        <v>362</v>
      </c>
      <c r="H395" s="7" t="s">
        <v>1359</v>
      </c>
      <c r="I395" s="7" t="s">
        <v>1409</v>
      </c>
      <c r="J395" s="7" t="s">
        <v>1410</v>
      </c>
      <c r="K395" s="7"/>
      <c r="L395" s="7" t="s">
        <v>99</v>
      </c>
      <c r="M395" s="8"/>
      <c r="N395" s="7" t="s">
        <v>109</v>
      </c>
      <c r="O395" s="9" t="n">
        <f aca="false">IF(COUNTIFS($B$2:B395,B395,$C$2:C395,C395)=1,1,0)</f>
        <v>1</v>
      </c>
      <c r="P395" s="9" t="str">
        <f aca="false">IFERROR(INDEX(dEtapa!$A$2:$A$6,MATCH(N395,dEtapa!$B$2:$B$6,0)),"Sin etapa")</f>
        <v>Planificada 2027</v>
      </c>
      <c r="Q395" s="9" t="n">
        <f aca="false">IF(L395="Si",1,0)</f>
        <v>0</v>
      </c>
      <c r="R395" s="9" t="n">
        <f aca="false">IF(ISNUMBER(SEARCH("CRITERIO",N395)),1,0)</f>
        <v>0</v>
      </c>
      <c r="S395" s="9" t="str">
        <f aca="false">IF(E395="","Sin dato",LEFT(E395,1))</f>
        <v>E</v>
      </c>
      <c r="T395" s="9" t="n">
        <f aca="false">IFERROR(INDEX(dCriticidad!$G$2:$G$7,MATCH(S395,dCriticidad!$A$2:$A$7,0)),0)</f>
        <v>0</v>
      </c>
      <c r="U395" s="9" t="n">
        <f aca="false">IF(OR(LEFT(C395,3)="GI0",LEFT(C395,3)="GA0"),1,0)</f>
        <v>0</v>
      </c>
      <c r="V395" s="9" t="str">
        <f aca="false">IF(G395="","Sin dato (ID GI)",TRIM(G395))</f>
        <v>COE_TRANSFORMACION_PROCESOS</v>
      </c>
      <c r="W395" s="9" t="str">
        <f aca="false">IF(F395="","Sin dato",F395)</f>
        <v>Terceros</v>
      </c>
      <c r="X395" s="9" t="str">
        <f aca="false">IF(M395="","",YEAR(M395))</f>
        <v/>
      </c>
      <c r="Y395" s="10" t="str">
        <f aca="false">IF(M395="","",DATE(YEAR(M395),MONTH(M395),1))</f>
        <v/>
      </c>
      <c r="Z395" s="9" t="n">
        <f aca="false">IF(AND(Q395=0,COUNTIF(dDuplicadosGI!$A$2:$A$60,C395)&gt;0),1,0)</f>
        <v>0</v>
      </c>
      <c r="AA395" s="9" t="n">
        <f aca="false">IF(Q395=0,1,0)</f>
        <v>1</v>
      </c>
    </row>
    <row r="396" customFormat="false" ht="15" hidden="false" customHeight="false" outlineLevel="0" collapsed="false">
      <c r="A396" s="7" t="n">
        <v>395</v>
      </c>
      <c r="B396" s="7" t="s">
        <v>1411</v>
      </c>
      <c r="C396" s="7" t="s">
        <v>1412</v>
      </c>
      <c r="D396" s="7"/>
      <c r="E396" s="7" t="s">
        <v>119</v>
      </c>
      <c r="F396" s="7" t="s">
        <v>94</v>
      </c>
      <c r="G396" s="7" t="s">
        <v>132</v>
      </c>
      <c r="H396" s="7" t="s">
        <v>133</v>
      </c>
      <c r="I396" s="7" t="s">
        <v>1122</v>
      </c>
      <c r="J396" s="7" t="s">
        <v>1407</v>
      </c>
      <c r="K396" s="7"/>
      <c r="L396" s="7" t="s">
        <v>99</v>
      </c>
      <c r="M396" s="8"/>
      <c r="N396" s="7" t="s">
        <v>109</v>
      </c>
      <c r="O396" s="9" t="n">
        <f aca="false">IF(COUNTIFS($B$2:B396,B396,$C$2:C396,C396)=1,1,0)</f>
        <v>1</v>
      </c>
      <c r="P396" s="9" t="str">
        <f aca="false">IFERROR(INDEX(dEtapa!$A$2:$A$6,MATCH(N396,dEtapa!$B$2:$B$6,0)),"Sin etapa")</f>
        <v>Planificada 2027</v>
      </c>
      <c r="Q396" s="9" t="n">
        <f aca="false">IF(L396="Si",1,0)</f>
        <v>0</v>
      </c>
      <c r="R396" s="9" t="n">
        <f aca="false">IF(ISNUMBER(SEARCH("CRITERIO",N396)),1,0)</f>
        <v>0</v>
      </c>
      <c r="S396" s="9" t="str">
        <f aca="false">IF(E396="","Sin dato",LEFT(E396,1))</f>
        <v>E</v>
      </c>
      <c r="T396" s="9" t="n">
        <f aca="false">IFERROR(INDEX(dCriticidad!$G$2:$G$7,MATCH(S396,dCriticidad!$A$2:$A$7,0)),0)</f>
        <v>0</v>
      </c>
      <c r="U396" s="9" t="n">
        <f aca="false">IF(OR(LEFT(C396,3)="GI0",LEFT(C396,3)="GA0"),1,0)</f>
        <v>0</v>
      </c>
      <c r="V396" s="9" t="str">
        <f aca="false">IF(G396="","Sin dato (ID GI)",TRIM(G396))</f>
        <v>ACTIVOS</v>
      </c>
      <c r="W396" s="9" t="str">
        <f aca="false">IF(F396="","Sin dato",F396)</f>
        <v>Nube</v>
      </c>
      <c r="X396" s="9" t="str">
        <f aca="false">IF(M396="","",YEAR(M396))</f>
        <v/>
      </c>
      <c r="Y396" s="10" t="str">
        <f aca="false">IF(M396="","",DATE(YEAR(M396),MONTH(M396),1))</f>
        <v/>
      </c>
      <c r="Z396" s="9" t="n">
        <f aca="false">IF(AND(Q396=0,COUNTIF(dDuplicadosGI!$A$2:$A$60,C396)&gt;0),1,0)</f>
        <v>0</v>
      </c>
      <c r="AA396" s="9" t="n">
        <f aca="false">IF(Q396=0,1,0)</f>
        <v>1</v>
      </c>
    </row>
    <row r="397" customFormat="false" ht="15" hidden="false" customHeight="false" outlineLevel="0" collapsed="false">
      <c r="A397" s="7" t="n">
        <v>396</v>
      </c>
      <c r="B397" s="7" t="s">
        <v>1413</v>
      </c>
      <c r="C397" s="7" t="s">
        <v>1414</v>
      </c>
      <c r="D397" s="7"/>
      <c r="E397" s="7" t="s">
        <v>119</v>
      </c>
      <c r="F397" s="7" t="s">
        <v>82</v>
      </c>
      <c r="G397" s="7" t="s">
        <v>104</v>
      </c>
      <c r="H397" s="7" t="s">
        <v>105</v>
      </c>
      <c r="I397" s="7" t="s">
        <v>120</v>
      </c>
      <c r="J397" s="7" t="s">
        <v>265</v>
      </c>
      <c r="K397" s="7"/>
      <c r="L397" s="7" t="s">
        <v>99</v>
      </c>
      <c r="M397" s="8"/>
      <c r="N397" s="7" t="s">
        <v>109</v>
      </c>
      <c r="O397" s="9" t="n">
        <f aca="false">IF(COUNTIFS($B$2:B397,B397,$C$2:C397,C397)=1,1,0)</f>
        <v>1</v>
      </c>
      <c r="P397" s="9" t="str">
        <f aca="false">IFERROR(INDEX(dEtapa!$A$2:$A$6,MATCH(N397,dEtapa!$B$2:$B$6,0)),"Sin etapa")</f>
        <v>Planificada 2027</v>
      </c>
      <c r="Q397" s="9" t="n">
        <f aca="false">IF(L397="Si",1,0)</f>
        <v>0</v>
      </c>
      <c r="R397" s="9" t="n">
        <f aca="false">IF(ISNUMBER(SEARCH("CRITERIO",N397)),1,0)</f>
        <v>0</v>
      </c>
      <c r="S397" s="9" t="str">
        <f aca="false">IF(E397="","Sin dato",LEFT(E397,1))</f>
        <v>E</v>
      </c>
      <c r="T397" s="9" t="n">
        <f aca="false">IFERROR(INDEX(dCriticidad!$G$2:$G$7,MATCH(S397,dCriticidad!$A$2:$A$7,0)),0)</f>
        <v>0</v>
      </c>
      <c r="U397" s="9" t="n">
        <f aca="false">IF(OR(LEFT(C397,3)="GI0",LEFT(C397,3)="GA0"),1,0)</f>
        <v>0</v>
      </c>
      <c r="V397" s="9" t="str">
        <f aca="false">IF(G397="","Sin dato (ID GI)",TRIM(G397))</f>
        <v>INFRAESTRUCTURA</v>
      </c>
      <c r="W397" s="9" t="str">
        <f aca="false">IF(F397="","Sin dato",F397)</f>
        <v>On Premise</v>
      </c>
      <c r="X397" s="9" t="str">
        <f aca="false">IF(M397="","",YEAR(M397))</f>
        <v/>
      </c>
      <c r="Y397" s="10" t="str">
        <f aca="false">IF(M397="","",DATE(YEAR(M397),MONTH(M397),1))</f>
        <v/>
      </c>
      <c r="Z397" s="9" t="n">
        <f aca="false">IF(AND(Q397=0,COUNTIF(dDuplicadosGI!$A$2:$A$60,C397)&gt;0),1,0)</f>
        <v>0</v>
      </c>
      <c r="AA397" s="9" t="n">
        <f aca="false">IF(Q397=0,1,0)</f>
        <v>1</v>
      </c>
    </row>
    <row r="398" customFormat="false" ht="15" hidden="false" customHeight="false" outlineLevel="0" collapsed="false">
      <c r="A398" s="7" t="n">
        <v>397</v>
      </c>
      <c r="B398" s="7" t="s">
        <v>1415</v>
      </c>
      <c r="C398" s="7" t="s">
        <v>1416</v>
      </c>
      <c r="D398" s="7"/>
      <c r="E398" s="7" t="s">
        <v>145</v>
      </c>
      <c r="F398" s="7" t="s">
        <v>94</v>
      </c>
      <c r="G398" s="7" t="s">
        <v>451</v>
      </c>
      <c r="H398" s="7" t="s">
        <v>452</v>
      </c>
      <c r="I398" s="7" t="s">
        <v>452</v>
      </c>
      <c r="J398" s="7" t="s">
        <v>1272</v>
      </c>
      <c r="K398" s="7"/>
      <c r="L398" s="7" t="s">
        <v>99</v>
      </c>
      <c r="M398" s="8"/>
      <c r="N398" s="7" t="s">
        <v>109</v>
      </c>
      <c r="O398" s="9" t="n">
        <f aca="false">IF(COUNTIFS($B$2:B398,B398,$C$2:C398,C398)=1,1,0)</f>
        <v>1</v>
      </c>
      <c r="P398" s="9" t="str">
        <f aca="false">IFERROR(INDEX(dEtapa!$A$2:$A$6,MATCH(N398,dEtapa!$B$2:$B$6,0)),"Sin etapa")</f>
        <v>Planificada 2027</v>
      </c>
      <c r="Q398" s="9" t="n">
        <f aca="false">IF(L398="Si",1,0)</f>
        <v>0</v>
      </c>
      <c r="R398" s="9" t="n">
        <f aca="false">IF(ISNUMBER(SEARCH("CRITERIO",N398)),1,0)</f>
        <v>0</v>
      </c>
      <c r="S398" s="9" t="str">
        <f aca="false">IF(E398="","Sin dato",LEFT(E398,1))</f>
        <v>B</v>
      </c>
      <c r="T398" s="9" t="n">
        <f aca="false">IFERROR(INDEX(dCriticidad!$G$2:$G$7,MATCH(S398,dCriticidad!$A$2:$A$7,0)),0)</f>
        <v>1</v>
      </c>
      <c r="U398" s="9" t="n">
        <f aca="false">IF(OR(LEFT(C398,3)="GI0",LEFT(C398,3)="GA0"),1,0)</f>
        <v>0</v>
      </c>
      <c r="V398" s="9" t="str">
        <f aca="false">IF(G398="","Sin dato (ID GI)",TRIM(G398))</f>
        <v>COE de Ingeniería</v>
      </c>
      <c r="W398" s="9" t="str">
        <f aca="false">IF(F398="","Sin dato",F398)</f>
        <v>Nube</v>
      </c>
      <c r="X398" s="9" t="str">
        <f aca="false">IF(M398="","",YEAR(M398))</f>
        <v/>
      </c>
      <c r="Y398" s="10" t="str">
        <f aca="false">IF(M398="","",DATE(YEAR(M398),MONTH(M398),1))</f>
        <v/>
      </c>
      <c r="Z398" s="9" t="n">
        <f aca="false">IF(AND(Q398=0,COUNTIF(dDuplicadosGI!$A$2:$A$60,C398)&gt;0),1,0)</f>
        <v>0</v>
      </c>
      <c r="AA398" s="9" t="n">
        <f aca="false">IF(Q398=0,1,0)</f>
        <v>1</v>
      </c>
    </row>
    <row r="399" customFormat="false" ht="15" hidden="false" customHeight="false" outlineLevel="0" collapsed="false">
      <c r="A399" s="7" t="n">
        <v>398</v>
      </c>
      <c r="B399" s="7" t="s">
        <v>1417</v>
      </c>
      <c r="C399" s="7" t="s">
        <v>1418</v>
      </c>
      <c r="D399" s="7"/>
      <c r="E399" s="7" t="s">
        <v>81</v>
      </c>
      <c r="F399" s="7" t="s">
        <v>94</v>
      </c>
      <c r="G399" s="7" t="s">
        <v>139</v>
      </c>
      <c r="H399" s="7" t="s">
        <v>97</v>
      </c>
      <c r="I399" s="7" t="s">
        <v>1419</v>
      </c>
      <c r="J399" s="7" t="s">
        <v>1420</v>
      </c>
      <c r="K399" s="7"/>
      <c r="L399" s="7" t="s">
        <v>99</v>
      </c>
      <c r="M399" s="8"/>
      <c r="N399" s="7" t="s">
        <v>109</v>
      </c>
      <c r="O399" s="9" t="n">
        <f aca="false">IF(COUNTIFS($B$2:B399,B399,$C$2:C399,C399)=1,1,0)</f>
        <v>1</v>
      </c>
      <c r="P399" s="9" t="str">
        <f aca="false">IFERROR(INDEX(dEtapa!$A$2:$A$6,MATCH(N399,dEtapa!$B$2:$B$6,0)),"Sin etapa")</f>
        <v>Planificada 2027</v>
      </c>
      <c r="Q399" s="9" t="n">
        <f aca="false">IF(L399="Si",1,0)</f>
        <v>0</v>
      </c>
      <c r="R399" s="9" t="n">
        <f aca="false">IF(ISNUMBER(SEARCH("CRITERIO",N399)),1,0)</f>
        <v>0</v>
      </c>
      <c r="S399" s="9" t="str">
        <f aca="false">IF(E399="","Sin dato",LEFT(E399,1))</f>
        <v>A</v>
      </c>
      <c r="T399" s="9" t="n">
        <f aca="false">IFERROR(INDEX(dCriticidad!$G$2:$G$7,MATCH(S399,dCriticidad!$A$2:$A$7,0)),0)</f>
        <v>1</v>
      </c>
      <c r="U399" s="9" t="n">
        <f aca="false">IF(OR(LEFT(C399,3)="GI0",LEFT(C399,3)="GA0"),1,0)</f>
        <v>0</v>
      </c>
      <c r="V399" s="9" t="str">
        <f aca="false">IF(G399="","Sin dato (ID GI)",TRIM(G399))</f>
        <v>Frente de Soluciones Empresariales</v>
      </c>
      <c r="W399" s="9" t="str">
        <f aca="false">IF(F399="","Sin dato",F399)</f>
        <v>Nube</v>
      </c>
      <c r="X399" s="9" t="str">
        <f aca="false">IF(M399="","",YEAR(M399))</f>
        <v/>
      </c>
      <c r="Y399" s="10" t="str">
        <f aca="false">IF(M399="","",DATE(YEAR(M399),MONTH(M399),1))</f>
        <v/>
      </c>
      <c r="Z399" s="9" t="n">
        <f aca="false">IF(AND(Q399=0,COUNTIF(dDuplicadosGI!$A$2:$A$60,C399)&gt;0),1,0)</f>
        <v>0</v>
      </c>
      <c r="AA399" s="9" t="n">
        <f aca="false">IF(Q399=0,1,0)</f>
        <v>1</v>
      </c>
    </row>
    <row r="400" customFormat="false" ht="15" hidden="false" customHeight="false" outlineLevel="0" collapsed="false">
      <c r="A400" s="7" t="n">
        <v>399</v>
      </c>
      <c r="B400" s="7" t="s">
        <v>1421</v>
      </c>
      <c r="C400" s="7" t="s">
        <v>1422</v>
      </c>
      <c r="D400" s="7"/>
      <c r="E400" s="7" t="s">
        <v>119</v>
      </c>
      <c r="F400" s="7" t="s">
        <v>94</v>
      </c>
      <c r="G400" s="7" t="s">
        <v>199</v>
      </c>
      <c r="H400" s="7" t="s">
        <v>201</v>
      </c>
      <c r="I400" s="7" t="s">
        <v>807</v>
      </c>
      <c r="J400" s="7" t="s">
        <v>807</v>
      </c>
      <c r="K400" s="7"/>
      <c r="L400" s="7" t="s">
        <v>99</v>
      </c>
      <c r="M400" s="8"/>
      <c r="N400" s="7" t="s">
        <v>109</v>
      </c>
      <c r="O400" s="9" t="n">
        <f aca="false">IF(COUNTIFS($B$2:B400,B400,$C$2:C400,C400)=1,1,0)</f>
        <v>1</v>
      </c>
      <c r="P400" s="9" t="str">
        <f aca="false">IFERROR(INDEX(dEtapa!$A$2:$A$6,MATCH(N400,dEtapa!$B$2:$B$6,0)),"Sin etapa")</f>
        <v>Planificada 2027</v>
      </c>
      <c r="Q400" s="9" t="n">
        <f aca="false">IF(L400="Si",1,0)</f>
        <v>0</v>
      </c>
      <c r="R400" s="9" t="n">
        <f aca="false">IF(ISNUMBER(SEARCH("CRITERIO",N400)),1,0)</f>
        <v>0</v>
      </c>
      <c r="S400" s="9" t="str">
        <f aca="false">IF(E400="","Sin dato",LEFT(E400,1))</f>
        <v>E</v>
      </c>
      <c r="T400" s="9" t="n">
        <f aca="false">IFERROR(INDEX(dCriticidad!$G$2:$G$7,MATCH(S400,dCriticidad!$A$2:$A$7,0)),0)</f>
        <v>0</v>
      </c>
      <c r="U400" s="9" t="n">
        <f aca="false">IF(OR(LEFT(C400,3)="GI0",LEFT(C400,3)="GA0"),1,0)</f>
        <v>0</v>
      </c>
      <c r="V400" s="9" t="str">
        <f aca="false">IF(G400="","Sin dato (ID GI)",TRIM(G400))</f>
        <v>Gerencia Arquitectura Usuario Final</v>
      </c>
      <c r="W400" s="9" t="str">
        <f aca="false">IF(F400="","Sin dato",F400)</f>
        <v>Nube</v>
      </c>
      <c r="X400" s="9" t="str">
        <f aca="false">IF(M400="","",YEAR(M400))</f>
        <v/>
      </c>
      <c r="Y400" s="10" t="str">
        <f aca="false">IF(M400="","",DATE(YEAR(M400),MONTH(M400),1))</f>
        <v/>
      </c>
      <c r="Z400" s="9" t="n">
        <f aca="false">IF(AND(Q400=0,COUNTIF(dDuplicadosGI!$A$2:$A$60,C400)&gt;0),1,0)</f>
        <v>0</v>
      </c>
      <c r="AA400" s="9" t="n">
        <f aca="false">IF(Q400=0,1,0)</f>
        <v>1</v>
      </c>
    </row>
    <row r="401" customFormat="false" ht="15" hidden="false" customHeight="false" outlineLevel="0" collapsed="false">
      <c r="A401" s="7" t="n">
        <v>400</v>
      </c>
      <c r="B401" s="7" t="s">
        <v>1423</v>
      </c>
      <c r="C401" s="7" t="s">
        <v>1424</v>
      </c>
      <c r="D401" s="7"/>
      <c r="E401" s="7" t="s">
        <v>119</v>
      </c>
      <c r="F401" s="7" t="s">
        <v>94</v>
      </c>
      <c r="G401" s="7" t="s">
        <v>125</v>
      </c>
      <c r="H401" s="7" t="s">
        <v>126</v>
      </c>
      <c r="I401" s="7" t="s">
        <v>1425</v>
      </c>
      <c r="J401" s="7" t="s">
        <v>126</v>
      </c>
      <c r="K401" s="7"/>
      <c r="L401" s="7" t="s">
        <v>99</v>
      </c>
      <c r="M401" s="8"/>
      <c r="N401" s="7" t="s">
        <v>109</v>
      </c>
      <c r="O401" s="9" t="n">
        <f aca="false">IF(COUNTIFS($B$2:B401,B401,$C$2:C401,C401)=1,1,0)</f>
        <v>1</v>
      </c>
      <c r="P401" s="9" t="str">
        <f aca="false">IFERROR(INDEX(dEtapa!$A$2:$A$6,MATCH(N401,dEtapa!$B$2:$B$6,0)),"Sin etapa")</f>
        <v>Planificada 2027</v>
      </c>
      <c r="Q401" s="9" t="n">
        <f aca="false">IF(L401="Si",1,0)</f>
        <v>0</v>
      </c>
      <c r="R401" s="9" t="n">
        <f aca="false">IF(ISNUMBER(SEARCH("CRITERIO",N401)),1,0)</f>
        <v>0</v>
      </c>
      <c r="S401" s="9" t="str">
        <f aca="false">IF(E401="","Sin dato",LEFT(E401,1))</f>
        <v>E</v>
      </c>
      <c r="T401" s="9" t="n">
        <f aca="false">IFERROR(INDEX(dCriticidad!$G$2:$G$7,MATCH(S401,dCriticidad!$A$2:$A$7,0)),0)</f>
        <v>0</v>
      </c>
      <c r="U401" s="9" t="n">
        <f aca="false">IF(OR(LEFT(C401,3)="GI0",LEFT(C401,3)="GA0"),1,0)</f>
        <v>0</v>
      </c>
      <c r="V401" s="9" t="str">
        <f aca="false">IF(G401="","Sin dato (ID GI)",TRIM(G401))</f>
        <v>Negocios y Monetización</v>
      </c>
      <c r="W401" s="9" t="str">
        <f aca="false">IF(F401="","Sin dato",F401)</f>
        <v>Nube</v>
      </c>
      <c r="X401" s="9" t="str">
        <f aca="false">IF(M401="","",YEAR(M401))</f>
        <v/>
      </c>
      <c r="Y401" s="10" t="str">
        <f aca="false">IF(M401="","",DATE(YEAR(M401),MONTH(M401),1))</f>
        <v/>
      </c>
      <c r="Z401" s="9" t="n">
        <f aca="false">IF(AND(Q401=0,COUNTIF(dDuplicadosGI!$A$2:$A$60,C401)&gt;0),1,0)</f>
        <v>0</v>
      </c>
      <c r="AA401" s="9" t="n">
        <f aca="false">IF(Q401=0,1,0)</f>
        <v>1</v>
      </c>
    </row>
    <row r="402" customFormat="false" ht="15" hidden="false" customHeight="false" outlineLevel="0" collapsed="false">
      <c r="A402" s="7" t="n">
        <v>401</v>
      </c>
      <c r="B402" s="7" t="s">
        <v>1426</v>
      </c>
      <c r="C402" s="7" t="s">
        <v>1427</v>
      </c>
      <c r="D402" s="7"/>
      <c r="E402" s="7" t="s">
        <v>119</v>
      </c>
      <c r="F402" s="7" t="s">
        <v>82</v>
      </c>
      <c r="G402" s="7" t="s">
        <v>104</v>
      </c>
      <c r="H402" s="7" t="s">
        <v>105</v>
      </c>
      <c r="I402" s="7" t="s">
        <v>106</v>
      </c>
      <c r="J402" s="7" t="s">
        <v>107</v>
      </c>
      <c r="K402" s="7"/>
      <c r="L402" s="7" t="s">
        <v>99</v>
      </c>
      <c r="M402" s="8"/>
      <c r="N402" s="7" t="s">
        <v>109</v>
      </c>
      <c r="O402" s="9" t="n">
        <f aca="false">IF(COUNTIFS($B$2:B402,B402,$C$2:C402,C402)=1,1,0)</f>
        <v>1</v>
      </c>
      <c r="P402" s="9" t="str">
        <f aca="false">IFERROR(INDEX(dEtapa!$A$2:$A$6,MATCH(N402,dEtapa!$B$2:$B$6,0)),"Sin etapa")</f>
        <v>Planificada 2027</v>
      </c>
      <c r="Q402" s="9" t="n">
        <f aca="false">IF(L402="Si",1,0)</f>
        <v>0</v>
      </c>
      <c r="R402" s="9" t="n">
        <f aca="false">IF(ISNUMBER(SEARCH("CRITERIO",N402)),1,0)</f>
        <v>0</v>
      </c>
      <c r="S402" s="9" t="str">
        <f aca="false">IF(E402="","Sin dato",LEFT(E402,1))</f>
        <v>E</v>
      </c>
      <c r="T402" s="9" t="n">
        <f aca="false">IFERROR(INDEX(dCriticidad!$G$2:$G$7,MATCH(S402,dCriticidad!$A$2:$A$7,0)),0)</f>
        <v>0</v>
      </c>
      <c r="U402" s="9" t="n">
        <f aca="false">IF(OR(LEFT(C402,3)="GI0",LEFT(C402,3)="GA0"),1,0)</f>
        <v>0</v>
      </c>
      <c r="V402" s="9" t="str">
        <f aca="false">IF(G402="","Sin dato (ID GI)",TRIM(G402))</f>
        <v>INFRAESTRUCTURA</v>
      </c>
      <c r="W402" s="9" t="str">
        <f aca="false">IF(F402="","Sin dato",F402)</f>
        <v>On Premise</v>
      </c>
      <c r="X402" s="9" t="str">
        <f aca="false">IF(M402="","",YEAR(M402))</f>
        <v/>
      </c>
      <c r="Y402" s="10" t="str">
        <f aca="false">IF(M402="","",DATE(YEAR(M402),MONTH(M402),1))</f>
        <v/>
      </c>
      <c r="Z402" s="9" t="n">
        <f aca="false">IF(AND(Q402=0,COUNTIF(dDuplicadosGI!$A$2:$A$60,C402)&gt;0),1,0)</f>
        <v>0</v>
      </c>
      <c r="AA402" s="9" t="n">
        <f aca="false">IF(Q402=0,1,0)</f>
        <v>1</v>
      </c>
    </row>
    <row r="403" customFormat="false" ht="15" hidden="false" customHeight="false" outlineLevel="0" collapsed="false">
      <c r="A403" s="7" t="n">
        <v>402</v>
      </c>
      <c r="B403" s="7" t="s">
        <v>1428</v>
      </c>
      <c r="C403" s="7" t="s">
        <v>1429</v>
      </c>
      <c r="D403" s="7"/>
      <c r="E403" s="7" t="s">
        <v>145</v>
      </c>
      <c r="F403" s="7" t="s">
        <v>94</v>
      </c>
      <c r="G403" s="7" t="s">
        <v>146</v>
      </c>
      <c r="H403" s="7" t="s">
        <v>147</v>
      </c>
      <c r="I403" s="7" t="s">
        <v>148</v>
      </c>
      <c r="J403" s="7" t="s">
        <v>1430</v>
      </c>
      <c r="K403" s="7"/>
      <c r="L403" s="7" t="s">
        <v>99</v>
      </c>
      <c r="M403" s="8"/>
      <c r="N403" s="7" t="s">
        <v>109</v>
      </c>
      <c r="O403" s="9" t="n">
        <f aca="false">IF(COUNTIFS($B$2:B403,B403,$C$2:C403,C403)=1,1,0)</f>
        <v>1</v>
      </c>
      <c r="P403" s="9" t="str">
        <f aca="false">IFERROR(INDEX(dEtapa!$A$2:$A$6,MATCH(N403,dEtapa!$B$2:$B$6,0)),"Sin etapa")</f>
        <v>Planificada 2027</v>
      </c>
      <c r="Q403" s="9" t="n">
        <f aca="false">IF(L403="Si",1,0)</f>
        <v>0</v>
      </c>
      <c r="R403" s="9" t="n">
        <f aca="false">IF(ISNUMBER(SEARCH("CRITERIO",N403)),1,0)</f>
        <v>0</v>
      </c>
      <c r="S403" s="9" t="str">
        <f aca="false">IF(E403="","Sin dato",LEFT(E403,1))</f>
        <v>B</v>
      </c>
      <c r="T403" s="9" t="n">
        <f aca="false">IFERROR(INDEX(dCriticidad!$G$2:$G$7,MATCH(S403,dCriticidad!$A$2:$A$7,0)),0)</f>
        <v>1</v>
      </c>
      <c r="U403" s="9" t="n">
        <f aca="false">IF(OR(LEFT(C403,3)="GI0",LEFT(C403,3)="GA0"),1,0)</f>
        <v>0</v>
      </c>
      <c r="V403" s="9" t="str">
        <f aca="false">IF(G403="","Sin dato (ID GI)",TRIM(G403))</f>
        <v>Tribu_Integraciones_Apis</v>
      </c>
      <c r="W403" s="9" t="str">
        <f aca="false">IF(F403="","Sin dato",F403)</f>
        <v>Nube</v>
      </c>
      <c r="X403" s="9" t="str">
        <f aca="false">IF(M403="","",YEAR(M403))</f>
        <v/>
      </c>
      <c r="Y403" s="10" t="str">
        <f aca="false">IF(M403="","",DATE(YEAR(M403),MONTH(M403),1))</f>
        <v/>
      </c>
      <c r="Z403" s="9" t="n">
        <f aca="false">IF(AND(Q403=0,COUNTIF(dDuplicadosGI!$A$2:$A$60,C403)&gt;0),1,0)</f>
        <v>0</v>
      </c>
      <c r="AA403" s="9" t="n">
        <f aca="false">IF(Q403=0,1,0)</f>
        <v>1</v>
      </c>
    </row>
    <row r="404" customFormat="false" ht="15" hidden="false" customHeight="false" outlineLevel="0" collapsed="false">
      <c r="A404" s="7" t="n">
        <v>403</v>
      </c>
      <c r="B404" s="7" t="s">
        <v>1431</v>
      </c>
      <c r="C404" s="7" t="s">
        <v>1432</v>
      </c>
      <c r="D404" s="7"/>
      <c r="E404" s="7" t="s">
        <v>119</v>
      </c>
      <c r="F404" s="7" t="s">
        <v>94</v>
      </c>
      <c r="G404" s="7" t="s">
        <v>192</v>
      </c>
      <c r="H404" s="7" t="s">
        <v>193</v>
      </c>
      <c r="I404" s="7" t="s">
        <v>238</v>
      </c>
      <c r="J404" s="7" t="s">
        <v>239</v>
      </c>
      <c r="K404" s="7"/>
      <c r="L404" s="7" t="s">
        <v>99</v>
      </c>
      <c r="M404" s="8"/>
      <c r="N404" s="7" t="s">
        <v>109</v>
      </c>
      <c r="O404" s="9" t="n">
        <f aca="false">IF(COUNTIFS($B$2:B404,B404,$C$2:C404,C404)=1,1,0)</f>
        <v>1</v>
      </c>
      <c r="P404" s="9" t="str">
        <f aca="false">IFERROR(INDEX(dEtapa!$A$2:$A$6,MATCH(N404,dEtapa!$B$2:$B$6,0)),"Sin etapa")</f>
        <v>Planificada 2027</v>
      </c>
      <c r="Q404" s="9" t="n">
        <f aca="false">IF(L404="Si",1,0)</f>
        <v>0</v>
      </c>
      <c r="R404" s="9" t="n">
        <f aca="false">IF(ISNUMBER(SEARCH("CRITERIO",N404)),1,0)</f>
        <v>0</v>
      </c>
      <c r="S404" s="9" t="str">
        <f aca="false">IF(E404="","Sin dato",LEFT(E404,1))</f>
        <v>E</v>
      </c>
      <c r="T404" s="9" t="n">
        <f aca="false">IFERROR(INDEX(dCriticidad!$G$2:$G$7,MATCH(S404,dCriticidad!$A$2:$A$7,0)),0)</f>
        <v>0</v>
      </c>
      <c r="U404" s="9" t="n">
        <f aca="false">IF(OR(LEFT(C404,3)="GI0",LEFT(C404,3)="GA0"),1,0)</f>
        <v>0</v>
      </c>
      <c r="V404" s="9" t="str">
        <f aca="false">IF(G404="","Sin dato (ID GI)",TRIM(G404))</f>
        <v>AREAS_DE_APOYO</v>
      </c>
      <c r="W404" s="9" t="str">
        <f aca="false">IF(F404="","Sin dato",F404)</f>
        <v>Nube</v>
      </c>
      <c r="X404" s="9" t="str">
        <f aca="false">IF(M404="","",YEAR(M404))</f>
        <v/>
      </c>
      <c r="Y404" s="10" t="str">
        <f aca="false">IF(M404="","",DATE(YEAR(M404),MONTH(M404),1))</f>
        <v/>
      </c>
      <c r="Z404" s="9" t="n">
        <f aca="false">IF(AND(Q404=0,COUNTIF(dDuplicadosGI!$A$2:$A$60,C404)&gt;0),1,0)</f>
        <v>0</v>
      </c>
      <c r="AA404" s="9" t="n">
        <f aca="false">IF(Q404=0,1,0)</f>
        <v>1</v>
      </c>
    </row>
    <row r="405" customFormat="false" ht="15" hidden="false" customHeight="false" outlineLevel="0" collapsed="false">
      <c r="A405" s="7" t="n">
        <v>404</v>
      </c>
      <c r="B405" s="7" t="s">
        <v>1433</v>
      </c>
      <c r="C405" s="7" t="s">
        <v>1434</v>
      </c>
      <c r="D405" s="7"/>
      <c r="E405" s="7" t="s">
        <v>119</v>
      </c>
      <c r="F405" s="7" t="s">
        <v>94</v>
      </c>
      <c r="G405" s="7" t="s">
        <v>451</v>
      </c>
      <c r="H405" s="7" t="s">
        <v>1435</v>
      </c>
      <c r="I405" s="7" t="s">
        <v>673</v>
      </c>
      <c r="J405" s="7" t="s">
        <v>128</v>
      </c>
      <c r="K405" s="7"/>
      <c r="L405" s="7" t="s">
        <v>99</v>
      </c>
      <c r="M405" s="8"/>
      <c r="N405" s="7" t="s">
        <v>109</v>
      </c>
      <c r="O405" s="9" t="n">
        <f aca="false">IF(COUNTIFS($B$2:B405,B405,$C$2:C405,C405)=1,1,0)</f>
        <v>1</v>
      </c>
      <c r="P405" s="9" t="str">
        <f aca="false">IFERROR(INDEX(dEtapa!$A$2:$A$6,MATCH(N405,dEtapa!$B$2:$B$6,0)),"Sin etapa")</f>
        <v>Planificada 2027</v>
      </c>
      <c r="Q405" s="9" t="n">
        <f aca="false">IF(L405="Si",1,0)</f>
        <v>0</v>
      </c>
      <c r="R405" s="9" t="n">
        <f aca="false">IF(ISNUMBER(SEARCH("CRITERIO",N405)),1,0)</f>
        <v>0</v>
      </c>
      <c r="S405" s="9" t="str">
        <f aca="false">IF(E405="","Sin dato",LEFT(E405,1))</f>
        <v>E</v>
      </c>
      <c r="T405" s="9" t="n">
        <f aca="false">IFERROR(INDEX(dCriticidad!$G$2:$G$7,MATCH(S405,dCriticidad!$A$2:$A$7,0)),0)</f>
        <v>0</v>
      </c>
      <c r="U405" s="9" t="n">
        <f aca="false">IF(OR(LEFT(C405,3)="GI0",LEFT(C405,3)="GA0"),1,0)</f>
        <v>0</v>
      </c>
      <c r="V405" s="9" t="str">
        <f aca="false">IF(G405="","Sin dato (ID GI)",TRIM(G405))</f>
        <v>COE de Ingeniería</v>
      </c>
      <c r="W405" s="9" t="str">
        <f aca="false">IF(F405="","Sin dato",F405)</f>
        <v>Nube</v>
      </c>
      <c r="X405" s="9" t="str">
        <f aca="false">IF(M405="","",YEAR(M405))</f>
        <v/>
      </c>
      <c r="Y405" s="10" t="str">
        <f aca="false">IF(M405="","",DATE(YEAR(M405),MONTH(M405),1))</f>
        <v/>
      </c>
      <c r="Z405" s="9" t="n">
        <f aca="false">IF(AND(Q405=0,COUNTIF(dDuplicadosGI!$A$2:$A$60,C405)&gt;0),1,0)</f>
        <v>0</v>
      </c>
      <c r="AA405" s="9" t="n">
        <f aca="false">IF(Q405=0,1,0)</f>
        <v>1</v>
      </c>
    </row>
    <row r="406" customFormat="false" ht="15" hidden="false" customHeight="false" outlineLevel="0" collapsed="false">
      <c r="A406" s="7" t="n">
        <v>405</v>
      </c>
      <c r="B406" s="7" t="s">
        <v>1436</v>
      </c>
      <c r="C406" s="7" t="s">
        <v>1437</v>
      </c>
      <c r="D406" s="7"/>
      <c r="E406" s="7" t="s">
        <v>119</v>
      </c>
      <c r="F406" s="7" t="s">
        <v>94</v>
      </c>
      <c r="G406" s="7" t="s">
        <v>451</v>
      </c>
      <c r="H406" s="7" t="s">
        <v>672</v>
      </c>
      <c r="I406" s="7" t="s">
        <v>1438</v>
      </c>
      <c r="J406" s="7" t="s">
        <v>322</v>
      </c>
      <c r="K406" s="7"/>
      <c r="L406" s="7" t="s">
        <v>99</v>
      </c>
      <c r="M406" s="8"/>
      <c r="N406" s="7" t="s">
        <v>109</v>
      </c>
      <c r="O406" s="9" t="n">
        <f aca="false">IF(COUNTIFS($B$2:B406,B406,$C$2:C406,C406)=1,1,0)</f>
        <v>1</v>
      </c>
      <c r="P406" s="9" t="str">
        <f aca="false">IFERROR(INDEX(dEtapa!$A$2:$A$6,MATCH(N406,dEtapa!$B$2:$B$6,0)),"Sin etapa")</f>
        <v>Planificada 2027</v>
      </c>
      <c r="Q406" s="9" t="n">
        <f aca="false">IF(L406="Si",1,0)</f>
        <v>0</v>
      </c>
      <c r="R406" s="9" t="n">
        <f aca="false">IF(ISNUMBER(SEARCH("CRITERIO",N406)),1,0)</f>
        <v>0</v>
      </c>
      <c r="S406" s="9" t="str">
        <f aca="false">IF(E406="","Sin dato",LEFT(E406,1))</f>
        <v>E</v>
      </c>
      <c r="T406" s="9" t="n">
        <f aca="false">IFERROR(INDEX(dCriticidad!$G$2:$G$7,MATCH(S406,dCriticidad!$A$2:$A$7,0)),0)</f>
        <v>0</v>
      </c>
      <c r="U406" s="9" t="n">
        <f aca="false">IF(OR(LEFT(C406,3)="GI0",LEFT(C406,3)="GA0"),1,0)</f>
        <v>0</v>
      </c>
      <c r="V406" s="9" t="str">
        <f aca="false">IF(G406="","Sin dato (ID GI)",TRIM(G406))</f>
        <v>COE de Ingeniería</v>
      </c>
      <c r="W406" s="9" t="str">
        <f aca="false">IF(F406="","Sin dato",F406)</f>
        <v>Nube</v>
      </c>
      <c r="X406" s="9" t="str">
        <f aca="false">IF(M406="","",YEAR(M406))</f>
        <v/>
      </c>
      <c r="Y406" s="10" t="str">
        <f aca="false">IF(M406="","",DATE(YEAR(M406),MONTH(M406),1))</f>
        <v/>
      </c>
      <c r="Z406" s="9" t="n">
        <f aca="false">IF(AND(Q406=0,COUNTIF(dDuplicadosGI!$A$2:$A$60,C406)&gt;0),1,0)</f>
        <v>0</v>
      </c>
      <c r="AA406" s="9" t="n">
        <f aca="false">IF(Q406=0,1,0)</f>
        <v>1</v>
      </c>
    </row>
    <row r="407" customFormat="false" ht="15" hidden="false" customHeight="false" outlineLevel="0" collapsed="false">
      <c r="A407" s="7" t="n">
        <v>406</v>
      </c>
      <c r="B407" s="7" t="s">
        <v>1439</v>
      </c>
      <c r="C407" s="7" t="s">
        <v>1440</v>
      </c>
      <c r="D407" s="7"/>
      <c r="E407" s="7" t="s">
        <v>119</v>
      </c>
      <c r="F407" s="7" t="s">
        <v>82</v>
      </c>
      <c r="G407" s="7" t="s">
        <v>192</v>
      </c>
      <c r="H407" s="7" t="s">
        <v>193</v>
      </c>
      <c r="I407" s="7" t="s">
        <v>1251</v>
      </c>
      <c r="J407" s="7" t="s">
        <v>195</v>
      </c>
      <c r="K407" s="7"/>
      <c r="L407" s="7" t="s">
        <v>99</v>
      </c>
      <c r="M407" s="8"/>
      <c r="N407" s="7" t="s">
        <v>109</v>
      </c>
      <c r="O407" s="9" t="n">
        <f aca="false">IF(COUNTIFS($B$2:B407,B407,$C$2:C407,C407)=1,1,0)</f>
        <v>1</v>
      </c>
      <c r="P407" s="9" t="str">
        <f aca="false">IFERROR(INDEX(dEtapa!$A$2:$A$6,MATCH(N407,dEtapa!$B$2:$B$6,0)),"Sin etapa")</f>
        <v>Planificada 2027</v>
      </c>
      <c r="Q407" s="9" t="n">
        <f aca="false">IF(L407="Si",1,0)</f>
        <v>0</v>
      </c>
      <c r="R407" s="9" t="n">
        <f aca="false">IF(ISNUMBER(SEARCH("CRITERIO",N407)),1,0)</f>
        <v>0</v>
      </c>
      <c r="S407" s="9" t="str">
        <f aca="false">IF(E407="","Sin dato",LEFT(E407,1))</f>
        <v>E</v>
      </c>
      <c r="T407" s="9" t="n">
        <f aca="false">IFERROR(INDEX(dCriticidad!$G$2:$G$7,MATCH(S407,dCriticidad!$A$2:$A$7,0)),0)</f>
        <v>0</v>
      </c>
      <c r="U407" s="9" t="n">
        <f aca="false">IF(OR(LEFT(C407,3)="GI0",LEFT(C407,3)="GA0"),1,0)</f>
        <v>0</v>
      </c>
      <c r="V407" s="9" t="str">
        <f aca="false">IF(G407="","Sin dato (ID GI)",TRIM(G407))</f>
        <v>AREAS_DE_APOYO</v>
      </c>
      <c r="W407" s="9" t="str">
        <f aca="false">IF(F407="","Sin dato",F407)</f>
        <v>On Premise</v>
      </c>
      <c r="X407" s="9" t="str">
        <f aca="false">IF(M407="","",YEAR(M407))</f>
        <v/>
      </c>
      <c r="Y407" s="10" t="str">
        <f aca="false">IF(M407="","",DATE(YEAR(M407),MONTH(M407),1))</f>
        <v/>
      </c>
      <c r="Z407" s="9" t="n">
        <f aca="false">IF(AND(Q407=0,COUNTIF(dDuplicadosGI!$A$2:$A$60,C407)&gt;0),1,0)</f>
        <v>0</v>
      </c>
      <c r="AA407" s="9" t="n">
        <f aca="false">IF(Q407=0,1,0)</f>
        <v>1</v>
      </c>
    </row>
    <row r="408" customFormat="false" ht="15" hidden="false" customHeight="false" outlineLevel="0" collapsed="false">
      <c r="A408" s="7" t="n">
        <v>407</v>
      </c>
      <c r="B408" s="7" t="s">
        <v>1441</v>
      </c>
      <c r="C408" s="7" t="s">
        <v>1442</v>
      </c>
      <c r="D408" s="7"/>
      <c r="E408" s="7" t="s">
        <v>119</v>
      </c>
      <c r="F408" s="7" t="s">
        <v>94</v>
      </c>
      <c r="G408" s="7" t="s">
        <v>192</v>
      </c>
      <c r="H408" s="7" t="s">
        <v>193</v>
      </c>
      <c r="I408" s="7" t="s">
        <v>238</v>
      </c>
      <c r="J408" s="7" t="s">
        <v>239</v>
      </c>
      <c r="K408" s="7"/>
      <c r="L408" s="7" t="s">
        <v>99</v>
      </c>
      <c r="M408" s="8"/>
      <c r="N408" s="7" t="s">
        <v>109</v>
      </c>
      <c r="O408" s="9" t="n">
        <f aca="false">IF(COUNTIFS($B$2:B408,B408,$C$2:C408,C408)=1,1,0)</f>
        <v>1</v>
      </c>
      <c r="P408" s="9" t="str">
        <f aca="false">IFERROR(INDEX(dEtapa!$A$2:$A$6,MATCH(N408,dEtapa!$B$2:$B$6,0)),"Sin etapa")</f>
        <v>Planificada 2027</v>
      </c>
      <c r="Q408" s="9" t="n">
        <f aca="false">IF(L408="Si",1,0)</f>
        <v>0</v>
      </c>
      <c r="R408" s="9" t="n">
        <f aca="false">IF(ISNUMBER(SEARCH("CRITERIO",N408)),1,0)</f>
        <v>0</v>
      </c>
      <c r="S408" s="9" t="str">
        <f aca="false">IF(E408="","Sin dato",LEFT(E408,1))</f>
        <v>E</v>
      </c>
      <c r="T408" s="9" t="n">
        <f aca="false">IFERROR(INDEX(dCriticidad!$G$2:$G$7,MATCH(S408,dCriticidad!$A$2:$A$7,0)),0)</f>
        <v>0</v>
      </c>
      <c r="U408" s="9" t="n">
        <f aca="false">IF(OR(LEFT(C408,3)="GI0",LEFT(C408,3)="GA0"),1,0)</f>
        <v>0</v>
      </c>
      <c r="V408" s="9" t="str">
        <f aca="false">IF(G408="","Sin dato (ID GI)",TRIM(G408))</f>
        <v>AREAS_DE_APOYO</v>
      </c>
      <c r="W408" s="9" t="str">
        <f aca="false">IF(F408="","Sin dato",F408)</f>
        <v>Nube</v>
      </c>
      <c r="X408" s="9" t="str">
        <f aca="false">IF(M408="","",YEAR(M408))</f>
        <v/>
      </c>
      <c r="Y408" s="10" t="str">
        <f aca="false">IF(M408="","",DATE(YEAR(M408),MONTH(M408),1))</f>
        <v/>
      </c>
      <c r="Z408" s="9" t="n">
        <f aca="false">IF(AND(Q408=0,COUNTIF(dDuplicadosGI!$A$2:$A$60,C408)&gt;0),1,0)</f>
        <v>0</v>
      </c>
      <c r="AA408" s="9" t="n">
        <f aca="false">IF(Q408=0,1,0)</f>
        <v>1</v>
      </c>
    </row>
    <row r="409" customFormat="false" ht="15" hidden="false" customHeight="false" outlineLevel="0" collapsed="false">
      <c r="A409" s="7" t="n">
        <v>408</v>
      </c>
      <c r="B409" s="7" t="s">
        <v>1443</v>
      </c>
      <c r="C409" s="7" t="s">
        <v>1444</v>
      </c>
      <c r="D409" s="7"/>
      <c r="E409" s="7" t="s">
        <v>145</v>
      </c>
      <c r="F409" s="7" t="s">
        <v>94</v>
      </c>
      <c r="G409" s="7" t="s">
        <v>451</v>
      </c>
      <c r="H409" s="7" t="s">
        <v>452</v>
      </c>
      <c r="I409" s="7" t="s">
        <v>380</v>
      </c>
      <c r="J409" s="7" t="s">
        <v>1272</v>
      </c>
      <c r="K409" s="7"/>
      <c r="L409" s="7" t="s">
        <v>99</v>
      </c>
      <c r="M409" s="8"/>
      <c r="N409" s="7" t="s">
        <v>100</v>
      </c>
      <c r="O409" s="9" t="n">
        <f aca="false">IF(COUNTIFS($B$2:B409,B409,$C$2:C409,C409)=1,1,0)</f>
        <v>1</v>
      </c>
      <c r="P409" s="9" t="str">
        <f aca="false">IFERROR(INDEX(dEtapa!$A$2:$A$6,MATCH(N409,dEtapa!$B$2:$B$6,0)),"Sin etapa")</f>
        <v>Criterio 1</v>
      </c>
      <c r="Q409" s="9" t="n">
        <f aca="false">IF(L409="Si",1,0)</f>
        <v>0</v>
      </c>
      <c r="R409" s="9" t="n">
        <f aca="false">IF(ISNUMBER(SEARCH("CRITERIO",N409)),1,0)</f>
        <v>1</v>
      </c>
      <c r="S409" s="9" t="str">
        <f aca="false">IF(E409="","Sin dato",LEFT(E409,1))</f>
        <v>B</v>
      </c>
      <c r="T409" s="9" t="n">
        <f aca="false">IFERROR(INDEX(dCriticidad!$G$2:$G$7,MATCH(S409,dCriticidad!$A$2:$A$7,0)),0)</f>
        <v>1</v>
      </c>
      <c r="U409" s="9" t="n">
        <f aca="false">IF(OR(LEFT(C409,3)="GI0",LEFT(C409,3)="GA0"),1,0)</f>
        <v>0</v>
      </c>
      <c r="V409" s="9" t="str">
        <f aca="false">IF(G409="","Sin dato (ID GI)",TRIM(G409))</f>
        <v>COE de Ingeniería</v>
      </c>
      <c r="W409" s="9" t="str">
        <f aca="false">IF(F409="","Sin dato",F409)</f>
        <v>Nube</v>
      </c>
      <c r="X409" s="9" t="str">
        <f aca="false">IF(M409="","",YEAR(M409))</f>
        <v/>
      </c>
      <c r="Y409" s="10" t="str">
        <f aca="false">IF(M409="","",DATE(YEAR(M409),MONTH(M409),1))</f>
        <v/>
      </c>
      <c r="Z409" s="9" t="n">
        <f aca="false">IF(AND(Q409=0,COUNTIF(dDuplicadosGI!$A$2:$A$60,C409)&gt;0),1,0)</f>
        <v>0</v>
      </c>
      <c r="AA409" s="9" t="n">
        <f aca="false">IF(Q409=0,1,0)</f>
        <v>1</v>
      </c>
    </row>
    <row r="410" customFormat="false" ht="15" hidden="false" customHeight="false" outlineLevel="0" collapsed="false">
      <c r="A410" s="7" t="n">
        <v>409</v>
      </c>
      <c r="B410" s="7" t="s">
        <v>1445</v>
      </c>
      <c r="C410" s="7" t="s">
        <v>1446</v>
      </c>
      <c r="D410" s="7"/>
      <c r="E410" s="7" t="s">
        <v>119</v>
      </c>
      <c r="F410" s="7" t="s">
        <v>82</v>
      </c>
      <c r="G410" s="7" t="s">
        <v>104</v>
      </c>
      <c r="H410" s="7" t="s">
        <v>105</v>
      </c>
      <c r="I410" s="7" t="s">
        <v>105</v>
      </c>
      <c r="J410" s="7" t="s">
        <v>1447</v>
      </c>
      <c r="K410" s="7"/>
      <c r="L410" s="7" t="s">
        <v>99</v>
      </c>
      <c r="M410" s="8"/>
      <c r="N410" s="7" t="s">
        <v>109</v>
      </c>
      <c r="O410" s="9" t="n">
        <f aca="false">IF(COUNTIFS($B$2:B410,B410,$C$2:C410,C410)=1,1,0)</f>
        <v>1</v>
      </c>
      <c r="P410" s="9" t="str">
        <f aca="false">IFERROR(INDEX(dEtapa!$A$2:$A$6,MATCH(N410,dEtapa!$B$2:$B$6,0)),"Sin etapa")</f>
        <v>Planificada 2027</v>
      </c>
      <c r="Q410" s="9" t="n">
        <f aca="false">IF(L410="Si",1,0)</f>
        <v>0</v>
      </c>
      <c r="R410" s="9" t="n">
        <f aca="false">IF(ISNUMBER(SEARCH("CRITERIO",N410)),1,0)</f>
        <v>0</v>
      </c>
      <c r="S410" s="9" t="str">
        <f aca="false">IF(E410="","Sin dato",LEFT(E410,1))</f>
        <v>E</v>
      </c>
      <c r="T410" s="9" t="n">
        <f aca="false">IFERROR(INDEX(dCriticidad!$G$2:$G$7,MATCH(S410,dCriticidad!$A$2:$A$7,0)),0)</f>
        <v>0</v>
      </c>
      <c r="U410" s="9" t="n">
        <f aca="false">IF(OR(LEFT(C410,3)="GI0",LEFT(C410,3)="GA0"),1,0)</f>
        <v>0</v>
      </c>
      <c r="V410" s="9" t="str">
        <f aca="false">IF(G410="","Sin dato (ID GI)",TRIM(G410))</f>
        <v>INFRAESTRUCTURA</v>
      </c>
      <c r="W410" s="9" t="str">
        <f aca="false">IF(F410="","Sin dato",F410)</f>
        <v>On Premise</v>
      </c>
      <c r="X410" s="9" t="str">
        <f aca="false">IF(M410="","",YEAR(M410))</f>
        <v/>
      </c>
      <c r="Y410" s="10" t="str">
        <f aca="false">IF(M410="","",DATE(YEAR(M410),MONTH(M410),1))</f>
        <v/>
      </c>
      <c r="Z410" s="9" t="n">
        <f aca="false">IF(AND(Q410=0,COUNTIF(dDuplicadosGI!$A$2:$A$60,C410)&gt;0),1,0)</f>
        <v>0</v>
      </c>
      <c r="AA410" s="9" t="n">
        <f aca="false">IF(Q410=0,1,0)</f>
        <v>1</v>
      </c>
    </row>
    <row r="411" customFormat="false" ht="15" hidden="false" customHeight="false" outlineLevel="0" collapsed="false">
      <c r="A411" s="7" t="n">
        <v>410</v>
      </c>
      <c r="B411" s="7" t="s">
        <v>1448</v>
      </c>
      <c r="C411" s="7" t="s">
        <v>1449</v>
      </c>
      <c r="D411" s="7"/>
      <c r="E411" s="7" t="s">
        <v>119</v>
      </c>
      <c r="F411" s="7" t="s">
        <v>94</v>
      </c>
      <c r="G411" s="7" t="s">
        <v>83</v>
      </c>
      <c r="H411" s="7" t="s">
        <v>84</v>
      </c>
      <c r="I411" s="7" t="s">
        <v>289</v>
      </c>
      <c r="J411" s="7" t="s">
        <v>1450</v>
      </c>
      <c r="K411" s="7"/>
      <c r="L411" s="7" t="s">
        <v>99</v>
      </c>
      <c r="M411" s="8"/>
      <c r="N411" s="7" t="s">
        <v>109</v>
      </c>
      <c r="O411" s="9" t="n">
        <f aca="false">IF(COUNTIFS($B$2:B411,B411,$C$2:C411,C411)=1,1,0)</f>
        <v>1</v>
      </c>
      <c r="P411" s="9" t="str">
        <f aca="false">IFERROR(INDEX(dEtapa!$A$2:$A$6,MATCH(N411,dEtapa!$B$2:$B$6,0)),"Sin etapa")</f>
        <v>Planificada 2027</v>
      </c>
      <c r="Q411" s="9" t="n">
        <f aca="false">IF(L411="Si",1,0)</f>
        <v>0</v>
      </c>
      <c r="R411" s="9" t="n">
        <f aca="false">IF(ISNUMBER(SEARCH("CRITERIO",N411)),1,0)</f>
        <v>0</v>
      </c>
      <c r="S411" s="9" t="str">
        <f aca="false">IF(E411="","Sin dato",LEFT(E411,1))</f>
        <v>E</v>
      </c>
      <c r="T411" s="9" t="n">
        <f aca="false">IFERROR(INDEX(dCriticidad!$G$2:$G$7,MATCH(S411,dCriticidad!$A$2:$A$7,0)),0)</f>
        <v>0</v>
      </c>
      <c r="U411" s="9" t="n">
        <f aca="false">IF(OR(LEFT(C411,3)="GI0",LEFT(C411,3)="GA0"),1,0)</f>
        <v>0</v>
      </c>
      <c r="V411" s="9" t="str">
        <f aca="false">IF(G411="","Sin dato (ID GI)",TRIM(G411))</f>
        <v>TRIBU_CANALES</v>
      </c>
      <c r="W411" s="9" t="str">
        <f aca="false">IF(F411="","Sin dato",F411)</f>
        <v>Nube</v>
      </c>
      <c r="X411" s="9" t="str">
        <f aca="false">IF(M411="","",YEAR(M411))</f>
        <v/>
      </c>
      <c r="Y411" s="10" t="str">
        <f aca="false">IF(M411="","",DATE(YEAR(M411),MONTH(M411),1))</f>
        <v/>
      </c>
      <c r="Z411" s="9" t="n">
        <f aca="false">IF(AND(Q411=0,COUNTIF(dDuplicadosGI!$A$2:$A$60,C411)&gt;0),1,0)</f>
        <v>0</v>
      </c>
      <c r="AA411" s="9" t="n">
        <f aca="false">IF(Q411=0,1,0)</f>
        <v>1</v>
      </c>
    </row>
    <row r="412" customFormat="false" ht="15" hidden="false" customHeight="false" outlineLevel="0" collapsed="false">
      <c r="A412" s="7" t="n">
        <v>411</v>
      </c>
      <c r="B412" s="7" t="s">
        <v>1451</v>
      </c>
      <c r="C412" s="7" t="s">
        <v>1452</v>
      </c>
      <c r="D412" s="7"/>
      <c r="E412" s="7" t="s">
        <v>119</v>
      </c>
      <c r="F412" s="7" t="s">
        <v>82</v>
      </c>
      <c r="G412" s="7" t="s">
        <v>104</v>
      </c>
      <c r="H412" s="7" t="s">
        <v>105</v>
      </c>
      <c r="I412" s="7" t="s">
        <v>106</v>
      </c>
      <c r="J412" s="7" t="s">
        <v>1303</v>
      </c>
      <c r="K412" s="7"/>
      <c r="L412" s="7" t="s">
        <v>99</v>
      </c>
      <c r="M412" s="8"/>
      <c r="N412" s="7" t="s">
        <v>109</v>
      </c>
      <c r="O412" s="9" t="n">
        <f aca="false">IF(COUNTIFS($B$2:B412,B412,$C$2:C412,C412)=1,1,0)</f>
        <v>1</v>
      </c>
      <c r="P412" s="9" t="str">
        <f aca="false">IFERROR(INDEX(dEtapa!$A$2:$A$6,MATCH(N412,dEtapa!$B$2:$B$6,0)),"Sin etapa")</f>
        <v>Planificada 2027</v>
      </c>
      <c r="Q412" s="9" t="n">
        <f aca="false">IF(L412="Si",1,0)</f>
        <v>0</v>
      </c>
      <c r="R412" s="9" t="n">
        <f aca="false">IF(ISNUMBER(SEARCH("CRITERIO",N412)),1,0)</f>
        <v>0</v>
      </c>
      <c r="S412" s="9" t="str">
        <f aca="false">IF(E412="","Sin dato",LEFT(E412,1))</f>
        <v>E</v>
      </c>
      <c r="T412" s="9" t="n">
        <f aca="false">IFERROR(INDEX(dCriticidad!$G$2:$G$7,MATCH(S412,dCriticidad!$A$2:$A$7,0)),0)</f>
        <v>0</v>
      </c>
      <c r="U412" s="9" t="n">
        <f aca="false">IF(OR(LEFT(C412,3)="GI0",LEFT(C412,3)="GA0"),1,0)</f>
        <v>0</v>
      </c>
      <c r="V412" s="9" t="str">
        <f aca="false">IF(G412="","Sin dato (ID GI)",TRIM(G412))</f>
        <v>INFRAESTRUCTURA</v>
      </c>
      <c r="W412" s="9" t="str">
        <f aca="false">IF(F412="","Sin dato",F412)</f>
        <v>On Premise</v>
      </c>
      <c r="X412" s="9" t="str">
        <f aca="false">IF(M412="","",YEAR(M412))</f>
        <v/>
      </c>
      <c r="Y412" s="10" t="str">
        <f aca="false">IF(M412="","",DATE(YEAR(M412),MONTH(M412),1))</f>
        <v/>
      </c>
      <c r="Z412" s="9" t="n">
        <f aca="false">IF(AND(Q412=0,COUNTIF(dDuplicadosGI!$A$2:$A$60,C412)&gt;0),1,0)</f>
        <v>0</v>
      </c>
      <c r="AA412" s="9" t="n">
        <f aca="false">IF(Q412=0,1,0)</f>
        <v>1</v>
      </c>
    </row>
    <row r="413" customFormat="false" ht="15" hidden="false" customHeight="false" outlineLevel="0" collapsed="false">
      <c r="A413" s="7" t="n">
        <v>412</v>
      </c>
      <c r="B413" s="7" t="s">
        <v>1453</v>
      </c>
      <c r="C413" s="7" t="s">
        <v>1452</v>
      </c>
      <c r="D413" s="7"/>
      <c r="E413" s="7" t="s">
        <v>119</v>
      </c>
      <c r="F413" s="7" t="s">
        <v>94</v>
      </c>
      <c r="G413" s="7" t="s">
        <v>451</v>
      </c>
      <c r="H413" s="7" t="s">
        <v>1406</v>
      </c>
      <c r="I413" s="7" t="s">
        <v>322</v>
      </c>
      <c r="J413" s="7" t="s">
        <v>1407</v>
      </c>
      <c r="K413" s="7"/>
      <c r="L413" s="7" t="s">
        <v>99</v>
      </c>
      <c r="M413" s="8"/>
      <c r="N413" s="7" t="s">
        <v>109</v>
      </c>
      <c r="O413" s="9" t="n">
        <f aca="false">IF(COUNTIFS($B$2:B413,B413,$C$2:C413,C413)=1,1,0)</f>
        <v>1</v>
      </c>
      <c r="P413" s="9" t="str">
        <f aca="false">IFERROR(INDEX(dEtapa!$A$2:$A$6,MATCH(N413,dEtapa!$B$2:$B$6,0)),"Sin etapa")</f>
        <v>Planificada 2027</v>
      </c>
      <c r="Q413" s="9" t="n">
        <f aca="false">IF(L413="Si",1,0)</f>
        <v>0</v>
      </c>
      <c r="R413" s="9" t="n">
        <f aca="false">IF(ISNUMBER(SEARCH("CRITERIO",N413)),1,0)</f>
        <v>0</v>
      </c>
      <c r="S413" s="9" t="str">
        <f aca="false">IF(E413="","Sin dato",LEFT(E413,1))</f>
        <v>E</v>
      </c>
      <c r="T413" s="9" t="n">
        <f aca="false">IFERROR(INDEX(dCriticidad!$G$2:$G$7,MATCH(S413,dCriticidad!$A$2:$A$7,0)),0)</f>
        <v>0</v>
      </c>
      <c r="U413" s="9" t="n">
        <f aca="false">IF(OR(LEFT(C413,3)="GI0",LEFT(C413,3)="GA0"),1,0)</f>
        <v>0</v>
      </c>
      <c r="V413" s="9" t="str">
        <f aca="false">IF(G413="","Sin dato (ID GI)",TRIM(G413))</f>
        <v>COE de Ingeniería</v>
      </c>
      <c r="W413" s="9" t="str">
        <f aca="false">IF(F413="","Sin dato",F413)</f>
        <v>Nube</v>
      </c>
      <c r="X413" s="9" t="str">
        <f aca="false">IF(M413="","",YEAR(M413))</f>
        <v/>
      </c>
      <c r="Y413" s="10" t="str">
        <f aca="false">IF(M413="","",DATE(YEAR(M413),MONTH(M413),1))</f>
        <v/>
      </c>
      <c r="Z413" s="9" t="n">
        <f aca="false">IF(AND(Q413=0,COUNTIF(dDuplicadosGI!$A$2:$A$60,C413)&gt;0),1,0)</f>
        <v>0</v>
      </c>
      <c r="AA413" s="9" t="n">
        <f aca="false">IF(Q413=0,1,0)</f>
        <v>1</v>
      </c>
    </row>
    <row r="414" customFormat="false" ht="15" hidden="false" customHeight="false" outlineLevel="0" collapsed="false">
      <c r="A414" s="7" t="n">
        <v>413</v>
      </c>
      <c r="B414" s="7" t="s">
        <v>1454</v>
      </c>
      <c r="C414" s="7" t="s">
        <v>1455</v>
      </c>
      <c r="D414" s="7"/>
      <c r="E414" s="7" t="s">
        <v>119</v>
      </c>
      <c r="F414" s="7" t="s">
        <v>82</v>
      </c>
      <c r="G414" s="7" t="s">
        <v>166</v>
      </c>
      <c r="H414" s="7" t="s">
        <v>1456</v>
      </c>
      <c r="I414" s="7" t="s">
        <v>1456</v>
      </c>
      <c r="J414" s="7" t="s">
        <v>1456</v>
      </c>
      <c r="K414" s="7"/>
      <c r="L414" s="7" t="s">
        <v>99</v>
      </c>
      <c r="M414" s="8"/>
      <c r="N414" s="7" t="s">
        <v>189</v>
      </c>
      <c r="O414" s="9" t="n">
        <f aca="false">IF(COUNTIFS($B$2:B414,B414,$C$2:C414,C414)=1,1,0)</f>
        <v>1</v>
      </c>
      <c r="P414" s="9" t="str">
        <f aca="false">IFERROR(INDEX(dEtapa!$A$2:$A$6,MATCH(N414,dEtapa!$B$2:$B$6,0)),"Sin etapa")</f>
        <v>Criterio 3</v>
      </c>
      <c r="Q414" s="9" t="n">
        <f aca="false">IF(L414="Si",1,0)</f>
        <v>0</v>
      </c>
      <c r="R414" s="9" t="n">
        <f aca="false">IF(ISNUMBER(SEARCH("CRITERIO",N414)),1,0)</f>
        <v>1</v>
      </c>
      <c r="S414" s="9" t="str">
        <f aca="false">IF(E414="","Sin dato",LEFT(E414,1))</f>
        <v>E</v>
      </c>
      <c r="T414" s="9" t="n">
        <f aca="false">IFERROR(INDEX(dCriticidad!$G$2:$G$7,MATCH(S414,dCriticidad!$A$2:$A$7,0)),0)</f>
        <v>0</v>
      </c>
      <c r="U414" s="9" t="n">
        <f aca="false">IF(OR(LEFT(C414,3)="GI0",LEFT(C414,3)="GA0"),1,0)</f>
        <v>0</v>
      </c>
      <c r="V414" s="9" t="str">
        <f aca="false">IF(G414="","Sin dato (ID GI)",TRIM(G414))</f>
        <v>Ciberseguridad</v>
      </c>
      <c r="W414" s="9" t="str">
        <f aca="false">IF(F414="","Sin dato",F414)</f>
        <v>On Premise</v>
      </c>
      <c r="X414" s="9" t="str">
        <f aca="false">IF(M414="","",YEAR(M414))</f>
        <v/>
      </c>
      <c r="Y414" s="10" t="str">
        <f aca="false">IF(M414="","",DATE(YEAR(M414),MONTH(M414),1))</f>
        <v/>
      </c>
      <c r="Z414" s="9" t="n">
        <f aca="false">IF(AND(Q414=0,COUNTIF(dDuplicadosGI!$A$2:$A$60,C414)&gt;0),1,0)</f>
        <v>0</v>
      </c>
      <c r="AA414" s="9" t="n">
        <f aca="false">IF(Q414=0,1,0)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3" style="0" width="12"/>
    <col collapsed="false" customWidth="true" hidden="false" outlineLevel="0" max="5" min="5" style="0" width="30"/>
    <col collapsed="false" customWidth="true" hidden="false" outlineLevel="0" max="6" min="6" style="0" width="9"/>
  </cols>
  <sheetData>
    <row r="1" customFormat="false" ht="19.7" hidden="false" customHeight="false" outlineLevel="0" collapsed="false">
      <c r="A1" s="1" t="s">
        <v>1457</v>
      </c>
    </row>
    <row r="2" customFormat="false" ht="15" hidden="false" customHeight="false" outlineLevel="0" collapsed="false">
      <c r="A2" s="12" t="s">
        <v>1458</v>
      </c>
    </row>
    <row r="4" customFormat="false" ht="30" hidden="false" customHeight="true" outlineLevel="0" collapsed="false">
      <c r="A4" s="6" t="s">
        <v>1459</v>
      </c>
      <c r="B4" s="6" t="s">
        <v>1460</v>
      </c>
      <c r="C4" s="6" t="s">
        <v>1461</v>
      </c>
      <c r="D4" s="6" t="s">
        <v>1462</v>
      </c>
      <c r="E4" s="6" t="s">
        <v>1463</v>
      </c>
      <c r="F4" s="6" t="s">
        <v>1464</v>
      </c>
    </row>
    <row r="5" customFormat="false" ht="15" hidden="false" customHeight="false" outlineLevel="0" collapsed="false">
      <c r="A5" s="7" t="s">
        <v>1465</v>
      </c>
      <c r="B5" s="13" t="n">
        <f aca="false">SUM(dConciliacion!$C$2:$C$6)</f>
        <v>417</v>
      </c>
      <c r="C5" s="14" t="n">
        <v>417</v>
      </c>
      <c r="D5" s="7" t="str">
        <f aca="false">IF(ABS(B5-C5)&lt;=0.5,"OK",B5-C5)</f>
        <v>OK</v>
      </c>
      <c r="E5" s="7" t="s">
        <v>1466</v>
      </c>
      <c r="F5" s="7" t="n">
        <v>1</v>
      </c>
    </row>
    <row r="6" customFormat="false" ht="15" hidden="false" customHeight="false" outlineLevel="0" collapsed="false">
      <c r="A6" s="7" t="s">
        <v>1467</v>
      </c>
      <c r="B6" s="13" t="n">
        <f aca="false">SUMIFS(dConciliacion!$C$2:$C$7,dConciliacion!$D$2:$D$7,"Base")</f>
        <v>331</v>
      </c>
      <c r="C6" s="14" t="n">
        <v>331</v>
      </c>
      <c r="D6" s="7" t="str">
        <f aca="false">IF(ABS(B6-C6)&lt;=0.5,"OK",B6-C6)</f>
        <v>OK</v>
      </c>
      <c r="E6" s="7" t="s">
        <v>1468</v>
      </c>
      <c r="F6" s="7" t="n">
        <v>2</v>
      </c>
    </row>
    <row r="7" customFormat="false" ht="15" hidden="false" customHeight="false" outlineLevel="0" collapsed="false">
      <c r="A7" s="7" t="s">
        <v>1469</v>
      </c>
      <c r="B7" s="13" t="n">
        <f aca="false">COUNTA(fAplicaciones!$A$2:$A$414)</f>
        <v>413</v>
      </c>
      <c r="C7" s="14" t="n">
        <v>413</v>
      </c>
      <c r="D7" s="7" t="str">
        <f aca="false">IF(ABS(B7-C7)&lt;=0.5,"OK",B7-C7)</f>
        <v>OK</v>
      </c>
      <c r="E7" s="7" t="s">
        <v>1470</v>
      </c>
      <c r="F7" s="7" t="n">
        <v>2</v>
      </c>
    </row>
    <row r="8" customFormat="false" ht="15" hidden="false" customHeight="false" outlineLevel="0" collapsed="false">
      <c r="A8" s="7" t="s">
        <v>1471</v>
      </c>
      <c r="B8" s="13" t="n">
        <f aca="false">SUM(fAplicaciones!$O$2:$O$414)</f>
        <v>410</v>
      </c>
      <c r="C8" s="14" t="n">
        <v>410</v>
      </c>
      <c r="D8" s="7" t="str">
        <f aca="false">IF(ABS(B8-C8)&lt;=0.5,"OK",B8-C8)</f>
        <v>OK</v>
      </c>
      <c r="E8" s="7" t="s">
        <v>1472</v>
      </c>
      <c r="F8" s="7" t="n">
        <v>2</v>
      </c>
    </row>
    <row r="9" customFormat="false" ht="15" hidden="false" customHeight="false" outlineLevel="0" collapsed="false">
      <c r="A9" s="7" t="s">
        <v>1473</v>
      </c>
      <c r="B9" s="13" t="n">
        <f aca="false">B5-B8</f>
        <v>7</v>
      </c>
      <c r="C9" s="14" t="n">
        <v>7</v>
      </c>
      <c r="D9" s="7" t="str">
        <f aca="false">IF(ABS(B9-C9)&lt;=0.5,"OK",B9-C9)</f>
        <v>OK</v>
      </c>
      <c r="E9" s="7" t="s">
        <v>1474</v>
      </c>
      <c r="F9" s="7" t="n">
        <v>2</v>
      </c>
    </row>
    <row r="10" customFormat="false" ht="15" hidden="false" customHeight="false" outlineLevel="0" collapsed="false">
      <c r="A10" s="7" t="s">
        <v>1475</v>
      </c>
      <c r="B10" s="13" t="n">
        <f aca="false">SUMIFS(fAplicaciones!$O$2:$O$414,fAplicaciones!$Q$2:$Q$414,1)</f>
        <v>188</v>
      </c>
      <c r="C10" s="14" t="n">
        <v>188</v>
      </c>
      <c r="D10" s="7" t="str">
        <f aca="false">IF(ABS(B10-C10)&lt;=0.5,"OK",B10-C10)</f>
        <v>OK</v>
      </c>
      <c r="E10" s="7" t="s">
        <v>1476</v>
      </c>
      <c r="F10" s="7" t="n">
        <v>1</v>
      </c>
    </row>
    <row r="11" customFormat="false" ht="15" hidden="false" customHeight="false" outlineLevel="0" collapsed="false">
      <c r="A11" s="7" t="s">
        <v>1477</v>
      </c>
      <c r="B11" s="15" t="n">
        <f aca="false">B10/B5</f>
        <v>0.45083932853717</v>
      </c>
      <c r="C11" s="16" t="n">
        <v>0.45</v>
      </c>
      <c r="D11" s="7" t="str">
        <f aca="false">IF(ABS(B11-C11)&lt;=0.005,"OK",B11-C11)</f>
        <v>OK</v>
      </c>
      <c r="E11" s="7" t="s">
        <v>1478</v>
      </c>
      <c r="F11" s="7" t="n">
        <v>1</v>
      </c>
    </row>
    <row r="12" customFormat="false" ht="15" hidden="false" customHeight="false" outlineLevel="0" collapsed="false">
      <c r="A12" s="7" t="s">
        <v>1479</v>
      </c>
      <c r="B12" s="13" t="n">
        <f aca="false">MAX(0,Meta-B10)</f>
        <v>44</v>
      </c>
      <c r="C12" s="14" t="n">
        <v>44</v>
      </c>
      <c r="D12" s="7" t="str">
        <f aca="false">IF(ABS(B12-C12)&lt;=0.5,"OK",B12-C12)</f>
        <v>OK</v>
      </c>
      <c r="E12" s="7" t="s">
        <v>1480</v>
      </c>
      <c r="F12" s="7" t="n">
        <v>1</v>
      </c>
    </row>
    <row r="13" customFormat="false" ht="15" hidden="false" customHeight="false" outlineLevel="0" collapsed="false">
      <c r="A13" s="7" t="s">
        <v>1481</v>
      </c>
      <c r="B13" s="13" t="n">
        <f aca="false">COUNTIFS(fAplicaciones!$P$2:$P$414,"Criterio 1",fAplicaciones!$O$2:$O$414,1)</f>
        <v>22</v>
      </c>
      <c r="C13" s="14" t="n">
        <v>22</v>
      </c>
      <c r="D13" s="7" t="str">
        <f aca="false">IF(ABS(B13-C13)&lt;=0.5,"OK",B13-C13)</f>
        <v>OK</v>
      </c>
      <c r="E13" s="7" t="s">
        <v>1482</v>
      </c>
      <c r="F13" s="7" t="n">
        <v>1</v>
      </c>
    </row>
    <row r="14" customFormat="false" ht="15" hidden="false" customHeight="false" outlineLevel="0" collapsed="false">
      <c r="A14" s="7" t="s">
        <v>1483</v>
      </c>
      <c r="B14" s="13" t="n">
        <f aca="false">COUNTIFS(fAplicaciones!$P$2:$P$414,"Criterio 2",fAplicaciones!$O$2:$O$414,1)</f>
        <v>27</v>
      </c>
      <c r="C14" s="14" t="n">
        <v>27</v>
      </c>
      <c r="D14" s="7" t="str">
        <f aca="false">IF(ABS(B14-C14)&lt;=0.5,"OK",B14-C14)</f>
        <v>OK</v>
      </c>
      <c r="E14" s="7" t="s">
        <v>1484</v>
      </c>
      <c r="F14" s="7" t="n">
        <v>1</v>
      </c>
    </row>
    <row r="15" customFormat="false" ht="15" hidden="false" customHeight="false" outlineLevel="0" collapsed="false">
      <c r="A15" s="7" t="s">
        <v>1485</v>
      </c>
      <c r="B15" s="13" t="n">
        <f aca="false">COUNTIFS(fAplicaciones!$P$2:$P$414,"Criterio 3",fAplicaciones!$O$2:$O$414,1)</f>
        <v>14</v>
      </c>
      <c r="C15" s="14" t="n">
        <v>14</v>
      </c>
      <c r="D15" s="7" t="str">
        <f aca="false">IF(ABS(B15-C15)&lt;=0.5,"OK",B15-C15)</f>
        <v>OK</v>
      </c>
      <c r="E15" s="7" t="s">
        <v>1486</v>
      </c>
      <c r="F15" s="7" t="n">
        <v>1</v>
      </c>
    </row>
    <row r="16" customFormat="false" ht="15" hidden="false" customHeight="false" outlineLevel="0" collapsed="false">
      <c r="A16" s="7" t="s">
        <v>1487</v>
      </c>
      <c r="B16" s="13" t="n">
        <f aca="false">COUNTIFS(fAplicaciones!$P$2:$P$414,"Planificada 2027",fAplicaciones!$O$2:$O$414,1)</f>
        <v>159</v>
      </c>
      <c r="C16" s="14" t="n">
        <v>159</v>
      </c>
      <c r="D16" s="7" t="str">
        <f aca="false">IF(ABS(B16-C16)&lt;=0.5,"OK",B16-C16)</f>
        <v>OK</v>
      </c>
      <c r="E16" s="7" t="s">
        <v>1488</v>
      </c>
      <c r="F16" s="7" t="n">
        <v>1</v>
      </c>
    </row>
    <row r="17" customFormat="false" ht="15" hidden="false" customHeight="false" outlineLevel="0" collapsed="false">
      <c r="A17" s="7" t="s">
        <v>1489</v>
      </c>
      <c r="B17" s="13" t="n">
        <f aca="false">COUNTIFS(fAplicaciones!$Q$2:$Q$414,1,fAplicaciones!$O$2:$O$414,1,fAplicaciones!$M$2:$M$414,"&gt;="&amp;DATE(YEAR(FechaCorte),1,1),fAplicaciones!$M$2:$M$414,"&lt;="&amp;FechaCorte)</f>
        <v>42</v>
      </c>
      <c r="C17" s="14" t="n">
        <v>42</v>
      </c>
      <c r="D17" s="7" t="str">
        <f aca="false">IF(ABS(B17-C17)&lt;=0.5,"OK",B17-C17)</f>
        <v>OK</v>
      </c>
      <c r="E17" s="7" t="s">
        <v>1490</v>
      </c>
      <c r="F17" s="7" t="n">
        <v>1</v>
      </c>
    </row>
    <row r="18" customFormat="false" ht="15" hidden="false" customHeight="false" outlineLevel="0" collapsed="false">
      <c r="A18" s="7" t="s">
        <v>1491</v>
      </c>
      <c r="B18" s="17" t="n">
        <f aca="false">B17/((FechaCorte-DATE(YEAR(FechaCorte),1,1))/DiasMes)</f>
        <v>4.92972972972973</v>
      </c>
      <c r="C18" s="18" t="n">
        <v>4.9</v>
      </c>
      <c r="D18" s="7" t="str">
        <f aca="false">IF(ABS(B18-C18)&lt;=0.05,"OK",B18-C18)</f>
        <v>OK</v>
      </c>
      <c r="E18" s="7" t="s">
        <v>1492</v>
      </c>
      <c r="F18" s="7" t="n">
        <v>1</v>
      </c>
    </row>
    <row r="19" customFormat="false" ht="15" hidden="false" customHeight="false" outlineLevel="0" collapsed="false">
      <c r="A19" s="7" t="s">
        <v>1493</v>
      </c>
      <c r="B19" s="17" t="n">
        <f aca="false">(FinAnio-FechaCorte)/DiasMes</f>
        <v>3.45394736842105</v>
      </c>
      <c r="C19" s="18" t="n">
        <v>3.5</v>
      </c>
      <c r="D19" s="7" t="str">
        <f aca="false">IF(ABS(B19-C19)&lt;=0.05,"OK",B19-C19)</f>
        <v>OK</v>
      </c>
      <c r="E19" s="7" t="s">
        <v>1494</v>
      </c>
      <c r="F19" s="7" t="n">
        <v>1</v>
      </c>
    </row>
    <row r="20" customFormat="false" ht="15" hidden="false" customHeight="false" outlineLevel="0" collapsed="false">
      <c r="A20" s="7" t="s">
        <v>1495</v>
      </c>
      <c r="B20" s="17" t="n">
        <f aca="false">B12/B19</f>
        <v>12.7390476190476</v>
      </c>
      <c r="C20" s="18" t="n">
        <v>12.7</v>
      </c>
      <c r="D20" s="7" t="str">
        <f aca="false">IF(ABS(B20-C20)&lt;=0.05,"OK",B20-C20)</f>
        <v>OK</v>
      </c>
      <c r="E20" s="7" t="s">
        <v>1496</v>
      </c>
      <c r="F20" s="7" t="n">
        <v>1</v>
      </c>
    </row>
    <row r="21" customFormat="false" ht="15" hidden="false" customHeight="false" outlineLevel="0" collapsed="false">
      <c r="A21" s="7" t="s">
        <v>1497</v>
      </c>
      <c r="B21" s="17" t="n">
        <f aca="false">B20/B18</f>
        <v>2.58412698412698</v>
      </c>
      <c r="C21" s="18" t="n">
        <v>2.6</v>
      </c>
      <c r="D21" s="7" t="str">
        <f aca="false">IF(ABS(B21-C21)&lt;=0.05,"OK",B21-C21)</f>
        <v>OK</v>
      </c>
      <c r="E21" s="7" t="s">
        <v>1498</v>
      </c>
      <c r="F21" s="7" t="n">
        <v>1</v>
      </c>
    </row>
    <row r="22" customFormat="false" ht="15" hidden="false" customHeight="false" outlineLevel="0" collapsed="false">
      <c r="A22" s="7" t="s">
        <v>1499</v>
      </c>
      <c r="B22" s="13" t="n">
        <f aca="false">B10+B18*B19</f>
        <v>205.027027027027</v>
      </c>
      <c r="C22" s="14" t="n">
        <v>205</v>
      </c>
      <c r="D22" s="7" t="str">
        <f aca="false">IF(ABS(B22-C22)&lt;=0.5,"OK",B22-C22)</f>
        <v>OK</v>
      </c>
      <c r="E22" s="7" t="s">
        <v>1500</v>
      </c>
      <c r="F22" s="7" t="n">
        <v>1</v>
      </c>
    </row>
    <row r="23" customFormat="false" ht="15" hidden="false" customHeight="false" outlineLevel="0" collapsed="false">
      <c r="A23" s="7" t="s">
        <v>1501</v>
      </c>
      <c r="B23" s="15" t="n">
        <f aca="false">B10/B6</f>
        <v>0.56797583081571</v>
      </c>
      <c r="C23" s="16" t="n">
        <v>0.57</v>
      </c>
      <c r="D23" s="7" t="str">
        <f aca="false">IF(ABS(B23-C23)&lt;=0.005,"OK",B23-C23)</f>
        <v>OK</v>
      </c>
      <c r="E23" s="7" t="s">
        <v>1502</v>
      </c>
      <c r="F23" s="7" t="n">
        <v>2</v>
      </c>
    </row>
    <row r="24" customFormat="false" ht="15" hidden="false" customHeight="false" outlineLevel="0" collapsed="false">
      <c r="A24" s="7" t="s">
        <v>1503</v>
      </c>
      <c r="B24" s="15" t="n">
        <f aca="false">GobernadasInforme/B6</f>
        <v>0.531722054380665</v>
      </c>
      <c r="C24" s="16" t="n">
        <v>0.53</v>
      </c>
      <c r="D24" s="7" t="str">
        <f aca="false">IF(ABS(B24-C24)&lt;=0.005,"OK",B24-C24)</f>
        <v>OK</v>
      </c>
      <c r="E24" s="7" t="s">
        <v>1504</v>
      </c>
      <c r="F24" s="7" t="n">
        <v>2</v>
      </c>
    </row>
    <row r="25" customFormat="false" ht="15" hidden="false" customHeight="false" outlineLevel="0" collapsed="false">
      <c r="A25" s="7" t="s">
        <v>1505</v>
      </c>
      <c r="B25" s="15" t="n">
        <f aca="false">GobernadasInforme/B5</f>
        <v>0.422062350119904</v>
      </c>
      <c r="C25" s="16" t="n">
        <v>0.42</v>
      </c>
      <c r="D25" s="7" t="str">
        <f aca="false">IF(ABS(B25-C25)&lt;=0.005,"OK",B25-C25)</f>
        <v>OK</v>
      </c>
      <c r="E25" s="7" t="s">
        <v>1506</v>
      </c>
      <c r="F25" s="7" t="n">
        <v>2</v>
      </c>
    </row>
    <row r="26" customFormat="false" ht="15" hidden="false" customHeight="false" outlineLevel="0" collapsed="false">
      <c r="A26" s="7" t="s">
        <v>1507</v>
      </c>
      <c r="B26" s="13" t="n">
        <f aca="false">COUNTIFS(fAplicaciones!$Q$2:$Q$414,1,fAplicaciones!$O$2:$O$414,1,fAplicaciones!$U$2:$U$414,1)</f>
        <v>41</v>
      </c>
      <c r="C26" s="14" t="n">
        <v>41</v>
      </c>
      <c r="D26" s="7" t="str">
        <f aca="false">IF(ABS(B26-C26)&lt;=0.5,"OK",B26-C26)</f>
        <v>OK</v>
      </c>
      <c r="E26" s="7" t="s">
        <v>1508</v>
      </c>
      <c r="F26" s="7" t="n">
        <v>2</v>
      </c>
    </row>
    <row r="27" customFormat="false" ht="15" hidden="false" customHeight="false" outlineLevel="0" collapsed="false">
      <c r="A27" s="7" t="s">
        <v>1509</v>
      </c>
      <c r="B27" s="13" t="n">
        <f aca="false">COUNTIFS(fAplicaciones!$T$2:$T$414,1,fAplicaciones!$O$2:$O$414,1)</f>
        <v>136</v>
      </c>
      <c r="C27" s="14" t="n">
        <v>136</v>
      </c>
      <c r="D27" s="7" t="str">
        <f aca="false">IF(ABS(B27-C27)&lt;=0.5,"OK",B27-C27)</f>
        <v>OK</v>
      </c>
      <c r="E27" s="7" t="s">
        <v>1510</v>
      </c>
      <c r="F27" s="7" t="n">
        <v>3</v>
      </c>
    </row>
    <row r="28" customFormat="false" ht="15" hidden="false" customHeight="false" outlineLevel="0" collapsed="false">
      <c r="A28" s="7" t="s">
        <v>1511</v>
      </c>
      <c r="B28" s="13" t="n">
        <f aca="false">COUNTIFS(fAplicaciones!$T$2:$T$414,1,fAplicaciones!$O$2:$O$414,1,fAplicaciones!$Q$2:$Q$414,1)</f>
        <v>83</v>
      </c>
      <c r="C28" s="14" t="n">
        <v>83</v>
      </c>
      <c r="D28" s="7" t="str">
        <f aca="false">IF(ABS(B28-C28)&lt;=0.5,"OK",B28-C28)</f>
        <v>OK</v>
      </c>
      <c r="E28" s="7" t="s">
        <v>1512</v>
      </c>
      <c r="F28" s="7" t="n">
        <v>3</v>
      </c>
    </row>
    <row r="29" customFormat="false" ht="15" hidden="false" customHeight="false" outlineLevel="0" collapsed="false">
      <c r="A29" s="7" t="s">
        <v>1513</v>
      </c>
      <c r="B29" s="13" t="n">
        <f aca="false">COUNTIFS(fAplicaciones!$T$2:$T$414,1,fAplicaciones!$O$2:$O$414,1,fAplicaciones!$P$2:$P$414,"Planificada 2027")</f>
        <v>21</v>
      </c>
      <c r="C29" s="14" t="n">
        <v>21</v>
      </c>
      <c r="D29" s="7" t="str">
        <f aca="false">IF(ABS(B29-C29)&lt;=0.5,"OK",B29-C29)</f>
        <v>OK</v>
      </c>
      <c r="E29" s="7" t="s">
        <v>1514</v>
      </c>
      <c r="F29" s="7" t="n">
        <v>3</v>
      </c>
    </row>
    <row r="30" customFormat="false" ht="15" hidden="false" customHeight="false" outlineLevel="0" collapsed="false">
      <c r="A30" s="7" t="s">
        <v>1515</v>
      </c>
      <c r="B30" s="13" t="n">
        <f aca="false">COUNTIFS(fAplicaciones!$P$2:$P$414,"Criterio 1",fAplicaciones!$O$2:$O$414,1,fAplicaciones!$S$2:$S$414,"D")+COUNTIFS(fAplicaciones!$P$2:$P$414,"Criterio 1",fAplicaciones!$O$2:$O$414,1,fAplicaciones!$S$2:$S$414,"E")</f>
        <v>15</v>
      </c>
      <c r="C30" s="14" t="n">
        <v>15</v>
      </c>
      <c r="D30" s="7" t="str">
        <f aca="false">IF(ABS(B30-C30)&lt;=0.5,"OK",B30-C30)</f>
        <v>OK</v>
      </c>
      <c r="E30" s="7" t="s">
        <v>1516</v>
      </c>
      <c r="F30" s="7" t="n">
        <v>3</v>
      </c>
    </row>
    <row r="31" customFormat="false" ht="15" hidden="false" customHeight="false" outlineLevel="0" collapsed="false">
      <c r="A31" s="7" t="s">
        <v>1517</v>
      </c>
      <c r="B31" s="13" t="n">
        <f aca="false">COUNTIFS(fAplicaciones!$P$2:$P$414,"Criterio 2",fAplicaciones!$O$2:$O$414,1,fAplicaciones!$T$2:$T$414,1)</f>
        <v>25</v>
      </c>
      <c r="C31" s="14" t="n">
        <v>25</v>
      </c>
      <c r="D31" s="7" t="str">
        <f aca="false">IF(ABS(B31-C31)&lt;=0.5,"OK",B31-C31)</f>
        <v>OK</v>
      </c>
      <c r="E31" s="7" t="s">
        <v>1518</v>
      </c>
      <c r="F31" s="7" t="n">
        <v>3</v>
      </c>
    </row>
    <row r="32" customFormat="false" ht="15" hidden="false" customHeight="false" outlineLevel="0" collapsed="false">
      <c r="A32" s="7" t="s">
        <v>1519</v>
      </c>
      <c r="B32" s="13" t="n">
        <f aca="false">SUMIFS(fAplicaciones!$Z$2:$Z$414,fAplicaciones!$O$2:$O$414,1)</f>
        <v>4</v>
      </c>
      <c r="C32" s="14" t="n">
        <v>4</v>
      </c>
      <c r="D32" s="7" t="str">
        <f aca="false">IF(ABS(B32-C32)&lt;=0.5,"OK",B32-C32)</f>
        <v>OK</v>
      </c>
      <c r="E32" s="7" t="s">
        <v>1520</v>
      </c>
      <c r="F32" s="7" t="n">
        <v>4</v>
      </c>
    </row>
    <row r="35" customFormat="false" ht="15" hidden="false" customHeight="false" outlineLevel="0" collapsed="false">
      <c r="A35" s="3" t="s">
        <v>1521</v>
      </c>
    </row>
    <row r="36" customFormat="false" ht="15" hidden="false" customHeight="false" outlineLevel="0" collapsed="false">
      <c r="A36" s="19" t="s">
        <v>1522</v>
      </c>
      <c r="B36" s="19" t="s">
        <v>37</v>
      </c>
      <c r="C36" s="19" t="s">
        <v>1481</v>
      </c>
      <c r="D36" s="19" t="s">
        <v>1483</v>
      </c>
      <c r="E36" s="19" t="s">
        <v>1485</v>
      </c>
      <c r="F36" s="19" t="s">
        <v>1523</v>
      </c>
      <c r="G36" s="19" t="s">
        <v>1524</v>
      </c>
      <c r="H36" s="19" t="s">
        <v>1525</v>
      </c>
    </row>
    <row r="37" customFormat="false" ht="15" hidden="false" customHeight="false" outlineLevel="0" collapsed="false">
      <c r="A37" s="7" t="s">
        <v>1526</v>
      </c>
      <c r="B37" s="7" t="n">
        <f aca="false">COUNTIFS(fAplicaciones!$S$2:$S$414,$A37,fAplicaciones!$P$2:$P$414,"Gobernada",fAplicaciones!$O$2:$O$414,1)</f>
        <v>10</v>
      </c>
      <c r="C37" s="7" t="n">
        <f aca="false">COUNTIFS(fAplicaciones!$S$2:$S$414,$A37,fAplicaciones!$P$2:$P$414,"Criterio 1",fAplicaciones!$O$2:$O$414,1)</f>
        <v>0</v>
      </c>
      <c r="D37" s="7" t="n">
        <f aca="false">COUNTIFS(fAplicaciones!$S$2:$S$414,$A37,fAplicaciones!$P$2:$P$414,"Criterio 2",fAplicaciones!$O$2:$O$414,1)</f>
        <v>1</v>
      </c>
      <c r="E37" s="7" t="n">
        <f aca="false">COUNTIFS(fAplicaciones!$S$2:$S$414,$A37,fAplicaciones!$P$2:$P$414,"Criterio 3",fAplicaciones!$O$2:$O$414,1)</f>
        <v>0</v>
      </c>
      <c r="F37" s="7" t="n">
        <f aca="false">COUNTIFS(fAplicaciones!$S$2:$S$414,$A37,fAplicaciones!$P$2:$P$414,"Planificada 2027",fAplicaciones!$O$2:$O$414,1)</f>
        <v>7</v>
      </c>
      <c r="G37" s="7" t="n">
        <f aca="false">SUM(B37:F37)</f>
        <v>18</v>
      </c>
      <c r="H37" s="20" t="n">
        <f aca="false">IFERROR(B37/G37,0)</f>
        <v>0.555555555555556</v>
      </c>
    </row>
    <row r="38" customFormat="false" ht="15" hidden="false" customHeight="false" outlineLevel="0" collapsed="false">
      <c r="A38" s="7" t="s">
        <v>1527</v>
      </c>
      <c r="B38" s="7" t="n">
        <f aca="false">COUNTIFS(fAplicaciones!$S$2:$S$414,$A38,fAplicaciones!$P$2:$P$414,"Gobernada",fAplicaciones!$O$2:$O$414,1)</f>
        <v>28</v>
      </c>
      <c r="C38" s="7" t="n">
        <f aca="false">COUNTIFS(fAplicaciones!$S$2:$S$414,$A38,fAplicaciones!$P$2:$P$414,"Criterio 1",fAplicaciones!$O$2:$O$414,1)</f>
        <v>5</v>
      </c>
      <c r="D38" s="7" t="n">
        <f aca="false">COUNTIFS(fAplicaciones!$S$2:$S$414,$A38,fAplicaciones!$P$2:$P$414,"Criterio 2",fAplicaciones!$O$2:$O$414,1)</f>
        <v>15</v>
      </c>
      <c r="E38" s="7" t="n">
        <f aca="false">COUNTIFS(fAplicaciones!$S$2:$S$414,$A38,fAplicaciones!$P$2:$P$414,"Criterio 3",fAplicaciones!$O$2:$O$414,1)</f>
        <v>0</v>
      </c>
      <c r="F38" s="7" t="n">
        <f aca="false">COUNTIFS(fAplicaciones!$S$2:$S$414,$A38,fAplicaciones!$P$2:$P$414,"Planificada 2027",fAplicaciones!$O$2:$O$414,1)</f>
        <v>6</v>
      </c>
      <c r="G38" s="7" t="n">
        <f aca="false">SUM(B38:F38)</f>
        <v>54</v>
      </c>
      <c r="H38" s="20" t="n">
        <f aca="false">IFERROR(B38/G38,0)</f>
        <v>0.518518518518519</v>
      </c>
    </row>
    <row r="39" customFormat="false" ht="15" hidden="false" customHeight="false" outlineLevel="0" collapsed="false">
      <c r="A39" s="7" t="s">
        <v>1528</v>
      </c>
      <c r="B39" s="7" t="n">
        <f aca="false">COUNTIFS(fAplicaciones!$S$2:$S$414,$A39,fAplicaciones!$P$2:$P$414,"Gobernada",fAplicaciones!$O$2:$O$414,1)</f>
        <v>45</v>
      </c>
      <c r="C39" s="7" t="n">
        <f aca="false">COUNTIFS(fAplicaciones!$S$2:$S$414,$A39,fAplicaciones!$P$2:$P$414,"Criterio 1",fAplicaciones!$O$2:$O$414,1)</f>
        <v>2</v>
      </c>
      <c r="D39" s="7" t="n">
        <f aca="false">COUNTIFS(fAplicaciones!$S$2:$S$414,$A39,fAplicaciones!$P$2:$P$414,"Criterio 2",fAplicaciones!$O$2:$O$414,1)</f>
        <v>9</v>
      </c>
      <c r="E39" s="7" t="n">
        <f aca="false">COUNTIFS(fAplicaciones!$S$2:$S$414,$A39,fAplicaciones!$P$2:$P$414,"Criterio 3",fAplicaciones!$O$2:$O$414,1)</f>
        <v>0</v>
      </c>
      <c r="F39" s="7" t="n">
        <f aca="false">COUNTIFS(fAplicaciones!$S$2:$S$414,$A39,fAplicaciones!$P$2:$P$414,"Planificada 2027",fAplicaciones!$O$2:$O$414,1)</f>
        <v>8</v>
      </c>
      <c r="G39" s="7" t="n">
        <f aca="false">SUM(B39:F39)</f>
        <v>64</v>
      </c>
      <c r="H39" s="20" t="n">
        <f aca="false">IFERROR(B39/G39,0)</f>
        <v>0.703125</v>
      </c>
    </row>
    <row r="40" customFormat="false" ht="15" hidden="false" customHeight="false" outlineLevel="0" collapsed="false">
      <c r="A40" s="7" t="s">
        <v>1529</v>
      </c>
      <c r="B40" s="7" t="n">
        <f aca="false">COUNTIFS(fAplicaciones!$S$2:$S$414,$A40,fAplicaciones!$P$2:$P$414,"Gobernada",fAplicaciones!$O$2:$O$414,1)</f>
        <v>7</v>
      </c>
      <c r="C40" s="7" t="n">
        <f aca="false">COUNTIFS(fAplicaciones!$S$2:$S$414,$A40,fAplicaciones!$P$2:$P$414,"Criterio 1",fAplicaciones!$O$2:$O$414,1)</f>
        <v>1</v>
      </c>
      <c r="D40" s="7" t="n">
        <f aca="false">COUNTIFS(fAplicaciones!$S$2:$S$414,$A40,fAplicaciones!$P$2:$P$414,"Criterio 2",fAplicaciones!$O$2:$O$414,1)</f>
        <v>0</v>
      </c>
      <c r="E40" s="7" t="n">
        <f aca="false">COUNTIFS(fAplicaciones!$S$2:$S$414,$A40,fAplicaciones!$P$2:$P$414,"Criterio 3",fAplicaciones!$O$2:$O$414,1)</f>
        <v>0</v>
      </c>
      <c r="F40" s="7" t="n">
        <f aca="false">COUNTIFS(fAplicaciones!$S$2:$S$414,$A40,fAplicaciones!$P$2:$P$414,"Planificada 2027",fAplicaciones!$O$2:$O$414,1)</f>
        <v>16</v>
      </c>
      <c r="G40" s="7" t="n">
        <f aca="false">SUM(B40:F40)</f>
        <v>24</v>
      </c>
      <c r="H40" s="20" t="n">
        <f aca="false">IFERROR(B40/G40,0)</f>
        <v>0.291666666666667</v>
      </c>
    </row>
    <row r="41" customFormat="false" ht="15" hidden="false" customHeight="false" outlineLevel="0" collapsed="false">
      <c r="A41" s="7" t="s">
        <v>1530</v>
      </c>
      <c r="B41" s="7" t="n">
        <f aca="false">COUNTIFS(fAplicaciones!$S$2:$S$414,$A41,fAplicaciones!$P$2:$P$414,"Gobernada",fAplicaciones!$O$2:$O$414,1)</f>
        <v>63</v>
      </c>
      <c r="C41" s="7" t="n">
        <f aca="false">COUNTIFS(fAplicaciones!$S$2:$S$414,$A41,fAplicaciones!$P$2:$P$414,"Criterio 1",fAplicaciones!$O$2:$O$414,1)</f>
        <v>14</v>
      </c>
      <c r="D41" s="7" t="n">
        <f aca="false">COUNTIFS(fAplicaciones!$S$2:$S$414,$A41,fAplicaciones!$P$2:$P$414,"Criterio 2",fAplicaciones!$O$2:$O$414,1)</f>
        <v>2</v>
      </c>
      <c r="E41" s="7" t="n">
        <f aca="false">COUNTIFS(fAplicaciones!$S$2:$S$414,$A41,fAplicaciones!$P$2:$P$414,"Criterio 3",fAplicaciones!$O$2:$O$414,1)</f>
        <v>14</v>
      </c>
      <c r="F41" s="7" t="n">
        <f aca="false">COUNTIFS(fAplicaciones!$S$2:$S$414,$A41,fAplicaciones!$P$2:$P$414,"Planificada 2027",fAplicaciones!$O$2:$O$414,1)</f>
        <v>122</v>
      </c>
      <c r="G41" s="7" t="n">
        <f aca="false">SUM(B41:F41)</f>
        <v>215</v>
      </c>
      <c r="H41" s="20" t="n">
        <f aca="false">IFERROR(B41/G41,0)</f>
        <v>0.293023255813954</v>
      </c>
    </row>
    <row r="42" customFormat="false" ht="15" hidden="false" customHeight="false" outlineLevel="0" collapsed="false">
      <c r="A42" s="7" t="s">
        <v>1531</v>
      </c>
      <c r="B42" s="7" t="n">
        <f aca="false">COUNTIFS(fAplicaciones!$S$2:$S$414,$A42,fAplicaciones!$P$2:$P$414,"Gobernada",fAplicaciones!$O$2:$O$414,1)</f>
        <v>35</v>
      </c>
      <c r="C42" s="7" t="n">
        <f aca="false">COUNTIFS(fAplicaciones!$S$2:$S$414,$A42,fAplicaciones!$P$2:$P$414,"Criterio 1",fAplicaciones!$O$2:$O$414,1)</f>
        <v>0</v>
      </c>
      <c r="D42" s="7" t="n">
        <f aca="false">COUNTIFS(fAplicaciones!$S$2:$S$414,$A42,fAplicaciones!$P$2:$P$414,"Criterio 2",fAplicaciones!$O$2:$O$414,1)</f>
        <v>0</v>
      </c>
      <c r="E42" s="7" t="n">
        <f aca="false">COUNTIFS(fAplicaciones!$S$2:$S$414,$A42,fAplicaciones!$P$2:$P$414,"Criterio 3",fAplicaciones!$O$2:$O$414,1)</f>
        <v>0</v>
      </c>
      <c r="F42" s="7" t="n">
        <f aca="false">COUNTIFS(fAplicaciones!$S$2:$S$414,$A42,fAplicaciones!$P$2:$P$414,"Planificada 2027",fAplicaciones!$O$2:$O$414,1)</f>
        <v>0</v>
      </c>
      <c r="G42" s="7" t="n">
        <f aca="false">SUM(B42:F42)</f>
        <v>35</v>
      </c>
      <c r="H42" s="20" t="n">
        <f aca="false">IFERROR(B42/G42,0)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80"/>
    <col collapsed="false" customWidth="true" hidden="false" outlineLevel="0" max="4" min="4" style="0" width="11"/>
    <col collapsed="false" customWidth="true" hidden="false" outlineLevel="0" max="5" min="5" style="0" width="44"/>
    <col collapsed="false" customWidth="true" hidden="false" outlineLevel="0" max="6" min="6" style="0" width="18"/>
  </cols>
  <sheetData>
    <row r="1" customFormat="false" ht="15" hidden="false" customHeight="false" outlineLevel="0" collapsed="false">
      <c r="A1" s="3" t="s">
        <v>1532</v>
      </c>
    </row>
    <row r="3" customFormat="false" ht="30" hidden="false" customHeight="true" outlineLevel="0" collapsed="false">
      <c r="A3" s="6" t="s">
        <v>1533</v>
      </c>
      <c r="B3" s="6" t="s">
        <v>1534</v>
      </c>
      <c r="C3" s="6" t="s">
        <v>1535</v>
      </c>
      <c r="D3" s="6" t="s">
        <v>1536</v>
      </c>
      <c r="E3" s="6" t="s">
        <v>1537</v>
      </c>
      <c r="F3" s="6" t="s">
        <v>1538</v>
      </c>
    </row>
    <row r="4" customFormat="false" ht="42" hidden="false" customHeight="true" outlineLevel="0" collapsed="false">
      <c r="A4" s="4" t="s">
        <v>1539</v>
      </c>
      <c r="B4" s="21" t="s">
        <v>1540</v>
      </c>
      <c r="C4" s="22" t="s">
        <v>1541</v>
      </c>
      <c r="D4" s="4" t="s">
        <v>1542</v>
      </c>
      <c r="E4" s="4" t="s">
        <v>1543</v>
      </c>
      <c r="F4" s="4" t="s">
        <v>1544</v>
      </c>
    </row>
    <row r="5" customFormat="false" ht="42" hidden="false" customHeight="true" outlineLevel="0" collapsed="false">
      <c r="A5" s="4" t="s">
        <v>1539</v>
      </c>
      <c r="B5" s="21" t="s">
        <v>1545</v>
      </c>
      <c r="C5" s="22" t="s">
        <v>1546</v>
      </c>
      <c r="D5" s="4" t="s">
        <v>1542</v>
      </c>
      <c r="E5" s="4" t="s">
        <v>1547</v>
      </c>
      <c r="F5" s="4" t="s">
        <v>1548</v>
      </c>
    </row>
    <row r="6" customFormat="false" ht="42" hidden="false" customHeight="true" outlineLevel="0" collapsed="false">
      <c r="A6" s="4" t="s">
        <v>1539</v>
      </c>
      <c r="B6" s="21" t="s">
        <v>1549</v>
      </c>
      <c r="C6" s="22" t="s">
        <v>1550</v>
      </c>
      <c r="D6" s="4" t="s">
        <v>1542</v>
      </c>
      <c r="E6" s="4" t="s">
        <v>1551</v>
      </c>
      <c r="F6" s="4" t="s">
        <v>1552</v>
      </c>
    </row>
    <row r="7" customFormat="false" ht="18" hidden="false" customHeight="true" outlineLevel="0" collapsed="false">
      <c r="A7" s="4" t="s">
        <v>1539</v>
      </c>
      <c r="B7" s="21" t="s">
        <v>1553</v>
      </c>
      <c r="C7" s="22" t="s">
        <v>1554</v>
      </c>
      <c r="D7" s="4" t="s">
        <v>1555</v>
      </c>
      <c r="E7" s="4" t="s">
        <v>1556</v>
      </c>
      <c r="F7" s="4" t="s">
        <v>1557</v>
      </c>
    </row>
    <row r="8" customFormat="false" ht="18" hidden="false" customHeight="true" outlineLevel="0" collapsed="false">
      <c r="A8" s="4" t="s">
        <v>1539</v>
      </c>
      <c r="B8" s="21" t="s">
        <v>1558</v>
      </c>
      <c r="C8" s="22" t="s">
        <v>1559</v>
      </c>
      <c r="D8" s="4" t="s">
        <v>1555</v>
      </c>
      <c r="E8" s="4" t="s">
        <v>1560</v>
      </c>
      <c r="F8" s="4" t="s">
        <v>1557</v>
      </c>
    </row>
    <row r="9" customFormat="false" ht="18" hidden="false" customHeight="true" outlineLevel="0" collapsed="false">
      <c r="A9" s="4" t="s">
        <v>1539</v>
      </c>
      <c r="B9" s="21" t="s">
        <v>1561</v>
      </c>
      <c r="C9" s="22" t="s">
        <v>1562</v>
      </c>
      <c r="D9" s="4" t="s">
        <v>1555</v>
      </c>
      <c r="E9" s="4" t="s">
        <v>1563</v>
      </c>
      <c r="F9" s="4" t="s">
        <v>1564</v>
      </c>
    </row>
    <row r="10" customFormat="false" ht="18" hidden="false" customHeight="true" outlineLevel="0" collapsed="false">
      <c r="A10" s="4" t="s">
        <v>1539</v>
      </c>
      <c r="B10" s="21" t="s">
        <v>1565</v>
      </c>
      <c r="C10" s="22" t="s">
        <v>1566</v>
      </c>
      <c r="D10" s="4" t="s">
        <v>1555</v>
      </c>
      <c r="E10" s="4" t="s">
        <v>1567</v>
      </c>
      <c r="F10" s="4" t="s">
        <v>1568</v>
      </c>
    </row>
    <row r="11" customFormat="false" ht="18" hidden="false" customHeight="true" outlineLevel="0" collapsed="false">
      <c r="A11" s="4" t="s">
        <v>1539</v>
      </c>
      <c r="B11" s="21" t="s">
        <v>1569</v>
      </c>
      <c r="C11" s="22" t="s">
        <v>1570</v>
      </c>
      <c r="D11" s="4" t="s">
        <v>1571</v>
      </c>
      <c r="E11" s="4" t="s">
        <v>1572</v>
      </c>
      <c r="F11" s="4" t="s">
        <v>1573</v>
      </c>
    </row>
    <row r="12" customFormat="false" ht="18" hidden="false" customHeight="true" outlineLevel="0" collapsed="false">
      <c r="A12" s="4" t="s">
        <v>1574</v>
      </c>
      <c r="B12" s="21" t="s">
        <v>1467</v>
      </c>
      <c r="C12" s="22" t="s">
        <v>1575</v>
      </c>
      <c r="D12" s="4" t="s">
        <v>1555</v>
      </c>
      <c r="E12" s="4" t="s">
        <v>1576</v>
      </c>
      <c r="F12" s="4" t="s">
        <v>1577</v>
      </c>
    </row>
    <row r="13" customFormat="false" ht="18" hidden="false" customHeight="true" outlineLevel="0" collapsed="false">
      <c r="A13" s="4" t="s">
        <v>1574</v>
      </c>
      <c r="B13" s="21" t="s">
        <v>1578</v>
      </c>
      <c r="C13" s="22" t="s">
        <v>1579</v>
      </c>
      <c r="D13" s="4" t="s">
        <v>1555</v>
      </c>
      <c r="E13" s="4" t="s">
        <v>1580</v>
      </c>
      <c r="F13" s="4" t="s">
        <v>1581</v>
      </c>
    </row>
    <row r="14" customFormat="false" ht="18" hidden="false" customHeight="true" outlineLevel="0" collapsed="false">
      <c r="A14" s="4" t="s">
        <v>1574</v>
      </c>
      <c r="B14" s="21" t="s">
        <v>41</v>
      </c>
      <c r="C14" s="22" t="s">
        <v>1582</v>
      </c>
      <c r="D14" s="4" t="s">
        <v>1555</v>
      </c>
      <c r="E14" s="4" t="s">
        <v>1583</v>
      </c>
      <c r="F14" s="4" t="s">
        <v>1584</v>
      </c>
    </row>
    <row r="15" customFormat="false" ht="18" hidden="false" customHeight="true" outlineLevel="0" collapsed="false">
      <c r="A15" s="4" t="s">
        <v>1574</v>
      </c>
      <c r="B15" s="21" t="s">
        <v>1585</v>
      </c>
      <c r="C15" s="22" t="s">
        <v>1586</v>
      </c>
      <c r="D15" s="4" t="s">
        <v>1555</v>
      </c>
      <c r="E15" s="4" t="s">
        <v>1587</v>
      </c>
      <c r="F15" s="4" t="s">
        <v>1588</v>
      </c>
    </row>
    <row r="16" customFormat="false" ht="18" hidden="false" customHeight="true" outlineLevel="0" collapsed="false">
      <c r="A16" s="4" t="s">
        <v>1574</v>
      </c>
      <c r="B16" s="21" t="s">
        <v>1589</v>
      </c>
      <c r="C16" s="22" t="s">
        <v>1590</v>
      </c>
      <c r="D16" s="4" t="s">
        <v>1555</v>
      </c>
      <c r="E16" s="4" t="s">
        <v>1591</v>
      </c>
      <c r="F16" s="4" t="s">
        <v>1592</v>
      </c>
    </row>
    <row r="17" customFormat="false" ht="18" hidden="false" customHeight="true" outlineLevel="0" collapsed="false">
      <c r="A17" s="4" t="s">
        <v>1574</v>
      </c>
      <c r="B17" s="21" t="s">
        <v>1593</v>
      </c>
      <c r="C17" s="22" t="s">
        <v>1594</v>
      </c>
      <c r="D17" s="4" t="s">
        <v>1555</v>
      </c>
      <c r="E17" s="4" t="s">
        <v>1595</v>
      </c>
      <c r="F17" s="4" t="s">
        <v>1596</v>
      </c>
    </row>
    <row r="18" customFormat="false" ht="18" hidden="false" customHeight="true" outlineLevel="0" collapsed="false">
      <c r="A18" s="4" t="s">
        <v>1574</v>
      </c>
      <c r="B18" s="21" t="s">
        <v>1597</v>
      </c>
      <c r="C18" s="22" t="s">
        <v>1598</v>
      </c>
      <c r="D18" s="4" t="s">
        <v>1555</v>
      </c>
      <c r="E18" s="4" t="s">
        <v>1599</v>
      </c>
      <c r="F18" s="4" t="s">
        <v>1600</v>
      </c>
    </row>
    <row r="19" customFormat="false" ht="18" hidden="false" customHeight="true" outlineLevel="0" collapsed="false">
      <c r="A19" s="4" t="s">
        <v>1601</v>
      </c>
      <c r="B19" s="21" t="s">
        <v>1475</v>
      </c>
      <c r="C19" s="22" t="s">
        <v>1602</v>
      </c>
      <c r="D19" s="4" t="s">
        <v>1555</v>
      </c>
      <c r="E19" s="4" t="s">
        <v>1603</v>
      </c>
      <c r="F19" s="4" t="s">
        <v>1604</v>
      </c>
    </row>
    <row r="20" customFormat="false" ht="18" hidden="false" customHeight="true" outlineLevel="0" collapsed="false">
      <c r="A20" s="4" t="s">
        <v>1601</v>
      </c>
      <c r="B20" s="21" t="s">
        <v>1605</v>
      </c>
      <c r="C20" s="22" t="s">
        <v>1606</v>
      </c>
      <c r="D20" s="4" t="s">
        <v>1555</v>
      </c>
      <c r="E20" s="4" t="s">
        <v>1607</v>
      </c>
      <c r="F20" s="4" t="s">
        <v>1608</v>
      </c>
    </row>
    <row r="21" customFormat="false" ht="18" hidden="false" customHeight="true" outlineLevel="0" collapsed="false">
      <c r="A21" s="4" t="s">
        <v>1601</v>
      </c>
      <c r="B21" s="21" t="s">
        <v>1609</v>
      </c>
      <c r="C21" s="22" t="s">
        <v>1610</v>
      </c>
      <c r="D21" s="4" t="s">
        <v>1611</v>
      </c>
      <c r="E21" s="4" t="s">
        <v>1612</v>
      </c>
      <c r="F21" s="4" t="s">
        <v>1613</v>
      </c>
    </row>
    <row r="22" customFormat="false" ht="18" hidden="false" customHeight="true" outlineLevel="0" collapsed="false">
      <c r="A22" s="4" t="s">
        <v>1601</v>
      </c>
      <c r="B22" s="21" t="s">
        <v>1614</v>
      </c>
      <c r="C22" s="22" t="s">
        <v>1615</v>
      </c>
      <c r="D22" s="4" t="s">
        <v>1611</v>
      </c>
      <c r="E22" s="4" t="s">
        <v>1616</v>
      </c>
      <c r="F22" s="4"/>
    </row>
    <row r="23" customFormat="false" ht="18" hidden="false" customHeight="true" outlineLevel="0" collapsed="false">
      <c r="A23" s="4" t="s">
        <v>1601</v>
      </c>
      <c r="B23" s="21" t="s">
        <v>1617</v>
      </c>
      <c r="C23" s="22" t="s">
        <v>1618</v>
      </c>
      <c r="D23" s="4" t="s">
        <v>1611</v>
      </c>
      <c r="E23" s="4"/>
      <c r="F23" s="4" t="s">
        <v>1619</v>
      </c>
    </row>
    <row r="24" customFormat="false" ht="18" hidden="false" customHeight="true" outlineLevel="0" collapsed="false">
      <c r="A24" s="4" t="s">
        <v>1601</v>
      </c>
      <c r="B24" s="21" t="s">
        <v>1620</v>
      </c>
      <c r="C24" s="22" t="s">
        <v>1621</v>
      </c>
      <c r="D24" s="4" t="s">
        <v>1611</v>
      </c>
      <c r="E24" s="4"/>
      <c r="F24" s="4" t="s">
        <v>1622</v>
      </c>
    </row>
    <row r="25" customFormat="false" ht="18" hidden="false" customHeight="true" outlineLevel="0" collapsed="false">
      <c r="A25" s="4" t="s">
        <v>1601</v>
      </c>
      <c r="B25" s="21" t="s">
        <v>1623</v>
      </c>
      <c r="C25" s="22" t="s">
        <v>1624</v>
      </c>
      <c r="D25" s="4" t="s">
        <v>1555</v>
      </c>
      <c r="E25" s="4" t="s">
        <v>1625</v>
      </c>
      <c r="F25" s="4" t="s">
        <v>1626</v>
      </c>
    </row>
    <row r="26" customFormat="false" ht="18" hidden="false" customHeight="true" outlineLevel="0" collapsed="false">
      <c r="A26" s="4" t="s">
        <v>1601</v>
      </c>
      <c r="B26" s="21" t="s">
        <v>1481</v>
      </c>
      <c r="C26" s="22" t="s">
        <v>1627</v>
      </c>
      <c r="D26" s="4" t="s">
        <v>1555</v>
      </c>
      <c r="E26" s="4"/>
      <c r="F26" s="4" t="s">
        <v>1628</v>
      </c>
    </row>
    <row r="27" customFormat="false" ht="18" hidden="false" customHeight="true" outlineLevel="0" collapsed="false">
      <c r="A27" s="4" t="s">
        <v>1601</v>
      </c>
      <c r="B27" s="21" t="s">
        <v>1483</v>
      </c>
      <c r="C27" s="22" t="s">
        <v>1629</v>
      </c>
      <c r="D27" s="4" t="s">
        <v>1555</v>
      </c>
      <c r="E27" s="4"/>
      <c r="F27" s="4" t="s">
        <v>1630</v>
      </c>
    </row>
    <row r="28" customFormat="false" ht="18" hidden="false" customHeight="true" outlineLevel="0" collapsed="false">
      <c r="A28" s="4" t="s">
        <v>1601</v>
      </c>
      <c r="B28" s="21" t="s">
        <v>1485</v>
      </c>
      <c r="C28" s="22" t="s">
        <v>1631</v>
      </c>
      <c r="D28" s="4" t="s">
        <v>1555</v>
      </c>
      <c r="E28" s="4"/>
      <c r="F28" s="4" t="s">
        <v>1632</v>
      </c>
    </row>
    <row r="29" customFormat="false" ht="18" hidden="false" customHeight="true" outlineLevel="0" collapsed="false">
      <c r="A29" s="4" t="s">
        <v>1601</v>
      </c>
      <c r="B29" s="21" t="s">
        <v>1487</v>
      </c>
      <c r="C29" s="22" t="s">
        <v>1633</v>
      </c>
      <c r="D29" s="4" t="s">
        <v>1555</v>
      </c>
      <c r="E29" s="4"/>
      <c r="F29" s="4" t="s">
        <v>1634</v>
      </c>
    </row>
    <row r="30" customFormat="false" ht="18" hidden="false" customHeight="true" outlineLevel="0" collapsed="false">
      <c r="A30" s="4" t="s">
        <v>1601</v>
      </c>
      <c r="B30" s="21" t="s">
        <v>1635</v>
      </c>
      <c r="C30" s="22" t="s">
        <v>1636</v>
      </c>
      <c r="D30" s="4" t="s">
        <v>1555</v>
      </c>
      <c r="E30" s="4" t="s">
        <v>1637</v>
      </c>
      <c r="F30" s="4" t="s">
        <v>1638</v>
      </c>
    </row>
    <row r="31" customFormat="false" ht="18" hidden="false" customHeight="true" outlineLevel="0" collapsed="false">
      <c r="A31" s="4" t="s">
        <v>1601</v>
      </c>
      <c r="B31" s="21" t="s">
        <v>1639</v>
      </c>
      <c r="C31" s="22" t="s">
        <v>1640</v>
      </c>
      <c r="D31" s="4" t="s">
        <v>1555</v>
      </c>
      <c r="E31" s="4" t="s">
        <v>1641</v>
      </c>
      <c r="F31" s="4" t="s">
        <v>1642</v>
      </c>
    </row>
    <row r="32" customFormat="false" ht="18" hidden="false" customHeight="true" outlineLevel="0" collapsed="false">
      <c r="A32" s="4" t="s">
        <v>1601</v>
      </c>
      <c r="B32" s="21" t="s">
        <v>1643</v>
      </c>
      <c r="C32" s="22" t="s">
        <v>1644</v>
      </c>
      <c r="D32" s="4" t="s">
        <v>1555</v>
      </c>
      <c r="E32" s="4" t="s">
        <v>1645</v>
      </c>
      <c r="F32" s="4" t="s">
        <v>1628</v>
      </c>
    </row>
    <row r="33" customFormat="false" ht="66" hidden="false" customHeight="true" outlineLevel="0" collapsed="false">
      <c r="A33" s="4" t="s">
        <v>1646</v>
      </c>
      <c r="B33" s="21" t="s">
        <v>1647</v>
      </c>
      <c r="C33" s="22" t="s">
        <v>1648</v>
      </c>
      <c r="D33" s="4" t="s">
        <v>1555</v>
      </c>
      <c r="E33" s="4" t="s">
        <v>1649</v>
      </c>
      <c r="F33" s="4" t="s">
        <v>1650</v>
      </c>
    </row>
    <row r="34" customFormat="false" ht="30" hidden="false" customHeight="true" outlineLevel="0" collapsed="false">
      <c r="A34" s="4" t="s">
        <v>1646</v>
      </c>
      <c r="B34" s="21" t="s">
        <v>1651</v>
      </c>
      <c r="C34" s="22" t="s">
        <v>1652</v>
      </c>
      <c r="D34" s="4" t="s">
        <v>1571</v>
      </c>
      <c r="E34" s="4"/>
      <c r="F34" s="4" t="s">
        <v>1653</v>
      </c>
    </row>
    <row r="35" customFormat="false" ht="18" hidden="false" customHeight="true" outlineLevel="0" collapsed="false">
      <c r="A35" s="4" t="s">
        <v>1646</v>
      </c>
      <c r="B35" s="21" t="s">
        <v>1654</v>
      </c>
      <c r="C35" s="22" t="s">
        <v>1655</v>
      </c>
      <c r="D35" s="4" t="s">
        <v>1571</v>
      </c>
      <c r="E35" s="4" t="s">
        <v>1656</v>
      </c>
      <c r="F35" s="4" t="s">
        <v>1657</v>
      </c>
    </row>
    <row r="36" customFormat="false" ht="18" hidden="false" customHeight="true" outlineLevel="0" collapsed="false">
      <c r="A36" s="4" t="s">
        <v>1646</v>
      </c>
      <c r="B36" s="21" t="s">
        <v>1658</v>
      </c>
      <c r="C36" s="22" t="s">
        <v>1659</v>
      </c>
      <c r="D36" s="4" t="s">
        <v>1571</v>
      </c>
      <c r="E36" s="4"/>
      <c r="F36" s="4" t="s">
        <v>1660</v>
      </c>
    </row>
    <row r="37" customFormat="false" ht="18" hidden="false" customHeight="true" outlineLevel="0" collapsed="false">
      <c r="A37" s="4" t="s">
        <v>1646</v>
      </c>
      <c r="B37" s="21" t="s">
        <v>1661</v>
      </c>
      <c r="C37" s="22" t="s">
        <v>1662</v>
      </c>
      <c r="D37" s="4" t="s">
        <v>1571</v>
      </c>
      <c r="E37" s="4" t="s">
        <v>1663</v>
      </c>
      <c r="F37" s="4" t="s">
        <v>1664</v>
      </c>
    </row>
    <row r="38" customFormat="false" ht="18" hidden="false" customHeight="true" outlineLevel="0" collapsed="false">
      <c r="A38" s="4" t="s">
        <v>1646</v>
      </c>
      <c r="B38" s="21" t="s">
        <v>1665</v>
      </c>
      <c r="C38" s="22" t="s">
        <v>1666</v>
      </c>
      <c r="D38" s="4" t="s">
        <v>1571</v>
      </c>
      <c r="E38" s="4"/>
      <c r="F38" s="4" t="s">
        <v>1667</v>
      </c>
    </row>
    <row r="39" customFormat="false" ht="18" hidden="false" customHeight="true" outlineLevel="0" collapsed="false">
      <c r="A39" s="4" t="s">
        <v>1646</v>
      </c>
      <c r="B39" s="21" t="s">
        <v>1668</v>
      </c>
      <c r="C39" s="22" t="s">
        <v>1669</v>
      </c>
      <c r="D39" s="4" t="s">
        <v>1555</v>
      </c>
      <c r="E39" s="4" t="s">
        <v>1670</v>
      </c>
      <c r="F39" s="4" t="s">
        <v>1671</v>
      </c>
    </row>
    <row r="40" customFormat="false" ht="18" hidden="false" customHeight="true" outlineLevel="0" collapsed="false">
      <c r="A40" s="4" t="s">
        <v>1646</v>
      </c>
      <c r="B40" s="21" t="s">
        <v>1672</v>
      </c>
      <c r="C40" s="22" t="s">
        <v>1673</v>
      </c>
      <c r="D40" s="4" t="s">
        <v>1611</v>
      </c>
      <c r="E40" s="4"/>
      <c r="F40" s="4" t="s">
        <v>1674</v>
      </c>
    </row>
    <row r="41" customFormat="false" ht="102" hidden="false" customHeight="true" outlineLevel="0" collapsed="false">
      <c r="A41" s="4" t="s">
        <v>1646</v>
      </c>
      <c r="B41" s="21" t="s">
        <v>1675</v>
      </c>
      <c r="C41" s="22" t="s">
        <v>1676</v>
      </c>
      <c r="D41" s="4" t="s">
        <v>1555</v>
      </c>
      <c r="E41" s="4" t="s">
        <v>1677</v>
      </c>
      <c r="F41" s="4"/>
    </row>
    <row r="42" customFormat="false" ht="18" hidden="false" customHeight="true" outlineLevel="0" collapsed="false">
      <c r="A42" s="4" t="s">
        <v>1678</v>
      </c>
      <c r="B42" s="21" t="s">
        <v>1679</v>
      </c>
      <c r="C42" s="22" t="s">
        <v>1680</v>
      </c>
      <c r="D42" s="4" t="s">
        <v>1611</v>
      </c>
      <c r="E42" s="4"/>
      <c r="F42" s="4" t="s">
        <v>1681</v>
      </c>
    </row>
    <row r="43" customFormat="false" ht="18" hidden="false" customHeight="true" outlineLevel="0" collapsed="false">
      <c r="A43" s="4" t="s">
        <v>1678</v>
      </c>
      <c r="B43" s="21" t="s">
        <v>1682</v>
      </c>
      <c r="C43" s="22" t="s">
        <v>1683</v>
      </c>
      <c r="D43" s="4" t="s">
        <v>1611</v>
      </c>
      <c r="E43" s="4"/>
      <c r="F43" s="4" t="s">
        <v>1684</v>
      </c>
    </row>
    <row r="44" customFormat="false" ht="18" hidden="false" customHeight="true" outlineLevel="0" collapsed="false">
      <c r="A44" s="4" t="s">
        <v>1678</v>
      </c>
      <c r="B44" s="21" t="s">
        <v>1685</v>
      </c>
      <c r="C44" s="22" t="s">
        <v>1686</v>
      </c>
      <c r="D44" s="4" t="s">
        <v>1611</v>
      </c>
      <c r="E44" s="4"/>
      <c r="F44" s="4" t="s">
        <v>1687</v>
      </c>
    </row>
    <row r="45" customFormat="false" ht="18" hidden="false" customHeight="true" outlineLevel="0" collapsed="false">
      <c r="A45" s="4" t="s">
        <v>1678</v>
      </c>
      <c r="B45" s="21" t="s">
        <v>1688</v>
      </c>
      <c r="C45" s="22" t="s">
        <v>1689</v>
      </c>
      <c r="D45" s="4" t="s">
        <v>1555</v>
      </c>
      <c r="E45" s="4" t="s">
        <v>1690</v>
      </c>
      <c r="F45" s="4" t="s">
        <v>1691</v>
      </c>
    </row>
    <row r="46" customFormat="false" ht="18" hidden="false" customHeight="true" outlineLevel="0" collapsed="false">
      <c r="A46" s="4" t="s">
        <v>1678</v>
      </c>
      <c r="B46" s="21" t="s">
        <v>1692</v>
      </c>
      <c r="C46" s="22" t="s">
        <v>1693</v>
      </c>
      <c r="D46" s="4" t="s">
        <v>1555</v>
      </c>
      <c r="E46" s="4" t="s">
        <v>1694</v>
      </c>
      <c r="F46" s="4" t="s">
        <v>1695</v>
      </c>
    </row>
    <row r="47" customFormat="false" ht="18" hidden="false" customHeight="true" outlineLevel="0" collapsed="false">
      <c r="A47" s="4" t="s">
        <v>1678</v>
      </c>
      <c r="B47" s="21" t="s">
        <v>1696</v>
      </c>
      <c r="C47" s="22" t="s">
        <v>1697</v>
      </c>
      <c r="D47" s="4" t="s">
        <v>1611</v>
      </c>
      <c r="E47" s="4"/>
      <c r="F47" s="4" t="s">
        <v>1698</v>
      </c>
    </row>
    <row r="48" customFormat="false" ht="18" hidden="false" customHeight="true" outlineLevel="0" collapsed="false">
      <c r="A48" s="4" t="s">
        <v>1678</v>
      </c>
      <c r="B48" s="21" t="s">
        <v>1699</v>
      </c>
      <c r="C48" s="22" t="s">
        <v>1700</v>
      </c>
      <c r="D48" s="4" t="s">
        <v>1555</v>
      </c>
      <c r="E48" s="4" t="s">
        <v>1701</v>
      </c>
      <c r="F48" s="4" t="s">
        <v>1702</v>
      </c>
    </row>
    <row r="49" customFormat="false" ht="18" hidden="false" customHeight="true" outlineLevel="0" collapsed="false">
      <c r="A49" s="4" t="s">
        <v>1703</v>
      </c>
      <c r="B49" s="21" t="s">
        <v>1704</v>
      </c>
      <c r="C49" s="22" t="s">
        <v>1705</v>
      </c>
      <c r="D49" s="4" t="s">
        <v>1555</v>
      </c>
      <c r="E49" s="4" t="s">
        <v>1706</v>
      </c>
      <c r="F49" s="4" t="s">
        <v>1707</v>
      </c>
    </row>
    <row r="50" customFormat="false" ht="18" hidden="false" customHeight="true" outlineLevel="0" collapsed="false">
      <c r="A50" s="4" t="s">
        <v>1703</v>
      </c>
      <c r="B50" s="21" t="s">
        <v>1708</v>
      </c>
      <c r="C50" s="22" t="s">
        <v>1709</v>
      </c>
      <c r="D50" s="4" t="s">
        <v>1555</v>
      </c>
      <c r="E50" s="4"/>
      <c r="F50" s="4" t="s">
        <v>1710</v>
      </c>
    </row>
    <row r="51" customFormat="false" ht="18" hidden="false" customHeight="true" outlineLevel="0" collapsed="false">
      <c r="A51" s="4" t="s">
        <v>1703</v>
      </c>
      <c r="B51" s="21" t="s">
        <v>1711</v>
      </c>
      <c r="C51" s="22" t="s">
        <v>1712</v>
      </c>
      <c r="D51" s="4" t="s">
        <v>1611</v>
      </c>
      <c r="E51" s="4"/>
      <c r="F51" s="4" t="s">
        <v>1713</v>
      </c>
    </row>
    <row r="52" customFormat="false" ht="18" hidden="false" customHeight="true" outlineLevel="0" collapsed="false">
      <c r="A52" s="4" t="s">
        <v>1703</v>
      </c>
      <c r="B52" s="21" t="s">
        <v>1714</v>
      </c>
      <c r="C52" s="22" t="s">
        <v>1715</v>
      </c>
      <c r="D52" s="4" t="s">
        <v>1555</v>
      </c>
      <c r="E52" s="4" t="s">
        <v>1716</v>
      </c>
      <c r="F52" s="4" t="s">
        <v>1717</v>
      </c>
    </row>
    <row r="53" customFormat="false" ht="18" hidden="false" customHeight="true" outlineLevel="0" collapsed="false">
      <c r="A53" s="4" t="s">
        <v>1703</v>
      </c>
      <c r="B53" s="21" t="s">
        <v>1718</v>
      </c>
      <c r="C53" s="22" t="s">
        <v>1719</v>
      </c>
      <c r="D53" s="4" t="s">
        <v>1555</v>
      </c>
      <c r="E53" s="4"/>
      <c r="F53" s="4" t="s">
        <v>1600</v>
      </c>
    </row>
    <row r="54" customFormat="false" ht="18" hidden="false" customHeight="true" outlineLevel="0" collapsed="false">
      <c r="A54" s="4" t="s">
        <v>1703</v>
      </c>
      <c r="B54" s="21" t="s">
        <v>1720</v>
      </c>
      <c r="C54" s="22" t="s">
        <v>1721</v>
      </c>
      <c r="D54" s="4" t="s">
        <v>1555</v>
      </c>
      <c r="E54" s="4"/>
      <c r="F54" s="4" t="s">
        <v>1722</v>
      </c>
    </row>
    <row r="55" customFormat="false" ht="18" hidden="false" customHeight="true" outlineLevel="0" collapsed="false">
      <c r="A55" s="4" t="s">
        <v>1703</v>
      </c>
      <c r="B55" s="21" t="s">
        <v>1723</v>
      </c>
      <c r="C55" s="22" t="s">
        <v>1724</v>
      </c>
      <c r="D55" s="4" t="s">
        <v>1555</v>
      </c>
      <c r="E55" s="4"/>
      <c r="F55" s="4" t="s">
        <v>1725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26"/>
    <col collapsed="false" customWidth="true" hidden="false" outlineLevel="0" max="4" min="4" style="0" width="84"/>
    <col collapsed="false" customWidth="true" hidden="false" outlineLevel="0" max="5" min="5" style="0" width="60"/>
  </cols>
  <sheetData>
    <row r="1" customFormat="false" ht="15" hidden="false" customHeight="false" outlineLevel="0" collapsed="false">
      <c r="A1" s="3" t="s">
        <v>1726</v>
      </c>
    </row>
    <row r="3" customFormat="false" ht="30" hidden="false" customHeight="true" outlineLevel="0" collapsed="false">
      <c r="A3" s="6" t="s">
        <v>1464</v>
      </c>
      <c r="B3" s="6" t="s">
        <v>1727</v>
      </c>
      <c r="C3" s="6" t="s">
        <v>1534</v>
      </c>
      <c r="D3" s="6" t="s">
        <v>1535</v>
      </c>
      <c r="E3" s="6" t="s">
        <v>1728</v>
      </c>
    </row>
    <row r="4" customFormat="false" ht="30" hidden="false" customHeight="true" outlineLevel="0" collapsed="false">
      <c r="A4" s="4" t="s">
        <v>1729</v>
      </c>
      <c r="B4" s="4" t="s">
        <v>1730</v>
      </c>
      <c r="C4" s="21" t="s">
        <v>1731</v>
      </c>
      <c r="D4" s="22" t="s">
        <v>1732</v>
      </c>
      <c r="E4" s="4" t="s">
        <v>1733</v>
      </c>
    </row>
    <row r="5" customFormat="false" ht="42" hidden="false" customHeight="true" outlineLevel="0" collapsed="false">
      <c r="A5" s="4" t="s">
        <v>1729</v>
      </c>
      <c r="B5" s="4" t="s">
        <v>1734</v>
      </c>
      <c r="C5" s="21" t="s">
        <v>1735</v>
      </c>
      <c r="D5" s="22" t="s">
        <v>1736</v>
      </c>
      <c r="E5" s="4" t="s">
        <v>1737</v>
      </c>
    </row>
    <row r="6" customFormat="false" ht="18" hidden="false" customHeight="true" outlineLevel="0" collapsed="false">
      <c r="A6" s="4" t="s">
        <v>1738</v>
      </c>
      <c r="B6" s="4" t="s">
        <v>1739</v>
      </c>
      <c r="C6" s="21" t="s">
        <v>1740</v>
      </c>
      <c r="D6" s="22" t="s">
        <v>1741</v>
      </c>
      <c r="E6" s="4" t="s">
        <v>1742</v>
      </c>
    </row>
    <row r="7" customFormat="false" ht="18" hidden="false" customHeight="true" outlineLevel="0" collapsed="false">
      <c r="A7" s="4" t="s">
        <v>1738</v>
      </c>
      <c r="B7" s="4" t="s">
        <v>1743</v>
      </c>
      <c r="C7" s="21" t="s">
        <v>1744</v>
      </c>
      <c r="D7" s="22" t="s">
        <v>1745</v>
      </c>
      <c r="E7" s="4" t="s">
        <v>1746</v>
      </c>
    </row>
    <row r="8" customFormat="false" ht="18" hidden="false" customHeight="true" outlineLevel="0" collapsed="false">
      <c r="A8" s="4" t="s">
        <v>1738</v>
      </c>
      <c r="B8" s="4" t="s">
        <v>1747</v>
      </c>
      <c r="C8" s="21" t="s">
        <v>1748</v>
      </c>
      <c r="D8" s="22" t="s">
        <v>1749</v>
      </c>
      <c r="E8" s="4" t="s">
        <v>1750</v>
      </c>
    </row>
    <row r="9" customFormat="false" ht="18" hidden="false" customHeight="true" outlineLevel="0" collapsed="false">
      <c r="A9" s="4" t="s">
        <v>1738</v>
      </c>
      <c r="B9" s="4" t="s">
        <v>1751</v>
      </c>
      <c r="C9" s="21" t="s">
        <v>1752</v>
      </c>
      <c r="D9" s="22" t="s">
        <v>1753</v>
      </c>
      <c r="E9" s="4" t="s">
        <v>1754</v>
      </c>
    </row>
    <row r="10" customFormat="false" ht="18" hidden="false" customHeight="true" outlineLevel="0" collapsed="false">
      <c r="A10" s="4" t="s">
        <v>1738</v>
      </c>
      <c r="B10" s="4" t="s">
        <v>1755</v>
      </c>
      <c r="C10" s="21" t="s">
        <v>1756</v>
      </c>
      <c r="D10" s="22" t="s">
        <v>1757</v>
      </c>
      <c r="E10" s="4" t="s">
        <v>1758</v>
      </c>
    </row>
    <row r="11" customFormat="false" ht="18" hidden="false" customHeight="true" outlineLevel="0" collapsed="false">
      <c r="A11" s="4" t="s">
        <v>1738</v>
      </c>
      <c r="B11" s="4" t="s">
        <v>1759</v>
      </c>
      <c r="C11" s="21" t="s">
        <v>1760</v>
      </c>
      <c r="D11" s="22" t="s">
        <v>1761</v>
      </c>
      <c r="E11" s="4" t="s">
        <v>1762</v>
      </c>
    </row>
    <row r="12" customFormat="false" ht="18" hidden="false" customHeight="true" outlineLevel="0" collapsed="false">
      <c r="A12" s="4" t="s">
        <v>1738</v>
      </c>
      <c r="B12" s="4" t="s">
        <v>1763</v>
      </c>
      <c r="C12" s="21" t="s">
        <v>1764</v>
      </c>
      <c r="D12" s="22" t="s">
        <v>1765</v>
      </c>
      <c r="E12" s="4" t="s">
        <v>1766</v>
      </c>
    </row>
    <row r="13" customFormat="false" ht="18" hidden="false" customHeight="true" outlineLevel="0" collapsed="false">
      <c r="A13" s="4" t="s">
        <v>1738</v>
      </c>
      <c r="B13" s="4" t="s">
        <v>1767</v>
      </c>
      <c r="C13" s="21" t="s">
        <v>1768</v>
      </c>
      <c r="D13" s="22" t="s">
        <v>1769</v>
      </c>
      <c r="E13" s="4" t="s">
        <v>1770</v>
      </c>
    </row>
    <row r="14" customFormat="false" ht="30" hidden="false" customHeight="true" outlineLevel="0" collapsed="false">
      <c r="A14" s="4" t="s">
        <v>1738</v>
      </c>
      <c r="B14" s="4" t="s">
        <v>1771</v>
      </c>
      <c r="C14" s="21" t="s">
        <v>1772</v>
      </c>
      <c r="D14" s="22" t="s">
        <v>1773</v>
      </c>
      <c r="E14" s="4" t="s">
        <v>1774</v>
      </c>
    </row>
    <row r="15" customFormat="false" ht="30" hidden="false" customHeight="true" outlineLevel="0" collapsed="false">
      <c r="A15" s="4" t="s">
        <v>1738</v>
      </c>
      <c r="B15" s="4" t="s">
        <v>1775</v>
      </c>
      <c r="C15" s="21" t="s">
        <v>1776</v>
      </c>
      <c r="D15" s="22" t="s">
        <v>1777</v>
      </c>
      <c r="E15" s="4" t="s">
        <v>1778</v>
      </c>
    </row>
    <row r="16" customFormat="false" ht="18" hidden="false" customHeight="true" outlineLevel="0" collapsed="false">
      <c r="A16" s="4" t="s">
        <v>1738</v>
      </c>
      <c r="B16" s="4" t="s">
        <v>1779</v>
      </c>
      <c r="C16" s="21" t="s">
        <v>1780</v>
      </c>
      <c r="D16" s="22" t="s">
        <v>1781</v>
      </c>
      <c r="E16" s="4" t="s">
        <v>1782</v>
      </c>
    </row>
    <row r="17" customFormat="false" ht="126" hidden="false" customHeight="true" outlineLevel="0" collapsed="false">
      <c r="A17" s="4" t="s">
        <v>1738</v>
      </c>
      <c r="B17" s="4" t="s">
        <v>1783</v>
      </c>
      <c r="C17" s="21" t="s">
        <v>1784</v>
      </c>
      <c r="D17" s="22" t="s">
        <v>1785</v>
      </c>
      <c r="E17" s="4" t="s">
        <v>1786</v>
      </c>
    </row>
    <row r="18" customFormat="false" ht="126" hidden="false" customHeight="true" outlineLevel="0" collapsed="false">
      <c r="A18" s="4" t="s">
        <v>1738</v>
      </c>
      <c r="B18" s="4" t="s">
        <v>1787</v>
      </c>
      <c r="C18" s="21" t="s">
        <v>1788</v>
      </c>
      <c r="D18" s="22" t="s">
        <v>1789</v>
      </c>
      <c r="E18" s="4" t="s">
        <v>1790</v>
      </c>
    </row>
    <row r="19" customFormat="false" ht="18" hidden="false" customHeight="true" outlineLevel="0" collapsed="false">
      <c r="A19" s="4" t="s">
        <v>1738</v>
      </c>
      <c r="B19" s="4" t="s">
        <v>1791</v>
      </c>
      <c r="C19" s="21" t="s">
        <v>1792</v>
      </c>
      <c r="D19" s="22" t="s">
        <v>1793</v>
      </c>
      <c r="E19" s="4" t="s">
        <v>1794</v>
      </c>
    </row>
    <row r="20" customFormat="false" ht="18" hidden="false" customHeight="true" outlineLevel="0" collapsed="false">
      <c r="A20" s="4" t="s">
        <v>1795</v>
      </c>
      <c r="B20" s="4" t="s">
        <v>1796</v>
      </c>
      <c r="C20" s="21" t="s">
        <v>1797</v>
      </c>
      <c r="D20" s="22" t="s">
        <v>1798</v>
      </c>
      <c r="E20" s="4" t="s">
        <v>1799</v>
      </c>
    </row>
    <row r="21" customFormat="false" ht="18" hidden="false" customHeight="true" outlineLevel="0" collapsed="false">
      <c r="A21" s="4" t="s">
        <v>1795</v>
      </c>
      <c r="B21" s="4" t="s">
        <v>1800</v>
      </c>
      <c r="C21" s="21" t="s">
        <v>1801</v>
      </c>
      <c r="D21" s="22" t="s">
        <v>1802</v>
      </c>
      <c r="E21" s="4" t="s">
        <v>1803</v>
      </c>
    </row>
    <row r="22" customFormat="false" ht="30" hidden="false" customHeight="true" outlineLevel="0" collapsed="false">
      <c r="A22" s="4" t="s">
        <v>1795</v>
      </c>
      <c r="B22" s="4" t="s">
        <v>1804</v>
      </c>
      <c r="C22" s="21" t="s">
        <v>1805</v>
      </c>
      <c r="D22" s="22" t="s">
        <v>1806</v>
      </c>
      <c r="E22" s="4" t="s">
        <v>1807</v>
      </c>
    </row>
    <row r="23" customFormat="false" ht="30" hidden="false" customHeight="true" outlineLevel="0" collapsed="false">
      <c r="A23" s="4" t="s">
        <v>1795</v>
      </c>
      <c r="B23" s="4" t="s">
        <v>1808</v>
      </c>
      <c r="C23" s="21" t="s">
        <v>1809</v>
      </c>
      <c r="D23" s="22" t="s">
        <v>1810</v>
      </c>
      <c r="E23" s="4" t="s">
        <v>1811</v>
      </c>
    </row>
    <row r="24" customFormat="false" ht="18" hidden="false" customHeight="true" outlineLevel="0" collapsed="false">
      <c r="A24" s="4" t="s">
        <v>1795</v>
      </c>
      <c r="B24" s="4" t="s">
        <v>1812</v>
      </c>
      <c r="C24" s="21" t="s">
        <v>1813</v>
      </c>
      <c r="D24" s="22" t="s">
        <v>1814</v>
      </c>
      <c r="E24" s="4" t="s">
        <v>1815</v>
      </c>
    </row>
    <row r="25" customFormat="false" ht="18" hidden="false" customHeight="true" outlineLevel="0" collapsed="false">
      <c r="A25" s="4" t="s">
        <v>1795</v>
      </c>
      <c r="B25" s="4" t="s">
        <v>1816</v>
      </c>
      <c r="C25" s="21" t="s">
        <v>1817</v>
      </c>
      <c r="D25" s="22" t="s">
        <v>1818</v>
      </c>
      <c r="E25" s="4" t="s">
        <v>1819</v>
      </c>
    </row>
    <row r="26" customFormat="false" ht="18" hidden="false" customHeight="true" outlineLevel="0" collapsed="false">
      <c r="A26" s="4" t="s">
        <v>1795</v>
      </c>
      <c r="B26" s="4" t="s">
        <v>1820</v>
      </c>
      <c r="C26" s="21" t="s">
        <v>1821</v>
      </c>
      <c r="D26" s="22" t="s">
        <v>1822</v>
      </c>
      <c r="E26" s="4" t="s">
        <v>1823</v>
      </c>
    </row>
    <row r="27" customFormat="false" ht="18" hidden="false" customHeight="true" outlineLevel="0" collapsed="false">
      <c r="A27" s="4" t="s">
        <v>1795</v>
      </c>
      <c r="B27" s="4" t="s">
        <v>1824</v>
      </c>
      <c r="C27" s="21" t="s">
        <v>1825</v>
      </c>
      <c r="D27" s="22" t="s">
        <v>1826</v>
      </c>
      <c r="E27" s="4" t="s">
        <v>1827</v>
      </c>
    </row>
    <row r="28" customFormat="false" ht="18" hidden="false" customHeight="true" outlineLevel="0" collapsed="false">
      <c r="A28" s="4" t="s">
        <v>1795</v>
      </c>
      <c r="B28" s="4" t="s">
        <v>1828</v>
      </c>
      <c r="C28" s="21" t="s">
        <v>1829</v>
      </c>
      <c r="D28" s="22" t="s">
        <v>1830</v>
      </c>
      <c r="E28" s="4" t="s">
        <v>1831</v>
      </c>
    </row>
    <row r="29" customFormat="false" ht="18" hidden="false" customHeight="true" outlineLevel="0" collapsed="false">
      <c r="A29" s="4" t="s">
        <v>1596</v>
      </c>
      <c r="B29" s="4" t="s">
        <v>1832</v>
      </c>
      <c r="C29" s="21" t="s">
        <v>1833</v>
      </c>
      <c r="D29" s="22" t="s">
        <v>1834</v>
      </c>
      <c r="E29" s="4" t="s">
        <v>1835</v>
      </c>
    </row>
    <row r="30" customFormat="false" ht="18" hidden="false" customHeight="true" outlineLevel="0" collapsed="false">
      <c r="A30" s="4" t="s">
        <v>1596</v>
      </c>
      <c r="B30" s="4" t="s">
        <v>1836</v>
      </c>
      <c r="C30" s="21" t="s">
        <v>1837</v>
      </c>
      <c r="D30" s="22" t="s">
        <v>1838</v>
      </c>
      <c r="E30" s="4" t="s">
        <v>1839</v>
      </c>
    </row>
    <row r="31" customFormat="false" ht="18" hidden="false" customHeight="true" outlineLevel="0" collapsed="false">
      <c r="A31" s="4" t="s">
        <v>1596</v>
      </c>
      <c r="B31" s="4" t="s">
        <v>1840</v>
      </c>
      <c r="C31" s="21" t="s">
        <v>1841</v>
      </c>
      <c r="D31" s="22" t="s">
        <v>1842</v>
      </c>
      <c r="E31" s="4" t="s">
        <v>1843</v>
      </c>
    </row>
    <row r="32" customFormat="false" ht="18" hidden="false" customHeight="true" outlineLevel="0" collapsed="false">
      <c r="A32" s="4" t="s">
        <v>1596</v>
      </c>
      <c r="B32" s="4" t="s">
        <v>1844</v>
      </c>
      <c r="C32" s="21" t="s">
        <v>1845</v>
      </c>
      <c r="D32" s="22" t="s">
        <v>1846</v>
      </c>
      <c r="E32" s="4" t="s">
        <v>1847</v>
      </c>
    </row>
    <row r="33" customFormat="false" ht="18" hidden="false" customHeight="true" outlineLevel="0" collapsed="false">
      <c r="A33" s="4" t="s">
        <v>1596</v>
      </c>
      <c r="B33" s="4" t="s">
        <v>1848</v>
      </c>
      <c r="C33" s="21" t="s">
        <v>1849</v>
      </c>
      <c r="D33" s="22" t="s">
        <v>1850</v>
      </c>
      <c r="E33" s="4" t="s">
        <v>1851</v>
      </c>
    </row>
    <row r="34" customFormat="false" ht="186" hidden="false" customHeight="true" outlineLevel="0" collapsed="false">
      <c r="A34" s="4" t="s">
        <v>1596</v>
      </c>
      <c r="B34" s="4" t="s">
        <v>1852</v>
      </c>
      <c r="C34" s="21" t="s">
        <v>1853</v>
      </c>
      <c r="D34" s="22" t="s">
        <v>1854</v>
      </c>
      <c r="E34" s="4" t="s">
        <v>1855</v>
      </c>
    </row>
    <row r="35" customFormat="false" ht="18" hidden="false" customHeight="true" outlineLevel="0" collapsed="false">
      <c r="A35" s="4" t="s">
        <v>1702</v>
      </c>
      <c r="B35" s="4" t="s">
        <v>1796</v>
      </c>
      <c r="C35" s="21" t="s">
        <v>1856</v>
      </c>
      <c r="D35" s="22" t="s">
        <v>1857</v>
      </c>
      <c r="E35" s="4" t="s">
        <v>1858</v>
      </c>
    </row>
    <row r="36" customFormat="false" ht="18" hidden="false" customHeight="true" outlineLevel="0" collapsed="false">
      <c r="A36" s="4" t="s">
        <v>1702</v>
      </c>
      <c r="B36" s="4" t="s">
        <v>1859</v>
      </c>
      <c r="C36" s="21" t="s">
        <v>1860</v>
      </c>
      <c r="D36" s="22" t="s">
        <v>1861</v>
      </c>
      <c r="E36" s="4" t="s">
        <v>1862</v>
      </c>
    </row>
    <row r="37" customFormat="false" ht="18" hidden="false" customHeight="true" outlineLevel="0" collapsed="false">
      <c r="A37" s="4" t="s">
        <v>1702</v>
      </c>
      <c r="B37" s="4" t="s">
        <v>1863</v>
      </c>
      <c r="C37" s="21" t="s">
        <v>1864</v>
      </c>
      <c r="D37" s="22" t="s">
        <v>1865</v>
      </c>
      <c r="E37" s="4" t="s">
        <v>1866</v>
      </c>
    </row>
    <row r="38" customFormat="false" ht="90" hidden="false" customHeight="true" outlineLevel="0" collapsed="false">
      <c r="A38" s="4" t="s">
        <v>1702</v>
      </c>
      <c r="B38" s="4" t="s">
        <v>1867</v>
      </c>
      <c r="C38" s="21" t="s">
        <v>1868</v>
      </c>
      <c r="D38" s="22" t="s">
        <v>1869</v>
      </c>
      <c r="E38" s="4" t="s">
        <v>1870</v>
      </c>
    </row>
    <row r="39" customFormat="false" ht="114" hidden="false" customHeight="true" outlineLevel="0" collapsed="false">
      <c r="A39" s="4" t="s">
        <v>1702</v>
      </c>
      <c r="B39" s="4" t="s">
        <v>1871</v>
      </c>
      <c r="C39" s="21" t="s">
        <v>1872</v>
      </c>
      <c r="D39" s="22" t="s">
        <v>1873</v>
      </c>
      <c r="E39" s="4" t="s">
        <v>1874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0"/>
    <col collapsed="false" customWidth="true" hidden="false" outlineLevel="0" max="4" min="4" style="0" width="20"/>
    <col collapsed="false" customWidth="true" hidden="false" outlineLevel="0" max="5" min="5" style="0" width="120"/>
  </cols>
  <sheetData>
    <row r="1" customFormat="false" ht="15" hidden="false" customHeight="false" outlineLevel="0" collapsed="false">
      <c r="A1" s="3" t="s">
        <v>1875</v>
      </c>
    </row>
    <row r="3" customFormat="false" ht="30" hidden="false" customHeight="true" outlineLevel="0" collapsed="false">
      <c r="A3" s="6" t="s">
        <v>1464</v>
      </c>
      <c r="B3" s="6" t="s">
        <v>1876</v>
      </c>
      <c r="C3" s="6" t="s">
        <v>1534</v>
      </c>
      <c r="D3" s="6" t="s">
        <v>1877</v>
      </c>
      <c r="E3" s="6" t="s">
        <v>1535</v>
      </c>
    </row>
    <row r="4" customFormat="false" ht="102" hidden="false" customHeight="true" outlineLevel="0" collapsed="false">
      <c r="A4" s="4" t="s">
        <v>1738</v>
      </c>
      <c r="B4" s="4" t="s">
        <v>1878</v>
      </c>
      <c r="C4" s="21" t="s">
        <v>1879</v>
      </c>
      <c r="D4" s="4" t="s">
        <v>1880</v>
      </c>
      <c r="E4" s="22" t="s">
        <v>1881</v>
      </c>
    </row>
    <row r="5" customFormat="false" ht="102" hidden="false" customHeight="true" outlineLevel="0" collapsed="false">
      <c r="A5" s="4" t="s">
        <v>1795</v>
      </c>
      <c r="B5" s="4" t="s">
        <v>1878</v>
      </c>
      <c r="C5" s="21" t="s">
        <v>1882</v>
      </c>
      <c r="D5" s="4" t="s">
        <v>1880</v>
      </c>
      <c r="E5" s="22" t="s">
        <v>1883</v>
      </c>
    </row>
    <row r="6" customFormat="false" ht="102" hidden="false" customHeight="true" outlineLevel="0" collapsed="false">
      <c r="A6" s="4" t="s">
        <v>1596</v>
      </c>
      <c r="B6" s="4" t="s">
        <v>1878</v>
      </c>
      <c r="C6" s="21" t="s">
        <v>1884</v>
      </c>
      <c r="D6" s="4" t="s">
        <v>1880</v>
      </c>
      <c r="E6" s="22" t="s">
        <v>1885</v>
      </c>
    </row>
    <row r="7" customFormat="false" ht="102" hidden="false" customHeight="true" outlineLevel="0" collapsed="false">
      <c r="A7" s="4" t="s">
        <v>1702</v>
      </c>
      <c r="B7" s="4" t="s">
        <v>1878</v>
      </c>
      <c r="C7" s="21" t="s">
        <v>1886</v>
      </c>
      <c r="D7" s="4" t="s">
        <v>1880</v>
      </c>
      <c r="E7" s="22" t="s">
        <v>1887</v>
      </c>
    </row>
    <row r="8" customFormat="false" ht="18" hidden="false" customHeight="true" outlineLevel="0" collapsed="false">
      <c r="A8" s="4" t="s">
        <v>1729</v>
      </c>
      <c r="B8" s="4" t="s">
        <v>1734</v>
      </c>
      <c r="C8" s="21" t="s">
        <v>1888</v>
      </c>
      <c r="D8" s="4" t="s">
        <v>1889</v>
      </c>
      <c r="E8" s="22" t="s">
        <v>1890</v>
      </c>
    </row>
    <row r="9" customFormat="false" ht="54" hidden="false" customHeight="true" outlineLevel="0" collapsed="false">
      <c r="A9" s="4" t="s">
        <v>1738</v>
      </c>
      <c r="B9" s="4" t="s">
        <v>1891</v>
      </c>
      <c r="C9" s="21" t="s">
        <v>1892</v>
      </c>
      <c r="D9" s="4" t="s">
        <v>1893</v>
      </c>
      <c r="E9" s="22" t="s">
        <v>1894</v>
      </c>
    </row>
    <row r="10" customFormat="false" ht="54" hidden="false" customHeight="true" outlineLevel="0" collapsed="false">
      <c r="A10" s="4" t="s">
        <v>1738</v>
      </c>
      <c r="B10" s="4" t="s">
        <v>1891</v>
      </c>
      <c r="C10" s="21" t="s">
        <v>1895</v>
      </c>
      <c r="D10" s="4" t="s">
        <v>1893</v>
      </c>
      <c r="E10" s="22" t="s">
        <v>1896</v>
      </c>
    </row>
    <row r="11" customFormat="false" ht="54" hidden="false" customHeight="true" outlineLevel="0" collapsed="false">
      <c r="A11" s="4" t="s">
        <v>1738</v>
      </c>
      <c r="B11" s="4" t="s">
        <v>1891</v>
      </c>
      <c r="C11" s="21" t="s">
        <v>1897</v>
      </c>
      <c r="D11" s="4" t="s">
        <v>1893</v>
      </c>
      <c r="E11" s="22" t="s">
        <v>1898</v>
      </c>
    </row>
    <row r="12" customFormat="false" ht="54" hidden="false" customHeight="true" outlineLevel="0" collapsed="false">
      <c r="A12" s="4" t="s">
        <v>1738</v>
      </c>
      <c r="B12" s="4" t="s">
        <v>1891</v>
      </c>
      <c r="C12" s="21" t="s">
        <v>1899</v>
      </c>
      <c r="D12" s="4" t="s">
        <v>1893</v>
      </c>
      <c r="E12" s="22" t="s">
        <v>1900</v>
      </c>
    </row>
    <row r="13" customFormat="false" ht="54" hidden="false" customHeight="true" outlineLevel="0" collapsed="false">
      <c r="A13" s="4" t="s">
        <v>1738</v>
      </c>
      <c r="B13" s="4" t="s">
        <v>1891</v>
      </c>
      <c r="C13" s="21" t="s">
        <v>1901</v>
      </c>
      <c r="D13" s="4" t="s">
        <v>1893</v>
      </c>
      <c r="E13" s="22" t="s">
        <v>1902</v>
      </c>
    </row>
    <row r="14" customFormat="false" ht="54" hidden="false" customHeight="true" outlineLevel="0" collapsed="false">
      <c r="A14" s="4" t="s">
        <v>1596</v>
      </c>
      <c r="B14" s="4" t="s">
        <v>1891</v>
      </c>
      <c r="C14" s="21" t="s">
        <v>1903</v>
      </c>
      <c r="D14" s="4" t="s">
        <v>1893</v>
      </c>
      <c r="E14" s="22" t="s">
        <v>1904</v>
      </c>
    </row>
    <row r="15" customFormat="false" ht="54" hidden="false" customHeight="true" outlineLevel="0" collapsed="false">
      <c r="A15" s="4" t="s">
        <v>1596</v>
      </c>
      <c r="B15" s="4" t="s">
        <v>1891</v>
      </c>
      <c r="C15" s="21" t="s">
        <v>1905</v>
      </c>
      <c r="D15" s="4" t="s">
        <v>1893</v>
      </c>
      <c r="E15" s="22" t="s">
        <v>1906</v>
      </c>
    </row>
    <row r="16" customFormat="false" ht="54" hidden="false" customHeight="true" outlineLevel="0" collapsed="false">
      <c r="A16" s="4" t="s">
        <v>1596</v>
      </c>
      <c r="B16" s="4" t="s">
        <v>1891</v>
      </c>
      <c r="C16" s="21" t="s">
        <v>1907</v>
      </c>
      <c r="D16" s="4" t="s">
        <v>1893</v>
      </c>
      <c r="E16" s="22" t="s">
        <v>1908</v>
      </c>
    </row>
    <row r="17" customFormat="false" ht="54" hidden="false" customHeight="true" outlineLevel="0" collapsed="false">
      <c r="A17" s="4" t="s">
        <v>1596</v>
      </c>
      <c r="B17" s="4" t="s">
        <v>1891</v>
      </c>
      <c r="C17" s="21" t="s">
        <v>1909</v>
      </c>
      <c r="D17" s="4" t="s">
        <v>1893</v>
      </c>
      <c r="E17" s="22" t="s">
        <v>1910</v>
      </c>
    </row>
    <row r="18" customFormat="false" ht="54" hidden="false" customHeight="true" outlineLevel="0" collapsed="false">
      <c r="A18" s="4" t="s">
        <v>1596</v>
      </c>
      <c r="B18" s="4" t="s">
        <v>1891</v>
      </c>
      <c r="C18" s="21" t="s">
        <v>1911</v>
      </c>
      <c r="D18" s="4" t="s">
        <v>1893</v>
      </c>
      <c r="E18" s="22" t="s">
        <v>1912</v>
      </c>
    </row>
    <row r="19" customFormat="false" ht="408.75" hidden="false" customHeight="true" outlineLevel="0" collapsed="false">
      <c r="A19" s="4" t="s">
        <v>1738</v>
      </c>
      <c r="B19" s="4" t="s">
        <v>1913</v>
      </c>
      <c r="C19" s="21" t="s">
        <v>1914</v>
      </c>
      <c r="D19" s="4" t="s">
        <v>1915</v>
      </c>
      <c r="E19" s="22" t="s">
        <v>1916</v>
      </c>
    </row>
    <row r="20" customFormat="false" ht="408.75" hidden="false" customHeight="true" outlineLevel="0" collapsed="false">
      <c r="A20" s="4" t="s">
        <v>1738</v>
      </c>
      <c r="B20" s="4" t="s">
        <v>1917</v>
      </c>
      <c r="C20" s="21" t="s">
        <v>1918</v>
      </c>
      <c r="D20" s="4" t="s">
        <v>1919</v>
      </c>
      <c r="E20" s="22" t="s">
        <v>1920</v>
      </c>
    </row>
    <row r="21" customFormat="false" ht="162" hidden="false" customHeight="true" outlineLevel="0" collapsed="false">
      <c r="A21" s="4" t="s">
        <v>1738</v>
      </c>
      <c r="B21" s="4" t="s">
        <v>1921</v>
      </c>
      <c r="C21" s="21" t="s">
        <v>1922</v>
      </c>
      <c r="D21" s="4" t="s">
        <v>1923</v>
      </c>
      <c r="E21" s="22" t="s">
        <v>1924</v>
      </c>
    </row>
    <row r="22" customFormat="false" ht="408.75" hidden="false" customHeight="true" outlineLevel="0" collapsed="false">
      <c r="A22" s="4" t="s">
        <v>1795</v>
      </c>
      <c r="B22" s="4" t="s">
        <v>1925</v>
      </c>
      <c r="C22" s="21" t="s">
        <v>1926</v>
      </c>
      <c r="D22" s="4" t="s">
        <v>1927</v>
      </c>
      <c r="E22" s="22" t="s">
        <v>1928</v>
      </c>
    </row>
    <row r="23" customFormat="false" ht="102" hidden="false" customHeight="true" outlineLevel="0" collapsed="false">
      <c r="A23" s="4" t="s">
        <v>1795</v>
      </c>
      <c r="B23" s="4" t="s">
        <v>1929</v>
      </c>
      <c r="C23" s="21" t="s">
        <v>1930</v>
      </c>
      <c r="D23" s="4" t="s">
        <v>1931</v>
      </c>
      <c r="E23" s="22" t="s">
        <v>1932</v>
      </c>
    </row>
    <row r="24" customFormat="false" ht="90" hidden="false" customHeight="true" outlineLevel="0" collapsed="false">
      <c r="A24" s="4" t="s">
        <v>1795</v>
      </c>
      <c r="B24" s="4" t="s">
        <v>1933</v>
      </c>
      <c r="C24" s="21" t="s">
        <v>1934</v>
      </c>
      <c r="D24" s="4" t="s">
        <v>1935</v>
      </c>
      <c r="E24" s="22" t="s">
        <v>1936</v>
      </c>
    </row>
    <row r="25" customFormat="false" ht="78" hidden="false" customHeight="true" outlineLevel="0" collapsed="false">
      <c r="A25" s="4" t="s">
        <v>1795</v>
      </c>
      <c r="B25" s="4" t="s">
        <v>1937</v>
      </c>
      <c r="C25" s="21" t="s">
        <v>1938</v>
      </c>
      <c r="D25" s="4" t="s">
        <v>1939</v>
      </c>
      <c r="E25" s="22" t="s">
        <v>1940</v>
      </c>
    </row>
    <row r="26" customFormat="false" ht="258" hidden="false" customHeight="true" outlineLevel="0" collapsed="false">
      <c r="A26" s="4" t="s">
        <v>1596</v>
      </c>
      <c r="B26" s="4" t="s">
        <v>1941</v>
      </c>
      <c r="C26" s="21" t="s">
        <v>1942</v>
      </c>
      <c r="D26" s="4" t="s">
        <v>1943</v>
      </c>
      <c r="E26" s="22" t="s">
        <v>1944</v>
      </c>
    </row>
    <row r="27" customFormat="false" ht="330" hidden="false" customHeight="true" outlineLevel="0" collapsed="false">
      <c r="A27" s="4" t="s">
        <v>1596</v>
      </c>
      <c r="B27" s="4" t="s">
        <v>1945</v>
      </c>
      <c r="C27" s="21" t="s">
        <v>1946</v>
      </c>
      <c r="D27" s="4" t="s">
        <v>1947</v>
      </c>
      <c r="E27" s="22" t="s">
        <v>1948</v>
      </c>
    </row>
    <row r="28" customFormat="false" ht="246" hidden="false" customHeight="true" outlineLevel="0" collapsed="false">
      <c r="A28" s="4" t="s">
        <v>1702</v>
      </c>
      <c r="B28" s="4" t="s">
        <v>1949</v>
      </c>
      <c r="C28" s="21" t="s">
        <v>1950</v>
      </c>
      <c r="D28" s="4" t="s">
        <v>1951</v>
      </c>
      <c r="E28" s="22" t="s">
        <v>1952</v>
      </c>
    </row>
    <row r="29" customFormat="false" ht="246" hidden="false" customHeight="true" outlineLevel="0" collapsed="false">
      <c r="A29" s="4" t="s">
        <v>1702</v>
      </c>
      <c r="B29" s="4" t="s">
        <v>1953</v>
      </c>
      <c r="C29" s="21" t="s">
        <v>1954</v>
      </c>
      <c r="D29" s="4" t="s">
        <v>1951</v>
      </c>
      <c r="E29" s="22" t="s">
        <v>1955</v>
      </c>
    </row>
    <row r="30" customFormat="false" ht="18" hidden="false" customHeight="true" outlineLevel="0" collapsed="false">
      <c r="A30" s="4" t="s">
        <v>1702</v>
      </c>
      <c r="B30" s="4" t="s">
        <v>1867</v>
      </c>
      <c r="C30" s="21" t="s">
        <v>1956</v>
      </c>
      <c r="D30" s="4" t="s">
        <v>1957</v>
      </c>
      <c r="E30" s="22" t="s">
        <v>1958</v>
      </c>
    </row>
    <row r="31" customFormat="false" ht="18" hidden="false" customHeight="true" outlineLevel="0" collapsed="false">
      <c r="A31" s="4" t="s">
        <v>1702</v>
      </c>
      <c r="B31" s="4" t="s">
        <v>1871</v>
      </c>
      <c r="C31" s="21" t="s">
        <v>1959</v>
      </c>
      <c r="D31" s="4" t="s">
        <v>1960</v>
      </c>
      <c r="E31" s="22" t="s">
        <v>1961</v>
      </c>
    </row>
    <row r="32" customFormat="false" ht="66" hidden="false" customHeight="true" outlineLevel="0" collapsed="false">
      <c r="A32" s="4" t="s">
        <v>1702</v>
      </c>
      <c r="B32" s="4" t="s">
        <v>1962</v>
      </c>
      <c r="C32" s="21" t="s">
        <v>1963</v>
      </c>
      <c r="D32" s="4" t="s">
        <v>1964</v>
      </c>
      <c r="E32" s="22" t="s">
        <v>1965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0"/>
    <col collapsed="false" customWidth="true" hidden="false" outlineLevel="0" max="4" min="4" style="0" width="10"/>
    <col collapsed="false" customWidth="true" hidden="false" outlineLevel="0" max="5" min="5" style="0" width="14"/>
  </cols>
  <sheetData>
    <row r="1" customFormat="false" ht="15" hidden="false" customHeight="false" outlineLevel="0" collapsed="false">
      <c r="A1" s="3" t="s">
        <v>1966</v>
      </c>
    </row>
    <row r="3" customFormat="false" ht="30" hidden="false" customHeight="true" outlineLevel="0" collapsed="false">
      <c r="A3" s="6" t="s">
        <v>1967</v>
      </c>
      <c r="B3" s="6" t="s">
        <v>1968</v>
      </c>
      <c r="C3" s="6" t="s">
        <v>1535</v>
      </c>
      <c r="D3" s="6" t="s">
        <v>1969</v>
      </c>
      <c r="E3" s="6" t="s">
        <v>1970</v>
      </c>
    </row>
    <row r="4" customFormat="false" ht="18" hidden="false" customHeight="true" outlineLevel="0" collapsed="false">
      <c r="A4" s="4" t="s">
        <v>5</v>
      </c>
      <c r="B4" s="4" t="s">
        <v>53</v>
      </c>
      <c r="C4" s="22" t="s">
        <v>1971</v>
      </c>
      <c r="D4" s="4" t="s">
        <v>1972</v>
      </c>
      <c r="E4" s="4" t="s">
        <v>1526</v>
      </c>
    </row>
    <row r="5" customFormat="false" ht="54" hidden="false" customHeight="true" outlineLevel="0" collapsed="false">
      <c r="A5" s="4" t="s">
        <v>5</v>
      </c>
      <c r="B5" s="4" t="s">
        <v>67</v>
      </c>
      <c r="C5" s="22" t="s">
        <v>1973</v>
      </c>
      <c r="D5" s="4" t="s">
        <v>1972</v>
      </c>
      <c r="E5" s="4" t="s">
        <v>1974</v>
      </c>
    </row>
    <row r="6" customFormat="false" ht="18" hidden="false" customHeight="true" outlineLevel="0" collapsed="false">
      <c r="A6" s="4" t="s">
        <v>5</v>
      </c>
      <c r="B6" s="4" t="s">
        <v>39</v>
      </c>
      <c r="C6" s="22" t="s">
        <v>1975</v>
      </c>
      <c r="D6" s="4" t="s">
        <v>1976</v>
      </c>
      <c r="E6" s="4" t="s">
        <v>1977</v>
      </c>
    </row>
    <row r="7" customFormat="false" ht="18" hidden="false" customHeight="true" outlineLevel="0" collapsed="false">
      <c r="A7" s="4" t="s">
        <v>5</v>
      </c>
      <c r="B7" s="4" t="s">
        <v>37</v>
      </c>
      <c r="C7" s="22" t="s">
        <v>1978</v>
      </c>
      <c r="D7" s="4" t="s">
        <v>1972</v>
      </c>
      <c r="E7" s="4" t="s">
        <v>1979</v>
      </c>
    </row>
    <row r="8" customFormat="false" ht="18" hidden="false" customHeight="true" outlineLevel="0" collapsed="false">
      <c r="A8" s="4" t="s">
        <v>5</v>
      </c>
      <c r="B8" s="4" t="s">
        <v>68</v>
      </c>
      <c r="C8" s="22" t="s">
        <v>1980</v>
      </c>
      <c r="D8" s="4" t="s">
        <v>1972</v>
      </c>
      <c r="E8" s="4" t="s">
        <v>1981</v>
      </c>
    </row>
    <row r="9" customFormat="false" ht="18" hidden="false" customHeight="true" outlineLevel="0" collapsed="false">
      <c r="A9" s="4" t="s">
        <v>5</v>
      </c>
      <c r="B9" s="4" t="s">
        <v>69</v>
      </c>
      <c r="C9" s="22" t="s">
        <v>1982</v>
      </c>
      <c r="D9" s="4" t="s">
        <v>1976</v>
      </c>
      <c r="E9" s="4" t="s">
        <v>1983</v>
      </c>
    </row>
    <row r="10" customFormat="false" ht="18" hidden="false" customHeight="true" outlineLevel="0" collapsed="false">
      <c r="A10" s="4" t="s">
        <v>5</v>
      </c>
      <c r="B10" s="4" t="s">
        <v>70</v>
      </c>
      <c r="C10" s="22" t="s">
        <v>1984</v>
      </c>
      <c r="D10" s="4" t="s">
        <v>1972</v>
      </c>
      <c r="E10" s="4" t="s">
        <v>1985</v>
      </c>
    </row>
    <row r="11" customFormat="false" ht="18" hidden="false" customHeight="true" outlineLevel="0" collapsed="false">
      <c r="A11" s="4" t="s">
        <v>5</v>
      </c>
      <c r="B11" s="4" t="s">
        <v>71</v>
      </c>
      <c r="C11" s="22" t="s">
        <v>1986</v>
      </c>
      <c r="D11" s="4" t="s">
        <v>1972</v>
      </c>
      <c r="E11" s="4" t="s">
        <v>1987</v>
      </c>
    </row>
    <row r="12" customFormat="false" ht="18" hidden="false" customHeight="true" outlineLevel="0" collapsed="false">
      <c r="A12" s="4" t="s">
        <v>5</v>
      </c>
      <c r="B12" s="4" t="s">
        <v>72</v>
      </c>
      <c r="C12" s="22" t="s">
        <v>1988</v>
      </c>
      <c r="D12" s="4" t="s">
        <v>1976</v>
      </c>
      <c r="E12" s="4" t="s">
        <v>1989</v>
      </c>
    </row>
    <row r="13" customFormat="false" ht="18" hidden="false" customHeight="true" outlineLevel="0" collapsed="false">
      <c r="A13" s="4" t="s">
        <v>5</v>
      </c>
      <c r="B13" s="4" t="s">
        <v>73</v>
      </c>
      <c r="C13" s="22" t="s">
        <v>1990</v>
      </c>
      <c r="D13" s="4" t="s">
        <v>1976</v>
      </c>
      <c r="E13" s="4" t="s">
        <v>1991</v>
      </c>
    </row>
    <row r="14" customFormat="false" ht="18" hidden="false" customHeight="true" outlineLevel="0" collapsed="false">
      <c r="A14" s="4" t="s">
        <v>5</v>
      </c>
      <c r="B14" s="4" t="s">
        <v>74</v>
      </c>
      <c r="C14" s="22" t="s">
        <v>1992</v>
      </c>
      <c r="D14" s="4" t="s">
        <v>1972</v>
      </c>
      <c r="E14" s="4" t="s">
        <v>1993</v>
      </c>
    </row>
    <row r="15" customFormat="false" ht="18" hidden="false" customHeight="true" outlineLevel="0" collapsed="false">
      <c r="A15" s="4" t="s">
        <v>5</v>
      </c>
      <c r="B15" s="4" t="s">
        <v>75</v>
      </c>
      <c r="C15" s="22" t="s">
        <v>1994</v>
      </c>
      <c r="D15" s="4" t="s">
        <v>1995</v>
      </c>
      <c r="E15" s="4" t="s">
        <v>1996</v>
      </c>
    </row>
    <row r="16" customFormat="false" ht="18" hidden="false" customHeight="true" outlineLevel="0" collapsed="false">
      <c r="A16" s="4" t="s">
        <v>5</v>
      </c>
      <c r="B16" s="4" t="s">
        <v>76</v>
      </c>
      <c r="C16" s="22" t="s">
        <v>1997</v>
      </c>
      <c r="D16" s="4" t="s">
        <v>1972</v>
      </c>
      <c r="E16" s="4" t="s">
        <v>1998</v>
      </c>
    </row>
    <row r="17" customFormat="false" ht="18" hidden="false" customHeight="true" outlineLevel="0" collapsed="false">
      <c r="A17" s="4" t="s">
        <v>5</v>
      </c>
      <c r="B17" s="4" t="s">
        <v>77</v>
      </c>
      <c r="C17" s="22" t="s">
        <v>1999</v>
      </c>
      <c r="D17" s="4" t="s">
        <v>1972</v>
      </c>
      <c r="E17" s="4" t="s">
        <v>2000</v>
      </c>
    </row>
    <row r="18" customFormat="false" ht="90" hidden="false" customHeight="true" outlineLevel="0" collapsed="false">
      <c r="A18" s="4" t="s">
        <v>2001</v>
      </c>
      <c r="B18" s="4" t="s">
        <v>2002</v>
      </c>
      <c r="C18" s="22" t="s">
        <v>2003</v>
      </c>
      <c r="D18" s="4" t="s">
        <v>1967</v>
      </c>
      <c r="E18" s="4" t="s">
        <v>2001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110"/>
    <col collapsed="false" customWidth="true" hidden="false" outlineLevel="0" max="4" min="4" style="0" width="18"/>
  </cols>
  <sheetData>
    <row r="1" customFormat="false" ht="30" hidden="false" customHeight="true" outlineLevel="0" collapsed="false">
      <c r="A1" s="6" t="s">
        <v>1464</v>
      </c>
      <c r="B1" s="6" t="s">
        <v>2004</v>
      </c>
      <c r="C1" s="6" t="s">
        <v>2005</v>
      </c>
      <c r="D1" s="6" t="s">
        <v>2006</v>
      </c>
    </row>
    <row r="2" customFormat="false" ht="15" hidden="false" customHeight="false" outlineLevel="0" collapsed="false">
      <c r="A2" s="4" t="s">
        <v>1729</v>
      </c>
      <c r="B2" s="4" t="s">
        <v>2007</v>
      </c>
      <c r="C2" s="4" t="s">
        <v>2008</v>
      </c>
      <c r="D2" s="4" t="s">
        <v>2009</v>
      </c>
    </row>
    <row r="3" customFormat="false" ht="15" hidden="false" customHeight="false" outlineLevel="0" collapsed="false">
      <c r="A3" s="4" t="s">
        <v>1729</v>
      </c>
      <c r="B3" s="4" t="s">
        <v>1734</v>
      </c>
      <c r="C3" s="4" t="s">
        <v>1888</v>
      </c>
      <c r="D3" s="4" t="s">
        <v>2010</v>
      </c>
    </row>
    <row r="4" customFormat="false" ht="15" hidden="false" customHeight="false" outlineLevel="0" collapsed="false">
      <c r="A4" s="4" t="s">
        <v>1738</v>
      </c>
      <c r="B4" s="4" t="s">
        <v>2011</v>
      </c>
      <c r="C4" s="4" t="s">
        <v>2012</v>
      </c>
      <c r="D4" s="4" t="s">
        <v>2013</v>
      </c>
    </row>
    <row r="5" customFormat="false" ht="15" hidden="false" customHeight="false" outlineLevel="0" collapsed="false">
      <c r="A5" s="4" t="s">
        <v>1738</v>
      </c>
      <c r="B5" s="4" t="s">
        <v>2014</v>
      </c>
      <c r="C5" s="4" t="s">
        <v>1914</v>
      </c>
      <c r="D5" s="4" t="s">
        <v>2015</v>
      </c>
    </row>
    <row r="6" customFormat="false" ht="23.85" hidden="false" customHeight="false" outlineLevel="0" collapsed="false">
      <c r="A6" s="4" t="s">
        <v>1738</v>
      </c>
      <c r="B6" s="4" t="s">
        <v>2016</v>
      </c>
      <c r="C6" s="4" t="s">
        <v>2017</v>
      </c>
      <c r="D6" s="4" t="s">
        <v>2018</v>
      </c>
    </row>
    <row r="7" customFormat="false" ht="15" hidden="false" customHeight="false" outlineLevel="0" collapsed="false">
      <c r="A7" s="4" t="s">
        <v>1738</v>
      </c>
      <c r="B7" s="4" t="s">
        <v>2019</v>
      </c>
      <c r="C7" s="4" t="s">
        <v>1922</v>
      </c>
      <c r="D7" s="4" t="s">
        <v>2020</v>
      </c>
    </row>
    <row r="8" customFormat="false" ht="15" hidden="false" customHeight="false" outlineLevel="0" collapsed="false">
      <c r="A8" s="4" t="s">
        <v>1795</v>
      </c>
      <c r="B8" s="4" t="s">
        <v>2021</v>
      </c>
      <c r="C8" s="4" t="s">
        <v>2022</v>
      </c>
      <c r="D8" s="4" t="s">
        <v>2023</v>
      </c>
    </row>
    <row r="9" customFormat="false" ht="15" hidden="false" customHeight="false" outlineLevel="0" collapsed="false">
      <c r="A9" s="4" t="s">
        <v>1795</v>
      </c>
      <c r="B9" s="4" t="s">
        <v>2024</v>
      </c>
      <c r="C9" s="4" t="s">
        <v>1930</v>
      </c>
      <c r="D9" s="4" t="s">
        <v>2025</v>
      </c>
    </row>
    <row r="10" customFormat="false" ht="15" hidden="false" customHeight="false" outlineLevel="0" collapsed="false">
      <c r="A10" s="4" t="s">
        <v>1795</v>
      </c>
      <c r="B10" s="4" t="s">
        <v>2026</v>
      </c>
      <c r="C10" s="4" t="s">
        <v>1934</v>
      </c>
      <c r="D10" s="4" t="s">
        <v>2027</v>
      </c>
    </row>
    <row r="11" customFormat="false" ht="15" hidden="false" customHeight="false" outlineLevel="0" collapsed="false">
      <c r="A11" s="4" t="s">
        <v>1795</v>
      </c>
      <c r="B11" s="4" t="s">
        <v>2028</v>
      </c>
      <c r="C11" s="4" t="s">
        <v>1938</v>
      </c>
      <c r="D11" s="4" t="s">
        <v>2029</v>
      </c>
    </row>
    <row r="12" customFormat="false" ht="15" hidden="false" customHeight="false" outlineLevel="0" collapsed="false">
      <c r="A12" s="4" t="s">
        <v>1596</v>
      </c>
      <c r="B12" s="4" t="s">
        <v>2011</v>
      </c>
      <c r="C12" s="4" t="s">
        <v>2030</v>
      </c>
      <c r="D12" s="4" t="s">
        <v>2013</v>
      </c>
    </row>
    <row r="13" customFormat="false" ht="23.85" hidden="false" customHeight="false" outlineLevel="0" collapsed="false">
      <c r="A13" s="4" t="s">
        <v>1596</v>
      </c>
      <c r="B13" s="4" t="s">
        <v>2031</v>
      </c>
      <c r="C13" s="4" t="s">
        <v>2032</v>
      </c>
      <c r="D13" s="4" t="s">
        <v>2033</v>
      </c>
    </row>
    <row r="14" customFormat="false" ht="15" hidden="false" customHeight="false" outlineLevel="0" collapsed="false">
      <c r="A14" s="4" t="s">
        <v>1596</v>
      </c>
      <c r="B14" s="4" t="s">
        <v>2034</v>
      </c>
      <c r="C14" s="4" t="s">
        <v>1946</v>
      </c>
      <c r="D14" s="4" t="s">
        <v>2035</v>
      </c>
    </row>
    <row r="15" customFormat="false" ht="15" hidden="false" customHeight="false" outlineLevel="0" collapsed="false">
      <c r="A15" s="4" t="s">
        <v>1702</v>
      </c>
      <c r="B15" s="4" t="s">
        <v>2036</v>
      </c>
      <c r="C15" s="4" t="s">
        <v>1950</v>
      </c>
      <c r="D15" s="4" t="s">
        <v>2037</v>
      </c>
    </row>
    <row r="16" customFormat="false" ht="15" hidden="false" customHeight="false" outlineLevel="0" collapsed="false">
      <c r="A16" s="4" t="s">
        <v>1702</v>
      </c>
      <c r="B16" s="4" t="s">
        <v>2038</v>
      </c>
      <c r="C16" s="4" t="s">
        <v>1954</v>
      </c>
      <c r="D16" s="4" t="s">
        <v>2037</v>
      </c>
    </row>
    <row r="17" customFormat="false" ht="15" hidden="false" customHeight="false" outlineLevel="0" collapsed="false">
      <c r="A17" s="4" t="s">
        <v>1702</v>
      </c>
      <c r="B17" s="4" t="s">
        <v>2039</v>
      </c>
      <c r="C17" s="4" t="s">
        <v>2040</v>
      </c>
      <c r="D17" s="4" t="s">
        <v>2041</v>
      </c>
    </row>
    <row r="19" customFormat="false" ht="15" hidden="false" customHeight="false" outlineLevel="0" collapsed="false">
      <c r="A19" s="12" t="s">
        <v>2042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3" t="s">
        <v>2043</v>
      </c>
    </row>
    <row r="3" customFormat="false" ht="15" hidden="false" customHeight="false" outlineLevel="0" collapsed="false">
      <c r="A3" s="23" t="s">
        <v>2044</v>
      </c>
    </row>
    <row r="4" customFormat="false" ht="15" hidden="false" customHeight="false" outlineLevel="0" collapsed="false">
      <c r="A4" s="23" t="s">
        <v>2045</v>
      </c>
    </row>
    <row r="5" customFormat="false" ht="15" hidden="false" customHeight="false" outlineLevel="0" collapsed="false">
      <c r="A5" s="23" t="s">
        <v>2046</v>
      </c>
    </row>
    <row r="6" customFormat="false" ht="15" hidden="false" customHeight="false" outlineLevel="0" collapsed="false">
      <c r="A6" s="23" t="s">
        <v>2047</v>
      </c>
    </row>
    <row r="7" customFormat="false" ht="15" hidden="false" customHeight="false" outlineLevel="0" collapsed="false">
      <c r="A7" s="23" t="s">
        <v>2048</v>
      </c>
    </row>
    <row r="8" customFormat="false" ht="15" hidden="false" customHeight="false" outlineLevel="0" collapsed="false">
      <c r="A8" s="23" t="s">
        <v>2049</v>
      </c>
    </row>
    <row r="9" customFormat="false" ht="15" hidden="false" customHeight="false" outlineLevel="0" collapsed="false">
      <c r="A9" s="23" t="s">
        <v>2050</v>
      </c>
    </row>
    <row r="10" customFormat="false" ht="15" hidden="false" customHeight="false" outlineLevel="0" collapsed="false">
      <c r="A10" s="23" t="s">
        <v>2051</v>
      </c>
    </row>
    <row r="11" customFormat="false" ht="15" hidden="false" customHeight="false" outlineLevel="0" collapsed="false">
      <c r="A11" s="23" t="s">
        <v>2052</v>
      </c>
    </row>
    <row r="12" customFormat="false" ht="15" hidden="false" customHeight="false" outlineLevel="0" collapsed="false">
      <c r="A12" s="23" t="s">
        <v>2053</v>
      </c>
    </row>
    <row r="13" customFormat="false" ht="15" hidden="false" customHeight="false" outlineLevel="0" collapsed="false">
      <c r="A13" s="23" t="s">
        <v>2054</v>
      </c>
    </row>
    <row r="14" customFormat="false" ht="15" hidden="false" customHeight="false" outlineLevel="0" collapsed="false">
      <c r="A14" s="23" t="s">
        <v>2055</v>
      </c>
    </row>
    <row r="15" customFormat="false" ht="15" hidden="false" customHeight="false" outlineLevel="0" collapsed="false">
      <c r="A15" s="23" t="s">
        <v>2056</v>
      </c>
    </row>
    <row r="16" customFormat="false" ht="15" hidden="false" customHeight="false" outlineLevel="0" collapsed="false">
      <c r="A16" s="23" t="s">
        <v>2057</v>
      </c>
    </row>
    <row r="17" customFormat="false" ht="15" hidden="false" customHeight="false" outlineLevel="0" collapsed="false">
      <c r="A17" s="23" t="s">
        <v>2058</v>
      </c>
    </row>
    <row r="20" customFormat="false" ht="23.85" hidden="false" customHeight="false" outlineLevel="0" collapsed="false">
      <c r="A20" s="4" t="s">
        <v>2059</v>
      </c>
    </row>
    <row r="21" customFormat="false" ht="15" hidden="false" customHeight="false" outlineLevel="0" collapsed="false">
      <c r="A21" s="4" t="s">
        <v>2060</v>
      </c>
    </row>
    <row r="22" customFormat="false" ht="15" hidden="false" customHeight="false" outlineLevel="0" collapsed="false">
      <c r="A22" s="4" t="s">
        <v>2061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3" t="s">
        <v>2062</v>
      </c>
    </row>
    <row r="3" customFormat="false" ht="15" hidden="false" customHeight="false" outlineLevel="0" collapsed="false">
      <c r="A3" s="23" t="s">
        <v>2063</v>
      </c>
    </row>
    <row r="4" customFormat="false" ht="15" hidden="false" customHeight="false" outlineLevel="0" collapsed="false">
      <c r="A4" s="23" t="s">
        <v>2064</v>
      </c>
    </row>
    <row r="5" customFormat="false" ht="15" hidden="false" customHeight="false" outlineLevel="0" collapsed="false">
      <c r="A5" s="23" t="s">
        <v>2065</v>
      </c>
    </row>
    <row r="6" customFormat="false" ht="15" hidden="false" customHeight="false" outlineLevel="0" collapsed="false">
      <c r="A6" s="23" t="s">
        <v>2066</v>
      </c>
    </row>
    <row r="7" customFormat="false" ht="15" hidden="false" customHeight="false" outlineLevel="0" collapsed="false">
      <c r="A7" s="23" t="s">
        <v>2067</v>
      </c>
    </row>
    <row r="8" customFormat="false" ht="15" hidden="false" customHeight="false" outlineLevel="0" collapsed="false">
      <c r="A8" s="23" t="s">
        <v>2068</v>
      </c>
    </row>
    <row r="9" customFormat="false" ht="15" hidden="false" customHeight="false" outlineLevel="0" collapsed="false">
      <c r="A9" s="23" t="s">
        <v>2069</v>
      </c>
    </row>
    <row r="10" customFormat="false" ht="15" hidden="false" customHeight="false" outlineLevel="0" collapsed="false">
      <c r="A10" s="23" t="s">
        <v>2070</v>
      </c>
    </row>
    <row r="11" customFormat="false" ht="15" hidden="false" customHeight="false" outlineLevel="0" collapsed="false">
      <c r="A11" s="23" t="s">
        <v>2071</v>
      </c>
    </row>
    <row r="12" customFormat="false" ht="15" hidden="false" customHeight="false" outlineLevel="0" collapsed="false">
      <c r="A12" s="23" t="s">
        <v>2072</v>
      </c>
    </row>
    <row r="13" customFormat="false" ht="15" hidden="false" customHeight="false" outlineLevel="0" collapsed="false">
      <c r="A13" s="23" t="s">
        <v>2073</v>
      </c>
    </row>
    <row r="14" customFormat="false" ht="15" hidden="false" customHeight="false" outlineLevel="0" collapsed="false">
      <c r="A14" s="23" t="s">
        <v>2074</v>
      </c>
    </row>
    <row r="15" customFormat="false" ht="15" hidden="false" customHeight="false" outlineLevel="0" collapsed="false">
      <c r="A15" s="23" t="s">
        <v>2075</v>
      </c>
    </row>
    <row r="16" customFormat="false" ht="15" hidden="false" customHeight="false" outlineLevel="0" collapsed="false">
      <c r="A16" s="23" t="s">
        <v>2076</v>
      </c>
    </row>
    <row r="17" customFormat="false" ht="15" hidden="false" customHeight="false" outlineLevel="0" collapsed="false">
      <c r="A17" s="23" t="s">
        <v>2077</v>
      </c>
    </row>
    <row r="18" customFormat="false" ht="15" hidden="false" customHeight="false" outlineLevel="0" collapsed="false">
      <c r="A18" s="23" t="s">
        <v>2078</v>
      </c>
    </row>
    <row r="19" customFormat="false" ht="15" hidden="false" customHeight="false" outlineLevel="0" collapsed="false">
      <c r="A19" s="23" t="s">
        <v>2079</v>
      </c>
    </row>
    <row r="20" customFormat="false" ht="15" hidden="false" customHeight="false" outlineLevel="0" collapsed="false">
      <c r="A20" s="23" t="s">
        <v>2080</v>
      </c>
    </row>
    <row r="21" customFormat="false" ht="15" hidden="false" customHeight="false" outlineLevel="0" collapsed="false">
      <c r="A21" s="23" t="s">
        <v>2081</v>
      </c>
    </row>
    <row r="22" customFormat="false" ht="15" hidden="false" customHeight="false" outlineLevel="0" collapsed="false">
      <c r="A22" s="23" t="s">
        <v>2082</v>
      </c>
    </row>
    <row r="23" customFormat="false" ht="15" hidden="false" customHeight="false" outlineLevel="0" collapsed="false">
      <c r="A23" s="23" t="s">
        <v>2083</v>
      </c>
    </row>
    <row r="24" customFormat="false" ht="15" hidden="false" customHeight="false" outlineLevel="0" collapsed="false">
      <c r="A24" s="23" t="s">
        <v>2084</v>
      </c>
    </row>
    <row r="25" customFormat="false" ht="15" hidden="false" customHeight="false" outlineLevel="0" collapsed="false">
      <c r="A25" s="23" t="s">
        <v>2085</v>
      </c>
    </row>
    <row r="26" customFormat="false" ht="15" hidden="false" customHeight="false" outlineLevel="0" collapsed="false">
      <c r="A26" s="23" t="s">
        <v>2086</v>
      </c>
    </row>
    <row r="27" customFormat="false" ht="15" hidden="false" customHeight="false" outlineLevel="0" collapsed="false">
      <c r="A27" s="23" t="s">
        <v>2087</v>
      </c>
    </row>
    <row r="28" customFormat="false" ht="15" hidden="false" customHeight="false" outlineLevel="0" collapsed="false">
      <c r="A28" s="23" t="s">
        <v>2083</v>
      </c>
    </row>
    <row r="29" customFormat="false" ht="15" hidden="false" customHeight="false" outlineLevel="0" collapsed="false">
      <c r="A29" s="23" t="s">
        <v>2088</v>
      </c>
    </row>
    <row r="30" customFormat="false" ht="15" hidden="false" customHeight="false" outlineLevel="0" collapsed="false">
      <c r="A30" s="23" t="s">
        <v>2089</v>
      </c>
    </row>
    <row r="31" customFormat="false" ht="15" hidden="false" customHeight="false" outlineLevel="0" collapsed="false">
      <c r="A31" s="23" t="s">
        <v>2086</v>
      </c>
    </row>
    <row r="32" customFormat="false" ht="15" hidden="false" customHeight="false" outlineLevel="0" collapsed="false">
      <c r="A32" s="23" t="s">
        <v>2090</v>
      </c>
    </row>
    <row r="33" customFormat="false" ht="15" hidden="false" customHeight="false" outlineLevel="0" collapsed="false">
      <c r="A33" s="23" t="s">
        <v>2083</v>
      </c>
    </row>
    <row r="34" customFormat="false" ht="15" hidden="false" customHeight="false" outlineLevel="0" collapsed="false">
      <c r="A34" s="23" t="s">
        <v>2091</v>
      </c>
    </row>
    <row r="35" customFormat="false" ht="15" hidden="false" customHeight="false" outlineLevel="0" collapsed="false">
      <c r="A35" s="23" t="s">
        <v>2085</v>
      </c>
    </row>
    <row r="36" customFormat="false" ht="15" hidden="false" customHeight="false" outlineLevel="0" collapsed="false">
      <c r="A36" s="23" t="s">
        <v>2092</v>
      </c>
    </row>
    <row r="37" customFormat="false" ht="15" hidden="false" customHeight="false" outlineLevel="0" collapsed="false">
      <c r="A37" s="23" t="s">
        <v>2093</v>
      </c>
    </row>
    <row r="38" customFormat="false" ht="15" hidden="false" customHeight="false" outlineLevel="0" collapsed="false">
      <c r="A38" s="23" t="s">
        <v>2094</v>
      </c>
    </row>
    <row r="39" customFormat="false" ht="15" hidden="false" customHeight="false" outlineLevel="0" collapsed="false">
      <c r="A39" s="23" t="s">
        <v>2095</v>
      </c>
    </row>
    <row r="40" customFormat="false" ht="15" hidden="false" customHeight="false" outlineLevel="0" collapsed="false">
      <c r="A40" s="23" t="s">
        <v>2096</v>
      </c>
    </row>
    <row r="41" customFormat="false" ht="15" hidden="false" customHeight="false" outlineLevel="0" collapsed="false">
      <c r="A41" s="23" t="s">
        <v>2097</v>
      </c>
    </row>
    <row r="42" customFormat="false" ht="15" hidden="false" customHeight="false" outlineLevel="0" collapsed="false">
      <c r="A42" s="23" t="s">
        <v>2098</v>
      </c>
    </row>
    <row r="43" customFormat="false" ht="15" hidden="false" customHeight="false" outlineLevel="0" collapsed="false">
      <c r="A43" s="23" t="s">
        <v>2099</v>
      </c>
    </row>
    <row r="44" customFormat="false" ht="15" hidden="false" customHeight="false" outlineLevel="0" collapsed="false">
      <c r="A44" s="23" t="s">
        <v>2100</v>
      </c>
    </row>
    <row r="45" customFormat="false" ht="15" hidden="false" customHeight="false" outlineLevel="0" collapsed="false">
      <c r="A45" s="23" t="s">
        <v>2101</v>
      </c>
    </row>
    <row r="46" customFormat="false" ht="15" hidden="false" customHeight="false" outlineLevel="0" collapsed="false">
      <c r="A46" s="23" t="s">
        <v>2102</v>
      </c>
    </row>
    <row r="47" customFormat="false" ht="15" hidden="false" customHeight="false" outlineLevel="0" collapsed="false">
      <c r="A47" s="23" t="s">
        <v>2103</v>
      </c>
    </row>
    <row r="48" customFormat="false" ht="15" hidden="false" customHeight="false" outlineLevel="0" collapsed="false">
      <c r="A48" s="23" t="s">
        <v>2104</v>
      </c>
    </row>
    <row r="49" customFormat="false" ht="15" hidden="false" customHeight="false" outlineLevel="0" collapsed="false">
      <c r="A49" s="23" t="s">
        <v>2105</v>
      </c>
    </row>
    <row r="50" customFormat="false" ht="15" hidden="false" customHeight="false" outlineLevel="0" collapsed="false">
      <c r="A50" s="23" t="s">
        <v>2106</v>
      </c>
    </row>
    <row r="51" customFormat="false" ht="15" hidden="false" customHeight="false" outlineLevel="0" collapsed="false">
      <c r="A51" s="23" t="s">
        <v>2107</v>
      </c>
    </row>
    <row r="52" customFormat="false" ht="15" hidden="false" customHeight="false" outlineLevel="0" collapsed="false">
      <c r="A52" s="23" t="s">
        <v>2092</v>
      </c>
    </row>
    <row r="53" customFormat="false" ht="15" hidden="false" customHeight="false" outlineLevel="0" collapsed="false">
      <c r="A53" s="23" t="s">
        <v>2108</v>
      </c>
    </row>
    <row r="54" customFormat="false" ht="15" hidden="false" customHeight="false" outlineLevel="0" collapsed="false">
      <c r="A54" s="23" t="s">
        <v>2109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22"/>
    <col collapsed="false" customWidth="true" hidden="false" outlineLevel="0" max="4" min="4" style="0" width="80"/>
  </cols>
  <sheetData>
    <row r="2" customFormat="false" ht="30" hidden="false" customHeight="true" outlineLevel="0" collapsed="false">
      <c r="A2" s="6" t="s">
        <v>2110</v>
      </c>
      <c r="B2" s="6" t="s">
        <v>2111</v>
      </c>
      <c r="C2" s="6" t="s">
        <v>1976</v>
      </c>
      <c r="D2" s="6" t="s">
        <v>1537</v>
      </c>
    </row>
    <row r="3" customFormat="false" ht="15" hidden="false" customHeight="false" outlineLevel="0" collapsed="false">
      <c r="A3" s="5" t="s">
        <v>2112</v>
      </c>
      <c r="B3" s="24" t="n">
        <v>46282</v>
      </c>
      <c r="C3" s="25"/>
      <c r="D3" s="7" t="s">
        <v>2113</v>
      </c>
    </row>
    <row r="4" customFormat="false" ht="15" hidden="false" customHeight="false" outlineLevel="0" collapsed="false">
      <c r="A4" s="5" t="s">
        <v>2114</v>
      </c>
      <c r="B4" s="24" t="n">
        <v>46387</v>
      </c>
      <c r="C4" s="25"/>
      <c r="D4" s="7" t="s">
        <v>1547</v>
      </c>
    </row>
    <row r="5" customFormat="false" ht="15" hidden="false" customHeight="false" outlineLevel="0" collapsed="false">
      <c r="A5" s="5" t="s">
        <v>2115</v>
      </c>
      <c r="B5" s="24" t="n">
        <v>46245</v>
      </c>
      <c r="C5" s="25"/>
      <c r="D5" s="7" t="s">
        <v>2116</v>
      </c>
    </row>
    <row r="6" customFormat="false" ht="15" hidden="false" customHeight="false" outlineLevel="0" collapsed="false">
      <c r="A6" s="5" t="s">
        <v>1553</v>
      </c>
      <c r="B6" s="26" t="n">
        <v>232</v>
      </c>
      <c r="C6" s="25"/>
      <c r="D6" s="7" t="s">
        <v>1556</v>
      </c>
    </row>
    <row r="7" customFormat="false" ht="15" hidden="false" customHeight="false" outlineLevel="0" collapsed="false">
      <c r="A7" s="5" t="s">
        <v>2117</v>
      </c>
      <c r="B7" s="26" t="n">
        <v>232</v>
      </c>
      <c r="C7" s="25"/>
      <c r="D7" s="7" t="s">
        <v>2118</v>
      </c>
    </row>
    <row r="8" customFormat="false" ht="15" hidden="false" customHeight="false" outlineLevel="0" collapsed="false">
      <c r="A8" s="5" t="s">
        <v>2119</v>
      </c>
      <c r="B8" s="26" t="n">
        <v>395</v>
      </c>
      <c r="C8" s="25"/>
      <c r="D8" s="7" t="s">
        <v>2120</v>
      </c>
    </row>
    <row r="9" customFormat="false" ht="15" hidden="false" customHeight="false" outlineLevel="0" collapsed="false">
      <c r="A9" s="5" t="s">
        <v>2121</v>
      </c>
      <c r="B9" s="26" t="n">
        <v>176</v>
      </c>
      <c r="C9" s="25"/>
      <c r="D9" s="7" t="s">
        <v>2122</v>
      </c>
    </row>
    <row r="10" customFormat="false" ht="15" hidden="false" customHeight="false" outlineLevel="0" collapsed="false">
      <c r="A10" s="5" t="s">
        <v>2123</v>
      </c>
      <c r="B10" s="27" t="n">
        <v>30.4</v>
      </c>
      <c r="C10" s="25"/>
      <c r="D10" s="7" t="s">
        <v>1572</v>
      </c>
    </row>
    <row r="11" customFormat="false" ht="15" hidden="false" customHeight="false" outlineLevel="0" collapsed="false">
      <c r="A11" s="5" t="s">
        <v>2124</v>
      </c>
      <c r="B11" s="25"/>
      <c r="C11" s="25" t="s">
        <v>2125</v>
      </c>
      <c r="D11" s="7" t="s">
        <v>2126</v>
      </c>
    </row>
    <row r="13" customFormat="false" ht="15" hidden="false" customHeight="false" outlineLevel="0" collapsed="false">
      <c r="A13" s="12" t="s">
        <v>2127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8"/>
    <col collapsed="false" customWidth="true" hidden="false" outlineLevel="0" max="6" min="4" style="0" width="11"/>
    <col collapsed="false" customWidth="true" hidden="false" outlineLevel="0" max="7" min="7" style="0" width="16"/>
    <col collapsed="false" customWidth="true" hidden="false" outlineLevel="0" max="8" min="8" style="0" width="24"/>
  </cols>
  <sheetData>
    <row r="1" customFormat="false" ht="30" hidden="false" customHeight="true" outlineLevel="0" collapsed="false">
      <c r="A1" s="6" t="s">
        <v>39</v>
      </c>
      <c r="B1" s="6" t="s">
        <v>2128</v>
      </c>
      <c r="C1" s="6" t="s">
        <v>2129</v>
      </c>
      <c r="D1" s="6" t="s">
        <v>2130</v>
      </c>
      <c r="E1" s="6" t="s">
        <v>2131</v>
      </c>
      <c r="F1" s="6" t="s">
        <v>2132</v>
      </c>
      <c r="G1" s="6" t="s">
        <v>2133</v>
      </c>
      <c r="H1" s="6" t="s">
        <v>2134</v>
      </c>
    </row>
    <row r="2" customFormat="false" ht="15" hidden="false" customHeight="false" outlineLevel="0" collapsed="false">
      <c r="A2" s="7" t="s">
        <v>37</v>
      </c>
      <c r="B2" s="7" t="s">
        <v>89</v>
      </c>
      <c r="C2" s="7" t="n">
        <v>1</v>
      </c>
      <c r="D2" s="7" t="s">
        <v>2135</v>
      </c>
      <c r="E2" s="7" t="s">
        <v>2136</v>
      </c>
      <c r="F2" s="7" t="n">
        <v>0</v>
      </c>
      <c r="G2" s="7" t="n">
        <v>0</v>
      </c>
      <c r="H2" s="7" t="s">
        <v>1475</v>
      </c>
    </row>
    <row r="3" customFormat="false" ht="15" hidden="false" customHeight="false" outlineLevel="0" collapsed="false">
      <c r="A3" s="7" t="s">
        <v>1481</v>
      </c>
      <c r="B3" s="7" t="s">
        <v>100</v>
      </c>
      <c r="C3" s="7" t="n">
        <v>2</v>
      </c>
      <c r="D3" s="7" t="s">
        <v>2137</v>
      </c>
      <c r="E3" s="7" t="s">
        <v>2136</v>
      </c>
      <c r="F3" s="7" t="n">
        <v>1</v>
      </c>
      <c r="G3" s="7" t="n">
        <v>1</v>
      </c>
      <c r="H3" s="7" t="s">
        <v>2138</v>
      </c>
    </row>
    <row r="4" customFormat="false" ht="15" hidden="false" customHeight="false" outlineLevel="0" collapsed="false">
      <c r="A4" s="7" t="s">
        <v>1483</v>
      </c>
      <c r="B4" s="7" t="s">
        <v>178</v>
      </c>
      <c r="C4" s="7" t="n">
        <v>3</v>
      </c>
      <c r="D4" s="7" t="s">
        <v>2139</v>
      </c>
      <c r="E4" s="7" t="s">
        <v>2140</v>
      </c>
      <c r="F4" s="7" t="n">
        <v>1</v>
      </c>
      <c r="G4" s="7" t="n">
        <v>1</v>
      </c>
      <c r="H4" s="7" t="s">
        <v>2141</v>
      </c>
    </row>
    <row r="5" customFormat="false" ht="15" hidden="false" customHeight="false" outlineLevel="0" collapsed="false">
      <c r="A5" s="7" t="s">
        <v>1485</v>
      </c>
      <c r="B5" s="7" t="s">
        <v>189</v>
      </c>
      <c r="C5" s="7" t="n">
        <v>4</v>
      </c>
      <c r="D5" s="7" t="s">
        <v>2142</v>
      </c>
      <c r="E5" s="7" t="s">
        <v>2140</v>
      </c>
      <c r="F5" s="7" t="n">
        <v>1</v>
      </c>
      <c r="G5" s="7" t="n">
        <v>1</v>
      </c>
      <c r="H5" s="7" t="s">
        <v>2143</v>
      </c>
    </row>
    <row r="6" customFormat="false" ht="15" hidden="false" customHeight="false" outlineLevel="0" collapsed="false">
      <c r="A6" s="7" t="s">
        <v>1523</v>
      </c>
      <c r="B6" s="7" t="s">
        <v>109</v>
      </c>
      <c r="C6" s="7" t="n">
        <v>5</v>
      </c>
      <c r="D6" s="7" t="s">
        <v>2144</v>
      </c>
      <c r="E6" s="7" t="s">
        <v>2140</v>
      </c>
      <c r="F6" s="7" t="n">
        <v>1</v>
      </c>
      <c r="G6" s="7" t="n">
        <v>0</v>
      </c>
      <c r="H6" s="7" t="s">
        <v>1487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32"/>
    <col collapsed="false" customWidth="true" hidden="false" outlineLevel="0" max="4" min="4" style="0" width="8"/>
    <col collapsed="false" customWidth="true" hidden="false" outlineLevel="0" max="6" min="5" style="0" width="11"/>
    <col collapsed="false" customWidth="true" hidden="false" outlineLevel="0" max="7" min="7" style="0" width="10"/>
  </cols>
  <sheetData>
    <row r="1" customFormat="false" ht="30" hidden="false" customHeight="true" outlineLevel="0" collapsed="false">
      <c r="A1" s="6" t="s">
        <v>2145</v>
      </c>
      <c r="B1" s="6" t="s">
        <v>57</v>
      </c>
      <c r="C1" s="6" t="s">
        <v>54</v>
      </c>
      <c r="D1" s="6" t="s">
        <v>2129</v>
      </c>
      <c r="E1" s="6" t="s">
        <v>2130</v>
      </c>
      <c r="F1" s="6" t="s">
        <v>2131</v>
      </c>
      <c r="G1" s="6" t="s">
        <v>70</v>
      </c>
    </row>
    <row r="2" customFormat="false" ht="15" hidden="false" customHeight="false" outlineLevel="0" collapsed="false">
      <c r="A2" s="7" t="s">
        <v>1526</v>
      </c>
      <c r="B2" s="7" t="s">
        <v>81</v>
      </c>
      <c r="C2" s="7" t="s">
        <v>2146</v>
      </c>
      <c r="D2" s="7" t="n">
        <v>1</v>
      </c>
      <c r="E2" s="7" t="s">
        <v>2147</v>
      </c>
      <c r="F2" s="7" t="s">
        <v>2136</v>
      </c>
      <c r="G2" s="7" t="n">
        <v>1</v>
      </c>
    </row>
    <row r="3" customFormat="false" ht="15" hidden="false" customHeight="false" outlineLevel="0" collapsed="false">
      <c r="A3" s="7" t="s">
        <v>1527</v>
      </c>
      <c r="B3" s="7" t="s">
        <v>145</v>
      </c>
      <c r="C3" s="7" t="s">
        <v>2148</v>
      </c>
      <c r="D3" s="7" t="n">
        <v>2</v>
      </c>
      <c r="E3" s="7" t="s">
        <v>2149</v>
      </c>
      <c r="F3" s="7" t="s">
        <v>2140</v>
      </c>
      <c r="G3" s="7" t="n">
        <v>1</v>
      </c>
    </row>
    <row r="4" customFormat="false" ht="15" hidden="false" customHeight="false" outlineLevel="0" collapsed="false">
      <c r="A4" s="7" t="s">
        <v>1528</v>
      </c>
      <c r="B4" s="7" t="s">
        <v>113</v>
      </c>
      <c r="C4" s="7" t="s">
        <v>2150</v>
      </c>
      <c r="D4" s="7" t="n">
        <v>3</v>
      </c>
      <c r="E4" s="7" t="s">
        <v>2139</v>
      </c>
      <c r="F4" s="7" t="s">
        <v>2140</v>
      </c>
      <c r="G4" s="7" t="n">
        <v>1</v>
      </c>
    </row>
    <row r="5" customFormat="false" ht="15" hidden="false" customHeight="false" outlineLevel="0" collapsed="false">
      <c r="A5" s="7" t="s">
        <v>1529</v>
      </c>
      <c r="B5" s="7" t="s">
        <v>93</v>
      </c>
      <c r="C5" s="7" t="s">
        <v>2151</v>
      </c>
      <c r="D5" s="7" t="n">
        <v>4</v>
      </c>
      <c r="E5" s="7" t="s">
        <v>2142</v>
      </c>
      <c r="F5" s="7" t="s">
        <v>2140</v>
      </c>
      <c r="G5" s="7" t="n">
        <v>0</v>
      </c>
    </row>
    <row r="6" customFormat="false" ht="15" hidden="false" customHeight="false" outlineLevel="0" collapsed="false">
      <c r="A6" s="7" t="s">
        <v>1530</v>
      </c>
      <c r="B6" s="7" t="s">
        <v>119</v>
      </c>
      <c r="C6" s="7" t="s">
        <v>2152</v>
      </c>
      <c r="D6" s="7" t="n">
        <v>5</v>
      </c>
      <c r="E6" s="7" t="s">
        <v>2144</v>
      </c>
      <c r="F6" s="7" t="s">
        <v>2140</v>
      </c>
      <c r="G6" s="7" t="n">
        <v>0</v>
      </c>
    </row>
    <row r="7" customFormat="false" ht="15" hidden="false" customHeight="false" outlineLevel="0" collapsed="false">
      <c r="A7" s="7" t="s">
        <v>1531</v>
      </c>
      <c r="B7" s="7" t="s">
        <v>1531</v>
      </c>
      <c r="C7" s="7" t="s">
        <v>1531</v>
      </c>
      <c r="D7" s="7" t="n">
        <v>6</v>
      </c>
      <c r="E7" s="7" t="s">
        <v>2153</v>
      </c>
      <c r="F7" s="7" t="s">
        <v>2140</v>
      </c>
      <c r="G7"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4" min="3" style="0" width="9"/>
    <col collapsed="false" customWidth="true" hidden="false" outlineLevel="0" max="5" min="5" style="0" width="16"/>
    <col collapsed="false" customWidth="true" hidden="false" outlineLevel="0" max="6" min="6" style="0" width="14"/>
    <col collapsed="false" customWidth="true" hidden="false" outlineLevel="0" max="7" min="7" style="0" width="90"/>
  </cols>
  <sheetData>
    <row r="1" customFormat="false" ht="30" hidden="false" customHeight="true" outlineLevel="0" collapsed="false">
      <c r="A1" s="6" t="s">
        <v>2129</v>
      </c>
      <c r="B1" s="6" t="s">
        <v>2154</v>
      </c>
      <c r="C1" s="6" t="s">
        <v>2111</v>
      </c>
      <c r="D1" s="6" t="s">
        <v>1969</v>
      </c>
      <c r="E1" s="6" t="s">
        <v>2155</v>
      </c>
      <c r="F1" s="6" t="s">
        <v>2156</v>
      </c>
      <c r="G1" s="6" t="s">
        <v>56</v>
      </c>
    </row>
    <row r="2" customFormat="false" ht="15" hidden="false" customHeight="false" outlineLevel="0" collapsed="false">
      <c r="A2" s="7" t="n">
        <v>1</v>
      </c>
      <c r="B2" s="7" t="s">
        <v>2157</v>
      </c>
      <c r="C2" s="25" t="n">
        <v>331</v>
      </c>
      <c r="D2" s="7" t="s">
        <v>2158</v>
      </c>
      <c r="E2" s="7" t="s">
        <v>1467</v>
      </c>
      <c r="F2" s="7" t="s">
        <v>2159</v>
      </c>
      <c r="G2" s="7" t="s">
        <v>2160</v>
      </c>
    </row>
    <row r="3" customFormat="false" ht="23.85" hidden="false" customHeight="false" outlineLevel="0" collapsed="false">
      <c r="A3" s="7" t="n">
        <v>2</v>
      </c>
      <c r="B3" s="7" t="s">
        <v>2161</v>
      </c>
      <c r="C3" s="25" t="n">
        <v>35</v>
      </c>
      <c r="D3" s="7" t="s">
        <v>2162</v>
      </c>
      <c r="E3" s="7" t="s">
        <v>2163</v>
      </c>
      <c r="F3" s="7" t="s">
        <v>2164</v>
      </c>
      <c r="G3" s="4" t="s">
        <v>2165</v>
      </c>
    </row>
    <row r="4" customFormat="false" ht="15" hidden="false" customHeight="false" outlineLevel="0" collapsed="false">
      <c r="A4" s="7" t="n">
        <v>3</v>
      </c>
      <c r="B4" s="7" t="s">
        <v>2166</v>
      </c>
      <c r="C4" s="25" t="n">
        <v>16</v>
      </c>
      <c r="D4" s="7" t="s">
        <v>2162</v>
      </c>
      <c r="E4" s="7" t="s">
        <v>2167</v>
      </c>
      <c r="F4" s="7" t="s">
        <v>2168</v>
      </c>
      <c r="G4" s="4" t="s">
        <v>2169</v>
      </c>
    </row>
    <row r="5" customFormat="false" ht="23.85" hidden="false" customHeight="false" outlineLevel="0" collapsed="false">
      <c r="A5" s="7" t="n">
        <v>4</v>
      </c>
      <c r="B5" s="7" t="s">
        <v>2170</v>
      </c>
      <c r="C5" s="25" t="n">
        <v>23</v>
      </c>
      <c r="D5" s="7" t="s">
        <v>2162</v>
      </c>
      <c r="E5" s="7" t="s">
        <v>2171</v>
      </c>
      <c r="F5" s="7" t="s">
        <v>2172</v>
      </c>
      <c r="G5" s="4" t="s">
        <v>2173</v>
      </c>
    </row>
    <row r="6" customFormat="false" ht="23.85" hidden="false" customHeight="false" outlineLevel="0" collapsed="false">
      <c r="A6" s="7" t="n">
        <v>5</v>
      </c>
      <c r="B6" s="7" t="s">
        <v>2174</v>
      </c>
      <c r="C6" s="25" t="n">
        <v>12</v>
      </c>
      <c r="D6" s="7" t="s">
        <v>2162</v>
      </c>
      <c r="E6" s="7" t="s">
        <v>2175</v>
      </c>
      <c r="F6" s="7" t="s">
        <v>2176</v>
      </c>
      <c r="G6" s="4" t="s">
        <v>2177</v>
      </c>
    </row>
    <row r="7" customFormat="false" ht="15" hidden="false" customHeight="false" outlineLevel="0" collapsed="false">
      <c r="A7" s="7" t="n">
        <v>6</v>
      </c>
      <c r="B7" s="7" t="s">
        <v>2178</v>
      </c>
      <c r="C7" s="25" t="n">
        <v>417</v>
      </c>
      <c r="D7" s="7" t="s">
        <v>1524</v>
      </c>
      <c r="E7" s="7" t="s">
        <v>41</v>
      </c>
      <c r="F7" s="7" t="s">
        <v>2179</v>
      </c>
      <c r="G7" s="7" t="s">
        <v>2180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3" min="3" style="0" width="100"/>
  </cols>
  <sheetData>
    <row r="1" customFormat="false" ht="30" hidden="false" customHeight="true" outlineLevel="0" collapsed="false">
      <c r="A1" s="6" t="s">
        <v>2129</v>
      </c>
      <c r="B1" s="6" t="s">
        <v>2181</v>
      </c>
      <c r="C1" s="6" t="s">
        <v>1976</v>
      </c>
    </row>
    <row r="2" customFormat="false" ht="23.85" hidden="false" customHeight="false" outlineLevel="0" collapsed="false">
      <c r="A2" s="7" t="n">
        <v>1</v>
      </c>
      <c r="B2" s="25" t="s">
        <v>2182</v>
      </c>
      <c r="C2" s="28" t="s">
        <v>2183</v>
      </c>
    </row>
    <row r="3" customFormat="false" ht="15" hidden="false" customHeight="false" outlineLevel="0" collapsed="false">
      <c r="A3" s="7" t="n">
        <v>2</v>
      </c>
      <c r="B3" s="25" t="s">
        <v>2184</v>
      </c>
      <c r="C3" s="28" t="s">
        <v>2185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14"/>
    <col collapsed="false" customWidth="true" hidden="false" outlineLevel="0" max="4" min="4" style="0" width="12"/>
    <col collapsed="false" customWidth="true" hidden="false" outlineLevel="0" max="5" min="5" style="0" width="34"/>
  </cols>
  <sheetData>
    <row r="1" customFormat="false" ht="30" hidden="false" customHeight="true" outlineLevel="0" collapsed="false">
      <c r="A1" s="6" t="s">
        <v>2186</v>
      </c>
      <c r="B1" s="6" t="s">
        <v>2187</v>
      </c>
      <c r="C1" s="6" t="s">
        <v>39</v>
      </c>
      <c r="D1" s="6" t="s">
        <v>2188</v>
      </c>
      <c r="E1" s="6" t="s">
        <v>2189</v>
      </c>
    </row>
    <row r="2" customFormat="false" ht="15" hidden="false" customHeight="false" outlineLevel="0" collapsed="false">
      <c r="A2" s="25" t="s">
        <v>203</v>
      </c>
      <c r="B2" s="7" t="s">
        <v>202</v>
      </c>
      <c r="C2" s="7" t="s">
        <v>1483</v>
      </c>
      <c r="D2" s="7" t="s">
        <v>1166</v>
      </c>
      <c r="E2" s="7" t="s">
        <v>1165</v>
      </c>
    </row>
    <row r="3" customFormat="false" ht="15" hidden="false" customHeight="false" outlineLevel="0" collapsed="false">
      <c r="A3" s="25" t="s">
        <v>220</v>
      </c>
      <c r="B3" s="7" t="s">
        <v>219</v>
      </c>
      <c r="C3" s="7" t="s">
        <v>1481</v>
      </c>
      <c r="D3" s="7" t="s">
        <v>1146</v>
      </c>
      <c r="E3" s="7" t="s">
        <v>219</v>
      </c>
    </row>
    <row r="4" customFormat="false" ht="15" hidden="false" customHeight="false" outlineLevel="0" collapsed="false">
      <c r="A4" s="25" t="s">
        <v>519</v>
      </c>
      <c r="B4" s="7" t="s">
        <v>518</v>
      </c>
      <c r="C4" s="7" t="s">
        <v>1483</v>
      </c>
      <c r="D4" s="7" t="s">
        <v>1208</v>
      </c>
      <c r="E4" s="7" t="s">
        <v>1207</v>
      </c>
    </row>
    <row r="5" customFormat="false" ht="15" hidden="false" customHeight="false" outlineLevel="0" collapsed="false">
      <c r="A5" s="25" t="s">
        <v>1000</v>
      </c>
      <c r="B5" s="7" t="s">
        <v>999</v>
      </c>
      <c r="C5" s="7" t="s">
        <v>1483</v>
      </c>
      <c r="D5" s="7" t="s">
        <v>1210</v>
      </c>
      <c r="E5" s="7" t="s">
        <v>1209</v>
      </c>
    </row>
    <row r="7" customFormat="false" ht="15" hidden="false" customHeight="false" outlineLevel="0" collapsed="false">
      <c r="A7" s="12" t="s">
        <v>2190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6"/>
    <col collapsed="false" customWidth="true" hidden="false" outlineLevel="0" max="4" min="4" style="0" width="12"/>
    <col collapsed="false" customWidth="true" hidden="false" outlineLevel="0" max="5" min="5" style="0" width="9"/>
    <col collapsed="false" customWidth="true" hidden="false" outlineLevel="0" max="6" min="6" style="0" width="12"/>
    <col collapsed="false" customWidth="true" hidden="false" outlineLevel="0" max="7" min="7" style="0" width="10"/>
  </cols>
  <sheetData>
    <row r="1" customFormat="false" ht="30" hidden="false" customHeight="true" outlineLevel="0" collapsed="false">
      <c r="A1" s="6" t="s">
        <v>1995</v>
      </c>
      <c r="B1" s="6" t="s">
        <v>2191</v>
      </c>
      <c r="C1" s="6" t="s">
        <v>2192</v>
      </c>
      <c r="D1" s="6" t="s">
        <v>2193</v>
      </c>
      <c r="E1" s="6" t="s">
        <v>2194</v>
      </c>
      <c r="F1" s="6" t="s">
        <v>2195</v>
      </c>
      <c r="G1" s="6" t="s">
        <v>2196</v>
      </c>
    </row>
    <row r="2" customFormat="false" ht="15" hidden="false" customHeight="false" outlineLevel="0" collapsed="false">
      <c r="A2" s="24" t="n">
        <v>44927</v>
      </c>
      <c r="B2" s="7" t="n">
        <f aca="false">YEAR(A2)</f>
        <v>2023</v>
      </c>
      <c r="C2" s="7" t="n">
        <f aca="false">MONTH(A2)</f>
        <v>1</v>
      </c>
      <c r="D2" s="8" t="n">
        <f aca="false">DATE(B2,C2,1)</f>
        <v>44927</v>
      </c>
      <c r="E2" s="7" t="str">
        <f aca="false">CHOOSE(C2,"ene","feb","mar","abr","may","jun","jul","ago","sep","oct","nov","dic")</f>
        <v>ene</v>
      </c>
      <c r="F2" s="7" t="str">
        <f aca="false">CHOOSE(C2,"enero","febrero","marzo","abril","mayo","junio","julio","agosto","septiembre","octubre","noviembre","diciembre")</f>
        <v>enero</v>
      </c>
      <c r="G2" s="7" t="str">
        <f aca="false">E2&amp;"-"&amp;RIGHT(B2,2)</f>
        <v>ene-23</v>
      </c>
    </row>
    <row r="3" customFormat="false" ht="15" hidden="false" customHeight="false" outlineLevel="0" collapsed="false">
      <c r="A3" s="8" t="n">
        <f aca="false">A2+1</f>
        <v>44928</v>
      </c>
      <c r="B3" s="7" t="n">
        <f aca="false">YEAR(A3)</f>
        <v>2023</v>
      </c>
      <c r="C3" s="7" t="n">
        <f aca="false">MONTH(A3)</f>
        <v>1</v>
      </c>
      <c r="D3" s="8" t="n">
        <f aca="false">DATE(B3,C3,1)</f>
        <v>44927</v>
      </c>
      <c r="E3" s="7" t="str">
        <f aca="false">CHOOSE(C3,"ene","feb","mar","abr","may","jun","jul","ago","sep","oct","nov","dic")</f>
        <v>ene</v>
      </c>
      <c r="F3" s="7" t="str">
        <f aca="false">CHOOSE(C3,"enero","febrero","marzo","abril","mayo","junio","julio","agosto","septiembre","octubre","noviembre","diciembre")</f>
        <v>enero</v>
      </c>
      <c r="G3" s="7" t="str">
        <f aca="false">E3&amp;"-"&amp;RIGHT(B3,2)</f>
        <v>ene-23</v>
      </c>
    </row>
    <row r="4" customFormat="false" ht="15" hidden="false" customHeight="false" outlineLevel="0" collapsed="false">
      <c r="A4" s="8" t="n">
        <f aca="false">A3+1</f>
        <v>44929</v>
      </c>
      <c r="B4" s="7" t="n">
        <f aca="false">YEAR(A4)</f>
        <v>2023</v>
      </c>
      <c r="C4" s="7" t="n">
        <f aca="false">MONTH(A4)</f>
        <v>1</v>
      </c>
      <c r="D4" s="8" t="n">
        <f aca="false">DATE(B4,C4,1)</f>
        <v>44927</v>
      </c>
      <c r="E4" s="7" t="str">
        <f aca="false">CHOOSE(C4,"ene","feb","mar","abr","may","jun","jul","ago","sep","oct","nov","dic")</f>
        <v>ene</v>
      </c>
      <c r="F4" s="7" t="str">
        <f aca="false">CHOOSE(C4,"enero","febrero","marzo","abril","mayo","junio","julio","agosto","septiembre","octubre","noviembre","diciembre")</f>
        <v>enero</v>
      </c>
      <c r="G4" s="7" t="str">
        <f aca="false">E4&amp;"-"&amp;RIGHT(B4,2)</f>
        <v>ene-23</v>
      </c>
    </row>
    <row r="5" customFormat="false" ht="15" hidden="false" customHeight="false" outlineLevel="0" collapsed="false">
      <c r="A5" s="8" t="n">
        <f aca="false">A4+1</f>
        <v>44930</v>
      </c>
      <c r="B5" s="7" t="n">
        <f aca="false">YEAR(A5)</f>
        <v>2023</v>
      </c>
      <c r="C5" s="7" t="n">
        <f aca="false">MONTH(A5)</f>
        <v>1</v>
      </c>
      <c r="D5" s="8" t="n">
        <f aca="false">DATE(B5,C5,1)</f>
        <v>44927</v>
      </c>
      <c r="E5" s="7" t="str">
        <f aca="false">CHOOSE(C5,"ene","feb","mar","abr","may","jun","jul","ago","sep","oct","nov","dic")</f>
        <v>ene</v>
      </c>
      <c r="F5" s="7" t="str">
        <f aca="false">CHOOSE(C5,"enero","febrero","marzo","abril","mayo","junio","julio","agosto","septiembre","octubre","noviembre","diciembre")</f>
        <v>enero</v>
      </c>
      <c r="G5" s="7" t="str">
        <f aca="false">E5&amp;"-"&amp;RIGHT(B5,2)</f>
        <v>ene-23</v>
      </c>
    </row>
    <row r="6" customFormat="false" ht="15" hidden="false" customHeight="false" outlineLevel="0" collapsed="false">
      <c r="A6" s="8" t="n">
        <f aca="false">A5+1</f>
        <v>44931</v>
      </c>
      <c r="B6" s="7" t="n">
        <f aca="false">YEAR(A6)</f>
        <v>2023</v>
      </c>
      <c r="C6" s="7" t="n">
        <f aca="false">MONTH(A6)</f>
        <v>1</v>
      </c>
      <c r="D6" s="8" t="n">
        <f aca="false">DATE(B6,C6,1)</f>
        <v>44927</v>
      </c>
      <c r="E6" s="7" t="str">
        <f aca="false">CHOOSE(C6,"ene","feb","mar","abr","may","jun","jul","ago","sep","oct","nov","dic")</f>
        <v>ene</v>
      </c>
      <c r="F6" s="7" t="str">
        <f aca="false">CHOOSE(C6,"enero","febrero","marzo","abril","mayo","junio","julio","agosto","septiembre","octubre","noviembre","diciembre")</f>
        <v>enero</v>
      </c>
      <c r="G6" s="7" t="str">
        <f aca="false">E6&amp;"-"&amp;RIGHT(B6,2)</f>
        <v>ene-23</v>
      </c>
    </row>
    <row r="7" customFormat="false" ht="15" hidden="false" customHeight="false" outlineLevel="0" collapsed="false">
      <c r="A7" s="8" t="n">
        <f aca="false">A6+1</f>
        <v>44932</v>
      </c>
      <c r="B7" s="7" t="n">
        <f aca="false">YEAR(A7)</f>
        <v>2023</v>
      </c>
      <c r="C7" s="7" t="n">
        <f aca="false">MONTH(A7)</f>
        <v>1</v>
      </c>
      <c r="D7" s="8" t="n">
        <f aca="false">DATE(B7,C7,1)</f>
        <v>44927</v>
      </c>
      <c r="E7" s="7" t="str">
        <f aca="false">CHOOSE(C7,"ene","feb","mar","abr","may","jun","jul","ago","sep","oct","nov","dic")</f>
        <v>ene</v>
      </c>
      <c r="F7" s="7" t="str">
        <f aca="false">CHOOSE(C7,"enero","febrero","marzo","abril","mayo","junio","julio","agosto","septiembre","octubre","noviembre","diciembre")</f>
        <v>enero</v>
      </c>
      <c r="G7" s="7" t="str">
        <f aca="false">E7&amp;"-"&amp;RIGHT(B7,2)</f>
        <v>ene-23</v>
      </c>
    </row>
    <row r="8" customFormat="false" ht="15" hidden="false" customHeight="false" outlineLevel="0" collapsed="false">
      <c r="A8" s="8" t="n">
        <f aca="false">A7+1</f>
        <v>44933</v>
      </c>
      <c r="B8" s="7" t="n">
        <f aca="false">YEAR(A8)</f>
        <v>2023</v>
      </c>
      <c r="C8" s="7" t="n">
        <f aca="false">MONTH(A8)</f>
        <v>1</v>
      </c>
      <c r="D8" s="8" t="n">
        <f aca="false">DATE(B8,C8,1)</f>
        <v>44927</v>
      </c>
      <c r="E8" s="7" t="str">
        <f aca="false">CHOOSE(C8,"ene","feb","mar","abr","may","jun","jul","ago","sep","oct","nov","dic")</f>
        <v>ene</v>
      </c>
      <c r="F8" s="7" t="str">
        <f aca="false">CHOOSE(C8,"enero","febrero","marzo","abril","mayo","junio","julio","agosto","septiembre","octubre","noviembre","diciembre")</f>
        <v>enero</v>
      </c>
      <c r="G8" s="7" t="str">
        <f aca="false">E8&amp;"-"&amp;RIGHT(B8,2)</f>
        <v>ene-23</v>
      </c>
    </row>
    <row r="9" customFormat="false" ht="15" hidden="false" customHeight="false" outlineLevel="0" collapsed="false">
      <c r="A9" s="8" t="n">
        <f aca="false">A8+1</f>
        <v>44934</v>
      </c>
      <c r="B9" s="7" t="n">
        <f aca="false">YEAR(A9)</f>
        <v>2023</v>
      </c>
      <c r="C9" s="7" t="n">
        <f aca="false">MONTH(A9)</f>
        <v>1</v>
      </c>
      <c r="D9" s="8" t="n">
        <f aca="false">DATE(B9,C9,1)</f>
        <v>44927</v>
      </c>
      <c r="E9" s="7" t="str">
        <f aca="false">CHOOSE(C9,"ene","feb","mar","abr","may","jun","jul","ago","sep","oct","nov","dic")</f>
        <v>ene</v>
      </c>
      <c r="F9" s="7" t="str">
        <f aca="false">CHOOSE(C9,"enero","febrero","marzo","abril","mayo","junio","julio","agosto","septiembre","octubre","noviembre","diciembre")</f>
        <v>enero</v>
      </c>
      <c r="G9" s="7" t="str">
        <f aca="false">E9&amp;"-"&amp;RIGHT(B9,2)</f>
        <v>ene-23</v>
      </c>
    </row>
    <row r="10" customFormat="false" ht="15" hidden="false" customHeight="false" outlineLevel="0" collapsed="false">
      <c r="A10" s="8" t="n">
        <f aca="false">A9+1</f>
        <v>44935</v>
      </c>
      <c r="B10" s="7" t="n">
        <f aca="false">YEAR(A10)</f>
        <v>2023</v>
      </c>
      <c r="C10" s="7" t="n">
        <f aca="false">MONTH(A10)</f>
        <v>1</v>
      </c>
      <c r="D10" s="8" t="n">
        <f aca="false">DATE(B10,C10,1)</f>
        <v>44927</v>
      </c>
      <c r="E10" s="7" t="str">
        <f aca="false">CHOOSE(C10,"ene","feb","mar","abr","may","jun","jul","ago","sep","oct","nov","dic")</f>
        <v>ene</v>
      </c>
      <c r="F10" s="7" t="str">
        <f aca="false">CHOOSE(C10,"enero","febrero","marzo","abril","mayo","junio","julio","agosto","septiembre","octubre","noviembre","diciembre")</f>
        <v>enero</v>
      </c>
      <c r="G10" s="7" t="str">
        <f aca="false">E10&amp;"-"&amp;RIGHT(B10,2)</f>
        <v>ene-23</v>
      </c>
    </row>
    <row r="11" customFormat="false" ht="15" hidden="false" customHeight="false" outlineLevel="0" collapsed="false">
      <c r="A11" s="8" t="n">
        <f aca="false">A10+1</f>
        <v>44936</v>
      </c>
      <c r="B11" s="7" t="n">
        <f aca="false">YEAR(A11)</f>
        <v>2023</v>
      </c>
      <c r="C11" s="7" t="n">
        <f aca="false">MONTH(A11)</f>
        <v>1</v>
      </c>
      <c r="D11" s="8" t="n">
        <f aca="false">DATE(B11,C11,1)</f>
        <v>44927</v>
      </c>
      <c r="E11" s="7" t="str">
        <f aca="false">CHOOSE(C11,"ene","feb","mar","abr","may","jun","jul","ago","sep","oct","nov","dic")</f>
        <v>ene</v>
      </c>
      <c r="F11" s="7" t="str">
        <f aca="false">CHOOSE(C11,"enero","febrero","marzo","abril","mayo","junio","julio","agosto","septiembre","octubre","noviembre","diciembre")</f>
        <v>enero</v>
      </c>
      <c r="G11" s="7" t="str">
        <f aca="false">E11&amp;"-"&amp;RIGHT(B11,2)</f>
        <v>ene-23</v>
      </c>
    </row>
    <row r="12" customFormat="false" ht="15" hidden="false" customHeight="false" outlineLevel="0" collapsed="false">
      <c r="A12" s="8" t="n">
        <f aca="false">A11+1</f>
        <v>44937</v>
      </c>
      <c r="B12" s="7" t="n">
        <f aca="false">YEAR(A12)</f>
        <v>2023</v>
      </c>
      <c r="C12" s="7" t="n">
        <f aca="false">MONTH(A12)</f>
        <v>1</v>
      </c>
      <c r="D12" s="8" t="n">
        <f aca="false">DATE(B12,C12,1)</f>
        <v>44927</v>
      </c>
      <c r="E12" s="7" t="str">
        <f aca="false">CHOOSE(C12,"ene","feb","mar","abr","may","jun","jul","ago","sep","oct","nov","dic")</f>
        <v>ene</v>
      </c>
      <c r="F12" s="7" t="str">
        <f aca="false">CHOOSE(C12,"enero","febrero","marzo","abril","mayo","junio","julio","agosto","septiembre","octubre","noviembre","diciembre")</f>
        <v>enero</v>
      </c>
      <c r="G12" s="7" t="str">
        <f aca="false">E12&amp;"-"&amp;RIGHT(B12,2)</f>
        <v>ene-23</v>
      </c>
    </row>
    <row r="13" customFormat="false" ht="15" hidden="false" customHeight="false" outlineLevel="0" collapsed="false">
      <c r="A13" s="8" t="n">
        <f aca="false">A12+1</f>
        <v>44938</v>
      </c>
      <c r="B13" s="7" t="n">
        <f aca="false">YEAR(A13)</f>
        <v>2023</v>
      </c>
      <c r="C13" s="7" t="n">
        <f aca="false">MONTH(A13)</f>
        <v>1</v>
      </c>
      <c r="D13" s="8" t="n">
        <f aca="false">DATE(B13,C13,1)</f>
        <v>44927</v>
      </c>
      <c r="E13" s="7" t="str">
        <f aca="false">CHOOSE(C13,"ene","feb","mar","abr","may","jun","jul","ago","sep","oct","nov","dic")</f>
        <v>ene</v>
      </c>
      <c r="F13" s="7" t="str">
        <f aca="false">CHOOSE(C13,"enero","febrero","marzo","abril","mayo","junio","julio","agosto","septiembre","octubre","noviembre","diciembre")</f>
        <v>enero</v>
      </c>
      <c r="G13" s="7" t="str">
        <f aca="false">E13&amp;"-"&amp;RIGHT(B13,2)</f>
        <v>ene-23</v>
      </c>
    </row>
    <row r="14" customFormat="false" ht="15" hidden="false" customHeight="false" outlineLevel="0" collapsed="false">
      <c r="A14" s="8" t="n">
        <f aca="false">A13+1</f>
        <v>44939</v>
      </c>
      <c r="B14" s="7" t="n">
        <f aca="false">YEAR(A14)</f>
        <v>2023</v>
      </c>
      <c r="C14" s="7" t="n">
        <f aca="false">MONTH(A14)</f>
        <v>1</v>
      </c>
      <c r="D14" s="8" t="n">
        <f aca="false">DATE(B14,C14,1)</f>
        <v>44927</v>
      </c>
      <c r="E14" s="7" t="str">
        <f aca="false">CHOOSE(C14,"ene","feb","mar","abr","may","jun","jul","ago","sep","oct","nov","dic")</f>
        <v>ene</v>
      </c>
      <c r="F14" s="7" t="str">
        <f aca="false">CHOOSE(C14,"enero","febrero","marzo","abril","mayo","junio","julio","agosto","septiembre","octubre","noviembre","diciembre")</f>
        <v>enero</v>
      </c>
      <c r="G14" s="7" t="str">
        <f aca="false">E14&amp;"-"&amp;RIGHT(B14,2)</f>
        <v>ene-23</v>
      </c>
    </row>
    <row r="15" customFormat="false" ht="15" hidden="false" customHeight="false" outlineLevel="0" collapsed="false">
      <c r="A15" s="8" t="n">
        <f aca="false">A14+1</f>
        <v>44940</v>
      </c>
      <c r="B15" s="7" t="n">
        <f aca="false">YEAR(A15)</f>
        <v>2023</v>
      </c>
      <c r="C15" s="7" t="n">
        <f aca="false">MONTH(A15)</f>
        <v>1</v>
      </c>
      <c r="D15" s="8" t="n">
        <f aca="false">DATE(B15,C15,1)</f>
        <v>44927</v>
      </c>
      <c r="E15" s="7" t="str">
        <f aca="false">CHOOSE(C15,"ene","feb","mar","abr","may","jun","jul","ago","sep","oct","nov","dic")</f>
        <v>ene</v>
      </c>
      <c r="F15" s="7" t="str">
        <f aca="false">CHOOSE(C15,"enero","febrero","marzo","abril","mayo","junio","julio","agosto","septiembre","octubre","noviembre","diciembre")</f>
        <v>enero</v>
      </c>
      <c r="G15" s="7" t="str">
        <f aca="false">E15&amp;"-"&amp;RIGHT(B15,2)</f>
        <v>ene-23</v>
      </c>
    </row>
    <row r="16" customFormat="false" ht="15" hidden="false" customHeight="false" outlineLevel="0" collapsed="false">
      <c r="A16" s="8" t="n">
        <f aca="false">A15+1</f>
        <v>44941</v>
      </c>
      <c r="B16" s="7" t="n">
        <f aca="false">YEAR(A16)</f>
        <v>2023</v>
      </c>
      <c r="C16" s="7" t="n">
        <f aca="false">MONTH(A16)</f>
        <v>1</v>
      </c>
      <c r="D16" s="8" t="n">
        <f aca="false">DATE(B16,C16,1)</f>
        <v>44927</v>
      </c>
      <c r="E16" s="7" t="str">
        <f aca="false">CHOOSE(C16,"ene","feb","mar","abr","may","jun","jul","ago","sep","oct","nov","dic")</f>
        <v>ene</v>
      </c>
      <c r="F16" s="7" t="str">
        <f aca="false">CHOOSE(C16,"enero","febrero","marzo","abril","mayo","junio","julio","agosto","septiembre","octubre","noviembre","diciembre")</f>
        <v>enero</v>
      </c>
      <c r="G16" s="7" t="str">
        <f aca="false">E16&amp;"-"&amp;RIGHT(B16,2)</f>
        <v>ene-23</v>
      </c>
    </row>
    <row r="17" customFormat="false" ht="15" hidden="false" customHeight="false" outlineLevel="0" collapsed="false">
      <c r="A17" s="8" t="n">
        <f aca="false">A16+1</f>
        <v>44942</v>
      </c>
      <c r="B17" s="7" t="n">
        <f aca="false">YEAR(A17)</f>
        <v>2023</v>
      </c>
      <c r="C17" s="7" t="n">
        <f aca="false">MONTH(A17)</f>
        <v>1</v>
      </c>
      <c r="D17" s="8" t="n">
        <f aca="false">DATE(B17,C17,1)</f>
        <v>44927</v>
      </c>
      <c r="E17" s="7" t="str">
        <f aca="false">CHOOSE(C17,"ene","feb","mar","abr","may","jun","jul","ago","sep","oct","nov","dic")</f>
        <v>ene</v>
      </c>
      <c r="F17" s="7" t="str">
        <f aca="false">CHOOSE(C17,"enero","febrero","marzo","abril","mayo","junio","julio","agosto","septiembre","octubre","noviembre","diciembre")</f>
        <v>enero</v>
      </c>
      <c r="G17" s="7" t="str">
        <f aca="false">E17&amp;"-"&amp;RIGHT(B17,2)</f>
        <v>ene-23</v>
      </c>
    </row>
    <row r="18" customFormat="false" ht="15" hidden="false" customHeight="false" outlineLevel="0" collapsed="false">
      <c r="A18" s="8" t="n">
        <f aca="false">A17+1</f>
        <v>44943</v>
      </c>
      <c r="B18" s="7" t="n">
        <f aca="false">YEAR(A18)</f>
        <v>2023</v>
      </c>
      <c r="C18" s="7" t="n">
        <f aca="false">MONTH(A18)</f>
        <v>1</v>
      </c>
      <c r="D18" s="8" t="n">
        <f aca="false">DATE(B18,C18,1)</f>
        <v>44927</v>
      </c>
      <c r="E18" s="7" t="str">
        <f aca="false">CHOOSE(C18,"ene","feb","mar","abr","may","jun","jul","ago","sep","oct","nov","dic")</f>
        <v>ene</v>
      </c>
      <c r="F18" s="7" t="str">
        <f aca="false">CHOOSE(C18,"enero","febrero","marzo","abril","mayo","junio","julio","agosto","septiembre","octubre","noviembre","diciembre")</f>
        <v>enero</v>
      </c>
      <c r="G18" s="7" t="str">
        <f aca="false">E18&amp;"-"&amp;RIGHT(B18,2)</f>
        <v>ene-23</v>
      </c>
    </row>
    <row r="19" customFormat="false" ht="15" hidden="false" customHeight="false" outlineLevel="0" collapsed="false">
      <c r="A19" s="8" t="n">
        <f aca="false">A18+1</f>
        <v>44944</v>
      </c>
      <c r="B19" s="7" t="n">
        <f aca="false">YEAR(A19)</f>
        <v>2023</v>
      </c>
      <c r="C19" s="7" t="n">
        <f aca="false">MONTH(A19)</f>
        <v>1</v>
      </c>
      <c r="D19" s="8" t="n">
        <f aca="false">DATE(B19,C19,1)</f>
        <v>44927</v>
      </c>
      <c r="E19" s="7" t="str">
        <f aca="false">CHOOSE(C19,"ene","feb","mar","abr","may","jun","jul","ago","sep","oct","nov","dic")</f>
        <v>ene</v>
      </c>
      <c r="F19" s="7" t="str">
        <f aca="false">CHOOSE(C19,"enero","febrero","marzo","abril","mayo","junio","julio","agosto","septiembre","octubre","noviembre","diciembre")</f>
        <v>enero</v>
      </c>
      <c r="G19" s="7" t="str">
        <f aca="false">E19&amp;"-"&amp;RIGHT(B19,2)</f>
        <v>ene-23</v>
      </c>
    </row>
    <row r="20" customFormat="false" ht="15" hidden="false" customHeight="false" outlineLevel="0" collapsed="false">
      <c r="A20" s="8" t="n">
        <f aca="false">A19+1</f>
        <v>44945</v>
      </c>
      <c r="B20" s="7" t="n">
        <f aca="false">YEAR(A20)</f>
        <v>2023</v>
      </c>
      <c r="C20" s="7" t="n">
        <f aca="false">MONTH(A20)</f>
        <v>1</v>
      </c>
      <c r="D20" s="8" t="n">
        <f aca="false">DATE(B20,C20,1)</f>
        <v>44927</v>
      </c>
      <c r="E20" s="7" t="str">
        <f aca="false">CHOOSE(C20,"ene","feb","mar","abr","may","jun","jul","ago","sep","oct","nov","dic")</f>
        <v>ene</v>
      </c>
      <c r="F20" s="7" t="str">
        <f aca="false">CHOOSE(C20,"enero","febrero","marzo","abril","mayo","junio","julio","agosto","septiembre","octubre","noviembre","diciembre")</f>
        <v>enero</v>
      </c>
      <c r="G20" s="7" t="str">
        <f aca="false">E20&amp;"-"&amp;RIGHT(B20,2)</f>
        <v>ene-23</v>
      </c>
    </row>
    <row r="21" customFormat="false" ht="15" hidden="false" customHeight="false" outlineLevel="0" collapsed="false">
      <c r="A21" s="8" t="n">
        <f aca="false">A20+1</f>
        <v>44946</v>
      </c>
      <c r="B21" s="7" t="n">
        <f aca="false">YEAR(A21)</f>
        <v>2023</v>
      </c>
      <c r="C21" s="7" t="n">
        <f aca="false">MONTH(A21)</f>
        <v>1</v>
      </c>
      <c r="D21" s="8" t="n">
        <f aca="false">DATE(B21,C21,1)</f>
        <v>44927</v>
      </c>
      <c r="E21" s="7" t="str">
        <f aca="false">CHOOSE(C21,"ene","feb","mar","abr","may","jun","jul","ago","sep","oct","nov","dic")</f>
        <v>ene</v>
      </c>
      <c r="F21" s="7" t="str">
        <f aca="false">CHOOSE(C21,"enero","febrero","marzo","abril","mayo","junio","julio","agosto","septiembre","octubre","noviembre","diciembre")</f>
        <v>enero</v>
      </c>
      <c r="G21" s="7" t="str">
        <f aca="false">E21&amp;"-"&amp;RIGHT(B21,2)</f>
        <v>ene-23</v>
      </c>
    </row>
    <row r="22" customFormat="false" ht="15" hidden="false" customHeight="false" outlineLevel="0" collapsed="false">
      <c r="A22" s="8" t="n">
        <f aca="false">A21+1</f>
        <v>44947</v>
      </c>
      <c r="B22" s="7" t="n">
        <f aca="false">YEAR(A22)</f>
        <v>2023</v>
      </c>
      <c r="C22" s="7" t="n">
        <f aca="false">MONTH(A22)</f>
        <v>1</v>
      </c>
      <c r="D22" s="8" t="n">
        <f aca="false">DATE(B22,C22,1)</f>
        <v>44927</v>
      </c>
      <c r="E22" s="7" t="str">
        <f aca="false">CHOOSE(C22,"ene","feb","mar","abr","may","jun","jul","ago","sep","oct","nov","dic")</f>
        <v>ene</v>
      </c>
      <c r="F22" s="7" t="str">
        <f aca="false">CHOOSE(C22,"enero","febrero","marzo","abril","mayo","junio","julio","agosto","septiembre","octubre","noviembre","diciembre")</f>
        <v>enero</v>
      </c>
      <c r="G22" s="7" t="str">
        <f aca="false">E22&amp;"-"&amp;RIGHT(B22,2)</f>
        <v>ene-23</v>
      </c>
    </row>
    <row r="23" customFormat="false" ht="15" hidden="false" customHeight="false" outlineLevel="0" collapsed="false">
      <c r="A23" s="8" t="n">
        <f aca="false">A22+1</f>
        <v>44948</v>
      </c>
      <c r="B23" s="7" t="n">
        <f aca="false">YEAR(A23)</f>
        <v>2023</v>
      </c>
      <c r="C23" s="7" t="n">
        <f aca="false">MONTH(A23)</f>
        <v>1</v>
      </c>
      <c r="D23" s="8" t="n">
        <f aca="false">DATE(B23,C23,1)</f>
        <v>44927</v>
      </c>
      <c r="E23" s="7" t="str">
        <f aca="false">CHOOSE(C23,"ene","feb","mar","abr","may","jun","jul","ago","sep","oct","nov","dic")</f>
        <v>ene</v>
      </c>
      <c r="F23" s="7" t="str">
        <f aca="false">CHOOSE(C23,"enero","febrero","marzo","abril","mayo","junio","julio","agosto","septiembre","octubre","noviembre","diciembre")</f>
        <v>enero</v>
      </c>
      <c r="G23" s="7" t="str">
        <f aca="false">E23&amp;"-"&amp;RIGHT(B23,2)</f>
        <v>ene-23</v>
      </c>
    </row>
    <row r="24" customFormat="false" ht="15" hidden="false" customHeight="false" outlineLevel="0" collapsed="false">
      <c r="A24" s="8" t="n">
        <f aca="false">A23+1</f>
        <v>44949</v>
      </c>
      <c r="B24" s="7" t="n">
        <f aca="false">YEAR(A24)</f>
        <v>2023</v>
      </c>
      <c r="C24" s="7" t="n">
        <f aca="false">MONTH(A24)</f>
        <v>1</v>
      </c>
      <c r="D24" s="8" t="n">
        <f aca="false">DATE(B24,C24,1)</f>
        <v>44927</v>
      </c>
      <c r="E24" s="7" t="str">
        <f aca="false">CHOOSE(C24,"ene","feb","mar","abr","may","jun","jul","ago","sep","oct","nov","dic")</f>
        <v>ene</v>
      </c>
      <c r="F24" s="7" t="str">
        <f aca="false">CHOOSE(C24,"enero","febrero","marzo","abril","mayo","junio","julio","agosto","septiembre","octubre","noviembre","diciembre")</f>
        <v>enero</v>
      </c>
      <c r="G24" s="7" t="str">
        <f aca="false">E24&amp;"-"&amp;RIGHT(B24,2)</f>
        <v>ene-23</v>
      </c>
    </row>
    <row r="25" customFormat="false" ht="15" hidden="false" customHeight="false" outlineLevel="0" collapsed="false">
      <c r="A25" s="8" t="n">
        <f aca="false">A24+1</f>
        <v>44950</v>
      </c>
      <c r="B25" s="7" t="n">
        <f aca="false">YEAR(A25)</f>
        <v>2023</v>
      </c>
      <c r="C25" s="7" t="n">
        <f aca="false">MONTH(A25)</f>
        <v>1</v>
      </c>
      <c r="D25" s="8" t="n">
        <f aca="false">DATE(B25,C25,1)</f>
        <v>44927</v>
      </c>
      <c r="E25" s="7" t="str">
        <f aca="false">CHOOSE(C25,"ene","feb","mar","abr","may","jun","jul","ago","sep","oct","nov","dic")</f>
        <v>ene</v>
      </c>
      <c r="F25" s="7" t="str">
        <f aca="false">CHOOSE(C25,"enero","febrero","marzo","abril","mayo","junio","julio","agosto","septiembre","octubre","noviembre","diciembre")</f>
        <v>enero</v>
      </c>
      <c r="G25" s="7" t="str">
        <f aca="false">E25&amp;"-"&amp;RIGHT(B25,2)</f>
        <v>ene-23</v>
      </c>
    </row>
    <row r="26" customFormat="false" ht="15" hidden="false" customHeight="false" outlineLevel="0" collapsed="false">
      <c r="A26" s="8" t="n">
        <f aca="false">A25+1</f>
        <v>44951</v>
      </c>
      <c r="B26" s="7" t="n">
        <f aca="false">YEAR(A26)</f>
        <v>2023</v>
      </c>
      <c r="C26" s="7" t="n">
        <f aca="false">MONTH(A26)</f>
        <v>1</v>
      </c>
      <c r="D26" s="8" t="n">
        <f aca="false">DATE(B26,C26,1)</f>
        <v>44927</v>
      </c>
      <c r="E26" s="7" t="str">
        <f aca="false">CHOOSE(C26,"ene","feb","mar","abr","may","jun","jul","ago","sep","oct","nov","dic")</f>
        <v>ene</v>
      </c>
      <c r="F26" s="7" t="str">
        <f aca="false">CHOOSE(C26,"enero","febrero","marzo","abril","mayo","junio","julio","agosto","septiembre","octubre","noviembre","diciembre")</f>
        <v>enero</v>
      </c>
      <c r="G26" s="7" t="str">
        <f aca="false">E26&amp;"-"&amp;RIGHT(B26,2)</f>
        <v>ene-23</v>
      </c>
    </row>
    <row r="27" customFormat="false" ht="15" hidden="false" customHeight="false" outlineLevel="0" collapsed="false">
      <c r="A27" s="8" t="n">
        <f aca="false">A26+1</f>
        <v>44952</v>
      </c>
      <c r="B27" s="7" t="n">
        <f aca="false">YEAR(A27)</f>
        <v>2023</v>
      </c>
      <c r="C27" s="7" t="n">
        <f aca="false">MONTH(A27)</f>
        <v>1</v>
      </c>
      <c r="D27" s="8" t="n">
        <f aca="false">DATE(B27,C27,1)</f>
        <v>44927</v>
      </c>
      <c r="E27" s="7" t="str">
        <f aca="false">CHOOSE(C27,"ene","feb","mar","abr","may","jun","jul","ago","sep","oct","nov","dic")</f>
        <v>ene</v>
      </c>
      <c r="F27" s="7" t="str">
        <f aca="false">CHOOSE(C27,"enero","febrero","marzo","abril","mayo","junio","julio","agosto","septiembre","octubre","noviembre","diciembre")</f>
        <v>enero</v>
      </c>
      <c r="G27" s="7" t="str">
        <f aca="false">E27&amp;"-"&amp;RIGHT(B27,2)</f>
        <v>ene-23</v>
      </c>
    </row>
    <row r="28" customFormat="false" ht="15" hidden="false" customHeight="false" outlineLevel="0" collapsed="false">
      <c r="A28" s="8" t="n">
        <f aca="false">A27+1</f>
        <v>44953</v>
      </c>
      <c r="B28" s="7" t="n">
        <f aca="false">YEAR(A28)</f>
        <v>2023</v>
      </c>
      <c r="C28" s="7" t="n">
        <f aca="false">MONTH(A28)</f>
        <v>1</v>
      </c>
      <c r="D28" s="8" t="n">
        <f aca="false">DATE(B28,C28,1)</f>
        <v>44927</v>
      </c>
      <c r="E28" s="7" t="str">
        <f aca="false">CHOOSE(C28,"ene","feb","mar","abr","may","jun","jul","ago","sep","oct","nov","dic")</f>
        <v>ene</v>
      </c>
      <c r="F28" s="7" t="str">
        <f aca="false">CHOOSE(C28,"enero","febrero","marzo","abril","mayo","junio","julio","agosto","septiembre","octubre","noviembre","diciembre")</f>
        <v>enero</v>
      </c>
      <c r="G28" s="7" t="str">
        <f aca="false">E28&amp;"-"&amp;RIGHT(B28,2)</f>
        <v>ene-23</v>
      </c>
    </row>
    <row r="29" customFormat="false" ht="15" hidden="false" customHeight="false" outlineLevel="0" collapsed="false">
      <c r="A29" s="8" t="n">
        <f aca="false">A28+1</f>
        <v>44954</v>
      </c>
      <c r="B29" s="7" t="n">
        <f aca="false">YEAR(A29)</f>
        <v>2023</v>
      </c>
      <c r="C29" s="7" t="n">
        <f aca="false">MONTH(A29)</f>
        <v>1</v>
      </c>
      <c r="D29" s="8" t="n">
        <f aca="false">DATE(B29,C29,1)</f>
        <v>44927</v>
      </c>
      <c r="E29" s="7" t="str">
        <f aca="false">CHOOSE(C29,"ene","feb","mar","abr","may","jun","jul","ago","sep","oct","nov","dic")</f>
        <v>ene</v>
      </c>
      <c r="F29" s="7" t="str">
        <f aca="false">CHOOSE(C29,"enero","febrero","marzo","abril","mayo","junio","julio","agosto","septiembre","octubre","noviembre","diciembre")</f>
        <v>enero</v>
      </c>
      <c r="G29" s="7" t="str">
        <f aca="false">E29&amp;"-"&amp;RIGHT(B29,2)</f>
        <v>ene-23</v>
      </c>
    </row>
    <row r="30" customFormat="false" ht="15" hidden="false" customHeight="false" outlineLevel="0" collapsed="false">
      <c r="A30" s="8" t="n">
        <f aca="false">A29+1</f>
        <v>44955</v>
      </c>
      <c r="B30" s="7" t="n">
        <f aca="false">YEAR(A30)</f>
        <v>2023</v>
      </c>
      <c r="C30" s="7" t="n">
        <f aca="false">MONTH(A30)</f>
        <v>1</v>
      </c>
      <c r="D30" s="8" t="n">
        <f aca="false">DATE(B30,C30,1)</f>
        <v>44927</v>
      </c>
      <c r="E30" s="7" t="str">
        <f aca="false">CHOOSE(C30,"ene","feb","mar","abr","may","jun","jul","ago","sep","oct","nov","dic")</f>
        <v>ene</v>
      </c>
      <c r="F30" s="7" t="str">
        <f aca="false">CHOOSE(C30,"enero","febrero","marzo","abril","mayo","junio","julio","agosto","septiembre","octubre","noviembre","diciembre")</f>
        <v>enero</v>
      </c>
      <c r="G30" s="7" t="str">
        <f aca="false">E30&amp;"-"&amp;RIGHT(B30,2)</f>
        <v>ene-23</v>
      </c>
    </row>
    <row r="31" customFormat="false" ht="15" hidden="false" customHeight="false" outlineLevel="0" collapsed="false">
      <c r="A31" s="8" t="n">
        <f aca="false">A30+1</f>
        <v>44956</v>
      </c>
      <c r="B31" s="7" t="n">
        <f aca="false">YEAR(A31)</f>
        <v>2023</v>
      </c>
      <c r="C31" s="7" t="n">
        <f aca="false">MONTH(A31)</f>
        <v>1</v>
      </c>
      <c r="D31" s="8" t="n">
        <f aca="false">DATE(B31,C31,1)</f>
        <v>44927</v>
      </c>
      <c r="E31" s="7" t="str">
        <f aca="false">CHOOSE(C31,"ene","feb","mar","abr","may","jun","jul","ago","sep","oct","nov","dic")</f>
        <v>ene</v>
      </c>
      <c r="F31" s="7" t="str">
        <f aca="false">CHOOSE(C31,"enero","febrero","marzo","abril","mayo","junio","julio","agosto","septiembre","octubre","noviembre","diciembre")</f>
        <v>enero</v>
      </c>
      <c r="G31" s="7" t="str">
        <f aca="false">E31&amp;"-"&amp;RIGHT(B31,2)</f>
        <v>ene-23</v>
      </c>
    </row>
    <row r="32" customFormat="false" ht="15" hidden="false" customHeight="false" outlineLevel="0" collapsed="false">
      <c r="A32" s="8" t="n">
        <f aca="false">A31+1</f>
        <v>44957</v>
      </c>
      <c r="B32" s="7" t="n">
        <f aca="false">YEAR(A32)</f>
        <v>2023</v>
      </c>
      <c r="C32" s="7" t="n">
        <f aca="false">MONTH(A32)</f>
        <v>1</v>
      </c>
      <c r="D32" s="8" t="n">
        <f aca="false">DATE(B32,C32,1)</f>
        <v>44927</v>
      </c>
      <c r="E32" s="7" t="str">
        <f aca="false">CHOOSE(C32,"ene","feb","mar","abr","may","jun","jul","ago","sep","oct","nov","dic")</f>
        <v>ene</v>
      </c>
      <c r="F32" s="7" t="str">
        <f aca="false">CHOOSE(C32,"enero","febrero","marzo","abril","mayo","junio","julio","agosto","septiembre","octubre","noviembre","diciembre")</f>
        <v>enero</v>
      </c>
      <c r="G32" s="7" t="str">
        <f aca="false">E32&amp;"-"&amp;RIGHT(B32,2)</f>
        <v>ene-23</v>
      </c>
    </row>
    <row r="33" customFormat="false" ht="15" hidden="false" customHeight="false" outlineLevel="0" collapsed="false">
      <c r="A33" s="8" t="n">
        <f aca="false">A32+1</f>
        <v>44958</v>
      </c>
      <c r="B33" s="7" t="n">
        <f aca="false">YEAR(A33)</f>
        <v>2023</v>
      </c>
      <c r="C33" s="7" t="n">
        <f aca="false">MONTH(A33)</f>
        <v>2</v>
      </c>
      <c r="D33" s="8" t="n">
        <f aca="false">DATE(B33,C33,1)</f>
        <v>44958</v>
      </c>
      <c r="E33" s="7" t="str">
        <f aca="false">CHOOSE(C33,"ene","feb","mar","abr","may","jun","jul","ago","sep","oct","nov","dic")</f>
        <v>feb</v>
      </c>
      <c r="F33" s="7" t="str">
        <f aca="false">CHOOSE(C33,"enero","febrero","marzo","abril","mayo","junio","julio","agosto","septiembre","octubre","noviembre","diciembre")</f>
        <v>febrero</v>
      </c>
      <c r="G33" s="7" t="str">
        <f aca="false">E33&amp;"-"&amp;RIGHT(B33,2)</f>
        <v>feb-23</v>
      </c>
    </row>
    <row r="34" customFormat="false" ht="15" hidden="false" customHeight="false" outlineLevel="0" collapsed="false">
      <c r="A34" s="8" t="n">
        <f aca="false">A33+1</f>
        <v>44959</v>
      </c>
      <c r="B34" s="7" t="n">
        <f aca="false">YEAR(A34)</f>
        <v>2023</v>
      </c>
      <c r="C34" s="7" t="n">
        <f aca="false">MONTH(A34)</f>
        <v>2</v>
      </c>
      <c r="D34" s="8" t="n">
        <f aca="false">DATE(B34,C34,1)</f>
        <v>44958</v>
      </c>
      <c r="E34" s="7" t="str">
        <f aca="false">CHOOSE(C34,"ene","feb","mar","abr","may","jun","jul","ago","sep","oct","nov","dic")</f>
        <v>feb</v>
      </c>
      <c r="F34" s="7" t="str">
        <f aca="false">CHOOSE(C34,"enero","febrero","marzo","abril","mayo","junio","julio","agosto","septiembre","octubre","noviembre","diciembre")</f>
        <v>febrero</v>
      </c>
      <c r="G34" s="7" t="str">
        <f aca="false">E34&amp;"-"&amp;RIGHT(B34,2)</f>
        <v>feb-23</v>
      </c>
    </row>
    <row r="35" customFormat="false" ht="15" hidden="false" customHeight="false" outlineLevel="0" collapsed="false">
      <c r="A35" s="8" t="n">
        <f aca="false">A34+1</f>
        <v>44960</v>
      </c>
      <c r="B35" s="7" t="n">
        <f aca="false">YEAR(A35)</f>
        <v>2023</v>
      </c>
      <c r="C35" s="7" t="n">
        <f aca="false">MONTH(A35)</f>
        <v>2</v>
      </c>
      <c r="D35" s="8" t="n">
        <f aca="false">DATE(B35,C35,1)</f>
        <v>44958</v>
      </c>
      <c r="E35" s="7" t="str">
        <f aca="false">CHOOSE(C35,"ene","feb","mar","abr","may","jun","jul","ago","sep","oct","nov","dic")</f>
        <v>feb</v>
      </c>
      <c r="F35" s="7" t="str">
        <f aca="false">CHOOSE(C35,"enero","febrero","marzo","abril","mayo","junio","julio","agosto","septiembre","octubre","noviembre","diciembre")</f>
        <v>febrero</v>
      </c>
      <c r="G35" s="7" t="str">
        <f aca="false">E35&amp;"-"&amp;RIGHT(B35,2)</f>
        <v>feb-23</v>
      </c>
    </row>
    <row r="36" customFormat="false" ht="15" hidden="false" customHeight="false" outlineLevel="0" collapsed="false">
      <c r="A36" s="8" t="n">
        <f aca="false">A35+1</f>
        <v>44961</v>
      </c>
      <c r="B36" s="7" t="n">
        <f aca="false">YEAR(A36)</f>
        <v>2023</v>
      </c>
      <c r="C36" s="7" t="n">
        <f aca="false">MONTH(A36)</f>
        <v>2</v>
      </c>
      <c r="D36" s="8" t="n">
        <f aca="false">DATE(B36,C36,1)</f>
        <v>44958</v>
      </c>
      <c r="E36" s="7" t="str">
        <f aca="false">CHOOSE(C36,"ene","feb","mar","abr","may","jun","jul","ago","sep","oct","nov","dic")</f>
        <v>feb</v>
      </c>
      <c r="F36" s="7" t="str">
        <f aca="false">CHOOSE(C36,"enero","febrero","marzo","abril","mayo","junio","julio","agosto","septiembre","octubre","noviembre","diciembre")</f>
        <v>febrero</v>
      </c>
      <c r="G36" s="7" t="str">
        <f aca="false">E36&amp;"-"&amp;RIGHT(B36,2)</f>
        <v>feb-23</v>
      </c>
    </row>
    <row r="37" customFormat="false" ht="15" hidden="false" customHeight="false" outlineLevel="0" collapsed="false">
      <c r="A37" s="8" t="n">
        <f aca="false">A36+1</f>
        <v>44962</v>
      </c>
      <c r="B37" s="7" t="n">
        <f aca="false">YEAR(A37)</f>
        <v>2023</v>
      </c>
      <c r="C37" s="7" t="n">
        <f aca="false">MONTH(A37)</f>
        <v>2</v>
      </c>
      <c r="D37" s="8" t="n">
        <f aca="false">DATE(B37,C37,1)</f>
        <v>44958</v>
      </c>
      <c r="E37" s="7" t="str">
        <f aca="false">CHOOSE(C37,"ene","feb","mar","abr","may","jun","jul","ago","sep","oct","nov","dic")</f>
        <v>feb</v>
      </c>
      <c r="F37" s="7" t="str">
        <f aca="false">CHOOSE(C37,"enero","febrero","marzo","abril","mayo","junio","julio","agosto","septiembre","octubre","noviembre","diciembre")</f>
        <v>febrero</v>
      </c>
      <c r="G37" s="7" t="str">
        <f aca="false">E37&amp;"-"&amp;RIGHT(B37,2)</f>
        <v>feb-23</v>
      </c>
    </row>
    <row r="38" customFormat="false" ht="15" hidden="false" customHeight="false" outlineLevel="0" collapsed="false">
      <c r="A38" s="8" t="n">
        <f aca="false">A37+1</f>
        <v>44963</v>
      </c>
      <c r="B38" s="7" t="n">
        <f aca="false">YEAR(A38)</f>
        <v>2023</v>
      </c>
      <c r="C38" s="7" t="n">
        <f aca="false">MONTH(A38)</f>
        <v>2</v>
      </c>
      <c r="D38" s="8" t="n">
        <f aca="false">DATE(B38,C38,1)</f>
        <v>44958</v>
      </c>
      <c r="E38" s="7" t="str">
        <f aca="false">CHOOSE(C38,"ene","feb","mar","abr","may","jun","jul","ago","sep","oct","nov","dic")</f>
        <v>feb</v>
      </c>
      <c r="F38" s="7" t="str">
        <f aca="false">CHOOSE(C38,"enero","febrero","marzo","abril","mayo","junio","julio","agosto","septiembre","octubre","noviembre","diciembre")</f>
        <v>febrero</v>
      </c>
      <c r="G38" s="7" t="str">
        <f aca="false">E38&amp;"-"&amp;RIGHT(B38,2)</f>
        <v>feb-23</v>
      </c>
    </row>
    <row r="39" customFormat="false" ht="15" hidden="false" customHeight="false" outlineLevel="0" collapsed="false">
      <c r="A39" s="8" t="n">
        <f aca="false">A38+1</f>
        <v>44964</v>
      </c>
      <c r="B39" s="7" t="n">
        <f aca="false">YEAR(A39)</f>
        <v>2023</v>
      </c>
      <c r="C39" s="7" t="n">
        <f aca="false">MONTH(A39)</f>
        <v>2</v>
      </c>
      <c r="D39" s="8" t="n">
        <f aca="false">DATE(B39,C39,1)</f>
        <v>44958</v>
      </c>
      <c r="E39" s="7" t="str">
        <f aca="false">CHOOSE(C39,"ene","feb","mar","abr","may","jun","jul","ago","sep","oct","nov","dic")</f>
        <v>feb</v>
      </c>
      <c r="F39" s="7" t="str">
        <f aca="false">CHOOSE(C39,"enero","febrero","marzo","abril","mayo","junio","julio","agosto","septiembre","octubre","noviembre","diciembre")</f>
        <v>febrero</v>
      </c>
      <c r="G39" s="7" t="str">
        <f aca="false">E39&amp;"-"&amp;RIGHT(B39,2)</f>
        <v>feb-23</v>
      </c>
    </row>
    <row r="40" customFormat="false" ht="15" hidden="false" customHeight="false" outlineLevel="0" collapsed="false">
      <c r="A40" s="8" t="n">
        <f aca="false">A39+1</f>
        <v>44965</v>
      </c>
      <c r="B40" s="7" t="n">
        <f aca="false">YEAR(A40)</f>
        <v>2023</v>
      </c>
      <c r="C40" s="7" t="n">
        <f aca="false">MONTH(A40)</f>
        <v>2</v>
      </c>
      <c r="D40" s="8" t="n">
        <f aca="false">DATE(B40,C40,1)</f>
        <v>44958</v>
      </c>
      <c r="E40" s="7" t="str">
        <f aca="false">CHOOSE(C40,"ene","feb","mar","abr","may","jun","jul","ago","sep","oct","nov","dic")</f>
        <v>feb</v>
      </c>
      <c r="F40" s="7" t="str">
        <f aca="false">CHOOSE(C40,"enero","febrero","marzo","abril","mayo","junio","julio","agosto","septiembre","octubre","noviembre","diciembre")</f>
        <v>febrero</v>
      </c>
      <c r="G40" s="7" t="str">
        <f aca="false">E40&amp;"-"&amp;RIGHT(B40,2)</f>
        <v>feb-23</v>
      </c>
    </row>
    <row r="41" customFormat="false" ht="15" hidden="false" customHeight="false" outlineLevel="0" collapsed="false">
      <c r="A41" s="8" t="n">
        <f aca="false">A40+1</f>
        <v>44966</v>
      </c>
      <c r="B41" s="7" t="n">
        <f aca="false">YEAR(A41)</f>
        <v>2023</v>
      </c>
      <c r="C41" s="7" t="n">
        <f aca="false">MONTH(A41)</f>
        <v>2</v>
      </c>
      <c r="D41" s="8" t="n">
        <f aca="false">DATE(B41,C41,1)</f>
        <v>44958</v>
      </c>
      <c r="E41" s="7" t="str">
        <f aca="false">CHOOSE(C41,"ene","feb","mar","abr","may","jun","jul","ago","sep","oct","nov","dic")</f>
        <v>feb</v>
      </c>
      <c r="F41" s="7" t="str">
        <f aca="false">CHOOSE(C41,"enero","febrero","marzo","abril","mayo","junio","julio","agosto","septiembre","octubre","noviembre","diciembre")</f>
        <v>febrero</v>
      </c>
      <c r="G41" s="7" t="str">
        <f aca="false">E41&amp;"-"&amp;RIGHT(B41,2)</f>
        <v>feb-23</v>
      </c>
    </row>
    <row r="42" customFormat="false" ht="15" hidden="false" customHeight="false" outlineLevel="0" collapsed="false">
      <c r="A42" s="8" t="n">
        <f aca="false">A41+1</f>
        <v>44967</v>
      </c>
      <c r="B42" s="7" t="n">
        <f aca="false">YEAR(A42)</f>
        <v>2023</v>
      </c>
      <c r="C42" s="7" t="n">
        <f aca="false">MONTH(A42)</f>
        <v>2</v>
      </c>
      <c r="D42" s="8" t="n">
        <f aca="false">DATE(B42,C42,1)</f>
        <v>44958</v>
      </c>
      <c r="E42" s="7" t="str">
        <f aca="false">CHOOSE(C42,"ene","feb","mar","abr","may","jun","jul","ago","sep","oct","nov","dic")</f>
        <v>feb</v>
      </c>
      <c r="F42" s="7" t="str">
        <f aca="false">CHOOSE(C42,"enero","febrero","marzo","abril","mayo","junio","julio","agosto","septiembre","octubre","noviembre","diciembre")</f>
        <v>febrero</v>
      </c>
      <c r="G42" s="7" t="str">
        <f aca="false">E42&amp;"-"&amp;RIGHT(B42,2)</f>
        <v>feb-23</v>
      </c>
    </row>
    <row r="43" customFormat="false" ht="15" hidden="false" customHeight="false" outlineLevel="0" collapsed="false">
      <c r="A43" s="8" t="n">
        <f aca="false">A42+1</f>
        <v>44968</v>
      </c>
      <c r="B43" s="7" t="n">
        <f aca="false">YEAR(A43)</f>
        <v>2023</v>
      </c>
      <c r="C43" s="7" t="n">
        <f aca="false">MONTH(A43)</f>
        <v>2</v>
      </c>
      <c r="D43" s="8" t="n">
        <f aca="false">DATE(B43,C43,1)</f>
        <v>44958</v>
      </c>
      <c r="E43" s="7" t="str">
        <f aca="false">CHOOSE(C43,"ene","feb","mar","abr","may","jun","jul","ago","sep","oct","nov","dic")</f>
        <v>feb</v>
      </c>
      <c r="F43" s="7" t="str">
        <f aca="false">CHOOSE(C43,"enero","febrero","marzo","abril","mayo","junio","julio","agosto","septiembre","octubre","noviembre","diciembre")</f>
        <v>febrero</v>
      </c>
      <c r="G43" s="7" t="str">
        <f aca="false">E43&amp;"-"&amp;RIGHT(B43,2)</f>
        <v>feb-23</v>
      </c>
    </row>
    <row r="44" customFormat="false" ht="15" hidden="false" customHeight="false" outlineLevel="0" collapsed="false">
      <c r="A44" s="8" t="n">
        <f aca="false">A43+1</f>
        <v>44969</v>
      </c>
      <c r="B44" s="7" t="n">
        <f aca="false">YEAR(A44)</f>
        <v>2023</v>
      </c>
      <c r="C44" s="7" t="n">
        <f aca="false">MONTH(A44)</f>
        <v>2</v>
      </c>
      <c r="D44" s="8" t="n">
        <f aca="false">DATE(B44,C44,1)</f>
        <v>44958</v>
      </c>
      <c r="E44" s="7" t="str">
        <f aca="false">CHOOSE(C44,"ene","feb","mar","abr","may","jun","jul","ago","sep","oct","nov","dic")</f>
        <v>feb</v>
      </c>
      <c r="F44" s="7" t="str">
        <f aca="false">CHOOSE(C44,"enero","febrero","marzo","abril","mayo","junio","julio","agosto","septiembre","octubre","noviembre","diciembre")</f>
        <v>febrero</v>
      </c>
      <c r="G44" s="7" t="str">
        <f aca="false">E44&amp;"-"&amp;RIGHT(B44,2)</f>
        <v>feb-23</v>
      </c>
    </row>
    <row r="45" customFormat="false" ht="15" hidden="false" customHeight="false" outlineLevel="0" collapsed="false">
      <c r="A45" s="8" t="n">
        <f aca="false">A44+1</f>
        <v>44970</v>
      </c>
      <c r="B45" s="7" t="n">
        <f aca="false">YEAR(A45)</f>
        <v>2023</v>
      </c>
      <c r="C45" s="7" t="n">
        <f aca="false">MONTH(A45)</f>
        <v>2</v>
      </c>
      <c r="D45" s="8" t="n">
        <f aca="false">DATE(B45,C45,1)</f>
        <v>44958</v>
      </c>
      <c r="E45" s="7" t="str">
        <f aca="false">CHOOSE(C45,"ene","feb","mar","abr","may","jun","jul","ago","sep","oct","nov","dic")</f>
        <v>feb</v>
      </c>
      <c r="F45" s="7" t="str">
        <f aca="false">CHOOSE(C45,"enero","febrero","marzo","abril","mayo","junio","julio","agosto","septiembre","octubre","noviembre","diciembre")</f>
        <v>febrero</v>
      </c>
      <c r="G45" s="7" t="str">
        <f aca="false">E45&amp;"-"&amp;RIGHT(B45,2)</f>
        <v>feb-23</v>
      </c>
    </row>
    <row r="46" customFormat="false" ht="15" hidden="false" customHeight="false" outlineLevel="0" collapsed="false">
      <c r="A46" s="8" t="n">
        <f aca="false">A45+1</f>
        <v>44971</v>
      </c>
      <c r="B46" s="7" t="n">
        <f aca="false">YEAR(A46)</f>
        <v>2023</v>
      </c>
      <c r="C46" s="7" t="n">
        <f aca="false">MONTH(A46)</f>
        <v>2</v>
      </c>
      <c r="D46" s="8" t="n">
        <f aca="false">DATE(B46,C46,1)</f>
        <v>44958</v>
      </c>
      <c r="E46" s="7" t="str">
        <f aca="false">CHOOSE(C46,"ene","feb","mar","abr","may","jun","jul","ago","sep","oct","nov","dic")</f>
        <v>feb</v>
      </c>
      <c r="F46" s="7" t="str">
        <f aca="false">CHOOSE(C46,"enero","febrero","marzo","abril","mayo","junio","julio","agosto","septiembre","octubre","noviembre","diciembre")</f>
        <v>febrero</v>
      </c>
      <c r="G46" s="7" t="str">
        <f aca="false">E46&amp;"-"&amp;RIGHT(B46,2)</f>
        <v>feb-23</v>
      </c>
    </row>
    <row r="47" customFormat="false" ht="15" hidden="false" customHeight="false" outlineLevel="0" collapsed="false">
      <c r="A47" s="8" t="n">
        <f aca="false">A46+1</f>
        <v>44972</v>
      </c>
      <c r="B47" s="7" t="n">
        <f aca="false">YEAR(A47)</f>
        <v>2023</v>
      </c>
      <c r="C47" s="7" t="n">
        <f aca="false">MONTH(A47)</f>
        <v>2</v>
      </c>
      <c r="D47" s="8" t="n">
        <f aca="false">DATE(B47,C47,1)</f>
        <v>44958</v>
      </c>
      <c r="E47" s="7" t="str">
        <f aca="false">CHOOSE(C47,"ene","feb","mar","abr","may","jun","jul","ago","sep","oct","nov","dic")</f>
        <v>feb</v>
      </c>
      <c r="F47" s="7" t="str">
        <f aca="false">CHOOSE(C47,"enero","febrero","marzo","abril","mayo","junio","julio","agosto","septiembre","octubre","noviembre","diciembre")</f>
        <v>febrero</v>
      </c>
      <c r="G47" s="7" t="str">
        <f aca="false">E47&amp;"-"&amp;RIGHT(B47,2)</f>
        <v>feb-23</v>
      </c>
    </row>
    <row r="48" customFormat="false" ht="15" hidden="false" customHeight="false" outlineLevel="0" collapsed="false">
      <c r="A48" s="8" t="n">
        <f aca="false">A47+1</f>
        <v>44973</v>
      </c>
      <c r="B48" s="7" t="n">
        <f aca="false">YEAR(A48)</f>
        <v>2023</v>
      </c>
      <c r="C48" s="7" t="n">
        <f aca="false">MONTH(A48)</f>
        <v>2</v>
      </c>
      <c r="D48" s="8" t="n">
        <f aca="false">DATE(B48,C48,1)</f>
        <v>44958</v>
      </c>
      <c r="E48" s="7" t="str">
        <f aca="false">CHOOSE(C48,"ene","feb","mar","abr","may","jun","jul","ago","sep","oct","nov","dic")</f>
        <v>feb</v>
      </c>
      <c r="F48" s="7" t="str">
        <f aca="false">CHOOSE(C48,"enero","febrero","marzo","abril","mayo","junio","julio","agosto","septiembre","octubre","noviembre","diciembre")</f>
        <v>febrero</v>
      </c>
      <c r="G48" s="7" t="str">
        <f aca="false">E48&amp;"-"&amp;RIGHT(B48,2)</f>
        <v>feb-23</v>
      </c>
    </row>
    <row r="49" customFormat="false" ht="15" hidden="false" customHeight="false" outlineLevel="0" collapsed="false">
      <c r="A49" s="8" t="n">
        <f aca="false">A48+1</f>
        <v>44974</v>
      </c>
      <c r="B49" s="7" t="n">
        <f aca="false">YEAR(A49)</f>
        <v>2023</v>
      </c>
      <c r="C49" s="7" t="n">
        <f aca="false">MONTH(A49)</f>
        <v>2</v>
      </c>
      <c r="D49" s="8" t="n">
        <f aca="false">DATE(B49,C49,1)</f>
        <v>44958</v>
      </c>
      <c r="E49" s="7" t="str">
        <f aca="false">CHOOSE(C49,"ene","feb","mar","abr","may","jun","jul","ago","sep","oct","nov","dic")</f>
        <v>feb</v>
      </c>
      <c r="F49" s="7" t="str">
        <f aca="false">CHOOSE(C49,"enero","febrero","marzo","abril","mayo","junio","julio","agosto","septiembre","octubre","noviembre","diciembre")</f>
        <v>febrero</v>
      </c>
      <c r="G49" s="7" t="str">
        <f aca="false">E49&amp;"-"&amp;RIGHT(B49,2)</f>
        <v>feb-23</v>
      </c>
    </row>
    <row r="50" customFormat="false" ht="15" hidden="false" customHeight="false" outlineLevel="0" collapsed="false">
      <c r="A50" s="8" t="n">
        <f aca="false">A49+1</f>
        <v>44975</v>
      </c>
      <c r="B50" s="7" t="n">
        <f aca="false">YEAR(A50)</f>
        <v>2023</v>
      </c>
      <c r="C50" s="7" t="n">
        <f aca="false">MONTH(A50)</f>
        <v>2</v>
      </c>
      <c r="D50" s="8" t="n">
        <f aca="false">DATE(B50,C50,1)</f>
        <v>44958</v>
      </c>
      <c r="E50" s="7" t="str">
        <f aca="false">CHOOSE(C50,"ene","feb","mar","abr","may","jun","jul","ago","sep","oct","nov","dic")</f>
        <v>feb</v>
      </c>
      <c r="F50" s="7" t="str">
        <f aca="false">CHOOSE(C50,"enero","febrero","marzo","abril","mayo","junio","julio","agosto","septiembre","octubre","noviembre","diciembre")</f>
        <v>febrero</v>
      </c>
      <c r="G50" s="7" t="str">
        <f aca="false">E50&amp;"-"&amp;RIGHT(B50,2)</f>
        <v>feb-23</v>
      </c>
    </row>
    <row r="51" customFormat="false" ht="15" hidden="false" customHeight="false" outlineLevel="0" collapsed="false">
      <c r="A51" s="8" t="n">
        <f aca="false">A50+1</f>
        <v>44976</v>
      </c>
      <c r="B51" s="7" t="n">
        <f aca="false">YEAR(A51)</f>
        <v>2023</v>
      </c>
      <c r="C51" s="7" t="n">
        <f aca="false">MONTH(A51)</f>
        <v>2</v>
      </c>
      <c r="D51" s="8" t="n">
        <f aca="false">DATE(B51,C51,1)</f>
        <v>44958</v>
      </c>
      <c r="E51" s="7" t="str">
        <f aca="false">CHOOSE(C51,"ene","feb","mar","abr","may","jun","jul","ago","sep","oct","nov","dic")</f>
        <v>feb</v>
      </c>
      <c r="F51" s="7" t="str">
        <f aca="false">CHOOSE(C51,"enero","febrero","marzo","abril","mayo","junio","julio","agosto","septiembre","octubre","noviembre","diciembre")</f>
        <v>febrero</v>
      </c>
      <c r="G51" s="7" t="str">
        <f aca="false">E51&amp;"-"&amp;RIGHT(B51,2)</f>
        <v>feb-23</v>
      </c>
    </row>
    <row r="52" customFormat="false" ht="15" hidden="false" customHeight="false" outlineLevel="0" collapsed="false">
      <c r="A52" s="8" t="n">
        <f aca="false">A51+1</f>
        <v>44977</v>
      </c>
      <c r="B52" s="7" t="n">
        <f aca="false">YEAR(A52)</f>
        <v>2023</v>
      </c>
      <c r="C52" s="7" t="n">
        <f aca="false">MONTH(A52)</f>
        <v>2</v>
      </c>
      <c r="D52" s="8" t="n">
        <f aca="false">DATE(B52,C52,1)</f>
        <v>44958</v>
      </c>
      <c r="E52" s="7" t="str">
        <f aca="false">CHOOSE(C52,"ene","feb","mar","abr","may","jun","jul","ago","sep","oct","nov","dic")</f>
        <v>feb</v>
      </c>
      <c r="F52" s="7" t="str">
        <f aca="false">CHOOSE(C52,"enero","febrero","marzo","abril","mayo","junio","julio","agosto","septiembre","octubre","noviembre","diciembre")</f>
        <v>febrero</v>
      </c>
      <c r="G52" s="7" t="str">
        <f aca="false">E52&amp;"-"&amp;RIGHT(B52,2)</f>
        <v>feb-23</v>
      </c>
    </row>
    <row r="53" customFormat="false" ht="15" hidden="false" customHeight="false" outlineLevel="0" collapsed="false">
      <c r="A53" s="8" t="n">
        <f aca="false">A52+1</f>
        <v>44978</v>
      </c>
      <c r="B53" s="7" t="n">
        <f aca="false">YEAR(A53)</f>
        <v>2023</v>
      </c>
      <c r="C53" s="7" t="n">
        <f aca="false">MONTH(A53)</f>
        <v>2</v>
      </c>
      <c r="D53" s="8" t="n">
        <f aca="false">DATE(B53,C53,1)</f>
        <v>44958</v>
      </c>
      <c r="E53" s="7" t="str">
        <f aca="false">CHOOSE(C53,"ene","feb","mar","abr","may","jun","jul","ago","sep","oct","nov","dic")</f>
        <v>feb</v>
      </c>
      <c r="F53" s="7" t="str">
        <f aca="false">CHOOSE(C53,"enero","febrero","marzo","abril","mayo","junio","julio","agosto","septiembre","octubre","noviembre","diciembre")</f>
        <v>febrero</v>
      </c>
      <c r="G53" s="7" t="str">
        <f aca="false">E53&amp;"-"&amp;RIGHT(B53,2)</f>
        <v>feb-23</v>
      </c>
    </row>
    <row r="54" customFormat="false" ht="15" hidden="false" customHeight="false" outlineLevel="0" collapsed="false">
      <c r="A54" s="8" t="n">
        <f aca="false">A53+1</f>
        <v>44979</v>
      </c>
      <c r="B54" s="7" t="n">
        <f aca="false">YEAR(A54)</f>
        <v>2023</v>
      </c>
      <c r="C54" s="7" t="n">
        <f aca="false">MONTH(A54)</f>
        <v>2</v>
      </c>
      <c r="D54" s="8" t="n">
        <f aca="false">DATE(B54,C54,1)</f>
        <v>44958</v>
      </c>
      <c r="E54" s="7" t="str">
        <f aca="false">CHOOSE(C54,"ene","feb","mar","abr","may","jun","jul","ago","sep","oct","nov","dic")</f>
        <v>feb</v>
      </c>
      <c r="F54" s="7" t="str">
        <f aca="false">CHOOSE(C54,"enero","febrero","marzo","abril","mayo","junio","julio","agosto","septiembre","octubre","noviembre","diciembre")</f>
        <v>febrero</v>
      </c>
      <c r="G54" s="7" t="str">
        <f aca="false">E54&amp;"-"&amp;RIGHT(B54,2)</f>
        <v>feb-23</v>
      </c>
    </row>
    <row r="55" customFormat="false" ht="15" hidden="false" customHeight="false" outlineLevel="0" collapsed="false">
      <c r="A55" s="8" t="n">
        <f aca="false">A54+1</f>
        <v>44980</v>
      </c>
      <c r="B55" s="7" t="n">
        <f aca="false">YEAR(A55)</f>
        <v>2023</v>
      </c>
      <c r="C55" s="7" t="n">
        <f aca="false">MONTH(A55)</f>
        <v>2</v>
      </c>
      <c r="D55" s="8" t="n">
        <f aca="false">DATE(B55,C55,1)</f>
        <v>44958</v>
      </c>
      <c r="E55" s="7" t="str">
        <f aca="false">CHOOSE(C55,"ene","feb","mar","abr","may","jun","jul","ago","sep","oct","nov","dic")</f>
        <v>feb</v>
      </c>
      <c r="F55" s="7" t="str">
        <f aca="false">CHOOSE(C55,"enero","febrero","marzo","abril","mayo","junio","julio","agosto","septiembre","octubre","noviembre","diciembre")</f>
        <v>febrero</v>
      </c>
      <c r="G55" s="7" t="str">
        <f aca="false">E55&amp;"-"&amp;RIGHT(B55,2)</f>
        <v>feb-23</v>
      </c>
    </row>
    <row r="56" customFormat="false" ht="15" hidden="false" customHeight="false" outlineLevel="0" collapsed="false">
      <c r="A56" s="8" t="n">
        <f aca="false">A55+1</f>
        <v>44981</v>
      </c>
      <c r="B56" s="7" t="n">
        <f aca="false">YEAR(A56)</f>
        <v>2023</v>
      </c>
      <c r="C56" s="7" t="n">
        <f aca="false">MONTH(A56)</f>
        <v>2</v>
      </c>
      <c r="D56" s="8" t="n">
        <f aca="false">DATE(B56,C56,1)</f>
        <v>44958</v>
      </c>
      <c r="E56" s="7" t="str">
        <f aca="false">CHOOSE(C56,"ene","feb","mar","abr","may","jun","jul","ago","sep","oct","nov","dic")</f>
        <v>feb</v>
      </c>
      <c r="F56" s="7" t="str">
        <f aca="false">CHOOSE(C56,"enero","febrero","marzo","abril","mayo","junio","julio","agosto","septiembre","octubre","noviembre","diciembre")</f>
        <v>febrero</v>
      </c>
      <c r="G56" s="7" t="str">
        <f aca="false">E56&amp;"-"&amp;RIGHT(B56,2)</f>
        <v>feb-23</v>
      </c>
    </row>
    <row r="57" customFormat="false" ht="15" hidden="false" customHeight="false" outlineLevel="0" collapsed="false">
      <c r="A57" s="8" t="n">
        <f aca="false">A56+1</f>
        <v>44982</v>
      </c>
      <c r="B57" s="7" t="n">
        <f aca="false">YEAR(A57)</f>
        <v>2023</v>
      </c>
      <c r="C57" s="7" t="n">
        <f aca="false">MONTH(A57)</f>
        <v>2</v>
      </c>
      <c r="D57" s="8" t="n">
        <f aca="false">DATE(B57,C57,1)</f>
        <v>44958</v>
      </c>
      <c r="E57" s="7" t="str">
        <f aca="false">CHOOSE(C57,"ene","feb","mar","abr","may","jun","jul","ago","sep","oct","nov","dic")</f>
        <v>feb</v>
      </c>
      <c r="F57" s="7" t="str">
        <f aca="false">CHOOSE(C57,"enero","febrero","marzo","abril","mayo","junio","julio","agosto","septiembre","octubre","noviembre","diciembre")</f>
        <v>febrero</v>
      </c>
      <c r="G57" s="7" t="str">
        <f aca="false">E57&amp;"-"&amp;RIGHT(B57,2)</f>
        <v>feb-23</v>
      </c>
    </row>
    <row r="58" customFormat="false" ht="15" hidden="false" customHeight="false" outlineLevel="0" collapsed="false">
      <c r="A58" s="8" t="n">
        <f aca="false">A57+1</f>
        <v>44983</v>
      </c>
      <c r="B58" s="7" t="n">
        <f aca="false">YEAR(A58)</f>
        <v>2023</v>
      </c>
      <c r="C58" s="7" t="n">
        <f aca="false">MONTH(A58)</f>
        <v>2</v>
      </c>
      <c r="D58" s="8" t="n">
        <f aca="false">DATE(B58,C58,1)</f>
        <v>44958</v>
      </c>
      <c r="E58" s="7" t="str">
        <f aca="false">CHOOSE(C58,"ene","feb","mar","abr","may","jun","jul","ago","sep","oct","nov","dic")</f>
        <v>feb</v>
      </c>
      <c r="F58" s="7" t="str">
        <f aca="false">CHOOSE(C58,"enero","febrero","marzo","abril","mayo","junio","julio","agosto","septiembre","octubre","noviembre","diciembre")</f>
        <v>febrero</v>
      </c>
      <c r="G58" s="7" t="str">
        <f aca="false">E58&amp;"-"&amp;RIGHT(B58,2)</f>
        <v>feb-23</v>
      </c>
    </row>
    <row r="59" customFormat="false" ht="15" hidden="false" customHeight="false" outlineLevel="0" collapsed="false">
      <c r="A59" s="8" t="n">
        <f aca="false">A58+1</f>
        <v>44984</v>
      </c>
      <c r="B59" s="7" t="n">
        <f aca="false">YEAR(A59)</f>
        <v>2023</v>
      </c>
      <c r="C59" s="7" t="n">
        <f aca="false">MONTH(A59)</f>
        <v>2</v>
      </c>
      <c r="D59" s="8" t="n">
        <f aca="false">DATE(B59,C59,1)</f>
        <v>44958</v>
      </c>
      <c r="E59" s="7" t="str">
        <f aca="false">CHOOSE(C59,"ene","feb","mar","abr","may","jun","jul","ago","sep","oct","nov","dic")</f>
        <v>feb</v>
      </c>
      <c r="F59" s="7" t="str">
        <f aca="false">CHOOSE(C59,"enero","febrero","marzo","abril","mayo","junio","julio","agosto","septiembre","octubre","noviembre","diciembre")</f>
        <v>febrero</v>
      </c>
      <c r="G59" s="7" t="str">
        <f aca="false">E59&amp;"-"&amp;RIGHT(B59,2)</f>
        <v>feb-23</v>
      </c>
    </row>
    <row r="60" customFormat="false" ht="15" hidden="false" customHeight="false" outlineLevel="0" collapsed="false">
      <c r="A60" s="8" t="n">
        <f aca="false">A59+1</f>
        <v>44985</v>
      </c>
      <c r="B60" s="7" t="n">
        <f aca="false">YEAR(A60)</f>
        <v>2023</v>
      </c>
      <c r="C60" s="7" t="n">
        <f aca="false">MONTH(A60)</f>
        <v>2</v>
      </c>
      <c r="D60" s="8" t="n">
        <f aca="false">DATE(B60,C60,1)</f>
        <v>44958</v>
      </c>
      <c r="E60" s="7" t="str">
        <f aca="false">CHOOSE(C60,"ene","feb","mar","abr","may","jun","jul","ago","sep","oct","nov","dic")</f>
        <v>feb</v>
      </c>
      <c r="F60" s="7" t="str">
        <f aca="false">CHOOSE(C60,"enero","febrero","marzo","abril","mayo","junio","julio","agosto","septiembre","octubre","noviembre","diciembre")</f>
        <v>febrero</v>
      </c>
      <c r="G60" s="7" t="str">
        <f aca="false">E60&amp;"-"&amp;RIGHT(B60,2)</f>
        <v>feb-23</v>
      </c>
    </row>
    <row r="61" customFormat="false" ht="15" hidden="false" customHeight="false" outlineLevel="0" collapsed="false">
      <c r="A61" s="8" t="n">
        <f aca="false">A60+1</f>
        <v>44986</v>
      </c>
      <c r="B61" s="7" t="n">
        <f aca="false">YEAR(A61)</f>
        <v>2023</v>
      </c>
      <c r="C61" s="7" t="n">
        <f aca="false">MONTH(A61)</f>
        <v>3</v>
      </c>
      <c r="D61" s="8" t="n">
        <f aca="false">DATE(B61,C61,1)</f>
        <v>44986</v>
      </c>
      <c r="E61" s="7" t="str">
        <f aca="false">CHOOSE(C61,"ene","feb","mar","abr","may","jun","jul","ago","sep","oct","nov","dic")</f>
        <v>mar</v>
      </c>
      <c r="F61" s="7" t="str">
        <f aca="false">CHOOSE(C61,"enero","febrero","marzo","abril","mayo","junio","julio","agosto","septiembre","octubre","noviembre","diciembre")</f>
        <v>marzo</v>
      </c>
      <c r="G61" s="7" t="str">
        <f aca="false">E61&amp;"-"&amp;RIGHT(B61,2)</f>
        <v>mar-23</v>
      </c>
    </row>
    <row r="62" customFormat="false" ht="15" hidden="false" customHeight="false" outlineLevel="0" collapsed="false">
      <c r="A62" s="8" t="n">
        <f aca="false">A61+1</f>
        <v>44987</v>
      </c>
      <c r="B62" s="7" t="n">
        <f aca="false">YEAR(A62)</f>
        <v>2023</v>
      </c>
      <c r="C62" s="7" t="n">
        <f aca="false">MONTH(A62)</f>
        <v>3</v>
      </c>
      <c r="D62" s="8" t="n">
        <f aca="false">DATE(B62,C62,1)</f>
        <v>44986</v>
      </c>
      <c r="E62" s="7" t="str">
        <f aca="false">CHOOSE(C62,"ene","feb","mar","abr","may","jun","jul","ago","sep","oct","nov","dic")</f>
        <v>mar</v>
      </c>
      <c r="F62" s="7" t="str">
        <f aca="false">CHOOSE(C62,"enero","febrero","marzo","abril","mayo","junio","julio","agosto","septiembre","octubre","noviembre","diciembre")</f>
        <v>marzo</v>
      </c>
      <c r="G62" s="7" t="str">
        <f aca="false">E62&amp;"-"&amp;RIGHT(B62,2)</f>
        <v>mar-23</v>
      </c>
    </row>
    <row r="63" customFormat="false" ht="15" hidden="false" customHeight="false" outlineLevel="0" collapsed="false">
      <c r="A63" s="8" t="n">
        <f aca="false">A62+1</f>
        <v>44988</v>
      </c>
      <c r="B63" s="7" t="n">
        <f aca="false">YEAR(A63)</f>
        <v>2023</v>
      </c>
      <c r="C63" s="7" t="n">
        <f aca="false">MONTH(A63)</f>
        <v>3</v>
      </c>
      <c r="D63" s="8" t="n">
        <f aca="false">DATE(B63,C63,1)</f>
        <v>44986</v>
      </c>
      <c r="E63" s="7" t="str">
        <f aca="false">CHOOSE(C63,"ene","feb","mar","abr","may","jun","jul","ago","sep","oct","nov","dic")</f>
        <v>mar</v>
      </c>
      <c r="F63" s="7" t="str">
        <f aca="false">CHOOSE(C63,"enero","febrero","marzo","abril","mayo","junio","julio","agosto","septiembre","octubre","noviembre","diciembre")</f>
        <v>marzo</v>
      </c>
      <c r="G63" s="7" t="str">
        <f aca="false">E63&amp;"-"&amp;RIGHT(B63,2)</f>
        <v>mar-23</v>
      </c>
    </row>
    <row r="64" customFormat="false" ht="15" hidden="false" customHeight="false" outlineLevel="0" collapsed="false">
      <c r="A64" s="8" t="n">
        <f aca="false">A63+1</f>
        <v>44989</v>
      </c>
      <c r="B64" s="7" t="n">
        <f aca="false">YEAR(A64)</f>
        <v>2023</v>
      </c>
      <c r="C64" s="7" t="n">
        <f aca="false">MONTH(A64)</f>
        <v>3</v>
      </c>
      <c r="D64" s="8" t="n">
        <f aca="false">DATE(B64,C64,1)</f>
        <v>44986</v>
      </c>
      <c r="E64" s="7" t="str">
        <f aca="false">CHOOSE(C64,"ene","feb","mar","abr","may","jun","jul","ago","sep","oct","nov","dic")</f>
        <v>mar</v>
      </c>
      <c r="F64" s="7" t="str">
        <f aca="false">CHOOSE(C64,"enero","febrero","marzo","abril","mayo","junio","julio","agosto","septiembre","octubre","noviembre","diciembre")</f>
        <v>marzo</v>
      </c>
      <c r="G64" s="7" t="str">
        <f aca="false">E64&amp;"-"&amp;RIGHT(B64,2)</f>
        <v>mar-23</v>
      </c>
    </row>
    <row r="65" customFormat="false" ht="15" hidden="false" customHeight="false" outlineLevel="0" collapsed="false">
      <c r="A65" s="8" t="n">
        <f aca="false">A64+1</f>
        <v>44990</v>
      </c>
      <c r="B65" s="7" t="n">
        <f aca="false">YEAR(A65)</f>
        <v>2023</v>
      </c>
      <c r="C65" s="7" t="n">
        <f aca="false">MONTH(A65)</f>
        <v>3</v>
      </c>
      <c r="D65" s="8" t="n">
        <f aca="false">DATE(B65,C65,1)</f>
        <v>44986</v>
      </c>
      <c r="E65" s="7" t="str">
        <f aca="false">CHOOSE(C65,"ene","feb","mar","abr","may","jun","jul","ago","sep","oct","nov","dic")</f>
        <v>mar</v>
      </c>
      <c r="F65" s="7" t="str">
        <f aca="false">CHOOSE(C65,"enero","febrero","marzo","abril","mayo","junio","julio","agosto","septiembre","octubre","noviembre","diciembre")</f>
        <v>marzo</v>
      </c>
      <c r="G65" s="7" t="str">
        <f aca="false">E65&amp;"-"&amp;RIGHT(B65,2)</f>
        <v>mar-23</v>
      </c>
    </row>
    <row r="66" customFormat="false" ht="15" hidden="false" customHeight="false" outlineLevel="0" collapsed="false">
      <c r="A66" s="8" t="n">
        <f aca="false">A65+1</f>
        <v>44991</v>
      </c>
      <c r="B66" s="7" t="n">
        <f aca="false">YEAR(A66)</f>
        <v>2023</v>
      </c>
      <c r="C66" s="7" t="n">
        <f aca="false">MONTH(A66)</f>
        <v>3</v>
      </c>
      <c r="D66" s="8" t="n">
        <f aca="false">DATE(B66,C66,1)</f>
        <v>44986</v>
      </c>
      <c r="E66" s="7" t="str">
        <f aca="false">CHOOSE(C66,"ene","feb","mar","abr","may","jun","jul","ago","sep","oct","nov","dic")</f>
        <v>mar</v>
      </c>
      <c r="F66" s="7" t="str">
        <f aca="false">CHOOSE(C66,"enero","febrero","marzo","abril","mayo","junio","julio","agosto","septiembre","octubre","noviembre","diciembre")</f>
        <v>marzo</v>
      </c>
      <c r="G66" s="7" t="str">
        <f aca="false">E66&amp;"-"&amp;RIGHT(B66,2)</f>
        <v>mar-23</v>
      </c>
    </row>
    <row r="67" customFormat="false" ht="15" hidden="false" customHeight="false" outlineLevel="0" collapsed="false">
      <c r="A67" s="8" t="n">
        <f aca="false">A66+1</f>
        <v>44992</v>
      </c>
      <c r="B67" s="7" t="n">
        <f aca="false">YEAR(A67)</f>
        <v>2023</v>
      </c>
      <c r="C67" s="7" t="n">
        <f aca="false">MONTH(A67)</f>
        <v>3</v>
      </c>
      <c r="D67" s="8" t="n">
        <f aca="false">DATE(B67,C67,1)</f>
        <v>44986</v>
      </c>
      <c r="E67" s="7" t="str">
        <f aca="false">CHOOSE(C67,"ene","feb","mar","abr","may","jun","jul","ago","sep","oct","nov","dic")</f>
        <v>mar</v>
      </c>
      <c r="F67" s="7" t="str">
        <f aca="false">CHOOSE(C67,"enero","febrero","marzo","abril","mayo","junio","julio","agosto","septiembre","octubre","noviembre","diciembre")</f>
        <v>marzo</v>
      </c>
      <c r="G67" s="7" t="str">
        <f aca="false">E67&amp;"-"&amp;RIGHT(B67,2)</f>
        <v>mar-23</v>
      </c>
    </row>
    <row r="68" customFormat="false" ht="15" hidden="false" customHeight="false" outlineLevel="0" collapsed="false">
      <c r="A68" s="8" t="n">
        <f aca="false">A67+1</f>
        <v>44993</v>
      </c>
      <c r="B68" s="7" t="n">
        <f aca="false">YEAR(A68)</f>
        <v>2023</v>
      </c>
      <c r="C68" s="7" t="n">
        <f aca="false">MONTH(A68)</f>
        <v>3</v>
      </c>
      <c r="D68" s="8" t="n">
        <f aca="false">DATE(B68,C68,1)</f>
        <v>44986</v>
      </c>
      <c r="E68" s="7" t="str">
        <f aca="false">CHOOSE(C68,"ene","feb","mar","abr","may","jun","jul","ago","sep","oct","nov","dic")</f>
        <v>mar</v>
      </c>
      <c r="F68" s="7" t="str">
        <f aca="false">CHOOSE(C68,"enero","febrero","marzo","abril","mayo","junio","julio","agosto","septiembre","octubre","noviembre","diciembre")</f>
        <v>marzo</v>
      </c>
      <c r="G68" s="7" t="str">
        <f aca="false">E68&amp;"-"&amp;RIGHT(B68,2)</f>
        <v>mar-23</v>
      </c>
    </row>
    <row r="69" customFormat="false" ht="15" hidden="false" customHeight="false" outlineLevel="0" collapsed="false">
      <c r="A69" s="8" t="n">
        <f aca="false">A68+1</f>
        <v>44994</v>
      </c>
      <c r="B69" s="7" t="n">
        <f aca="false">YEAR(A69)</f>
        <v>2023</v>
      </c>
      <c r="C69" s="7" t="n">
        <f aca="false">MONTH(A69)</f>
        <v>3</v>
      </c>
      <c r="D69" s="8" t="n">
        <f aca="false">DATE(B69,C69,1)</f>
        <v>44986</v>
      </c>
      <c r="E69" s="7" t="str">
        <f aca="false">CHOOSE(C69,"ene","feb","mar","abr","may","jun","jul","ago","sep","oct","nov","dic")</f>
        <v>mar</v>
      </c>
      <c r="F69" s="7" t="str">
        <f aca="false">CHOOSE(C69,"enero","febrero","marzo","abril","mayo","junio","julio","agosto","septiembre","octubre","noviembre","diciembre")</f>
        <v>marzo</v>
      </c>
      <c r="G69" s="7" t="str">
        <f aca="false">E69&amp;"-"&amp;RIGHT(B69,2)</f>
        <v>mar-23</v>
      </c>
    </row>
    <row r="70" customFormat="false" ht="15" hidden="false" customHeight="false" outlineLevel="0" collapsed="false">
      <c r="A70" s="8" t="n">
        <f aca="false">A69+1</f>
        <v>44995</v>
      </c>
      <c r="B70" s="7" t="n">
        <f aca="false">YEAR(A70)</f>
        <v>2023</v>
      </c>
      <c r="C70" s="7" t="n">
        <f aca="false">MONTH(A70)</f>
        <v>3</v>
      </c>
      <c r="D70" s="8" t="n">
        <f aca="false">DATE(B70,C70,1)</f>
        <v>44986</v>
      </c>
      <c r="E70" s="7" t="str">
        <f aca="false">CHOOSE(C70,"ene","feb","mar","abr","may","jun","jul","ago","sep","oct","nov","dic")</f>
        <v>mar</v>
      </c>
      <c r="F70" s="7" t="str">
        <f aca="false">CHOOSE(C70,"enero","febrero","marzo","abril","mayo","junio","julio","agosto","septiembre","octubre","noviembre","diciembre")</f>
        <v>marzo</v>
      </c>
      <c r="G70" s="7" t="str">
        <f aca="false">E70&amp;"-"&amp;RIGHT(B70,2)</f>
        <v>mar-23</v>
      </c>
    </row>
    <row r="71" customFormat="false" ht="15" hidden="false" customHeight="false" outlineLevel="0" collapsed="false">
      <c r="A71" s="8" t="n">
        <f aca="false">A70+1</f>
        <v>44996</v>
      </c>
      <c r="B71" s="7" t="n">
        <f aca="false">YEAR(A71)</f>
        <v>2023</v>
      </c>
      <c r="C71" s="7" t="n">
        <f aca="false">MONTH(A71)</f>
        <v>3</v>
      </c>
      <c r="D71" s="8" t="n">
        <f aca="false">DATE(B71,C71,1)</f>
        <v>44986</v>
      </c>
      <c r="E71" s="7" t="str">
        <f aca="false">CHOOSE(C71,"ene","feb","mar","abr","may","jun","jul","ago","sep","oct","nov","dic")</f>
        <v>mar</v>
      </c>
      <c r="F71" s="7" t="str">
        <f aca="false">CHOOSE(C71,"enero","febrero","marzo","abril","mayo","junio","julio","agosto","septiembre","octubre","noviembre","diciembre")</f>
        <v>marzo</v>
      </c>
      <c r="G71" s="7" t="str">
        <f aca="false">E71&amp;"-"&amp;RIGHT(B71,2)</f>
        <v>mar-23</v>
      </c>
    </row>
    <row r="72" customFormat="false" ht="15" hidden="false" customHeight="false" outlineLevel="0" collapsed="false">
      <c r="A72" s="8" t="n">
        <f aca="false">A71+1</f>
        <v>44997</v>
      </c>
      <c r="B72" s="7" t="n">
        <f aca="false">YEAR(A72)</f>
        <v>2023</v>
      </c>
      <c r="C72" s="7" t="n">
        <f aca="false">MONTH(A72)</f>
        <v>3</v>
      </c>
      <c r="D72" s="8" t="n">
        <f aca="false">DATE(B72,C72,1)</f>
        <v>44986</v>
      </c>
      <c r="E72" s="7" t="str">
        <f aca="false">CHOOSE(C72,"ene","feb","mar","abr","may","jun","jul","ago","sep","oct","nov","dic")</f>
        <v>mar</v>
      </c>
      <c r="F72" s="7" t="str">
        <f aca="false">CHOOSE(C72,"enero","febrero","marzo","abril","mayo","junio","julio","agosto","septiembre","octubre","noviembre","diciembre")</f>
        <v>marzo</v>
      </c>
      <c r="G72" s="7" t="str">
        <f aca="false">E72&amp;"-"&amp;RIGHT(B72,2)</f>
        <v>mar-23</v>
      </c>
    </row>
    <row r="73" customFormat="false" ht="15" hidden="false" customHeight="false" outlineLevel="0" collapsed="false">
      <c r="A73" s="8" t="n">
        <f aca="false">A72+1</f>
        <v>44998</v>
      </c>
      <c r="B73" s="7" t="n">
        <f aca="false">YEAR(A73)</f>
        <v>2023</v>
      </c>
      <c r="C73" s="7" t="n">
        <f aca="false">MONTH(A73)</f>
        <v>3</v>
      </c>
      <c r="D73" s="8" t="n">
        <f aca="false">DATE(B73,C73,1)</f>
        <v>44986</v>
      </c>
      <c r="E73" s="7" t="str">
        <f aca="false">CHOOSE(C73,"ene","feb","mar","abr","may","jun","jul","ago","sep","oct","nov","dic")</f>
        <v>mar</v>
      </c>
      <c r="F73" s="7" t="str">
        <f aca="false">CHOOSE(C73,"enero","febrero","marzo","abril","mayo","junio","julio","agosto","septiembre","octubre","noviembre","diciembre")</f>
        <v>marzo</v>
      </c>
      <c r="G73" s="7" t="str">
        <f aca="false">E73&amp;"-"&amp;RIGHT(B73,2)</f>
        <v>mar-23</v>
      </c>
    </row>
    <row r="74" customFormat="false" ht="15" hidden="false" customHeight="false" outlineLevel="0" collapsed="false">
      <c r="A74" s="8" t="n">
        <f aca="false">A73+1</f>
        <v>44999</v>
      </c>
      <c r="B74" s="7" t="n">
        <f aca="false">YEAR(A74)</f>
        <v>2023</v>
      </c>
      <c r="C74" s="7" t="n">
        <f aca="false">MONTH(A74)</f>
        <v>3</v>
      </c>
      <c r="D74" s="8" t="n">
        <f aca="false">DATE(B74,C74,1)</f>
        <v>44986</v>
      </c>
      <c r="E74" s="7" t="str">
        <f aca="false">CHOOSE(C74,"ene","feb","mar","abr","may","jun","jul","ago","sep","oct","nov","dic")</f>
        <v>mar</v>
      </c>
      <c r="F74" s="7" t="str">
        <f aca="false">CHOOSE(C74,"enero","febrero","marzo","abril","mayo","junio","julio","agosto","septiembre","octubre","noviembre","diciembre")</f>
        <v>marzo</v>
      </c>
      <c r="G74" s="7" t="str">
        <f aca="false">E74&amp;"-"&amp;RIGHT(B74,2)</f>
        <v>mar-23</v>
      </c>
    </row>
    <row r="75" customFormat="false" ht="15" hidden="false" customHeight="false" outlineLevel="0" collapsed="false">
      <c r="A75" s="8" t="n">
        <f aca="false">A74+1</f>
        <v>45000</v>
      </c>
      <c r="B75" s="7" t="n">
        <f aca="false">YEAR(A75)</f>
        <v>2023</v>
      </c>
      <c r="C75" s="7" t="n">
        <f aca="false">MONTH(A75)</f>
        <v>3</v>
      </c>
      <c r="D75" s="8" t="n">
        <f aca="false">DATE(B75,C75,1)</f>
        <v>44986</v>
      </c>
      <c r="E75" s="7" t="str">
        <f aca="false">CHOOSE(C75,"ene","feb","mar","abr","may","jun","jul","ago","sep","oct","nov","dic")</f>
        <v>mar</v>
      </c>
      <c r="F75" s="7" t="str">
        <f aca="false">CHOOSE(C75,"enero","febrero","marzo","abril","mayo","junio","julio","agosto","septiembre","octubre","noviembre","diciembre")</f>
        <v>marzo</v>
      </c>
      <c r="G75" s="7" t="str">
        <f aca="false">E75&amp;"-"&amp;RIGHT(B75,2)</f>
        <v>mar-23</v>
      </c>
    </row>
    <row r="76" customFormat="false" ht="15" hidden="false" customHeight="false" outlineLevel="0" collapsed="false">
      <c r="A76" s="8" t="n">
        <f aca="false">A75+1</f>
        <v>45001</v>
      </c>
      <c r="B76" s="7" t="n">
        <f aca="false">YEAR(A76)</f>
        <v>2023</v>
      </c>
      <c r="C76" s="7" t="n">
        <f aca="false">MONTH(A76)</f>
        <v>3</v>
      </c>
      <c r="D76" s="8" t="n">
        <f aca="false">DATE(B76,C76,1)</f>
        <v>44986</v>
      </c>
      <c r="E76" s="7" t="str">
        <f aca="false">CHOOSE(C76,"ene","feb","mar","abr","may","jun","jul","ago","sep","oct","nov","dic")</f>
        <v>mar</v>
      </c>
      <c r="F76" s="7" t="str">
        <f aca="false">CHOOSE(C76,"enero","febrero","marzo","abril","mayo","junio","julio","agosto","septiembre","octubre","noviembre","diciembre")</f>
        <v>marzo</v>
      </c>
      <c r="G76" s="7" t="str">
        <f aca="false">E76&amp;"-"&amp;RIGHT(B76,2)</f>
        <v>mar-23</v>
      </c>
    </row>
    <row r="77" customFormat="false" ht="15" hidden="false" customHeight="false" outlineLevel="0" collapsed="false">
      <c r="A77" s="8" t="n">
        <f aca="false">A76+1</f>
        <v>45002</v>
      </c>
      <c r="B77" s="7" t="n">
        <f aca="false">YEAR(A77)</f>
        <v>2023</v>
      </c>
      <c r="C77" s="7" t="n">
        <f aca="false">MONTH(A77)</f>
        <v>3</v>
      </c>
      <c r="D77" s="8" t="n">
        <f aca="false">DATE(B77,C77,1)</f>
        <v>44986</v>
      </c>
      <c r="E77" s="7" t="str">
        <f aca="false">CHOOSE(C77,"ene","feb","mar","abr","may","jun","jul","ago","sep","oct","nov","dic")</f>
        <v>mar</v>
      </c>
      <c r="F77" s="7" t="str">
        <f aca="false">CHOOSE(C77,"enero","febrero","marzo","abril","mayo","junio","julio","agosto","septiembre","octubre","noviembre","diciembre")</f>
        <v>marzo</v>
      </c>
      <c r="G77" s="7" t="str">
        <f aca="false">E77&amp;"-"&amp;RIGHT(B77,2)</f>
        <v>mar-23</v>
      </c>
    </row>
    <row r="78" customFormat="false" ht="15" hidden="false" customHeight="false" outlineLevel="0" collapsed="false">
      <c r="A78" s="8" t="n">
        <f aca="false">A77+1</f>
        <v>45003</v>
      </c>
      <c r="B78" s="7" t="n">
        <f aca="false">YEAR(A78)</f>
        <v>2023</v>
      </c>
      <c r="C78" s="7" t="n">
        <f aca="false">MONTH(A78)</f>
        <v>3</v>
      </c>
      <c r="D78" s="8" t="n">
        <f aca="false">DATE(B78,C78,1)</f>
        <v>44986</v>
      </c>
      <c r="E78" s="7" t="str">
        <f aca="false">CHOOSE(C78,"ene","feb","mar","abr","may","jun","jul","ago","sep","oct","nov","dic")</f>
        <v>mar</v>
      </c>
      <c r="F78" s="7" t="str">
        <f aca="false">CHOOSE(C78,"enero","febrero","marzo","abril","mayo","junio","julio","agosto","septiembre","octubre","noviembre","diciembre")</f>
        <v>marzo</v>
      </c>
      <c r="G78" s="7" t="str">
        <f aca="false">E78&amp;"-"&amp;RIGHT(B78,2)</f>
        <v>mar-23</v>
      </c>
    </row>
    <row r="79" customFormat="false" ht="15" hidden="false" customHeight="false" outlineLevel="0" collapsed="false">
      <c r="A79" s="8" t="n">
        <f aca="false">A78+1</f>
        <v>45004</v>
      </c>
      <c r="B79" s="7" t="n">
        <f aca="false">YEAR(A79)</f>
        <v>2023</v>
      </c>
      <c r="C79" s="7" t="n">
        <f aca="false">MONTH(A79)</f>
        <v>3</v>
      </c>
      <c r="D79" s="8" t="n">
        <f aca="false">DATE(B79,C79,1)</f>
        <v>44986</v>
      </c>
      <c r="E79" s="7" t="str">
        <f aca="false">CHOOSE(C79,"ene","feb","mar","abr","may","jun","jul","ago","sep","oct","nov","dic")</f>
        <v>mar</v>
      </c>
      <c r="F79" s="7" t="str">
        <f aca="false">CHOOSE(C79,"enero","febrero","marzo","abril","mayo","junio","julio","agosto","septiembre","octubre","noviembre","diciembre")</f>
        <v>marzo</v>
      </c>
      <c r="G79" s="7" t="str">
        <f aca="false">E79&amp;"-"&amp;RIGHT(B79,2)</f>
        <v>mar-23</v>
      </c>
    </row>
    <row r="80" customFormat="false" ht="15" hidden="false" customHeight="false" outlineLevel="0" collapsed="false">
      <c r="A80" s="8" t="n">
        <f aca="false">A79+1</f>
        <v>45005</v>
      </c>
      <c r="B80" s="7" t="n">
        <f aca="false">YEAR(A80)</f>
        <v>2023</v>
      </c>
      <c r="C80" s="7" t="n">
        <f aca="false">MONTH(A80)</f>
        <v>3</v>
      </c>
      <c r="D80" s="8" t="n">
        <f aca="false">DATE(B80,C80,1)</f>
        <v>44986</v>
      </c>
      <c r="E80" s="7" t="str">
        <f aca="false">CHOOSE(C80,"ene","feb","mar","abr","may","jun","jul","ago","sep","oct","nov","dic")</f>
        <v>mar</v>
      </c>
      <c r="F80" s="7" t="str">
        <f aca="false">CHOOSE(C80,"enero","febrero","marzo","abril","mayo","junio","julio","agosto","septiembre","octubre","noviembre","diciembre")</f>
        <v>marzo</v>
      </c>
      <c r="G80" s="7" t="str">
        <f aca="false">E80&amp;"-"&amp;RIGHT(B80,2)</f>
        <v>mar-23</v>
      </c>
    </row>
    <row r="81" customFormat="false" ht="15" hidden="false" customHeight="false" outlineLevel="0" collapsed="false">
      <c r="A81" s="8" t="n">
        <f aca="false">A80+1</f>
        <v>45006</v>
      </c>
      <c r="B81" s="7" t="n">
        <f aca="false">YEAR(A81)</f>
        <v>2023</v>
      </c>
      <c r="C81" s="7" t="n">
        <f aca="false">MONTH(A81)</f>
        <v>3</v>
      </c>
      <c r="D81" s="8" t="n">
        <f aca="false">DATE(B81,C81,1)</f>
        <v>44986</v>
      </c>
      <c r="E81" s="7" t="str">
        <f aca="false">CHOOSE(C81,"ene","feb","mar","abr","may","jun","jul","ago","sep","oct","nov","dic")</f>
        <v>mar</v>
      </c>
      <c r="F81" s="7" t="str">
        <f aca="false">CHOOSE(C81,"enero","febrero","marzo","abril","mayo","junio","julio","agosto","septiembre","octubre","noviembre","diciembre")</f>
        <v>marzo</v>
      </c>
      <c r="G81" s="7" t="str">
        <f aca="false">E81&amp;"-"&amp;RIGHT(B81,2)</f>
        <v>mar-23</v>
      </c>
    </row>
    <row r="82" customFormat="false" ht="15" hidden="false" customHeight="false" outlineLevel="0" collapsed="false">
      <c r="A82" s="8" t="n">
        <f aca="false">A81+1</f>
        <v>45007</v>
      </c>
      <c r="B82" s="7" t="n">
        <f aca="false">YEAR(A82)</f>
        <v>2023</v>
      </c>
      <c r="C82" s="7" t="n">
        <f aca="false">MONTH(A82)</f>
        <v>3</v>
      </c>
      <c r="D82" s="8" t="n">
        <f aca="false">DATE(B82,C82,1)</f>
        <v>44986</v>
      </c>
      <c r="E82" s="7" t="str">
        <f aca="false">CHOOSE(C82,"ene","feb","mar","abr","may","jun","jul","ago","sep","oct","nov","dic")</f>
        <v>mar</v>
      </c>
      <c r="F82" s="7" t="str">
        <f aca="false">CHOOSE(C82,"enero","febrero","marzo","abril","mayo","junio","julio","agosto","septiembre","octubre","noviembre","diciembre")</f>
        <v>marzo</v>
      </c>
      <c r="G82" s="7" t="str">
        <f aca="false">E82&amp;"-"&amp;RIGHT(B82,2)</f>
        <v>mar-23</v>
      </c>
    </row>
    <row r="83" customFormat="false" ht="15" hidden="false" customHeight="false" outlineLevel="0" collapsed="false">
      <c r="A83" s="8" t="n">
        <f aca="false">A82+1</f>
        <v>45008</v>
      </c>
      <c r="B83" s="7" t="n">
        <f aca="false">YEAR(A83)</f>
        <v>2023</v>
      </c>
      <c r="C83" s="7" t="n">
        <f aca="false">MONTH(A83)</f>
        <v>3</v>
      </c>
      <c r="D83" s="8" t="n">
        <f aca="false">DATE(B83,C83,1)</f>
        <v>44986</v>
      </c>
      <c r="E83" s="7" t="str">
        <f aca="false">CHOOSE(C83,"ene","feb","mar","abr","may","jun","jul","ago","sep","oct","nov","dic")</f>
        <v>mar</v>
      </c>
      <c r="F83" s="7" t="str">
        <f aca="false">CHOOSE(C83,"enero","febrero","marzo","abril","mayo","junio","julio","agosto","septiembre","octubre","noviembre","diciembre")</f>
        <v>marzo</v>
      </c>
      <c r="G83" s="7" t="str">
        <f aca="false">E83&amp;"-"&amp;RIGHT(B83,2)</f>
        <v>mar-23</v>
      </c>
    </row>
    <row r="84" customFormat="false" ht="15" hidden="false" customHeight="false" outlineLevel="0" collapsed="false">
      <c r="A84" s="8" t="n">
        <f aca="false">A83+1</f>
        <v>45009</v>
      </c>
      <c r="B84" s="7" t="n">
        <f aca="false">YEAR(A84)</f>
        <v>2023</v>
      </c>
      <c r="C84" s="7" t="n">
        <f aca="false">MONTH(A84)</f>
        <v>3</v>
      </c>
      <c r="D84" s="8" t="n">
        <f aca="false">DATE(B84,C84,1)</f>
        <v>44986</v>
      </c>
      <c r="E84" s="7" t="str">
        <f aca="false">CHOOSE(C84,"ene","feb","mar","abr","may","jun","jul","ago","sep","oct","nov","dic")</f>
        <v>mar</v>
      </c>
      <c r="F84" s="7" t="str">
        <f aca="false">CHOOSE(C84,"enero","febrero","marzo","abril","mayo","junio","julio","agosto","septiembre","octubre","noviembre","diciembre")</f>
        <v>marzo</v>
      </c>
      <c r="G84" s="7" t="str">
        <f aca="false">E84&amp;"-"&amp;RIGHT(B84,2)</f>
        <v>mar-23</v>
      </c>
    </row>
    <row r="85" customFormat="false" ht="15" hidden="false" customHeight="false" outlineLevel="0" collapsed="false">
      <c r="A85" s="8" t="n">
        <f aca="false">A84+1</f>
        <v>45010</v>
      </c>
      <c r="B85" s="7" t="n">
        <f aca="false">YEAR(A85)</f>
        <v>2023</v>
      </c>
      <c r="C85" s="7" t="n">
        <f aca="false">MONTH(A85)</f>
        <v>3</v>
      </c>
      <c r="D85" s="8" t="n">
        <f aca="false">DATE(B85,C85,1)</f>
        <v>44986</v>
      </c>
      <c r="E85" s="7" t="str">
        <f aca="false">CHOOSE(C85,"ene","feb","mar","abr","may","jun","jul","ago","sep","oct","nov","dic")</f>
        <v>mar</v>
      </c>
      <c r="F85" s="7" t="str">
        <f aca="false">CHOOSE(C85,"enero","febrero","marzo","abril","mayo","junio","julio","agosto","septiembre","octubre","noviembre","diciembre")</f>
        <v>marzo</v>
      </c>
      <c r="G85" s="7" t="str">
        <f aca="false">E85&amp;"-"&amp;RIGHT(B85,2)</f>
        <v>mar-23</v>
      </c>
    </row>
    <row r="86" customFormat="false" ht="15" hidden="false" customHeight="false" outlineLevel="0" collapsed="false">
      <c r="A86" s="8" t="n">
        <f aca="false">A85+1</f>
        <v>45011</v>
      </c>
      <c r="B86" s="7" t="n">
        <f aca="false">YEAR(A86)</f>
        <v>2023</v>
      </c>
      <c r="C86" s="7" t="n">
        <f aca="false">MONTH(A86)</f>
        <v>3</v>
      </c>
      <c r="D86" s="8" t="n">
        <f aca="false">DATE(B86,C86,1)</f>
        <v>44986</v>
      </c>
      <c r="E86" s="7" t="str">
        <f aca="false">CHOOSE(C86,"ene","feb","mar","abr","may","jun","jul","ago","sep","oct","nov","dic")</f>
        <v>mar</v>
      </c>
      <c r="F86" s="7" t="str">
        <f aca="false">CHOOSE(C86,"enero","febrero","marzo","abril","mayo","junio","julio","agosto","septiembre","octubre","noviembre","diciembre")</f>
        <v>marzo</v>
      </c>
      <c r="G86" s="7" t="str">
        <f aca="false">E86&amp;"-"&amp;RIGHT(B86,2)</f>
        <v>mar-23</v>
      </c>
    </row>
    <row r="87" customFormat="false" ht="15" hidden="false" customHeight="false" outlineLevel="0" collapsed="false">
      <c r="A87" s="8" t="n">
        <f aca="false">A86+1</f>
        <v>45012</v>
      </c>
      <c r="B87" s="7" t="n">
        <f aca="false">YEAR(A87)</f>
        <v>2023</v>
      </c>
      <c r="C87" s="7" t="n">
        <f aca="false">MONTH(A87)</f>
        <v>3</v>
      </c>
      <c r="D87" s="8" t="n">
        <f aca="false">DATE(B87,C87,1)</f>
        <v>44986</v>
      </c>
      <c r="E87" s="7" t="str">
        <f aca="false">CHOOSE(C87,"ene","feb","mar","abr","may","jun","jul","ago","sep","oct","nov","dic")</f>
        <v>mar</v>
      </c>
      <c r="F87" s="7" t="str">
        <f aca="false">CHOOSE(C87,"enero","febrero","marzo","abril","mayo","junio","julio","agosto","septiembre","octubre","noviembre","diciembre")</f>
        <v>marzo</v>
      </c>
      <c r="G87" s="7" t="str">
        <f aca="false">E87&amp;"-"&amp;RIGHT(B87,2)</f>
        <v>mar-23</v>
      </c>
    </row>
    <row r="88" customFormat="false" ht="15" hidden="false" customHeight="false" outlineLevel="0" collapsed="false">
      <c r="A88" s="8" t="n">
        <f aca="false">A87+1</f>
        <v>45013</v>
      </c>
      <c r="B88" s="7" t="n">
        <f aca="false">YEAR(A88)</f>
        <v>2023</v>
      </c>
      <c r="C88" s="7" t="n">
        <f aca="false">MONTH(A88)</f>
        <v>3</v>
      </c>
      <c r="D88" s="8" t="n">
        <f aca="false">DATE(B88,C88,1)</f>
        <v>44986</v>
      </c>
      <c r="E88" s="7" t="str">
        <f aca="false">CHOOSE(C88,"ene","feb","mar","abr","may","jun","jul","ago","sep","oct","nov","dic")</f>
        <v>mar</v>
      </c>
      <c r="F88" s="7" t="str">
        <f aca="false">CHOOSE(C88,"enero","febrero","marzo","abril","mayo","junio","julio","agosto","septiembre","octubre","noviembre","diciembre")</f>
        <v>marzo</v>
      </c>
      <c r="G88" s="7" t="str">
        <f aca="false">E88&amp;"-"&amp;RIGHT(B88,2)</f>
        <v>mar-23</v>
      </c>
    </row>
    <row r="89" customFormat="false" ht="15" hidden="false" customHeight="false" outlineLevel="0" collapsed="false">
      <c r="A89" s="8" t="n">
        <f aca="false">A88+1</f>
        <v>45014</v>
      </c>
      <c r="B89" s="7" t="n">
        <f aca="false">YEAR(A89)</f>
        <v>2023</v>
      </c>
      <c r="C89" s="7" t="n">
        <f aca="false">MONTH(A89)</f>
        <v>3</v>
      </c>
      <c r="D89" s="8" t="n">
        <f aca="false">DATE(B89,C89,1)</f>
        <v>44986</v>
      </c>
      <c r="E89" s="7" t="str">
        <f aca="false">CHOOSE(C89,"ene","feb","mar","abr","may","jun","jul","ago","sep","oct","nov","dic")</f>
        <v>mar</v>
      </c>
      <c r="F89" s="7" t="str">
        <f aca="false">CHOOSE(C89,"enero","febrero","marzo","abril","mayo","junio","julio","agosto","septiembre","octubre","noviembre","diciembre")</f>
        <v>marzo</v>
      </c>
      <c r="G89" s="7" t="str">
        <f aca="false">E89&amp;"-"&amp;RIGHT(B89,2)</f>
        <v>mar-23</v>
      </c>
    </row>
    <row r="90" customFormat="false" ht="15" hidden="false" customHeight="false" outlineLevel="0" collapsed="false">
      <c r="A90" s="8" t="n">
        <f aca="false">A89+1</f>
        <v>45015</v>
      </c>
      <c r="B90" s="7" t="n">
        <f aca="false">YEAR(A90)</f>
        <v>2023</v>
      </c>
      <c r="C90" s="7" t="n">
        <f aca="false">MONTH(A90)</f>
        <v>3</v>
      </c>
      <c r="D90" s="8" t="n">
        <f aca="false">DATE(B90,C90,1)</f>
        <v>44986</v>
      </c>
      <c r="E90" s="7" t="str">
        <f aca="false">CHOOSE(C90,"ene","feb","mar","abr","may","jun","jul","ago","sep","oct","nov","dic")</f>
        <v>mar</v>
      </c>
      <c r="F90" s="7" t="str">
        <f aca="false">CHOOSE(C90,"enero","febrero","marzo","abril","mayo","junio","julio","agosto","septiembre","octubre","noviembre","diciembre")</f>
        <v>marzo</v>
      </c>
      <c r="G90" s="7" t="str">
        <f aca="false">E90&amp;"-"&amp;RIGHT(B90,2)</f>
        <v>mar-23</v>
      </c>
    </row>
    <row r="91" customFormat="false" ht="15" hidden="false" customHeight="false" outlineLevel="0" collapsed="false">
      <c r="A91" s="8" t="n">
        <f aca="false">A90+1</f>
        <v>45016</v>
      </c>
      <c r="B91" s="7" t="n">
        <f aca="false">YEAR(A91)</f>
        <v>2023</v>
      </c>
      <c r="C91" s="7" t="n">
        <f aca="false">MONTH(A91)</f>
        <v>3</v>
      </c>
      <c r="D91" s="8" t="n">
        <f aca="false">DATE(B91,C91,1)</f>
        <v>44986</v>
      </c>
      <c r="E91" s="7" t="str">
        <f aca="false">CHOOSE(C91,"ene","feb","mar","abr","may","jun","jul","ago","sep","oct","nov","dic")</f>
        <v>mar</v>
      </c>
      <c r="F91" s="7" t="str">
        <f aca="false">CHOOSE(C91,"enero","febrero","marzo","abril","mayo","junio","julio","agosto","septiembre","octubre","noviembre","diciembre")</f>
        <v>marzo</v>
      </c>
      <c r="G91" s="7" t="str">
        <f aca="false">E91&amp;"-"&amp;RIGHT(B91,2)</f>
        <v>mar-23</v>
      </c>
    </row>
    <row r="92" customFormat="false" ht="15" hidden="false" customHeight="false" outlineLevel="0" collapsed="false">
      <c r="A92" s="8" t="n">
        <f aca="false">A91+1</f>
        <v>45017</v>
      </c>
      <c r="B92" s="7" t="n">
        <f aca="false">YEAR(A92)</f>
        <v>2023</v>
      </c>
      <c r="C92" s="7" t="n">
        <f aca="false">MONTH(A92)</f>
        <v>4</v>
      </c>
      <c r="D92" s="8" t="n">
        <f aca="false">DATE(B92,C92,1)</f>
        <v>45017</v>
      </c>
      <c r="E92" s="7" t="str">
        <f aca="false">CHOOSE(C92,"ene","feb","mar","abr","may","jun","jul","ago","sep","oct","nov","dic")</f>
        <v>abr</v>
      </c>
      <c r="F92" s="7" t="str">
        <f aca="false">CHOOSE(C92,"enero","febrero","marzo","abril","mayo","junio","julio","agosto","septiembre","octubre","noviembre","diciembre")</f>
        <v>abril</v>
      </c>
      <c r="G92" s="7" t="str">
        <f aca="false">E92&amp;"-"&amp;RIGHT(B92,2)</f>
        <v>abr-23</v>
      </c>
    </row>
    <row r="93" customFormat="false" ht="15" hidden="false" customHeight="false" outlineLevel="0" collapsed="false">
      <c r="A93" s="8" t="n">
        <f aca="false">A92+1</f>
        <v>45018</v>
      </c>
      <c r="B93" s="7" t="n">
        <f aca="false">YEAR(A93)</f>
        <v>2023</v>
      </c>
      <c r="C93" s="7" t="n">
        <f aca="false">MONTH(A93)</f>
        <v>4</v>
      </c>
      <c r="D93" s="8" t="n">
        <f aca="false">DATE(B93,C93,1)</f>
        <v>45017</v>
      </c>
      <c r="E93" s="7" t="str">
        <f aca="false">CHOOSE(C93,"ene","feb","mar","abr","may","jun","jul","ago","sep","oct","nov","dic")</f>
        <v>abr</v>
      </c>
      <c r="F93" s="7" t="str">
        <f aca="false">CHOOSE(C93,"enero","febrero","marzo","abril","mayo","junio","julio","agosto","septiembre","octubre","noviembre","diciembre")</f>
        <v>abril</v>
      </c>
      <c r="G93" s="7" t="str">
        <f aca="false">E93&amp;"-"&amp;RIGHT(B93,2)</f>
        <v>abr-23</v>
      </c>
    </row>
    <row r="94" customFormat="false" ht="15" hidden="false" customHeight="false" outlineLevel="0" collapsed="false">
      <c r="A94" s="8" t="n">
        <f aca="false">A93+1</f>
        <v>45019</v>
      </c>
      <c r="B94" s="7" t="n">
        <f aca="false">YEAR(A94)</f>
        <v>2023</v>
      </c>
      <c r="C94" s="7" t="n">
        <f aca="false">MONTH(A94)</f>
        <v>4</v>
      </c>
      <c r="D94" s="8" t="n">
        <f aca="false">DATE(B94,C94,1)</f>
        <v>45017</v>
      </c>
      <c r="E94" s="7" t="str">
        <f aca="false">CHOOSE(C94,"ene","feb","mar","abr","may","jun","jul","ago","sep","oct","nov","dic")</f>
        <v>abr</v>
      </c>
      <c r="F94" s="7" t="str">
        <f aca="false">CHOOSE(C94,"enero","febrero","marzo","abril","mayo","junio","julio","agosto","septiembre","octubre","noviembre","diciembre")</f>
        <v>abril</v>
      </c>
      <c r="G94" s="7" t="str">
        <f aca="false">E94&amp;"-"&amp;RIGHT(B94,2)</f>
        <v>abr-23</v>
      </c>
    </row>
    <row r="95" customFormat="false" ht="15" hidden="false" customHeight="false" outlineLevel="0" collapsed="false">
      <c r="A95" s="8" t="n">
        <f aca="false">A94+1</f>
        <v>45020</v>
      </c>
      <c r="B95" s="7" t="n">
        <f aca="false">YEAR(A95)</f>
        <v>2023</v>
      </c>
      <c r="C95" s="7" t="n">
        <f aca="false">MONTH(A95)</f>
        <v>4</v>
      </c>
      <c r="D95" s="8" t="n">
        <f aca="false">DATE(B95,C95,1)</f>
        <v>45017</v>
      </c>
      <c r="E95" s="7" t="str">
        <f aca="false">CHOOSE(C95,"ene","feb","mar","abr","may","jun","jul","ago","sep","oct","nov","dic")</f>
        <v>abr</v>
      </c>
      <c r="F95" s="7" t="str">
        <f aca="false">CHOOSE(C95,"enero","febrero","marzo","abril","mayo","junio","julio","agosto","septiembre","octubre","noviembre","diciembre")</f>
        <v>abril</v>
      </c>
      <c r="G95" s="7" t="str">
        <f aca="false">E95&amp;"-"&amp;RIGHT(B95,2)</f>
        <v>abr-23</v>
      </c>
    </row>
    <row r="96" customFormat="false" ht="15" hidden="false" customHeight="false" outlineLevel="0" collapsed="false">
      <c r="A96" s="8" t="n">
        <f aca="false">A95+1</f>
        <v>45021</v>
      </c>
      <c r="B96" s="7" t="n">
        <f aca="false">YEAR(A96)</f>
        <v>2023</v>
      </c>
      <c r="C96" s="7" t="n">
        <f aca="false">MONTH(A96)</f>
        <v>4</v>
      </c>
      <c r="D96" s="8" t="n">
        <f aca="false">DATE(B96,C96,1)</f>
        <v>45017</v>
      </c>
      <c r="E96" s="7" t="str">
        <f aca="false">CHOOSE(C96,"ene","feb","mar","abr","may","jun","jul","ago","sep","oct","nov","dic")</f>
        <v>abr</v>
      </c>
      <c r="F96" s="7" t="str">
        <f aca="false">CHOOSE(C96,"enero","febrero","marzo","abril","mayo","junio","julio","agosto","septiembre","octubre","noviembre","diciembre")</f>
        <v>abril</v>
      </c>
      <c r="G96" s="7" t="str">
        <f aca="false">E96&amp;"-"&amp;RIGHT(B96,2)</f>
        <v>abr-23</v>
      </c>
    </row>
    <row r="97" customFormat="false" ht="15" hidden="false" customHeight="false" outlineLevel="0" collapsed="false">
      <c r="A97" s="8" t="n">
        <f aca="false">A96+1</f>
        <v>45022</v>
      </c>
      <c r="B97" s="7" t="n">
        <f aca="false">YEAR(A97)</f>
        <v>2023</v>
      </c>
      <c r="C97" s="7" t="n">
        <f aca="false">MONTH(A97)</f>
        <v>4</v>
      </c>
      <c r="D97" s="8" t="n">
        <f aca="false">DATE(B97,C97,1)</f>
        <v>45017</v>
      </c>
      <c r="E97" s="7" t="str">
        <f aca="false">CHOOSE(C97,"ene","feb","mar","abr","may","jun","jul","ago","sep","oct","nov","dic")</f>
        <v>abr</v>
      </c>
      <c r="F97" s="7" t="str">
        <f aca="false">CHOOSE(C97,"enero","febrero","marzo","abril","mayo","junio","julio","agosto","septiembre","octubre","noviembre","diciembre")</f>
        <v>abril</v>
      </c>
      <c r="G97" s="7" t="str">
        <f aca="false">E97&amp;"-"&amp;RIGHT(B97,2)</f>
        <v>abr-23</v>
      </c>
    </row>
    <row r="98" customFormat="false" ht="15" hidden="false" customHeight="false" outlineLevel="0" collapsed="false">
      <c r="A98" s="8" t="n">
        <f aca="false">A97+1</f>
        <v>45023</v>
      </c>
      <c r="B98" s="7" t="n">
        <f aca="false">YEAR(A98)</f>
        <v>2023</v>
      </c>
      <c r="C98" s="7" t="n">
        <f aca="false">MONTH(A98)</f>
        <v>4</v>
      </c>
      <c r="D98" s="8" t="n">
        <f aca="false">DATE(B98,C98,1)</f>
        <v>45017</v>
      </c>
      <c r="E98" s="7" t="str">
        <f aca="false">CHOOSE(C98,"ene","feb","mar","abr","may","jun","jul","ago","sep","oct","nov","dic")</f>
        <v>abr</v>
      </c>
      <c r="F98" s="7" t="str">
        <f aca="false">CHOOSE(C98,"enero","febrero","marzo","abril","mayo","junio","julio","agosto","septiembre","octubre","noviembre","diciembre")</f>
        <v>abril</v>
      </c>
      <c r="G98" s="7" t="str">
        <f aca="false">E98&amp;"-"&amp;RIGHT(B98,2)</f>
        <v>abr-23</v>
      </c>
    </row>
    <row r="99" customFormat="false" ht="15" hidden="false" customHeight="false" outlineLevel="0" collapsed="false">
      <c r="A99" s="8" t="n">
        <f aca="false">A98+1</f>
        <v>45024</v>
      </c>
      <c r="B99" s="7" t="n">
        <f aca="false">YEAR(A99)</f>
        <v>2023</v>
      </c>
      <c r="C99" s="7" t="n">
        <f aca="false">MONTH(A99)</f>
        <v>4</v>
      </c>
      <c r="D99" s="8" t="n">
        <f aca="false">DATE(B99,C99,1)</f>
        <v>45017</v>
      </c>
      <c r="E99" s="7" t="str">
        <f aca="false">CHOOSE(C99,"ene","feb","mar","abr","may","jun","jul","ago","sep","oct","nov","dic")</f>
        <v>abr</v>
      </c>
      <c r="F99" s="7" t="str">
        <f aca="false">CHOOSE(C99,"enero","febrero","marzo","abril","mayo","junio","julio","agosto","septiembre","octubre","noviembre","diciembre")</f>
        <v>abril</v>
      </c>
      <c r="G99" s="7" t="str">
        <f aca="false">E99&amp;"-"&amp;RIGHT(B99,2)</f>
        <v>abr-23</v>
      </c>
    </row>
    <row r="100" customFormat="false" ht="15" hidden="false" customHeight="false" outlineLevel="0" collapsed="false">
      <c r="A100" s="8" t="n">
        <f aca="false">A99+1</f>
        <v>45025</v>
      </c>
      <c r="B100" s="7" t="n">
        <f aca="false">YEAR(A100)</f>
        <v>2023</v>
      </c>
      <c r="C100" s="7" t="n">
        <f aca="false">MONTH(A100)</f>
        <v>4</v>
      </c>
      <c r="D100" s="8" t="n">
        <f aca="false">DATE(B100,C100,1)</f>
        <v>45017</v>
      </c>
      <c r="E100" s="7" t="str">
        <f aca="false">CHOOSE(C100,"ene","feb","mar","abr","may","jun","jul","ago","sep","oct","nov","dic")</f>
        <v>abr</v>
      </c>
      <c r="F100" s="7" t="str">
        <f aca="false">CHOOSE(C100,"enero","febrero","marzo","abril","mayo","junio","julio","agosto","septiembre","octubre","noviembre","diciembre")</f>
        <v>abril</v>
      </c>
      <c r="G100" s="7" t="str">
        <f aca="false">E100&amp;"-"&amp;RIGHT(B100,2)</f>
        <v>abr-23</v>
      </c>
    </row>
    <row r="101" customFormat="false" ht="15" hidden="false" customHeight="false" outlineLevel="0" collapsed="false">
      <c r="A101" s="8" t="n">
        <f aca="false">A100+1</f>
        <v>45026</v>
      </c>
      <c r="B101" s="7" t="n">
        <f aca="false">YEAR(A101)</f>
        <v>2023</v>
      </c>
      <c r="C101" s="7" t="n">
        <f aca="false">MONTH(A101)</f>
        <v>4</v>
      </c>
      <c r="D101" s="8" t="n">
        <f aca="false">DATE(B101,C101,1)</f>
        <v>45017</v>
      </c>
      <c r="E101" s="7" t="str">
        <f aca="false">CHOOSE(C101,"ene","feb","mar","abr","may","jun","jul","ago","sep","oct","nov","dic")</f>
        <v>abr</v>
      </c>
      <c r="F101" s="7" t="str">
        <f aca="false">CHOOSE(C101,"enero","febrero","marzo","abril","mayo","junio","julio","agosto","septiembre","octubre","noviembre","diciembre")</f>
        <v>abril</v>
      </c>
      <c r="G101" s="7" t="str">
        <f aca="false">E101&amp;"-"&amp;RIGHT(B101,2)</f>
        <v>abr-23</v>
      </c>
    </row>
    <row r="102" customFormat="false" ht="15" hidden="false" customHeight="false" outlineLevel="0" collapsed="false">
      <c r="A102" s="8" t="n">
        <f aca="false">A101+1</f>
        <v>45027</v>
      </c>
      <c r="B102" s="7" t="n">
        <f aca="false">YEAR(A102)</f>
        <v>2023</v>
      </c>
      <c r="C102" s="7" t="n">
        <f aca="false">MONTH(A102)</f>
        <v>4</v>
      </c>
      <c r="D102" s="8" t="n">
        <f aca="false">DATE(B102,C102,1)</f>
        <v>45017</v>
      </c>
      <c r="E102" s="7" t="str">
        <f aca="false">CHOOSE(C102,"ene","feb","mar","abr","may","jun","jul","ago","sep","oct","nov","dic")</f>
        <v>abr</v>
      </c>
      <c r="F102" s="7" t="str">
        <f aca="false">CHOOSE(C102,"enero","febrero","marzo","abril","mayo","junio","julio","agosto","septiembre","octubre","noviembre","diciembre")</f>
        <v>abril</v>
      </c>
      <c r="G102" s="7" t="str">
        <f aca="false">E102&amp;"-"&amp;RIGHT(B102,2)</f>
        <v>abr-23</v>
      </c>
    </row>
    <row r="103" customFormat="false" ht="15" hidden="false" customHeight="false" outlineLevel="0" collapsed="false">
      <c r="A103" s="8" t="n">
        <f aca="false">A102+1</f>
        <v>45028</v>
      </c>
      <c r="B103" s="7" t="n">
        <f aca="false">YEAR(A103)</f>
        <v>2023</v>
      </c>
      <c r="C103" s="7" t="n">
        <f aca="false">MONTH(A103)</f>
        <v>4</v>
      </c>
      <c r="D103" s="8" t="n">
        <f aca="false">DATE(B103,C103,1)</f>
        <v>45017</v>
      </c>
      <c r="E103" s="7" t="str">
        <f aca="false">CHOOSE(C103,"ene","feb","mar","abr","may","jun","jul","ago","sep","oct","nov","dic")</f>
        <v>abr</v>
      </c>
      <c r="F103" s="7" t="str">
        <f aca="false">CHOOSE(C103,"enero","febrero","marzo","abril","mayo","junio","julio","agosto","septiembre","octubre","noviembre","diciembre")</f>
        <v>abril</v>
      </c>
      <c r="G103" s="7" t="str">
        <f aca="false">E103&amp;"-"&amp;RIGHT(B103,2)</f>
        <v>abr-23</v>
      </c>
    </row>
    <row r="104" customFormat="false" ht="15" hidden="false" customHeight="false" outlineLevel="0" collapsed="false">
      <c r="A104" s="8" t="n">
        <f aca="false">A103+1</f>
        <v>45029</v>
      </c>
      <c r="B104" s="7" t="n">
        <f aca="false">YEAR(A104)</f>
        <v>2023</v>
      </c>
      <c r="C104" s="7" t="n">
        <f aca="false">MONTH(A104)</f>
        <v>4</v>
      </c>
      <c r="D104" s="8" t="n">
        <f aca="false">DATE(B104,C104,1)</f>
        <v>45017</v>
      </c>
      <c r="E104" s="7" t="str">
        <f aca="false">CHOOSE(C104,"ene","feb","mar","abr","may","jun","jul","ago","sep","oct","nov","dic")</f>
        <v>abr</v>
      </c>
      <c r="F104" s="7" t="str">
        <f aca="false">CHOOSE(C104,"enero","febrero","marzo","abril","mayo","junio","julio","agosto","septiembre","octubre","noviembre","diciembre")</f>
        <v>abril</v>
      </c>
      <c r="G104" s="7" t="str">
        <f aca="false">E104&amp;"-"&amp;RIGHT(B104,2)</f>
        <v>abr-23</v>
      </c>
    </row>
    <row r="105" customFormat="false" ht="15" hidden="false" customHeight="false" outlineLevel="0" collapsed="false">
      <c r="A105" s="8" t="n">
        <f aca="false">A104+1</f>
        <v>45030</v>
      </c>
      <c r="B105" s="7" t="n">
        <f aca="false">YEAR(A105)</f>
        <v>2023</v>
      </c>
      <c r="C105" s="7" t="n">
        <f aca="false">MONTH(A105)</f>
        <v>4</v>
      </c>
      <c r="D105" s="8" t="n">
        <f aca="false">DATE(B105,C105,1)</f>
        <v>45017</v>
      </c>
      <c r="E105" s="7" t="str">
        <f aca="false">CHOOSE(C105,"ene","feb","mar","abr","may","jun","jul","ago","sep","oct","nov","dic")</f>
        <v>abr</v>
      </c>
      <c r="F105" s="7" t="str">
        <f aca="false">CHOOSE(C105,"enero","febrero","marzo","abril","mayo","junio","julio","agosto","septiembre","octubre","noviembre","diciembre")</f>
        <v>abril</v>
      </c>
      <c r="G105" s="7" t="str">
        <f aca="false">E105&amp;"-"&amp;RIGHT(B105,2)</f>
        <v>abr-23</v>
      </c>
    </row>
    <row r="106" customFormat="false" ht="15" hidden="false" customHeight="false" outlineLevel="0" collapsed="false">
      <c r="A106" s="8" t="n">
        <f aca="false">A105+1</f>
        <v>45031</v>
      </c>
      <c r="B106" s="7" t="n">
        <f aca="false">YEAR(A106)</f>
        <v>2023</v>
      </c>
      <c r="C106" s="7" t="n">
        <f aca="false">MONTH(A106)</f>
        <v>4</v>
      </c>
      <c r="D106" s="8" t="n">
        <f aca="false">DATE(B106,C106,1)</f>
        <v>45017</v>
      </c>
      <c r="E106" s="7" t="str">
        <f aca="false">CHOOSE(C106,"ene","feb","mar","abr","may","jun","jul","ago","sep","oct","nov","dic")</f>
        <v>abr</v>
      </c>
      <c r="F106" s="7" t="str">
        <f aca="false">CHOOSE(C106,"enero","febrero","marzo","abril","mayo","junio","julio","agosto","septiembre","octubre","noviembre","diciembre")</f>
        <v>abril</v>
      </c>
      <c r="G106" s="7" t="str">
        <f aca="false">E106&amp;"-"&amp;RIGHT(B106,2)</f>
        <v>abr-23</v>
      </c>
    </row>
    <row r="107" customFormat="false" ht="15" hidden="false" customHeight="false" outlineLevel="0" collapsed="false">
      <c r="A107" s="8" t="n">
        <f aca="false">A106+1</f>
        <v>45032</v>
      </c>
      <c r="B107" s="7" t="n">
        <f aca="false">YEAR(A107)</f>
        <v>2023</v>
      </c>
      <c r="C107" s="7" t="n">
        <f aca="false">MONTH(A107)</f>
        <v>4</v>
      </c>
      <c r="D107" s="8" t="n">
        <f aca="false">DATE(B107,C107,1)</f>
        <v>45017</v>
      </c>
      <c r="E107" s="7" t="str">
        <f aca="false">CHOOSE(C107,"ene","feb","mar","abr","may","jun","jul","ago","sep","oct","nov","dic")</f>
        <v>abr</v>
      </c>
      <c r="F107" s="7" t="str">
        <f aca="false">CHOOSE(C107,"enero","febrero","marzo","abril","mayo","junio","julio","agosto","septiembre","octubre","noviembre","diciembre")</f>
        <v>abril</v>
      </c>
      <c r="G107" s="7" t="str">
        <f aca="false">E107&amp;"-"&amp;RIGHT(B107,2)</f>
        <v>abr-23</v>
      </c>
    </row>
    <row r="108" customFormat="false" ht="15" hidden="false" customHeight="false" outlineLevel="0" collapsed="false">
      <c r="A108" s="8" t="n">
        <f aca="false">A107+1</f>
        <v>45033</v>
      </c>
      <c r="B108" s="7" t="n">
        <f aca="false">YEAR(A108)</f>
        <v>2023</v>
      </c>
      <c r="C108" s="7" t="n">
        <f aca="false">MONTH(A108)</f>
        <v>4</v>
      </c>
      <c r="D108" s="8" t="n">
        <f aca="false">DATE(B108,C108,1)</f>
        <v>45017</v>
      </c>
      <c r="E108" s="7" t="str">
        <f aca="false">CHOOSE(C108,"ene","feb","mar","abr","may","jun","jul","ago","sep","oct","nov","dic")</f>
        <v>abr</v>
      </c>
      <c r="F108" s="7" t="str">
        <f aca="false">CHOOSE(C108,"enero","febrero","marzo","abril","mayo","junio","julio","agosto","septiembre","octubre","noviembre","diciembre")</f>
        <v>abril</v>
      </c>
      <c r="G108" s="7" t="str">
        <f aca="false">E108&amp;"-"&amp;RIGHT(B108,2)</f>
        <v>abr-23</v>
      </c>
    </row>
    <row r="109" customFormat="false" ht="15" hidden="false" customHeight="false" outlineLevel="0" collapsed="false">
      <c r="A109" s="8" t="n">
        <f aca="false">A108+1</f>
        <v>45034</v>
      </c>
      <c r="B109" s="7" t="n">
        <f aca="false">YEAR(A109)</f>
        <v>2023</v>
      </c>
      <c r="C109" s="7" t="n">
        <f aca="false">MONTH(A109)</f>
        <v>4</v>
      </c>
      <c r="D109" s="8" t="n">
        <f aca="false">DATE(B109,C109,1)</f>
        <v>45017</v>
      </c>
      <c r="E109" s="7" t="str">
        <f aca="false">CHOOSE(C109,"ene","feb","mar","abr","may","jun","jul","ago","sep","oct","nov","dic")</f>
        <v>abr</v>
      </c>
      <c r="F109" s="7" t="str">
        <f aca="false">CHOOSE(C109,"enero","febrero","marzo","abril","mayo","junio","julio","agosto","septiembre","octubre","noviembre","diciembre")</f>
        <v>abril</v>
      </c>
      <c r="G109" s="7" t="str">
        <f aca="false">E109&amp;"-"&amp;RIGHT(B109,2)</f>
        <v>abr-23</v>
      </c>
    </row>
    <row r="110" customFormat="false" ht="15" hidden="false" customHeight="false" outlineLevel="0" collapsed="false">
      <c r="A110" s="8" t="n">
        <f aca="false">A109+1</f>
        <v>45035</v>
      </c>
      <c r="B110" s="7" t="n">
        <f aca="false">YEAR(A110)</f>
        <v>2023</v>
      </c>
      <c r="C110" s="7" t="n">
        <f aca="false">MONTH(A110)</f>
        <v>4</v>
      </c>
      <c r="D110" s="8" t="n">
        <f aca="false">DATE(B110,C110,1)</f>
        <v>45017</v>
      </c>
      <c r="E110" s="7" t="str">
        <f aca="false">CHOOSE(C110,"ene","feb","mar","abr","may","jun","jul","ago","sep","oct","nov","dic")</f>
        <v>abr</v>
      </c>
      <c r="F110" s="7" t="str">
        <f aca="false">CHOOSE(C110,"enero","febrero","marzo","abril","mayo","junio","julio","agosto","septiembre","octubre","noviembre","diciembre")</f>
        <v>abril</v>
      </c>
      <c r="G110" s="7" t="str">
        <f aca="false">E110&amp;"-"&amp;RIGHT(B110,2)</f>
        <v>abr-23</v>
      </c>
    </row>
    <row r="111" customFormat="false" ht="15" hidden="false" customHeight="false" outlineLevel="0" collapsed="false">
      <c r="A111" s="8" t="n">
        <f aca="false">A110+1</f>
        <v>45036</v>
      </c>
      <c r="B111" s="7" t="n">
        <f aca="false">YEAR(A111)</f>
        <v>2023</v>
      </c>
      <c r="C111" s="7" t="n">
        <f aca="false">MONTH(A111)</f>
        <v>4</v>
      </c>
      <c r="D111" s="8" t="n">
        <f aca="false">DATE(B111,C111,1)</f>
        <v>45017</v>
      </c>
      <c r="E111" s="7" t="str">
        <f aca="false">CHOOSE(C111,"ene","feb","mar","abr","may","jun","jul","ago","sep","oct","nov","dic")</f>
        <v>abr</v>
      </c>
      <c r="F111" s="7" t="str">
        <f aca="false">CHOOSE(C111,"enero","febrero","marzo","abril","mayo","junio","julio","agosto","septiembre","octubre","noviembre","diciembre")</f>
        <v>abril</v>
      </c>
      <c r="G111" s="7" t="str">
        <f aca="false">E111&amp;"-"&amp;RIGHT(B111,2)</f>
        <v>abr-23</v>
      </c>
    </row>
    <row r="112" customFormat="false" ht="15" hidden="false" customHeight="false" outlineLevel="0" collapsed="false">
      <c r="A112" s="8" t="n">
        <f aca="false">A111+1</f>
        <v>45037</v>
      </c>
      <c r="B112" s="7" t="n">
        <f aca="false">YEAR(A112)</f>
        <v>2023</v>
      </c>
      <c r="C112" s="7" t="n">
        <f aca="false">MONTH(A112)</f>
        <v>4</v>
      </c>
      <c r="D112" s="8" t="n">
        <f aca="false">DATE(B112,C112,1)</f>
        <v>45017</v>
      </c>
      <c r="E112" s="7" t="str">
        <f aca="false">CHOOSE(C112,"ene","feb","mar","abr","may","jun","jul","ago","sep","oct","nov","dic")</f>
        <v>abr</v>
      </c>
      <c r="F112" s="7" t="str">
        <f aca="false">CHOOSE(C112,"enero","febrero","marzo","abril","mayo","junio","julio","agosto","septiembre","octubre","noviembre","diciembre")</f>
        <v>abril</v>
      </c>
      <c r="G112" s="7" t="str">
        <f aca="false">E112&amp;"-"&amp;RIGHT(B112,2)</f>
        <v>abr-23</v>
      </c>
    </row>
    <row r="113" customFormat="false" ht="15" hidden="false" customHeight="false" outlineLevel="0" collapsed="false">
      <c r="A113" s="8" t="n">
        <f aca="false">A112+1</f>
        <v>45038</v>
      </c>
      <c r="B113" s="7" t="n">
        <f aca="false">YEAR(A113)</f>
        <v>2023</v>
      </c>
      <c r="C113" s="7" t="n">
        <f aca="false">MONTH(A113)</f>
        <v>4</v>
      </c>
      <c r="D113" s="8" t="n">
        <f aca="false">DATE(B113,C113,1)</f>
        <v>45017</v>
      </c>
      <c r="E113" s="7" t="str">
        <f aca="false">CHOOSE(C113,"ene","feb","mar","abr","may","jun","jul","ago","sep","oct","nov","dic")</f>
        <v>abr</v>
      </c>
      <c r="F113" s="7" t="str">
        <f aca="false">CHOOSE(C113,"enero","febrero","marzo","abril","mayo","junio","julio","agosto","septiembre","octubre","noviembre","diciembre")</f>
        <v>abril</v>
      </c>
      <c r="G113" s="7" t="str">
        <f aca="false">E113&amp;"-"&amp;RIGHT(B113,2)</f>
        <v>abr-23</v>
      </c>
    </row>
    <row r="114" customFormat="false" ht="15" hidden="false" customHeight="false" outlineLevel="0" collapsed="false">
      <c r="A114" s="8" t="n">
        <f aca="false">A113+1</f>
        <v>45039</v>
      </c>
      <c r="B114" s="7" t="n">
        <f aca="false">YEAR(A114)</f>
        <v>2023</v>
      </c>
      <c r="C114" s="7" t="n">
        <f aca="false">MONTH(A114)</f>
        <v>4</v>
      </c>
      <c r="D114" s="8" t="n">
        <f aca="false">DATE(B114,C114,1)</f>
        <v>45017</v>
      </c>
      <c r="E114" s="7" t="str">
        <f aca="false">CHOOSE(C114,"ene","feb","mar","abr","may","jun","jul","ago","sep","oct","nov","dic")</f>
        <v>abr</v>
      </c>
      <c r="F114" s="7" t="str">
        <f aca="false">CHOOSE(C114,"enero","febrero","marzo","abril","mayo","junio","julio","agosto","septiembre","octubre","noviembre","diciembre")</f>
        <v>abril</v>
      </c>
      <c r="G114" s="7" t="str">
        <f aca="false">E114&amp;"-"&amp;RIGHT(B114,2)</f>
        <v>abr-23</v>
      </c>
    </row>
    <row r="115" customFormat="false" ht="15" hidden="false" customHeight="false" outlineLevel="0" collapsed="false">
      <c r="A115" s="8" t="n">
        <f aca="false">A114+1</f>
        <v>45040</v>
      </c>
      <c r="B115" s="7" t="n">
        <f aca="false">YEAR(A115)</f>
        <v>2023</v>
      </c>
      <c r="C115" s="7" t="n">
        <f aca="false">MONTH(A115)</f>
        <v>4</v>
      </c>
      <c r="D115" s="8" t="n">
        <f aca="false">DATE(B115,C115,1)</f>
        <v>45017</v>
      </c>
      <c r="E115" s="7" t="str">
        <f aca="false">CHOOSE(C115,"ene","feb","mar","abr","may","jun","jul","ago","sep","oct","nov","dic")</f>
        <v>abr</v>
      </c>
      <c r="F115" s="7" t="str">
        <f aca="false">CHOOSE(C115,"enero","febrero","marzo","abril","mayo","junio","julio","agosto","septiembre","octubre","noviembre","diciembre")</f>
        <v>abril</v>
      </c>
      <c r="G115" s="7" t="str">
        <f aca="false">E115&amp;"-"&amp;RIGHT(B115,2)</f>
        <v>abr-23</v>
      </c>
    </row>
    <row r="116" customFormat="false" ht="15" hidden="false" customHeight="false" outlineLevel="0" collapsed="false">
      <c r="A116" s="8" t="n">
        <f aca="false">A115+1</f>
        <v>45041</v>
      </c>
      <c r="B116" s="7" t="n">
        <f aca="false">YEAR(A116)</f>
        <v>2023</v>
      </c>
      <c r="C116" s="7" t="n">
        <f aca="false">MONTH(A116)</f>
        <v>4</v>
      </c>
      <c r="D116" s="8" t="n">
        <f aca="false">DATE(B116,C116,1)</f>
        <v>45017</v>
      </c>
      <c r="E116" s="7" t="str">
        <f aca="false">CHOOSE(C116,"ene","feb","mar","abr","may","jun","jul","ago","sep","oct","nov","dic")</f>
        <v>abr</v>
      </c>
      <c r="F116" s="7" t="str">
        <f aca="false">CHOOSE(C116,"enero","febrero","marzo","abril","mayo","junio","julio","agosto","septiembre","octubre","noviembre","diciembre")</f>
        <v>abril</v>
      </c>
      <c r="G116" s="7" t="str">
        <f aca="false">E116&amp;"-"&amp;RIGHT(B116,2)</f>
        <v>abr-23</v>
      </c>
    </row>
    <row r="117" customFormat="false" ht="15" hidden="false" customHeight="false" outlineLevel="0" collapsed="false">
      <c r="A117" s="8" t="n">
        <f aca="false">A116+1</f>
        <v>45042</v>
      </c>
      <c r="B117" s="7" t="n">
        <f aca="false">YEAR(A117)</f>
        <v>2023</v>
      </c>
      <c r="C117" s="7" t="n">
        <f aca="false">MONTH(A117)</f>
        <v>4</v>
      </c>
      <c r="D117" s="8" t="n">
        <f aca="false">DATE(B117,C117,1)</f>
        <v>45017</v>
      </c>
      <c r="E117" s="7" t="str">
        <f aca="false">CHOOSE(C117,"ene","feb","mar","abr","may","jun","jul","ago","sep","oct","nov","dic")</f>
        <v>abr</v>
      </c>
      <c r="F117" s="7" t="str">
        <f aca="false">CHOOSE(C117,"enero","febrero","marzo","abril","mayo","junio","julio","agosto","septiembre","octubre","noviembre","diciembre")</f>
        <v>abril</v>
      </c>
      <c r="G117" s="7" t="str">
        <f aca="false">E117&amp;"-"&amp;RIGHT(B117,2)</f>
        <v>abr-23</v>
      </c>
    </row>
    <row r="118" customFormat="false" ht="15" hidden="false" customHeight="false" outlineLevel="0" collapsed="false">
      <c r="A118" s="8" t="n">
        <f aca="false">A117+1</f>
        <v>45043</v>
      </c>
      <c r="B118" s="7" t="n">
        <f aca="false">YEAR(A118)</f>
        <v>2023</v>
      </c>
      <c r="C118" s="7" t="n">
        <f aca="false">MONTH(A118)</f>
        <v>4</v>
      </c>
      <c r="D118" s="8" t="n">
        <f aca="false">DATE(B118,C118,1)</f>
        <v>45017</v>
      </c>
      <c r="E118" s="7" t="str">
        <f aca="false">CHOOSE(C118,"ene","feb","mar","abr","may","jun","jul","ago","sep","oct","nov","dic")</f>
        <v>abr</v>
      </c>
      <c r="F118" s="7" t="str">
        <f aca="false">CHOOSE(C118,"enero","febrero","marzo","abril","mayo","junio","julio","agosto","septiembre","octubre","noviembre","diciembre")</f>
        <v>abril</v>
      </c>
      <c r="G118" s="7" t="str">
        <f aca="false">E118&amp;"-"&amp;RIGHT(B118,2)</f>
        <v>abr-23</v>
      </c>
    </row>
    <row r="119" customFormat="false" ht="15" hidden="false" customHeight="false" outlineLevel="0" collapsed="false">
      <c r="A119" s="8" t="n">
        <f aca="false">A118+1</f>
        <v>45044</v>
      </c>
      <c r="B119" s="7" t="n">
        <f aca="false">YEAR(A119)</f>
        <v>2023</v>
      </c>
      <c r="C119" s="7" t="n">
        <f aca="false">MONTH(A119)</f>
        <v>4</v>
      </c>
      <c r="D119" s="8" t="n">
        <f aca="false">DATE(B119,C119,1)</f>
        <v>45017</v>
      </c>
      <c r="E119" s="7" t="str">
        <f aca="false">CHOOSE(C119,"ene","feb","mar","abr","may","jun","jul","ago","sep","oct","nov","dic")</f>
        <v>abr</v>
      </c>
      <c r="F119" s="7" t="str">
        <f aca="false">CHOOSE(C119,"enero","febrero","marzo","abril","mayo","junio","julio","agosto","septiembre","octubre","noviembre","diciembre")</f>
        <v>abril</v>
      </c>
      <c r="G119" s="7" t="str">
        <f aca="false">E119&amp;"-"&amp;RIGHT(B119,2)</f>
        <v>abr-23</v>
      </c>
    </row>
    <row r="120" customFormat="false" ht="15" hidden="false" customHeight="false" outlineLevel="0" collapsed="false">
      <c r="A120" s="8" t="n">
        <f aca="false">A119+1</f>
        <v>45045</v>
      </c>
      <c r="B120" s="7" t="n">
        <f aca="false">YEAR(A120)</f>
        <v>2023</v>
      </c>
      <c r="C120" s="7" t="n">
        <f aca="false">MONTH(A120)</f>
        <v>4</v>
      </c>
      <c r="D120" s="8" t="n">
        <f aca="false">DATE(B120,C120,1)</f>
        <v>45017</v>
      </c>
      <c r="E120" s="7" t="str">
        <f aca="false">CHOOSE(C120,"ene","feb","mar","abr","may","jun","jul","ago","sep","oct","nov","dic")</f>
        <v>abr</v>
      </c>
      <c r="F120" s="7" t="str">
        <f aca="false">CHOOSE(C120,"enero","febrero","marzo","abril","mayo","junio","julio","agosto","septiembre","octubre","noviembre","diciembre")</f>
        <v>abril</v>
      </c>
      <c r="G120" s="7" t="str">
        <f aca="false">E120&amp;"-"&amp;RIGHT(B120,2)</f>
        <v>abr-23</v>
      </c>
    </row>
    <row r="121" customFormat="false" ht="15" hidden="false" customHeight="false" outlineLevel="0" collapsed="false">
      <c r="A121" s="8" t="n">
        <f aca="false">A120+1</f>
        <v>45046</v>
      </c>
      <c r="B121" s="7" t="n">
        <f aca="false">YEAR(A121)</f>
        <v>2023</v>
      </c>
      <c r="C121" s="7" t="n">
        <f aca="false">MONTH(A121)</f>
        <v>4</v>
      </c>
      <c r="D121" s="8" t="n">
        <f aca="false">DATE(B121,C121,1)</f>
        <v>45017</v>
      </c>
      <c r="E121" s="7" t="str">
        <f aca="false">CHOOSE(C121,"ene","feb","mar","abr","may","jun","jul","ago","sep","oct","nov","dic")</f>
        <v>abr</v>
      </c>
      <c r="F121" s="7" t="str">
        <f aca="false">CHOOSE(C121,"enero","febrero","marzo","abril","mayo","junio","julio","agosto","septiembre","octubre","noviembre","diciembre")</f>
        <v>abril</v>
      </c>
      <c r="G121" s="7" t="str">
        <f aca="false">E121&amp;"-"&amp;RIGHT(B121,2)</f>
        <v>abr-23</v>
      </c>
    </row>
    <row r="122" customFormat="false" ht="15" hidden="false" customHeight="false" outlineLevel="0" collapsed="false">
      <c r="A122" s="8" t="n">
        <f aca="false">A121+1</f>
        <v>45047</v>
      </c>
      <c r="B122" s="7" t="n">
        <f aca="false">YEAR(A122)</f>
        <v>2023</v>
      </c>
      <c r="C122" s="7" t="n">
        <f aca="false">MONTH(A122)</f>
        <v>5</v>
      </c>
      <c r="D122" s="8" t="n">
        <f aca="false">DATE(B122,C122,1)</f>
        <v>45047</v>
      </c>
      <c r="E122" s="7" t="str">
        <f aca="false">CHOOSE(C122,"ene","feb","mar","abr","may","jun","jul","ago","sep","oct","nov","dic")</f>
        <v>may</v>
      </c>
      <c r="F122" s="7" t="str">
        <f aca="false">CHOOSE(C122,"enero","febrero","marzo","abril","mayo","junio","julio","agosto","septiembre","octubre","noviembre","diciembre")</f>
        <v>mayo</v>
      </c>
      <c r="G122" s="7" t="str">
        <f aca="false">E122&amp;"-"&amp;RIGHT(B122,2)</f>
        <v>may-23</v>
      </c>
    </row>
    <row r="123" customFormat="false" ht="15" hidden="false" customHeight="false" outlineLevel="0" collapsed="false">
      <c r="A123" s="8" t="n">
        <f aca="false">A122+1</f>
        <v>45048</v>
      </c>
      <c r="B123" s="7" t="n">
        <f aca="false">YEAR(A123)</f>
        <v>2023</v>
      </c>
      <c r="C123" s="7" t="n">
        <f aca="false">MONTH(A123)</f>
        <v>5</v>
      </c>
      <c r="D123" s="8" t="n">
        <f aca="false">DATE(B123,C123,1)</f>
        <v>45047</v>
      </c>
      <c r="E123" s="7" t="str">
        <f aca="false">CHOOSE(C123,"ene","feb","mar","abr","may","jun","jul","ago","sep","oct","nov","dic")</f>
        <v>may</v>
      </c>
      <c r="F123" s="7" t="str">
        <f aca="false">CHOOSE(C123,"enero","febrero","marzo","abril","mayo","junio","julio","agosto","septiembre","octubre","noviembre","diciembre")</f>
        <v>mayo</v>
      </c>
      <c r="G123" s="7" t="str">
        <f aca="false">E123&amp;"-"&amp;RIGHT(B123,2)</f>
        <v>may-23</v>
      </c>
    </row>
    <row r="124" customFormat="false" ht="15" hidden="false" customHeight="false" outlineLevel="0" collapsed="false">
      <c r="A124" s="8" t="n">
        <f aca="false">A123+1</f>
        <v>45049</v>
      </c>
      <c r="B124" s="7" t="n">
        <f aca="false">YEAR(A124)</f>
        <v>2023</v>
      </c>
      <c r="C124" s="7" t="n">
        <f aca="false">MONTH(A124)</f>
        <v>5</v>
      </c>
      <c r="D124" s="8" t="n">
        <f aca="false">DATE(B124,C124,1)</f>
        <v>45047</v>
      </c>
      <c r="E124" s="7" t="str">
        <f aca="false">CHOOSE(C124,"ene","feb","mar","abr","may","jun","jul","ago","sep","oct","nov","dic")</f>
        <v>may</v>
      </c>
      <c r="F124" s="7" t="str">
        <f aca="false">CHOOSE(C124,"enero","febrero","marzo","abril","mayo","junio","julio","agosto","septiembre","octubre","noviembre","diciembre")</f>
        <v>mayo</v>
      </c>
      <c r="G124" s="7" t="str">
        <f aca="false">E124&amp;"-"&amp;RIGHT(B124,2)</f>
        <v>may-23</v>
      </c>
    </row>
    <row r="125" customFormat="false" ht="15" hidden="false" customHeight="false" outlineLevel="0" collapsed="false">
      <c r="A125" s="8" t="n">
        <f aca="false">A124+1</f>
        <v>45050</v>
      </c>
      <c r="B125" s="7" t="n">
        <f aca="false">YEAR(A125)</f>
        <v>2023</v>
      </c>
      <c r="C125" s="7" t="n">
        <f aca="false">MONTH(A125)</f>
        <v>5</v>
      </c>
      <c r="D125" s="8" t="n">
        <f aca="false">DATE(B125,C125,1)</f>
        <v>45047</v>
      </c>
      <c r="E125" s="7" t="str">
        <f aca="false">CHOOSE(C125,"ene","feb","mar","abr","may","jun","jul","ago","sep","oct","nov","dic")</f>
        <v>may</v>
      </c>
      <c r="F125" s="7" t="str">
        <f aca="false">CHOOSE(C125,"enero","febrero","marzo","abril","mayo","junio","julio","agosto","septiembre","octubre","noviembre","diciembre")</f>
        <v>mayo</v>
      </c>
      <c r="G125" s="7" t="str">
        <f aca="false">E125&amp;"-"&amp;RIGHT(B125,2)</f>
        <v>may-23</v>
      </c>
    </row>
    <row r="126" customFormat="false" ht="15" hidden="false" customHeight="false" outlineLevel="0" collapsed="false">
      <c r="A126" s="8" t="n">
        <f aca="false">A125+1</f>
        <v>45051</v>
      </c>
      <c r="B126" s="7" t="n">
        <f aca="false">YEAR(A126)</f>
        <v>2023</v>
      </c>
      <c r="C126" s="7" t="n">
        <f aca="false">MONTH(A126)</f>
        <v>5</v>
      </c>
      <c r="D126" s="8" t="n">
        <f aca="false">DATE(B126,C126,1)</f>
        <v>45047</v>
      </c>
      <c r="E126" s="7" t="str">
        <f aca="false">CHOOSE(C126,"ene","feb","mar","abr","may","jun","jul","ago","sep","oct","nov","dic")</f>
        <v>may</v>
      </c>
      <c r="F126" s="7" t="str">
        <f aca="false">CHOOSE(C126,"enero","febrero","marzo","abril","mayo","junio","julio","agosto","septiembre","octubre","noviembre","diciembre")</f>
        <v>mayo</v>
      </c>
      <c r="G126" s="7" t="str">
        <f aca="false">E126&amp;"-"&amp;RIGHT(B126,2)</f>
        <v>may-23</v>
      </c>
    </row>
    <row r="127" customFormat="false" ht="15" hidden="false" customHeight="false" outlineLevel="0" collapsed="false">
      <c r="A127" s="8" t="n">
        <f aca="false">A126+1</f>
        <v>45052</v>
      </c>
      <c r="B127" s="7" t="n">
        <f aca="false">YEAR(A127)</f>
        <v>2023</v>
      </c>
      <c r="C127" s="7" t="n">
        <f aca="false">MONTH(A127)</f>
        <v>5</v>
      </c>
      <c r="D127" s="8" t="n">
        <f aca="false">DATE(B127,C127,1)</f>
        <v>45047</v>
      </c>
      <c r="E127" s="7" t="str">
        <f aca="false">CHOOSE(C127,"ene","feb","mar","abr","may","jun","jul","ago","sep","oct","nov","dic")</f>
        <v>may</v>
      </c>
      <c r="F127" s="7" t="str">
        <f aca="false">CHOOSE(C127,"enero","febrero","marzo","abril","mayo","junio","julio","agosto","septiembre","octubre","noviembre","diciembre")</f>
        <v>mayo</v>
      </c>
      <c r="G127" s="7" t="str">
        <f aca="false">E127&amp;"-"&amp;RIGHT(B127,2)</f>
        <v>may-23</v>
      </c>
    </row>
    <row r="128" customFormat="false" ht="15" hidden="false" customHeight="false" outlineLevel="0" collapsed="false">
      <c r="A128" s="8" t="n">
        <f aca="false">A127+1</f>
        <v>45053</v>
      </c>
      <c r="B128" s="7" t="n">
        <f aca="false">YEAR(A128)</f>
        <v>2023</v>
      </c>
      <c r="C128" s="7" t="n">
        <f aca="false">MONTH(A128)</f>
        <v>5</v>
      </c>
      <c r="D128" s="8" t="n">
        <f aca="false">DATE(B128,C128,1)</f>
        <v>45047</v>
      </c>
      <c r="E128" s="7" t="str">
        <f aca="false">CHOOSE(C128,"ene","feb","mar","abr","may","jun","jul","ago","sep","oct","nov","dic")</f>
        <v>may</v>
      </c>
      <c r="F128" s="7" t="str">
        <f aca="false">CHOOSE(C128,"enero","febrero","marzo","abril","mayo","junio","julio","agosto","septiembre","octubre","noviembre","diciembre")</f>
        <v>mayo</v>
      </c>
      <c r="G128" s="7" t="str">
        <f aca="false">E128&amp;"-"&amp;RIGHT(B128,2)</f>
        <v>may-23</v>
      </c>
    </row>
    <row r="129" customFormat="false" ht="15" hidden="false" customHeight="false" outlineLevel="0" collapsed="false">
      <c r="A129" s="8" t="n">
        <f aca="false">A128+1</f>
        <v>45054</v>
      </c>
      <c r="B129" s="7" t="n">
        <f aca="false">YEAR(A129)</f>
        <v>2023</v>
      </c>
      <c r="C129" s="7" t="n">
        <f aca="false">MONTH(A129)</f>
        <v>5</v>
      </c>
      <c r="D129" s="8" t="n">
        <f aca="false">DATE(B129,C129,1)</f>
        <v>45047</v>
      </c>
      <c r="E129" s="7" t="str">
        <f aca="false">CHOOSE(C129,"ene","feb","mar","abr","may","jun","jul","ago","sep","oct","nov","dic")</f>
        <v>may</v>
      </c>
      <c r="F129" s="7" t="str">
        <f aca="false">CHOOSE(C129,"enero","febrero","marzo","abril","mayo","junio","julio","agosto","septiembre","octubre","noviembre","diciembre")</f>
        <v>mayo</v>
      </c>
      <c r="G129" s="7" t="str">
        <f aca="false">E129&amp;"-"&amp;RIGHT(B129,2)</f>
        <v>may-23</v>
      </c>
    </row>
    <row r="130" customFormat="false" ht="15" hidden="false" customHeight="false" outlineLevel="0" collapsed="false">
      <c r="A130" s="8" t="n">
        <f aca="false">A129+1</f>
        <v>45055</v>
      </c>
      <c r="B130" s="7" t="n">
        <f aca="false">YEAR(A130)</f>
        <v>2023</v>
      </c>
      <c r="C130" s="7" t="n">
        <f aca="false">MONTH(A130)</f>
        <v>5</v>
      </c>
      <c r="D130" s="8" t="n">
        <f aca="false">DATE(B130,C130,1)</f>
        <v>45047</v>
      </c>
      <c r="E130" s="7" t="str">
        <f aca="false">CHOOSE(C130,"ene","feb","mar","abr","may","jun","jul","ago","sep","oct","nov","dic")</f>
        <v>may</v>
      </c>
      <c r="F130" s="7" t="str">
        <f aca="false">CHOOSE(C130,"enero","febrero","marzo","abril","mayo","junio","julio","agosto","septiembre","octubre","noviembre","diciembre")</f>
        <v>mayo</v>
      </c>
      <c r="G130" s="7" t="str">
        <f aca="false">E130&amp;"-"&amp;RIGHT(B130,2)</f>
        <v>may-23</v>
      </c>
    </row>
    <row r="131" customFormat="false" ht="15" hidden="false" customHeight="false" outlineLevel="0" collapsed="false">
      <c r="A131" s="8" t="n">
        <f aca="false">A130+1</f>
        <v>45056</v>
      </c>
      <c r="B131" s="7" t="n">
        <f aca="false">YEAR(A131)</f>
        <v>2023</v>
      </c>
      <c r="C131" s="7" t="n">
        <f aca="false">MONTH(A131)</f>
        <v>5</v>
      </c>
      <c r="D131" s="8" t="n">
        <f aca="false">DATE(B131,C131,1)</f>
        <v>45047</v>
      </c>
      <c r="E131" s="7" t="str">
        <f aca="false">CHOOSE(C131,"ene","feb","mar","abr","may","jun","jul","ago","sep","oct","nov","dic")</f>
        <v>may</v>
      </c>
      <c r="F131" s="7" t="str">
        <f aca="false">CHOOSE(C131,"enero","febrero","marzo","abril","mayo","junio","julio","agosto","septiembre","octubre","noviembre","diciembre")</f>
        <v>mayo</v>
      </c>
      <c r="G131" s="7" t="str">
        <f aca="false">E131&amp;"-"&amp;RIGHT(B131,2)</f>
        <v>may-23</v>
      </c>
    </row>
    <row r="132" customFormat="false" ht="15" hidden="false" customHeight="false" outlineLevel="0" collapsed="false">
      <c r="A132" s="8" t="n">
        <f aca="false">A131+1</f>
        <v>45057</v>
      </c>
      <c r="B132" s="7" t="n">
        <f aca="false">YEAR(A132)</f>
        <v>2023</v>
      </c>
      <c r="C132" s="7" t="n">
        <f aca="false">MONTH(A132)</f>
        <v>5</v>
      </c>
      <c r="D132" s="8" t="n">
        <f aca="false">DATE(B132,C132,1)</f>
        <v>45047</v>
      </c>
      <c r="E132" s="7" t="str">
        <f aca="false">CHOOSE(C132,"ene","feb","mar","abr","may","jun","jul","ago","sep","oct","nov","dic")</f>
        <v>may</v>
      </c>
      <c r="F132" s="7" t="str">
        <f aca="false">CHOOSE(C132,"enero","febrero","marzo","abril","mayo","junio","julio","agosto","septiembre","octubre","noviembre","diciembre")</f>
        <v>mayo</v>
      </c>
      <c r="G132" s="7" t="str">
        <f aca="false">E132&amp;"-"&amp;RIGHT(B132,2)</f>
        <v>may-23</v>
      </c>
    </row>
    <row r="133" customFormat="false" ht="15" hidden="false" customHeight="false" outlineLevel="0" collapsed="false">
      <c r="A133" s="8" t="n">
        <f aca="false">A132+1</f>
        <v>45058</v>
      </c>
      <c r="B133" s="7" t="n">
        <f aca="false">YEAR(A133)</f>
        <v>2023</v>
      </c>
      <c r="C133" s="7" t="n">
        <f aca="false">MONTH(A133)</f>
        <v>5</v>
      </c>
      <c r="D133" s="8" t="n">
        <f aca="false">DATE(B133,C133,1)</f>
        <v>45047</v>
      </c>
      <c r="E133" s="7" t="str">
        <f aca="false">CHOOSE(C133,"ene","feb","mar","abr","may","jun","jul","ago","sep","oct","nov","dic")</f>
        <v>may</v>
      </c>
      <c r="F133" s="7" t="str">
        <f aca="false">CHOOSE(C133,"enero","febrero","marzo","abril","mayo","junio","julio","agosto","septiembre","octubre","noviembre","diciembre")</f>
        <v>mayo</v>
      </c>
      <c r="G133" s="7" t="str">
        <f aca="false">E133&amp;"-"&amp;RIGHT(B133,2)</f>
        <v>may-23</v>
      </c>
    </row>
    <row r="134" customFormat="false" ht="15" hidden="false" customHeight="false" outlineLevel="0" collapsed="false">
      <c r="A134" s="8" t="n">
        <f aca="false">A133+1</f>
        <v>45059</v>
      </c>
      <c r="B134" s="7" t="n">
        <f aca="false">YEAR(A134)</f>
        <v>2023</v>
      </c>
      <c r="C134" s="7" t="n">
        <f aca="false">MONTH(A134)</f>
        <v>5</v>
      </c>
      <c r="D134" s="8" t="n">
        <f aca="false">DATE(B134,C134,1)</f>
        <v>45047</v>
      </c>
      <c r="E134" s="7" t="str">
        <f aca="false">CHOOSE(C134,"ene","feb","mar","abr","may","jun","jul","ago","sep","oct","nov","dic")</f>
        <v>may</v>
      </c>
      <c r="F134" s="7" t="str">
        <f aca="false">CHOOSE(C134,"enero","febrero","marzo","abril","mayo","junio","julio","agosto","septiembre","octubre","noviembre","diciembre")</f>
        <v>mayo</v>
      </c>
      <c r="G134" s="7" t="str">
        <f aca="false">E134&amp;"-"&amp;RIGHT(B134,2)</f>
        <v>may-23</v>
      </c>
    </row>
    <row r="135" customFormat="false" ht="15" hidden="false" customHeight="false" outlineLevel="0" collapsed="false">
      <c r="A135" s="8" t="n">
        <f aca="false">A134+1</f>
        <v>45060</v>
      </c>
      <c r="B135" s="7" t="n">
        <f aca="false">YEAR(A135)</f>
        <v>2023</v>
      </c>
      <c r="C135" s="7" t="n">
        <f aca="false">MONTH(A135)</f>
        <v>5</v>
      </c>
      <c r="D135" s="8" t="n">
        <f aca="false">DATE(B135,C135,1)</f>
        <v>45047</v>
      </c>
      <c r="E135" s="7" t="str">
        <f aca="false">CHOOSE(C135,"ene","feb","mar","abr","may","jun","jul","ago","sep","oct","nov","dic")</f>
        <v>may</v>
      </c>
      <c r="F135" s="7" t="str">
        <f aca="false">CHOOSE(C135,"enero","febrero","marzo","abril","mayo","junio","julio","agosto","septiembre","octubre","noviembre","diciembre")</f>
        <v>mayo</v>
      </c>
      <c r="G135" s="7" t="str">
        <f aca="false">E135&amp;"-"&amp;RIGHT(B135,2)</f>
        <v>may-23</v>
      </c>
    </row>
    <row r="136" customFormat="false" ht="15" hidden="false" customHeight="false" outlineLevel="0" collapsed="false">
      <c r="A136" s="8" t="n">
        <f aca="false">A135+1</f>
        <v>45061</v>
      </c>
      <c r="B136" s="7" t="n">
        <f aca="false">YEAR(A136)</f>
        <v>2023</v>
      </c>
      <c r="C136" s="7" t="n">
        <f aca="false">MONTH(A136)</f>
        <v>5</v>
      </c>
      <c r="D136" s="8" t="n">
        <f aca="false">DATE(B136,C136,1)</f>
        <v>45047</v>
      </c>
      <c r="E136" s="7" t="str">
        <f aca="false">CHOOSE(C136,"ene","feb","mar","abr","may","jun","jul","ago","sep","oct","nov","dic")</f>
        <v>may</v>
      </c>
      <c r="F136" s="7" t="str">
        <f aca="false">CHOOSE(C136,"enero","febrero","marzo","abril","mayo","junio","julio","agosto","septiembre","octubre","noviembre","diciembre")</f>
        <v>mayo</v>
      </c>
      <c r="G136" s="7" t="str">
        <f aca="false">E136&amp;"-"&amp;RIGHT(B136,2)</f>
        <v>may-23</v>
      </c>
    </row>
    <row r="137" customFormat="false" ht="15" hidden="false" customHeight="false" outlineLevel="0" collapsed="false">
      <c r="A137" s="8" t="n">
        <f aca="false">A136+1</f>
        <v>45062</v>
      </c>
      <c r="B137" s="7" t="n">
        <f aca="false">YEAR(A137)</f>
        <v>2023</v>
      </c>
      <c r="C137" s="7" t="n">
        <f aca="false">MONTH(A137)</f>
        <v>5</v>
      </c>
      <c r="D137" s="8" t="n">
        <f aca="false">DATE(B137,C137,1)</f>
        <v>45047</v>
      </c>
      <c r="E137" s="7" t="str">
        <f aca="false">CHOOSE(C137,"ene","feb","mar","abr","may","jun","jul","ago","sep","oct","nov","dic")</f>
        <v>may</v>
      </c>
      <c r="F137" s="7" t="str">
        <f aca="false">CHOOSE(C137,"enero","febrero","marzo","abril","mayo","junio","julio","agosto","septiembre","octubre","noviembre","diciembre")</f>
        <v>mayo</v>
      </c>
      <c r="G137" s="7" t="str">
        <f aca="false">E137&amp;"-"&amp;RIGHT(B137,2)</f>
        <v>may-23</v>
      </c>
    </row>
    <row r="138" customFormat="false" ht="15" hidden="false" customHeight="false" outlineLevel="0" collapsed="false">
      <c r="A138" s="8" t="n">
        <f aca="false">A137+1</f>
        <v>45063</v>
      </c>
      <c r="B138" s="7" t="n">
        <f aca="false">YEAR(A138)</f>
        <v>2023</v>
      </c>
      <c r="C138" s="7" t="n">
        <f aca="false">MONTH(A138)</f>
        <v>5</v>
      </c>
      <c r="D138" s="8" t="n">
        <f aca="false">DATE(B138,C138,1)</f>
        <v>45047</v>
      </c>
      <c r="E138" s="7" t="str">
        <f aca="false">CHOOSE(C138,"ene","feb","mar","abr","may","jun","jul","ago","sep","oct","nov","dic")</f>
        <v>may</v>
      </c>
      <c r="F138" s="7" t="str">
        <f aca="false">CHOOSE(C138,"enero","febrero","marzo","abril","mayo","junio","julio","agosto","septiembre","octubre","noviembre","diciembre")</f>
        <v>mayo</v>
      </c>
      <c r="G138" s="7" t="str">
        <f aca="false">E138&amp;"-"&amp;RIGHT(B138,2)</f>
        <v>may-23</v>
      </c>
    </row>
    <row r="139" customFormat="false" ht="15" hidden="false" customHeight="false" outlineLevel="0" collapsed="false">
      <c r="A139" s="8" t="n">
        <f aca="false">A138+1</f>
        <v>45064</v>
      </c>
      <c r="B139" s="7" t="n">
        <f aca="false">YEAR(A139)</f>
        <v>2023</v>
      </c>
      <c r="C139" s="7" t="n">
        <f aca="false">MONTH(A139)</f>
        <v>5</v>
      </c>
      <c r="D139" s="8" t="n">
        <f aca="false">DATE(B139,C139,1)</f>
        <v>45047</v>
      </c>
      <c r="E139" s="7" t="str">
        <f aca="false">CHOOSE(C139,"ene","feb","mar","abr","may","jun","jul","ago","sep","oct","nov","dic")</f>
        <v>may</v>
      </c>
      <c r="F139" s="7" t="str">
        <f aca="false">CHOOSE(C139,"enero","febrero","marzo","abril","mayo","junio","julio","agosto","septiembre","octubre","noviembre","diciembre")</f>
        <v>mayo</v>
      </c>
      <c r="G139" s="7" t="str">
        <f aca="false">E139&amp;"-"&amp;RIGHT(B139,2)</f>
        <v>may-23</v>
      </c>
    </row>
    <row r="140" customFormat="false" ht="15" hidden="false" customHeight="false" outlineLevel="0" collapsed="false">
      <c r="A140" s="8" t="n">
        <f aca="false">A139+1</f>
        <v>45065</v>
      </c>
      <c r="B140" s="7" t="n">
        <f aca="false">YEAR(A140)</f>
        <v>2023</v>
      </c>
      <c r="C140" s="7" t="n">
        <f aca="false">MONTH(A140)</f>
        <v>5</v>
      </c>
      <c r="D140" s="8" t="n">
        <f aca="false">DATE(B140,C140,1)</f>
        <v>45047</v>
      </c>
      <c r="E140" s="7" t="str">
        <f aca="false">CHOOSE(C140,"ene","feb","mar","abr","may","jun","jul","ago","sep","oct","nov","dic")</f>
        <v>may</v>
      </c>
      <c r="F140" s="7" t="str">
        <f aca="false">CHOOSE(C140,"enero","febrero","marzo","abril","mayo","junio","julio","agosto","septiembre","octubre","noviembre","diciembre")</f>
        <v>mayo</v>
      </c>
      <c r="G140" s="7" t="str">
        <f aca="false">E140&amp;"-"&amp;RIGHT(B140,2)</f>
        <v>may-23</v>
      </c>
    </row>
    <row r="141" customFormat="false" ht="15" hidden="false" customHeight="false" outlineLevel="0" collapsed="false">
      <c r="A141" s="8" t="n">
        <f aca="false">A140+1</f>
        <v>45066</v>
      </c>
      <c r="B141" s="7" t="n">
        <f aca="false">YEAR(A141)</f>
        <v>2023</v>
      </c>
      <c r="C141" s="7" t="n">
        <f aca="false">MONTH(A141)</f>
        <v>5</v>
      </c>
      <c r="D141" s="8" t="n">
        <f aca="false">DATE(B141,C141,1)</f>
        <v>45047</v>
      </c>
      <c r="E141" s="7" t="str">
        <f aca="false">CHOOSE(C141,"ene","feb","mar","abr","may","jun","jul","ago","sep","oct","nov","dic")</f>
        <v>may</v>
      </c>
      <c r="F141" s="7" t="str">
        <f aca="false">CHOOSE(C141,"enero","febrero","marzo","abril","mayo","junio","julio","agosto","septiembre","octubre","noviembre","diciembre")</f>
        <v>mayo</v>
      </c>
      <c r="G141" s="7" t="str">
        <f aca="false">E141&amp;"-"&amp;RIGHT(B141,2)</f>
        <v>may-23</v>
      </c>
    </row>
    <row r="142" customFormat="false" ht="15" hidden="false" customHeight="false" outlineLevel="0" collapsed="false">
      <c r="A142" s="8" t="n">
        <f aca="false">A141+1</f>
        <v>45067</v>
      </c>
      <c r="B142" s="7" t="n">
        <f aca="false">YEAR(A142)</f>
        <v>2023</v>
      </c>
      <c r="C142" s="7" t="n">
        <f aca="false">MONTH(A142)</f>
        <v>5</v>
      </c>
      <c r="D142" s="8" t="n">
        <f aca="false">DATE(B142,C142,1)</f>
        <v>45047</v>
      </c>
      <c r="E142" s="7" t="str">
        <f aca="false">CHOOSE(C142,"ene","feb","mar","abr","may","jun","jul","ago","sep","oct","nov","dic")</f>
        <v>may</v>
      </c>
      <c r="F142" s="7" t="str">
        <f aca="false">CHOOSE(C142,"enero","febrero","marzo","abril","mayo","junio","julio","agosto","septiembre","octubre","noviembre","diciembre")</f>
        <v>mayo</v>
      </c>
      <c r="G142" s="7" t="str">
        <f aca="false">E142&amp;"-"&amp;RIGHT(B142,2)</f>
        <v>may-23</v>
      </c>
    </row>
    <row r="143" customFormat="false" ht="15" hidden="false" customHeight="false" outlineLevel="0" collapsed="false">
      <c r="A143" s="8" t="n">
        <f aca="false">A142+1</f>
        <v>45068</v>
      </c>
      <c r="B143" s="7" t="n">
        <f aca="false">YEAR(A143)</f>
        <v>2023</v>
      </c>
      <c r="C143" s="7" t="n">
        <f aca="false">MONTH(A143)</f>
        <v>5</v>
      </c>
      <c r="D143" s="8" t="n">
        <f aca="false">DATE(B143,C143,1)</f>
        <v>45047</v>
      </c>
      <c r="E143" s="7" t="str">
        <f aca="false">CHOOSE(C143,"ene","feb","mar","abr","may","jun","jul","ago","sep","oct","nov","dic")</f>
        <v>may</v>
      </c>
      <c r="F143" s="7" t="str">
        <f aca="false">CHOOSE(C143,"enero","febrero","marzo","abril","mayo","junio","julio","agosto","septiembre","octubre","noviembre","diciembre")</f>
        <v>mayo</v>
      </c>
      <c r="G143" s="7" t="str">
        <f aca="false">E143&amp;"-"&amp;RIGHT(B143,2)</f>
        <v>may-23</v>
      </c>
    </row>
    <row r="144" customFormat="false" ht="15" hidden="false" customHeight="false" outlineLevel="0" collapsed="false">
      <c r="A144" s="8" t="n">
        <f aca="false">A143+1</f>
        <v>45069</v>
      </c>
      <c r="B144" s="7" t="n">
        <f aca="false">YEAR(A144)</f>
        <v>2023</v>
      </c>
      <c r="C144" s="7" t="n">
        <f aca="false">MONTH(A144)</f>
        <v>5</v>
      </c>
      <c r="D144" s="8" t="n">
        <f aca="false">DATE(B144,C144,1)</f>
        <v>45047</v>
      </c>
      <c r="E144" s="7" t="str">
        <f aca="false">CHOOSE(C144,"ene","feb","mar","abr","may","jun","jul","ago","sep","oct","nov","dic")</f>
        <v>may</v>
      </c>
      <c r="F144" s="7" t="str">
        <f aca="false">CHOOSE(C144,"enero","febrero","marzo","abril","mayo","junio","julio","agosto","septiembre","octubre","noviembre","diciembre")</f>
        <v>mayo</v>
      </c>
      <c r="G144" s="7" t="str">
        <f aca="false">E144&amp;"-"&amp;RIGHT(B144,2)</f>
        <v>may-23</v>
      </c>
    </row>
    <row r="145" customFormat="false" ht="15" hidden="false" customHeight="false" outlineLevel="0" collapsed="false">
      <c r="A145" s="8" t="n">
        <f aca="false">A144+1</f>
        <v>45070</v>
      </c>
      <c r="B145" s="7" t="n">
        <f aca="false">YEAR(A145)</f>
        <v>2023</v>
      </c>
      <c r="C145" s="7" t="n">
        <f aca="false">MONTH(A145)</f>
        <v>5</v>
      </c>
      <c r="D145" s="8" t="n">
        <f aca="false">DATE(B145,C145,1)</f>
        <v>45047</v>
      </c>
      <c r="E145" s="7" t="str">
        <f aca="false">CHOOSE(C145,"ene","feb","mar","abr","may","jun","jul","ago","sep","oct","nov","dic")</f>
        <v>may</v>
      </c>
      <c r="F145" s="7" t="str">
        <f aca="false">CHOOSE(C145,"enero","febrero","marzo","abril","mayo","junio","julio","agosto","septiembre","octubre","noviembre","diciembre")</f>
        <v>mayo</v>
      </c>
      <c r="G145" s="7" t="str">
        <f aca="false">E145&amp;"-"&amp;RIGHT(B145,2)</f>
        <v>may-23</v>
      </c>
    </row>
    <row r="146" customFormat="false" ht="15" hidden="false" customHeight="false" outlineLevel="0" collapsed="false">
      <c r="A146" s="8" t="n">
        <f aca="false">A145+1</f>
        <v>45071</v>
      </c>
      <c r="B146" s="7" t="n">
        <f aca="false">YEAR(A146)</f>
        <v>2023</v>
      </c>
      <c r="C146" s="7" t="n">
        <f aca="false">MONTH(A146)</f>
        <v>5</v>
      </c>
      <c r="D146" s="8" t="n">
        <f aca="false">DATE(B146,C146,1)</f>
        <v>45047</v>
      </c>
      <c r="E146" s="7" t="str">
        <f aca="false">CHOOSE(C146,"ene","feb","mar","abr","may","jun","jul","ago","sep","oct","nov","dic")</f>
        <v>may</v>
      </c>
      <c r="F146" s="7" t="str">
        <f aca="false">CHOOSE(C146,"enero","febrero","marzo","abril","mayo","junio","julio","agosto","septiembre","octubre","noviembre","diciembre")</f>
        <v>mayo</v>
      </c>
      <c r="G146" s="7" t="str">
        <f aca="false">E146&amp;"-"&amp;RIGHT(B146,2)</f>
        <v>may-23</v>
      </c>
    </row>
    <row r="147" customFormat="false" ht="15" hidden="false" customHeight="false" outlineLevel="0" collapsed="false">
      <c r="A147" s="8" t="n">
        <f aca="false">A146+1</f>
        <v>45072</v>
      </c>
      <c r="B147" s="7" t="n">
        <f aca="false">YEAR(A147)</f>
        <v>2023</v>
      </c>
      <c r="C147" s="7" t="n">
        <f aca="false">MONTH(A147)</f>
        <v>5</v>
      </c>
      <c r="D147" s="8" t="n">
        <f aca="false">DATE(B147,C147,1)</f>
        <v>45047</v>
      </c>
      <c r="E147" s="7" t="str">
        <f aca="false">CHOOSE(C147,"ene","feb","mar","abr","may","jun","jul","ago","sep","oct","nov","dic")</f>
        <v>may</v>
      </c>
      <c r="F147" s="7" t="str">
        <f aca="false">CHOOSE(C147,"enero","febrero","marzo","abril","mayo","junio","julio","agosto","septiembre","octubre","noviembre","diciembre")</f>
        <v>mayo</v>
      </c>
      <c r="G147" s="7" t="str">
        <f aca="false">E147&amp;"-"&amp;RIGHT(B147,2)</f>
        <v>may-23</v>
      </c>
    </row>
    <row r="148" customFormat="false" ht="15" hidden="false" customHeight="false" outlineLevel="0" collapsed="false">
      <c r="A148" s="8" t="n">
        <f aca="false">A147+1</f>
        <v>45073</v>
      </c>
      <c r="B148" s="7" t="n">
        <f aca="false">YEAR(A148)</f>
        <v>2023</v>
      </c>
      <c r="C148" s="7" t="n">
        <f aca="false">MONTH(A148)</f>
        <v>5</v>
      </c>
      <c r="D148" s="8" t="n">
        <f aca="false">DATE(B148,C148,1)</f>
        <v>45047</v>
      </c>
      <c r="E148" s="7" t="str">
        <f aca="false">CHOOSE(C148,"ene","feb","mar","abr","may","jun","jul","ago","sep","oct","nov","dic")</f>
        <v>may</v>
      </c>
      <c r="F148" s="7" t="str">
        <f aca="false">CHOOSE(C148,"enero","febrero","marzo","abril","mayo","junio","julio","agosto","septiembre","octubre","noviembre","diciembre")</f>
        <v>mayo</v>
      </c>
      <c r="G148" s="7" t="str">
        <f aca="false">E148&amp;"-"&amp;RIGHT(B148,2)</f>
        <v>may-23</v>
      </c>
    </row>
    <row r="149" customFormat="false" ht="15" hidden="false" customHeight="false" outlineLevel="0" collapsed="false">
      <c r="A149" s="8" t="n">
        <f aca="false">A148+1</f>
        <v>45074</v>
      </c>
      <c r="B149" s="7" t="n">
        <f aca="false">YEAR(A149)</f>
        <v>2023</v>
      </c>
      <c r="C149" s="7" t="n">
        <f aca="false">MONTH(A149)</f>
        <v>5</v>
      </c>
      <c r="D149" s="8" t="n">
        <f aca="false">DATE(B149,C149,1)</f>
        <v>45047</v>
      </c>
      <c r="E149" s="7" t="str">
        <f aca="false">CHOOSE(C149,"ene","feb","mar","abr","may","jun","jul","ago","sep","oct","nov","dic")</f>
        <v>may</v>
      </c>
      <c r="F149" s="7" t="str">
        <f aca="false">CHOOSE(C149,"enero","febrero","marzo","abril","mayo","junio","julio","agosto","septiembre","octubre","noviembre","diciembre")</f>
        <v>mayo</v>
      </c>
      <c r="G149" s="7" t="str">
        <f aca="false">E149&amp;"-"&amp;RIGHT(B149,2)</f>
        <v>may-23</v>
      </c>
    </row>
    <row r="150" customFormat="false" ht="15" hidden="false" customHeight="false" outlineLevel="0" collapsed="false">
      <c r="A150" s="8" t="n">
        <f aca="false">A149+1</f>
        <v>45075</v>
      </c>
      <c r="B150" s="7" t="n">
        <f aca="false">YEAR(A150)</f>
        <v>2023</v>
      </c>
      <c r="C150" s="7" t="n">
        <f aca="false">MONTH(A150)</f>
        <v>5</v>
      </c>
      <c r="D150" s="8" t="n">
        <f aca="false">DATE(B150,C150,1)</f>
        <v>45047</v>
      </c>
      <c r="E150" s="7" t="str">
        <f aca="false">CHOOSE(C150,"ene","feb","mar","abr","may","jun","jul","ago","sep","oct","nov","dic")</f>
        <v>may</v>
      </c>
      <c r="F150" s="7" t="str">
        <f aca="false">CHOOSE(C150,"enero","febrero","marzo","abril","mayo","junio","julio","agosto","septiembre","octubre","noviembre","diciembre")</f>
        <v>mayo</v>
      </c>
      <c r="G150" s="7" t="str">
        <f aca="false">E150&amp;"-"&amp;RIGHT(B150,2)</f>
        <v>may-23</v>
      </c>
    </row>
    <row r="151" customFormat="false" ht="15" hidden="false" customHeight="false" outlineLevel="0" collapsed="false">
      <c r="A151" s="8" t="n">
        <f aca="false">A150+1</f>
        <v>45076</v>
      </c>
      <c r="B151" s="7" t="n">
        <f aca="false">YEAR(A151)</f>
        <v>2023</v>
      </c>
      <c r="C151" s="7" t="n">
        <f aca="false">MONTH(A151)</f>
        <v>5</v>
      </c>
      <c r="D151" s="8" t="n">
        <f aca="false">DATE(B151,C151,1)</f>
        <v>45047</v>
      </c>
      <c r="E151" s="7" t="str">
        <f aca="false">CHOOSE(C151,"ene","feb","mar","abr","may","jun","jul","ago","sep","oct","nov","dic")</f>
        <v>may</v>
      </c>
      <c r="F151" s="7" t="str">
        <f aca="false">CHOOSE(C151,"enero","febrero","marzo","abril","mayo","junio","julio","agosto","septiembre","octubre","noviembre","diciembre")</f>
        <v>mayo</v>
      </c>
      <c r="G151" s="7" t="str">
        <f aca="false">E151&amp;"-"&amp;RIGHT(B151,2)</f>
        <v>may-23</v>
      </c>
    </row>
    <row r="152" customFormat="false" ht="15" hidden="false" customHeight="false" outlineLevel="0" collapsed="false">
      <c r="A152" s="8" t="n">
        <f aca="false">A151+1</f>
        <v>45077</v>
      </c>
      <c r="B152" s="7" t="n">
        <f aca="false">YEAR(A152)</f>
        <v>2023</v>
      </c>
      <c r="C152" s="7" t="n">
        <f aca="false">MONTH(A152)</f>
        <v>5</v>
      </c>
      <c r="D152" s="8" t="n">
        <f aca="false">DATE(B152,C152,1)</f>
        <v>45047</v>
      </c>
      <c r="E152" s="7" t="str">
        <f aca="false">CHOOSE(C152,"ene","feb","mar","abr","may","jun","jul","ago","sep","oct","nov","dic")</f>
        <v>may</v>
      </c>
      <c r="F152" s="7" t="str">
        <f aca="false">CHOOSE(C152,"enero","febrero","marzo","abril","mayo","junio","julio","agosto","septiembre","octubre","noviembre","diciembre")</f>
        <v>mayo</v>
      </c>
      <c r="G152" s="7" t="str">
        <f aca="false">E152&amp;"-"&amp;RIGHT(B152,2)</f>
        <v>may-23</v>
      </c>
    </row>
    <row r="153" customFormat="false" ht="15" hidden="false" customHeight="false" outlineLevel="0" collapsed="false">
      <c r="A153" s="8" t="n">
        <f aca="false">A152+1</f>
        <v>45078</v>
      </c>
      <c r="B153" s="7" t="n">
        <f aca="false">YEAR(A153)</f>
        <v>2023</v>
      </c>
      <c r="C153" s="7" t="n">
        <f aca="false">MONTH(A153)</f>
        <v>6</v>
      </c>
      <c r="D153" s="8" t="n">
        <f aca="false">DATE(B153,C153,1)</f>
        <v>45078</v>
      </c>
      <c r="E153" s="7" t="str">
        <f aca="false">CHOOSE(C153,"ene","feb","mar","abr","may","jun","jul","ago","sep","oct","nov","dic")</f>
        <v>jun</v>
      </c>
      <c r="F153" s="7" t="str">
        <f aca="false">CHOOSE(C153,"enero","febrero","marzo","abril","mayo","junio","julio","agosto","septiembre","octubre","noviembre","diciembre")</f>
        <v>junio</v>
      </c>
      <c r="G153" s="7" t="str">
        <f aca="false">E153&amp;"-"&amp;RIGHT(B153,2)</f>
        <v>jun-23</v>
      </c>
    </row>
    <row r="154" customFormat="false" ht="15" hidden="false" customHeight="false" outlineLevel="0" collapsed="false">
      <c r="A154" s="8" t="n">
        <f aca="false">A153+1</f>
        <v>45079</v>
      </c>
      <c r="B154" s="7" t="n">
        <f aca="false">YEAR(A154)</f>
        <v>2023</v>
      </c>
      <c r="C154" s="7" t="n">
        <f aca="false">MONTH(A154)</f>
        <v>6</v>
      </c>
      <c r="D154" s="8" t="n">
        <f aca="false">DATE(B154,C154,1)</f>
        <v>45078</v>
      </c>
      <c r="E154" s="7" t="str">
        <f aca="false">CHOOSE(C154,"ene","feb","mar","abr","may","jun","jul","ago","sep","oct","nov","dic")</f>
        <v>jun</v>
      </c>
      <c r="F154" s="7" t="str">
        <f aca="false">CHOOSE(C154,"enero","febrero","marzo","abril","mayo","junio","julio","agosto","septiembre","octubre","noviembre","diciembre")</f>
        <v>junio</v>
      </c>
      <c r="G154" s="7" t="str">
        <f aca="false">E154&amp;"-"&amp;RIGHT(B154,2)</f>
        <v>jun-23</v>
      </c>
    </row>
    <row r="155" customFormat="false" ht="15" hidden="false" customHeight="false" outlineLevel="0" collapsed="false">
      <c r="A155" s="8" t="n">
        <f aca="false">A154+1</f>
        <v>45080</v>
      </c>
      <c r="B155" s="7" t="n">
        <f aca="false">YEAR(A155)</f>
        <v>2023</v>
      </c>
      <c r="C155" s="7" t="n">
        <f aca="false">MONTH(A155)</f>
        <v>6</v>
      </c>
      <c r="D155" s="8" t="n">
        <f aca="false">DATE(B155,C155,1)</f>
        <v>45078</v>
      </c>
      <c r="E155" s="7" t="str">
        <f aca="false">CHOOSE(C155,"ene","feb","mar","abr","may","jun","jul","ago","sep","oct","nov","dic")</f>
        <v>jun</v>
      </c>
      <c r="F155" s="7" t="str">
        <f aca="false">CHOOSE(C155,"enero","febrero","marzo","abril","mayo","junio","julio","agosto","septiembre","octubre","noviembre","diciembre")</f>
        <v>junio</v>
      </c>
      <c r="G155" s="7" t="str">
        <f aca="false">E155&amp;"-"&amp;RIGHT(B155,2)</f>
        <v>jun-23</v>
      </c>
    </row>
    <row r="156" customFormat="false" ht="15" hidden="false" customHeight="false" outlineLevel="0" collapsed="false">
      <c r="A156" s="8" t="n">
        <f aca="false">A155+1</f>
        <v>45081</v>
      </c>
      <c r="B156" s="7" t="n">
        <f aca="false">YEAR(A156)</f>
        <v>2023</v>
      </c>
      <c r="C156" s="7" t="n">
        <f aca="false">MONTH(A156)</f>
        <v>6</v>
      </c>
      <c r="D156" s="8" t="n">
        <f aca="false">DATE(B156,C156,1)</f>
        <v>45078</v>
      </c>
      <c r="E156" s="7" t="str">
        <f aca="false">CHOOSE(C156,"ene","feb","mar","abr","may","jun","jul","ago","sep","oct","nov","dic")</f>
        <v>jun</v>
      </c>
      <c r="F156" s="7" t="str">
        <f aca="false">CHOOSE(C156,"enero","febrero","marzo","abril","mayo","junio","julio","agosto","septiembre","octubre","noviembre","diciembre")</f>
        <v>junio</v>
      </c>
      <c r="G156" s="7" t="str">
        <f aca="false">E156&amp;"-"&amp;RIGHT(B156,2)</f>
        <v>jun-23</v>
      </c>
    </row>
    <row r="157" customFormat="false" ht="15" hidden="false" customHeight="false" outlineLevel="0" collapsed="false">
      <c r="A157" s="8" t="n">
        <f aca="false">A156+1</f>
        <v>45082</v>
      </c>
      <c r="B157" s="7" t="n">
        <f aca="false">YEAR(A157)</f>
        <v>2023</v>
      </c>
      <c r="C157" s="7" t="n">
        <f aca="false">MONTH(A157)</f>
        <v>6</v>
      </c>
      <c r="D157" s="8" t="n">
        <f aca="false">DATE(B157,C157,1)</f>
        <v>45078</v>
      </c>
      <c r="E157" s="7" t="str">
        <f aca="false">CHOOSE(C157,"ene","feb","mar","abr","may","jun","jul","ago","sep","oct","nov","dic")</f>
        <v>jun</v>
      </c>
      <c r="F157" s="7" t="str">
        <f aca="false">CHOOSE(C157,"enero","febrero","marzo","abril","mayo","junio","julio","agosto","septiembre","octubre","noviembre","diciembre")</f>
        <v>junio</v>
      </c>
      <c r="G157" s="7" t="str">
        <f aca="false">E157&amp;"-"&amp;RIGHT(B157,2)</f>
        <v>jun-23</v>
      </c>
    </row>
    <row r="158" customFormat="false" ht="15" hidden="false" customHeight="false" outlineLevel="0" collapsed="false">
      <c r="A158" s="8" t="n">
        <f aca="false">A157+1</f>
        <v>45083</v>
      </c>
      <c r="B158" s="7" t="n">
        <f aca="false">YEAR(A158)</f>
        <v>2023</v>
      </c>
      <c r="C158" s="7" t="n">
        <f aca="false">MONTH(A158)</f>
        <v>6</v>
      </c>
      <c r="D158" s="8" t="n">
        <f aca="false">DATE(B158,C158,1)</f>
        <v>45078</v>
      </c>
      <c r="E158" s="7" t="str">
        <f aca="false">CHOOSE(C158,"ene","feb","mar","abr","may","jun","jul","ago","sep","oct","nov","dic")</f>
        <v>jun</v>
      </c>
      <c r="F158" s="7" t="str">
        <f aca="false">CHOOSE(C158,"enero","febrero","marzo","abril","mayo","junio","julio","agosto","septiembre","octubre","noviembre","diciembre")</f>
        <v>junio</v>
      </c>
      <c r="G158" s="7" t="str">
        <f aca="false">E158&amp;"-"&amp;RIGHT(B158,2)</f>
        <v>jun-23</v>
      </c>
    </row>
    <row r="159" customFormat="false" ht="15" hidden="false" customHeight="false" outlineLevel="0" collapsed="false">
      <c r="A159" s="8" t="n">
        <f aca="false">A158+1</f>
        <v>45084</v>
      </c>
      <c r="B159" s="7" t="n">
        <f aca="false">YEAR(A159)</f>
        <v>2023</v>
      </c>
      <c r="C159" s="7" t="n">
        <f aca="false">MONTH(A159)</f>
        <v>6</v>
      </c>
      <c r="D159" s="8" t="n">
        <f aca="false">DATE(B159,C159,1)</f>
        <v>45078</v>
      </c>
      <c r="E159" s="7" t="str">
        <f aca="false">CHOOSE(C159,"ene","feb","mar","abr","may","jun","jul","ago","sep","oct","nov","dic")</f>
        <v>jun</v>
      </c>
      <c r="F159" s="7" t="str">
        <f aca="false">CHOOSE(C159,"enero","febrero","marzo","abril","mayo","junio","julio","agosto","septiembre","octubre","noviembre","diciembre")</f>
        <v>junio</v>
      </c>
      <c r="G159" s="7" t="str">
        <f aca="false">E159&amp;"-"&amp;RIGHT(B159,2)</f>
        <v>jun-23</v>
      </c>
    </row>
    <row r="160" customFormat="false" ht="15" hidden="false" customHeight="false" outlineLevel="0" collapsed="false">
      <c r="A160" s="8" t="n">
        <f aca="false">A159+1</f>
        <v>45085</v>
      </c>
      <c r="B160" s="7" t="n">
        <f aca="false">YEAR(A160)</f>
        <v>2023</v>
      </c>
      <c r="C160" s="7" t="n">
        <f aca="false">MONTH(A160)</f>
        <v>6</v>
      </c>
      <c r="D160" s="8" t="n">
        <f aca="false">DATE(B160,C160,1)</f>
        <v>45078</v>
      </c>
      <c r="E160" s="7" t="str">
        <f aca="false">CHOOSE(C160,"ene","feb","mar","abr","may","jun","jul","ago","sep","oct","nov","dic")</f>
        <v>jun</v>
      </c>
      <c r="F160" s="7" t="str">
        <f aca="false">CHOOSE(C160,"enero","febrero","marzo","abril","mayo","junio","julio","agosto","septiembre","octubre","noviembre","diciembre")</f>
        <v>junio</v>
      </c>
      <c r="G160" s="7" t="str">
        <f aca="false">E160&amp;"-"&amp;RIGHT(B160,2)</f>
        <v>jun-23</v>
      </c>
    </row>
    <row r="161" customFormat="false" ht="15" hidden="false" customHeight="false" outlineLevel="0" collapsed="false">
      <c r="A161" s="8" t="n">
        <f aca="false">A160+1</f>
        <v>45086</v>
      </c>
      <c r="B161" s="7" t="n">
        <f aca="false">YEAR(A161)</f>
        <v>2023</v>
      </c>
      <c r="C161" s="7" t="n">
        <f aca="false">MONTH(A161)</f>
        <v>6</v>
      </c>
      <c r="D161" s="8" t="n">
        <f aca="false">DATE(B161,C161,1)</f>
        <v>45078</v>
      </c>
      <c r="E161" s="7" t="str">
        <f aca="false">CHOOSE(C161,"ene","feb","mar","abr","may","jun","jul","ago","sep","oct","nov","dic")</f>
        <v>jun</v>
      </c>
      <c r="F161" s="7" t="str">
        <f aca="false">CHOOSE(C161,"enero","febrero","marzo","abril","mayo","junio","julio","agosto","septiembre","octubre","noviembre","diciembre")</f>
        <v>junio</v>
      </c>
      <c r="G161" s="7" t="str">
        <f aca="false">E161&amp;"-"&amp;RIGHT(B161,2)</f>
        <v>jun-23</v>
      </c>
    </row>
    <row r="162" customFormat="false" ht="15" hidden="false" customHeight="false" outlineLevel="0" collapsed="false">
      <c r="A162" s="8" t="n">
        <f aca="false">A161+1</f>
        <v>45087</v>
      </c>
      <c r="B162" s="7" t="n">
        <f aca="false">YEAR(A162)</f>
        <v>2023</v>
      </c>
      <c r="C162" s="7" t="n">
        <f aca="false">MONTH(A162)</f>
        <v>6</v>
      </c>
      <c r="D162" s="8" t="n">
        <f aca="false">DATE(B162,C162,1)</f>
        <v>45078</v>
      </c>
      <c r="E162" s="7" t="str">
        <f aca="false">CHOOSE(C162,"ene","feb","mar","abr","may","jun","jul","ago","sep","oct","nov","dic")</f>
        <v>jun</v>
      </c>
      <c r="F162" s="7" t="str">
        <f aca="false">CHOOSE(C162,"enero","febrero","marzo","abril","mayo","junio","julio","agosto","septiembre","octubre","noviembre","diciembre")</f>
        <v>junio</v>
      </c>
      <c r="G162" s="7" t="str">
        <f aca="false">E162&amp;"-"&amp;RIGHT(B162,2)</f>
        <v>jun-23</v>
      </c>
    </row>
    <row r="163" customFormat="false" ht="15" hidden="false" customHeight="false" outlineLevel="0" collapsed="false">
      <c r="A163" s="8" t="n">
        <f aca="false">A162+1</f>
        <v>45088</v>
      </c>
      <c r="B163" s="7" t="n">
        <f aca="false">YEAR(A163)</f>
        <v>2023</v>
      </c>
      <c r="C163" s="7" t="n">
        <f aca="false">MONTH(A163)</f>
        <v>6</v>
      </c>
      <c r="D163" s="8" t="n">
        <f aca="false">DATE(B163,C163,1)</f>
        <v>45078</v>
      </c>
      <c r="E163" s="7" t="str">
        <f aca="false">CHOOSE(C163,"ene","feb","mar","abr","may","jun","jul","ago","sep","oct","nov","dic")</f>
        <v>jun</v>
      </c>
      <c r="F163" s="7" t="str">
        <f aca="false">CHOOSE(C163,"enero","febrero","marzo","abril","mayo","junio","julio","agosto","septiembre","octubre","noviembre","diciembre")</f>
        <v>junio</v>
      </c>
      <c r="G163" s="7" t="str">
        <f aca="false">E163&amp;"-"&amp;RIGHT(B163,2)</f>
        <v>jun-23</v>
      </c>
    </row>
    <row r="164" customFormat="false" ht="15" hidden="false" customHeight="false" outlineLevel="0" collapsed="false">
      <c r="A164" s="8" t="n">
        <f aca="false">A163+1</f>
        <v>45089</v>
      </c>
      <c r="B164" s="7" t="n">
        <f aca="false">YEAR(A164)</f>
        <v>2023</v>
      </c>
      <c r="C164" s="7" t="n">
        <f aca="false">MONTH(A164)</f>
        <v>6</v>
      </c>
      <c r="D164" s="8" t="n">
        <f aca="false">DATE(B164,C164,1)</f>
        <v>45078</v>
      </c>
      <c r="E164" s="7" t="str">
        <f aca="false">CHOOSE(C164,"ene","feb","mar","abr","may","jun","jul","ago","sep","oct","nov","dic")</f>
        <v>jun</v>
      </c>
      <c r="F164" s="7" t="str">
        <f aca="false">CHOOSE(C164,"enero","febrero","marzo","abril","mayo","junio","julio","agosto","septiembre","octubre","noviembre","diciembre")</f>
        <v>junio</v>
      </c>
      <c r="G164" s="7" t="str">
        <f aca="false">E164&amp;"-"&amp;RIGHT(B164,2)</f>
        <v>jun-23</v>
      </c>
    </row>
    <row r="165" customFormat="false" ht="15" hidden="false" customHeight="false" outlineLevel="0" collapsed="false">
      <c r="A165" s="8" t="n">
        <f aca="false">A164+1</f>
        <v>45090</v>
      </c>
      <c r="B165" s="7" t="n">
        <f aca="false">YEAR(A165)</f>
        <v>2023</v>
      </c>
      <c r="C165" s="7" t="n">
        <f aca="false">MONTH(A165)</f>
        <v>6</v>
      </c>
      <c r="D165" s="8" t="n">
        <f aca="false">DATE(B165,C165,1)</f>
        <v>45078</v>
      </c>
      <c r="E165" s="7" t="str">
        <f aca="false">CHOOSE(C165,"ene","feb","mar","abr","may","jun","jul","ago","sep","oct","nov","dic")</f>
        <v>jun</v>
      </c>
      <c r="F165" s="7" t="str">
        <f aca="false">CHOOSE(C165,"enero","febrero","marzo","abril","mayo","junio","julio","agosto","septiembre","octubre","noviembre","diciembre")</f>
        <v>junio</v>
      </c>
      <c r="G165" s="7" t="str">
        <f aca="false">E165&amp;"-"&amp;RIGHT(B165,2)</f>
        <v>jun-23</v>
      </c>
    </row>
    <row r="166" customFormat="false" ht="15" hidden="false" customHeight="false" outlineLevel="0" collapsed="false">
      <c r="A166" s="8" t="n">
        <f aca="false">A165+1</f>
        <v>45091</v>
      </c>
      <c r="B166" s="7" t="n">
        <f aca="false">YEAR(A166)</f>
        <v>2023</v>
      </c>
      <c r="C166" s="7" t="n">
        <f aca="false">MONTH(A166)</f>
        <v>6</v>
      </c>
      <c r="D166" s="8" t="n">
        <f aca="false">DATE(B166,C166,1)</f>
        <v>45078</v>
      </c>
      <c r="E166" s="7" t="str">
        <f aca="false">CHOOSE(C166,"ene","feb","mar","abr","may","jun","jul","ago","sep","oct","nov","dic")</f>
        <v>jun</v>
      </c>
      <c r="F166" s="7" t="str">
        <f aca="false">CHOOSE(C166,"enero","febrero","marzo","abril","mayo","junio","julio","agosto","septiembre","octubre","noviembre","diciembre")</f>
        <v>junio</v>
      </c>
      <c r="G166" s="7" t="str">
        <f aca="false">E166&amp;"-"&amp;RIGHT(B166,2)</f>
        <v>jun-23</v>
      </c>
    </row>
    <row r="167" customFormat="false" ht="15" hidden="false" customHeight="false" outlineLevel="0" collapsed="false">
      <c r="A167" s="8" t="n">
        <f aca="false">A166+1</f>
        <v>45092</v>
      </c>
      <c r="B167" s="7" t="n">
        <f aca="false">YEAR(A167)</f>
        <v>2023</v>
      </c>
      <c r="C167" s="7" t="n">
        <f aca="false">MONTH(A167)</f>
        <v>6</v>
      </c>
      <c r="D167" s="8" t="n">
        <f aca="false">DATE(B167,C167,1)</f>
        <v>45078</v>
      </c>
      <c r="E167" s="7" t="str">
        <f aca="false">CHOOSE(C167,"ene","feb","mar","abr","may","jun","jul","ago","sep","oct","nov","dic")</f>
        <v>jun</v>
      </c>
      <c r="F167" s="7" t="str">
        <f aca="false">CHOOSE(C167,"enero","febrero","marzo","abril","mayo","junio","julio","agosto","septiembre","octubre","noviembre","diciembre")</f>
        <v>junio</v>
      </c>
      <c r="G167" s="7" t="str">
        <f aca="false">E167&amp;"-"&amp;RIGHT(B167,2)</f>
        <v>jun-23</v>
      </c>
    </row>
    <row r="168" customFormat="false" ht="15" hidden="false" customHeight="false" outlineLevel="0" collapsed="false">
      <c r="A168" s="8" t="n">
        <f aca="false">A167+1</f>
        <v>45093</v>
      </c>
      <c r="B168" s="7" t="n">
        <f aca="false">YEAR(A168)</f>
        <v>2023</v>
      </c>
      <c r="C168" s="7" t="n">
        <f aca="false">MONTH(A168)</f>
        <v>6</v>
      </c>
      <c r="D168" s="8" t="n">
        <f aca="false">DATE(B168,C168,1)</f>
        <v>45078</v>
      </c>
      <c r="E168" s="7" t="str">
        <f aca="false">CHOOSE(C168,"ene","feb","mar","abr","may","jun","jul","ago","sep","oct","nov","dic")</f>
        <v>jun</v>
      </c>
      <c r="F168" s="7" t="str">
        <f aca="false">CHOOSE(C168,"enero","febrero","marzo","abril","mayo","junio","julio","agosto","septiembre","octubre","noviembre","diciembre")</f>
        <v>junio</v>
      </c>
      <c r="G168" s="7" t="str">
        <f aca="false">E168&amp;"-"&amp;RIGHT(B168,2)</f>
        <v>jun-23</v>
      </c>
    </row>
    <row r="169" customFormat="false" ht="15" hidden="false" customHeight="false" outlineLevel="0" collapsed="false">
      <c r="A169" s="8" t="n">
        <f aca="false">A168+1</f>
        <v>45094</v>
      </c>
      <c r="B169" s="7" t="n">
        <f aca="false">YEAR(A169)</f>
        <v>2023</v>
      </c>
      <c r="C169" s="7" t="n">
        <f aca="false">MONTH(A169)</f>
        <v>6</v>
      </c>
      <c r="D169" s="8" t="n">
        <f aca="false">DATE(B169,C169,1)</f>
        <v>45078</v>
      </c>
      <c r="E169" s="7" t="str">
        <f aca="false">CHOOSE(C169,"ene","feb","mar","abr","may","jun","jul","ago","sep","oct","nov","dic")</f>
        <v>jun</v>
      </c>
      <c r="F169" s="7" t="str">
        <f aca="false">CHOOSE(C169,"enero","febrero","marzo","abril","mayo","junio","julio","agosto","septiembre","octubre","noviembre","diciembre")</f>
        <v>junio</v>
      </c>
      <c r="G169" s="7" t="str">
        <f aca="false">E169&amp;"-"&amp;RIGHT(B169,2)</f>
        <v>jun-23</v>
      </c>
    </row>
    <row r="170" customFormat="false" ht="15" hidden="false" customHeight="false" outlineLevel="0" collapsed="false">
      <c r="A170" s="8" t="n">
        <f aca="false">A169+1</f>
        <v>45095</v>
      </c>
      <c r="B170" s="7" t="n">
        <f aca="false">YEAR(A170)</f>
        <v>2023</v>
      </c>
      <c r="C170" s="7" t="n">
        <f aca="false">MONTH(A170)</f>
        <v>6</v>
      </c>
      <c r="D170" s="8" t="n">
        <f aca="false">DATE(B170,C170,1)</f>
        <v>45078</v>
      </c>
      <c r="E170" s="7" t="str">
        <f aca="false">CHOOSE(C170,"ene","feb","mar","abr","may","jun","jul","ago","sep","oct","nov","dic")</f>
        <v>jun</v>
      </c>
      <c r="F170" s="7" t="str">
        <f aca="false">CHOOSE(C170,"enero","febrero","marzo","abril","mayo","junio","julio","agosto","septiembre","octubre","noviembre","diciembre")</f>
        <v>junio</v>
      </c>
      <c r="G170" s="7" t="str">
        <f aca="false">E170&amp;"-"&amp;RIGHT(B170,2)</f>
        <v>jun-23</v>
      </c>
    </row>
    <row r="171" customFormat="false" ht="15" hidden="false" customHeight="false" outlineLevel="0" collapsed="false">
      <c r="A171" s="8" t="n">
        <f aca="false">A170+1</f>
        <v>45096</v>
      </c>
      <c r="B171" s="7" t="n">
        <f aca="false">YEAR(A171)</f>
        <v>2023</v>
      </c>
      <c r="C171" s="7" t="n">
        <f aca="false">MONTH(A171)</f>
        <v>6</v>
      </c>
      <c r="D171" s="8" t="n">
        <f aca="false">DATE(B171,C171,1)</f>
        <v>45078</v>
      </c>
      <c r="E171" s="7" t="str">
        <f aca="false">CHOOSE(C171,"ene","feb","mar","abr","may","jun","jul","ago","sep","oct","nov","dic")</f>
        <v>jun</v>
      </c>
      <c r="F171" s="7" t="str">
        <f aca="false">CHOOSE(C171,"enero","febrero","marzo","abril","mayo","junio","julio","agosto","septiembre","octubre","noviembre","diciembre")</f>
        <v>junio</v>
      </c>
      <c r="G171" s="7" t="str">
        <f aca="false">E171&amp;"-"&amp;RIGHT(B171,2)</f>
        <v>jun-23</v>
      </c>
    </row>
    <row r="172" customFormat="false" ht="15" hidden="false" customHeight="false" outlineLevel="0" collapsed="false">
      <c r="A172" s="8" t="n">
        <f aca="false">A171+1</f>
        <v>45097</v>
      </c>
      <c r="B172" s="7" t="n">
        <f aca="false">YEAR(A172)</f>
        <v>2023</v>
      </c>
      <c r="C172" s="7" t="n">
        <f aca="false">MONTH(A172)</f>
        <v>6</v>
      </c>
      <c r="D172" s="8" t="n">
        <f aca="false">DATE(B172,C172,1)</f>
        <v>45078</v>
      </c>
      <c r="E172" s="7" t="str">
        <f aca="false">CHOOSE(C172,"ene","feb","mar","abr","may","jun","jul","ago","sep","oct","nov","dic")</f>
        <v>jun</v>
      </c>
      <c r="F172" s="7" t="str">
        <f aca="false">CHOOSE(C172,"enero","febrero","marzo","abril","mayo","junio","julio","agosto","septiembre","octubre","noviembre","diciembre")</f>
        <v>junio</v>
      </c>
      <c r="G172" s="7" t="str">
        <f aca="false">E172&amp;"-"&amp;RIGHT(B172,2)</f>
        <v>jun-23</v>
      </c>
    </row>
    <row r="173" customFormat="false" ht="15" hidden="false" customHeight="false" outlineLevel="0" collapsed="false">
      <c r="A173" s="8" t="n">
        <f aca="false">A172+1</f>
        <v>45098</v>
      </c>
      <c r="B173" s="7" t="n">
        <f aca="false">YEAR(A173)</f>
        <v>2023</v>
      </c>
      <c r="C173" s="7" t="n">
        <f aca="false">MONTH(A173)</f>
        <v>6</v>
      </c>
      <c r="D173" s="8" t="n">
        <f aca="false">DATE(B173,C173,1)</f>
        <v>45078</v>
      </c>
      <c r="E173" s="7" t="str">
        <f aca="false">CHOOSE(C173,"ene","feb","mar","abr","may","jun","jul","ago","sep","oct","nov","dic")</f>
        <v>jun</v>
      </c>
      <c r="F173" s="7" t="str">
        <f aca="false">CHOOSE(C173,"enero","febrero","marzo","abril","mayo","junio","julio","agosto","septiembre","octubre","noviembre","diciembre")</f>
        <v>junio</v>
      </c>
      <c r="G173" s="7" t="str">
        <f aca="false">E173&amp;"-"&amp;RIGHT(B173,2)</f>
        <v>jun-23</v>
      </c>
    </row>
    <row r="174" customFormat="false" ht="15" hidden="false" customHeight="false" outlineLevel="0" collapsed="false">
      <c r="A174" s="8" t="n">
        <f aca="false">A173+1</f>
        <v>45099</v>
      </c>
      <c r="B174" s="7" t="n">
        <f aca="false">YEAR(A174)</f>
        <v>2023</v>
      </c>
      <c r="C174" s="7" t="n">
        <f aca="false">MONTH(A174)</f>
        <v>6</v>
      </c>
      <c r="D174" s="8" t="n">
        <f aca="false">DATE(B174,C174,1)</f>
        <v>45078</v>
      </c>
      <c r="E174" s="7" t="str">
        <f aca="false">CHOOSE(C174,"ene","feb","mar","abr","may","jun","jul","ago","sep","oct","nov","dic")</f>
        <v>jun</v>
      </c>
      <c r="F174" s="7" t="str">
        <f aca="false">CHOOSE(C174,"enero","febrero","marzo","abril","mayo","junio","julio","agosto","septiembre","octubre","noviembre","diciembre")</f>
        <v>junio</v>
      </c>
      <c r="G174" s="7" t="str">
        <f aca="false">E174&amp;"-"&amp;RIGHT(B174,2)</f>
        <v>jun-23</v>
      </c>
    </row>
    <row r="175" customFormat="false" ht="15" hidden="false" customHeight="false" outlineLevel="0" collapsed="false">
      <c r="A175" s="8" t="n">
        <f aca="false">A174+1</f>
        <v>45100</v>
      </c>
      <c r="B175" s="7" t="n">
        <f aca="false">YEAR(A175)</f>
        <v>2023</v>
      </c>
      <c r="C175" s="7" t="n">
        <f aca="false">MONTH(A175)</f>
        <v>6</v>
      </c>
      <c r="D175" s="8" t="n">
        <f aca="false">DATE(B175,C175,1)</f>
        <v>45078</v>
      </c>
      <c r="E175" s="7" t="str">
        <f aca="false">CHOOSE(C175,"ene","feb","mar","abr","may","jun","jul","ago","sep","oct","nov","dic")</f>
        <v>jun</v>
      </c>
      <c r="F175" s="7" t="str">
        <f aca="false">CHOOSE(C175,"enero","febrero","marzo","abril","mayo","junio","julio","agosto","septiembre","octubre","noviembre","diciembre")</f>
        <v>junio</v>
      </c>
      <c r="G175" s="7" t="str">
        <f aca="false">E175&amp;"-"&amp;RIGHT(B175,2)</f>
        <v>jun-23</v>
      </c>
    </row>
    <row r="176" customFormat="false" ht="15" hidden="false" customHeight="false" outlineLevel="0" collapsed="false">
      <c r="A176" s="8" t="n">
        <f aca="false">A175+1</f>
        <v>45101</v>
      </c>
      <c r="B176" s="7" t="n">
        <f aca="false">YEAR(A176)</f>
        <v>2023</v>
      </c>
      <c r="C176" s="7" t="n">
        <f aca="false">MONTH(A176)</f>
        <v>6</v>
      </c>
      <c r="D176" s="8" t="n">
        <f aca="false">DATE(B176,C176,1)</f>
        <v>45078</v>
      </c>
      <c r="E176" s="7" t="str">
        <f aca="false">CHOOSE(C176,"ene","feb","mar","abr","may","jun","jul","ago","sep","oct","nov","dic")</f>
        <v>jun</v>
      </c>
      <c r="F176" s="7" t="str">
        <f aca="false">CHOOSE(C176,"enero","febrero","marzo","abril","mayo","junio","julio","agosto","septiembre","octubre","noviembre","diciembre")</f>
        <v>junio</v>
      </c>
      <c r="G176" s="7" t="str">
        <f aca="false">E176&amp;"-"&amp;RIGHT(B176,2)</f>
        <v>jun-23</v>
      </c>
    </row>
    <row r="177" customFormat="false" ht="15" hidden="false" customHeight="false" outlineLevel="0" collapsed="false">
      <c r="A177" s="8" t="n">
        <f aca="false">A176+1</f>
        <v>45102</v>
      </c>
      <c r="B177" s="7" t="n">
        <f aca="false">YEAR(A177)</f>
        <v>2023</v>
      </c>
      <c r="C177" s="7" t="n">
        <f aca="false">MONTH(A177)</f>
        <v>6</v>
      </c>
      <c r="D177" s="8" t="n">
        <f aca="false">DATE(B177,C177,1)</f>
        <v>45078</v>
      </c>
      <c r="E177" s="7" t="str">
        <f aca="false">CHOOSE(C177,"ene","feb","mar","abr","may","jun","jul","ago","sep","oct","nov","dic")</f>
        <v>jun</v>
      </c>
      <c r="F177" s="7" t="str">
        <f aca="false">CHOOSE(C177,"enero","febrero","marzo","abril","mayo","junio","julio","agosto","septiembre","octubre","noviembre","diciembre")</f>
        <v>junio</v>
      </c>
      <c r="G177" s="7" t="str">
        <f aca="false">E177&amp;"-"&amp;RIGHT(B177,2)</f>
        <v>jun-23</v>
      </c>
    </row>
    <row r="178" customFormat="false" ht="15" hidden="false" customHeight="false" outlineLevel="0" collapsed="false">
      <c r="A178" s="8" t="n">
        <f aca="false">A177+1</f>
        <v>45103</v>
      </c>
      <c r="B178" s="7" t="n">
        <f aca="false">YEAR(A178)</f>
        <v>2023</v>
      </c>
      <c r="C178" s="7" t="n">
        <f aca="false">MONTH(A178)</f>
        <v>6</v>
      </c>
      <c r="D178" s="8" t="n">
        <f aca="false">DATE(B178,C178,1)</f>
        <v>45078</v>
      </c>
      <c r="E178" s="7" t="str">
        <f aca="false">CHOOSE(C178,"ene","feb","mar","abr","may","jun","jul","ago","sep","oct","nov","dic")</f>
        <v>jun</v>
      </c>
      <c r="F178" s="7" t="str">
        <f aca="false">CHOOSE(C178,"enero","febrero","marzo","abril","mayo","junio","julio","agosto","septiembre","octubre","noviembre","diciembre")</f>
        <v>junio</v>
      </c>
      <c r="G178" s="7" t="str">
        <f aca="false">E178&amp;"-"&amp;RIGHT(B178,2)</f>
        <v>jun-23</v>
      </c>
    </row>
    <row r="179" customFormat="false" ht="15" hidden="false" customHeight="false" outlineLevel="0" collapsed="false">
      <c r="A179" s="8" t="n">
        <f aca="false">A178+1</f>
        <v>45104</v>
      </c>
      <c r="B179" s="7" t="n">
        <f aca="false">YEAR(A179)</f>
        <v>2023</v>
      </c>
      <c r="C179" s="7" t="n">
        <f aca="false">MONTH(A179)</f>
        <v>6</v>
      </c>
      <c r="D179" s="8" t="n">
        <f aca="false">DATE(B179,C179,1)</f>
        <v>45078</v>
      </c>
      <c r="E179" s="7" t="str">
        <f aca="false">CHOOSE(C179,"ene","feb","mar","abr","may","jun","jul","ago","sep","oct","nov","dic")</f>
        <v>jun</v>
      </c>
      <c r="F179" s="7" t="str">
        <f aca="false">CHOOSE(C179,"enero","febrero","marzo","abril","mayo","junio","julio","agosto","septiembre","octubre","noviembre","diciembre")</f>
        <v>junio</v>
      </c>
      <c r="G179" s="7" t="str">
        <f aca="false">E179&amp;"-"&amp;RIGHT(B179,2)</f>
        <v>jun-23</v>
      </c>
    </row>
    <row r="180" customFormat="false" ht="15" hidden="false" customHeight="false" outlineLevel="0" collapsed="false">
      <c r="A180" s="8" t="n">
        <f aca="false">A179+1</f>
        <v>45105</v>
      </c>
      <c r="B180" s="7" t="n">
        <f aca="false">YEAR(A180)</f>
        <v>2023</v>
      </c>
      <c r="C180" s="7" t="n">
        <f aca="false">MONTH(A180)</f>
        <v>6</v>
      </c>
      <c r="D180" s="8" t="n">
        <f aca="false">DATE(B180,C180,1)</f>
        <v>45078</v>
      </c>
      <c r="E180" s="7" t="str">
        <f aca="false">CHOOSE(C180,"ene","feb","mar","abr","may","jun","jul","ago","sep","oct","nov","dic")</f>
        <v>jun</v>
      </c>
      <c r="F180" s="7" t="str">
        <f aca="false">CHOOSE(C180,"enero","febrero","marzo","abril","mayo","junio","julio","agosto","septiembre","octubre","noviembre","diciembre")</f>
        <v>junio</v>
      </c>
      <c r="G180" s="7" t="str">
        <f aca="false">E180&amp;"-"&amp;RIGHT(B180,2)</f>
        <v>jun-23</v>
      </c>
    </row>
    <row r="181" customFormat="false" ht="15" hidden="false" customHeight="false" outlineLevel="0" collapsed="false">
      <c r="A181" s="8" t="n">
        <f aca="false">A180+1</f>
        <v>45106</v>
      </c>
      <c r="B181" s="7" t="n">
        <f aca="false">YEAR(A181)</f>
        <v>2023</v>
      </c>
      <c r="C181" s="7" t="n">
        <f aca="false">MONTH(A181)</f>
        <v>6</v>
      </c>
      <c r="D181" s="8" t="n">
        <f aca="false">DATE(B181,C181,1)</f>
        <v>45078</v>
      </c>
      <c r="E181" s="7" t="str">
        <f aca="false">CHOOSE(C181,"ene","feb","mar","abr","may","jun","jul","ago","sep","oct","nov","dic")</f>
        <v>jun</v>
      </c>
      <c r="F181" s="7" t="str">
        <f aca="false">CHOOSE(C181,"enero","febrero","marzo","abril","mayo","junio","julio","agosto","septiembre","octubre","noviembre","diciembre")</f>
        <v>junio</v>
      </c>
      <c r="G181" s="7" t="str">
        <f aca="false">E181&amp;"-"&amp;RIGHT(B181,2)</f>
        <v>jun-23</v>
      </c>
    </row>
    <row r="182" customFormat="false" ht="15" hidden="false" customHeight="false" outlineLevel="0" collapsed="false">
      <c r="A182" s="8" t="n">
        <f aca="false">A181+1</f>
        <v>45107</v>
      </c>
      <c r="B182" s="7" t="n">
        <f aca="false">YEAR(A182)</f>
        <v>2023</v>
      </c>
      <c r="C182" s="7" t="n">
        <f aca="false">MONTH(A182)</f>
        <v>6</v>
      </c>
      <c r="D182" s="8" t="n">
        <f aca="false">DATE(B182,C182,1)</f>
        <v>45078</v>
      </c>
      <c r="E182" s="7" t="str">
        <f aca="false">CHOOSE(C182,"ene","feb","mar","abr","may","jun","jul","ago","sep","oct","nov","dic")</f>
        <v>jun</v>
      </c>
      <c r="F182" s="7" t="str">
        <f aca="false">CHOOSE(C182,"enero","febrero","marzo","abril","mayo","junio","julio","agosto","septiembre","octubre","noviembre","diciembre")</f>
        <v>junio</v>
      </c>
      <c r="G182" s="7" t="str">
        <f aca="false">E182&amp;"-"&amp;RIGHT(B182,2)</f>
        <v>jun-23</v>
      </c>
    </row>
    <row r="183" customFormat="false" ht="15" hidden="false" customHeight="false" outlineLevel="0" collapsed="false">
      <c r="A183" s="8" t="n">
        <f aca="false">A182+1</f>
        <v>45108</v>
      </c>
      <c r="B183" s="7" t="n">
        <f aca="false">YEAR(A183)</f>
        <v>2023</v>
      </c>
      <c r="C183" s="7" t="n">
        <f aca="false">MONTH(A183)</f>
        <v>7</v>
      </c>
      <c r="D183" s="8" t="n">
        <f aca="false">DATE(B183,C183,1)</f>
        <v>45108</v>
      </c>
      <c r="E183" s="7" t="str">
        <f aca="false">CHOOSE(C183,"ene","feb","mar","abr","may","jun","jul","ago","sep","oct","nov","dic")</f>
        <v>jul</v>
      </c>
      <c r="F183" s="7" t="str">
        <f aca="false">CHOOSE(C183,"enero","febrero","marzo","abril","mayo","junio","julio","agosto","septiembre","octubre","noviembre","diciembre")</f>
        <v>julio</v>
      </c>
      <c r="G183" s="7" t="str">
        <f aca="false">E183&amp;"-"&amp;RIGHT(B183,2)</f>
        <v>jul-23</v>
      </c>
    </row>
    <row r="184" customFormat="false" ht="15" hidden="false" customHeight="false" outlineLevel="0" collapsed="false">
      <c r="A184" s="8" t="n">
        <f aca="false">A183+1</f>
        <v>45109</v>
      </c>
      <c r="B184" s="7" t="n">
        <f aca="false">YEAR(A184)</f>
        <v>2023</v>
      </c>
      <c r="C184" s="7" t="n">
        <f aca="false">MONTH(A184)</f>
        <v>7</v>
      </c>
      <c r="D184" s="8" t="n">
        <f aca="false">DATE(B184,C184,1)</f>
        <v>45108</v>
      </c>
      <c r="E184" s="7" t="str">
        <f aca="false">CHOOSE(C184,"ene","feb","mar","abr","may","jun","jul","ago","sep","oct","nov","dic")</f>
        <v>jul</v>
      </c>
      <c r="F184" s="7" t="str">
        <f aca="false">CHOOSE(C184,"enero","febrero","marzo","abril","mayo","junio","julio","agosto","septiembre","octubre","noviembre","diciembre")</f>
        <v>julio</v>
      </c>
      <c r="G184" s="7" t="str">
        <f aca="false">E184&amp;"-"&amp;RIGHT(B184,2)</f>
        <v>jul-23</v>
      </c>
    </row>
    <row r="185" customFormat="false" ht="15" hidden="false" customHeight="false" outlineLevel="0" collapsed="false">
      <c r="A185" s="8" t="n">
        <f aca="false">A184+1</f>
        <v>45110</v>
      </c>
      <c r="B185" s="7" t="n">
        <f aca="false">YEAR(A185)</f>
        <v>2023</v>
      </c>
      <c r="C185" s="7" t="n">
        <f aca="false">MONTH(A185)</f>
        <v>7</v>
      </c>
      <c r="D185" s="8" t="n">
        <f aca="false">DATE(B185,C185,1)</f>
        <v>45108</v>
      </c>
      <c r="E185" s="7" t="str">
        <f aca="false">CHOOSE(C185,"ene","feb","mar","abr","may","jun","jul","ago","sep","oct","nov","dic")</f>
        <v>jul</v>
      </c>
      <c r="F185" s="7" t="str">
        <f aca="false">CHOOSE(C185,"enero","febrero","marzo","abril","mayo","junio","julio","agosto","septiembre","octubre","noviembre","diciembre")</f>
        <v>julio</v>
      </c>
      <c r="G185" s="7" t="str">
        <f aca="false">E185&amp;"-"&amp;RIGHT(B185,2)</f>
        <v>jul-23</v>
      </c>
    </row>
    <row r="186" customFormat="false" ht="15" hidden="false" customHeight="false" outlineLevel="0" collapsed="false">
      <c r="A186" s="8" t="n">
        <f aca="false">A185+1</f>
        <v>45111</v>
      </c>
      <c r="B186" s="7" t="n">
        <f aca="false">YEAR(A186)</f>
        <v>2023</v>
      </c>
      <c r="C186" s="7" t="n">
        <f aca="false">MONTH(A186)</f>
        <v>7</v>
      </c>
      <c r="D186" s="8" t="n">
        <f aca="false">DATE(B186,C186,1)</f>
        <v>45108</v>
      </c>
      <c r="E186" s="7" t="str">
        <f aca="false">CHOOSE(C186,"ene","feb","mar","abr","may","jun","jul","ago","sep","oct","nov","dic")</f>
        <v>jul</v>
      </c>
      <c r="F186" s="7" t="str">
        <f aca="false">CHOOSE(C186,"enero","febrero","marzo","abril","mayo","junio","julio","agosto","septiembre","octubre","noviembre","diciembre")</f>
        <v>julio</v>
      </c>
      <c r="G186" s="7" t="str">
        <f aca="false">E186&amp;"-"&amp;RIGHT(B186,2)</f>
        <v>jul-23</v>
      </c>
    </row>
    <row r="187" customFormat="false" ht="15" hidden="false" customHeight="false" outlineLevel="0" collapsed="false">
      <c r="A187" s="8" t="n">
        <f aca="false">A186+1</f>
        <v>45112</v>
      </c>
      <c r="B187" s="7" t="n">
        <f aca="false">YEAR(A187)</f>
        <v>2023</v>
      </c>
      <c r="C187" s="7" t="n">
        <f aca="false">MONTH(A187)</f>
        <v>7</v>
      </c>
      <c r="D187" s="8" t="n">
        <f aca="false">DATE(B187,C187,1)</f>
        <v>45108</v>
      </c>
      <c r="E187" s="7" t="str">
        <f aca="false">CHOOSE(C187,"ene","feb","mar","abr","may","jun","jul","ago","sep","oct","nov","dic")</f>
        <v>jul</v>
      </c>
      <c r="F187" s="7" t="str">
        <f aca="false">CHOOSE(C187,"enero","febrero","marzo","abril","mayo","junio","julio","agosto","septiembre","octubre","noviembre","diciembre")</f>
        <v>julio</v>
      </c>
      <c r="G187" s="7" t="str">
        <f aca="false">E187&amp;"-"&amp;RIGHT(B187,2)</f>
        <v>jul-23</v>
      </c>
    </row>
    <row r="188" customFormat="false" ht="15" hidden="false" customHeight="false" outlineLevel="0" collapsed="false">
      <c r="A188" s="8" t="n">
        <f aca="false">A187+1</f>
        <v>45113</v>
      </c>
      <c r="B188" s="7" t="n">
        <f aca="false">YEAR(A188)</f>
        <v>2023</v>
      </c>
      <c r="C188" s="7" t="n">
        <f aca="false">MONTH(A188)</f>
        <v>7</v>
      </c>
      <c r="D188" s="8" t="n">
        <f aca="false">DATE(B188,C188,1)</f>
        <v>45108</v>
      </c>
      <c r="E188" s="7" t="str">
        <f aca="false">CHOOSE(C188,"ene","feb","mar","abr","may","jun","jul","ago","sep","oct","nov","dic")</f>
        <v>jul</v>
      </c>
      <c r="F188" s="7" t="str">
        <f aca="false">CHOOSE(C188,"enero","febrero","marzo","abril","mayo","junio","julio","agosto","septiembre","octubre","noviembre","diciembre")</f>
        <v>julio</v>
      </c>
      <c r="G188" s="7" t="str">
        <f aca="false">E188&amp;"-"&amp;RIGHT(B188,2)</f>
        <v>jul-23</v>
      </c>
    </row>
    <row r="189" customFormat="false" ht="15" hidden="false" customHeight="false" outlineLevel="0" collapsed="false">
      <c r="A189" s="8" t="n">
        <f aca="false">A188+1</f>
        <v>45114</v>
      </c>
      <c r="B189" s="7" t="n">
        <f aca="false">YEAR(A189)</f>
        <v>2023</v>
      </c>
      <c r="C189" s="7" t="n">
        <f aca="false">MONTH(A189)</f>
        <v>7</v>
      </c>
      <c r="D189" s="8" t="n">
        <f aca="false">DATE(B189,C189,1)</f>
        <v>45108</v>
      </c>
      <c r="E189" s="7" t="str">
        <f aca="false">CHOOSE(C189,"ene","feb","mar","abr","may","jun","jul","ago","sep","oct","nov","dic")</f>
        <v>jul</v>
      </c>
      <c r="F189" s="7" t="str">
        <f aca="false">CHOOSE(C189,"enero","febrero","marzo","abril","mayo","junio","julio","agosto","septiembre","octubre","noviembre","diciembre")</f>
        <v>julio</v>
      </c>
      <c r="G189" s="7" t="str">
        <f aca="false">E189&amp;"-"&amp;RIGHT(B189,2)</f>
        <v>jul-23</v>
      </c>
    </row>
    <row r="190" customFormat="false" ht="15" hidden="false" customHeight="false" outlineLevel="0" collapsed="false">
      <c r="A190" s="8" t="n">
        <f aca="false">A189+1</f>
        <v>45115</v>
      </c>
      <c r="B190" s="7" t="n">
        <f aca="false">YEAR(A190)</f>
        <v>2023</v>
      </c>
      <c r="C190" s="7" t="n">
        <f aca="false">MONTH(A190)</f>
        <v>7</v>
      </c>
      <c r="D190" s="8" t="n">
        <f aca="false">DATE(B190,C190,1)</f>
        <v>45108</v>
      </c>
      <c r="E190" s="7" t="str">
        <f aca="false">CHOOSE(C190,"ene","feb","mar","abr","may","jun","jul","ago","sep","oct","nov","dic")</f>
        <v>jul</v>
      </c>
      <c r="F190" s="7" t="str">
        <f aca="false">CHOOSE(C190,"enero","febrero","marzo","abril","mayo","junio","julio","agosto","septiembre","octubre","noviembre","diciembre")</f>
        <v>julio</v>
      </c>
      <c r="G190" s="7" t="str">
        <f aca="false">E190&amp;"-"&amp;RIGHT(B190,2)</f>
        <v>jul-23</v>
      </c>
    </row>
    <row r="191" customFormat="false" ht="15" hidden="false" customHeight="false" outlineLevel="0" collapsed="false">
      <c r="A191" s="8" t="n">
        <f aca="false">A190+1</f>
        <v>45116</v>
      </c>
      <c r="B191" s="7" t="n">
        <f aca="false">YEAR(A191)</f>
        <v>2023</v>
      </c>
      <c r="C191" s="7" t="n">
        <f aca="false">MONTH(A191)</f>
        <v>7</v>
      </c>
      <c r="D191" s="8" t="n">
        <f aca="false">DATE(B191,C191,1)</f>
        <v>45108</v>
      </c>
      <c r="E191" s="7" t="str">
        <f aca="false">CHOOSE(C191,"ene","feb","mar","abr","may","jun","jul","ago","sep","oct","nov","dic")</f>
        <v>jul</v>
      </c>
      <c r="F191" s="7" t="str">
        <f aca="false">CHOOSE(C191,"enero","febrero","marzo","abril","mayo","junio","julio","agosto","septiembre","octubre","noviembre","diciembre")</f>
        <v>julio</v>
      </c>
      <c r="G191" s="7" t="str">
        <f aca="false">E191&amp;"-"&amp;RIGHT(B191,2)</f>
        <v>jul-23</v>
      </c>
    </row>
    <row r="192" customFormat="false" ht="15" hidden="false" customHeight="false" outlineLevel="0" collapsed="false">
      <c r="A192" s="8" t="n">
        <f aca="false">A191+1</f>
        <v>45117</v>
      </c>
      <c r="B192" s="7" t="n">
        <f aca="false">YEAR(A192)</f>
        <v>2023</v>
      </c>
      <c r="C192" s="7" t="n">
        <f aca="false">MONTH(A192)</f>
        <v>7</v>
      </c>
      <c r="D192" s="8" t="n">
        <f aca="false">DATE(B192,C192,1)</f>
        <v>45108</v>
      </c>
      <c r="E192" s="7" t="str">
        <f aca="false">CHOOSE(C192,"ene","feb","mar","abr","may","jun","jul","ago","sep","oct","nov","dic")</f>
        <v>jul</v>
      </c>
      <c r="F192" s="7" t="str">
        <f aca="false">CHOOSE(C192,"enero","febrero","marzo","abril","mayo","junio","julio","agosto","septiembre","octubre","noviembre","diciembre")</f>
        <v>julio</v>
      </c>
      <c r="G192" s="7" t="str">
        <f aca="false">E192&amp;"-"&amp;RIGHT(B192,2)</f>
        <v>jul-23</v>
      </c>
    </row>
    <row r="193" customFormat="false" ht="15" hidden="false" customHeight="false" outlineLevel="0" collapsed="false">
      <c r="A193" s="8" t="n">
        <f aca="false">A192+1</f>
        <v>45118</v>
      </c>
      <c r="B193" s="7" t="n">
        <f aca="false">YEAR(A193)</f>
        <v>2023</v>
      </c>
      <c r="C193" s="7" t="n">
        <f aca="false">MONTH(A193)</f>
        <v>7</v>
      </c>
      <c r="D193" s="8" t="n">
        <f aca="false">DATE(B193,C193,1)</f>
        <v>45108</v>
      </c>
      <c r="E193" s="7" t="str">
        <f aca="false">CHOOSE(C193,"ene","feb","mar","abr","may","jun","jul","ago","sep","oct","nov","dic")</f>
        <v>jul</v>
      </c>
      <c r="F193" s="7" t="str">
        <f aca="false">CHOOSE(C193,"enero","febrero","marzo","abril","mayo","junio","julio","agosto","septiembre","octubre","noviembre","diciembre")</f>
        <v>julio</v>
      </c>
      <c r="G193" s="7" t="str">
        <f aca="false">E193&amp;"-"&amp;RIGHT(B193,2)</f>
        <v>jul-23</v>
      </c>
    </row>
    <row r="194" customFormat="false" ht="15" hidden="false" customHeight="false" outlineLevel="0" collapsed="false">
      <c r="A194" s="8" t="n">
        <f aca="false">A193+1</f>
        <v>45119</v>
      </c>
      <c r="B194" s="7" t="n">
        <f aca="false">YEAR(A194)</f>
        <v>2023</v>
      </c>
      <c r="C194" s="7" t="n">
        <f aca="false">MONTH(A194)</f>
        <v>7</v>
      </c>
      <c r="D194" s="8" t="n">
        <f aca="false">DATE(B194,C194,1)</f>
        <v>45108</v>
      </c>
      <c r="E194" s="7" t="str">
        <f aca="false">CHOOSE(C194,"ene","feb","mar","abr","may","jun","jul","ago","sep","oct","nov","dic")</f>
        <v>jul</v>
      </c>
      <c r="F194" s="7" t="str">
        <f aca="false">CHOOSE(C194,"enero","febrero","marzo","abril","mayo","junio","julio","agosto","septiembre","octubre","noviembre","diciembre")</f>
        <v>julio</v>
      </c>
      <c r="G194" s="7" t="str">
        <f aca="false">E194&amp;"-"&amp;RIGHT(B194,2)</f>
        <v>jul-23</v>
      </c>
    </row>
    <row r="195" customFormat="false" ht="15" hidden="false" customHeight="false" outlineLevel="0" collapsed="false">
      <c r="A195" s="8" t="n">
        <f aca="false">A194+1</f>
        <v>45120</v>
      </c>
      <c r="B195" s="7" t="n">
        <f aca="false">YEAR(A195)</f>
        <v>2023</v>
      </c>
      <c r="C195" s="7" t="n">
        <f aca="false">MONTH(A195)</f>
        <v>7</v>
      </c>
      <c r="D195" s="8" t="n">
        <f aca="false">DATE(B195,C195,1)</f>
        <v>45108</v>
      </c>
      <c r="E195" s="7" t="str">
        <f aca="false">CHOOSE(C195,"ene","feb","mar","abr","may","jun","jul","ago","sep","oct","nov","dic")</f>
        <v>jul</v>
      </c>
      <c r="F195" s="7" t="str">
        <f aca="false">CHOOSE(C195,"enero","febrero","marzo","abril","mayo","junio","julio","agosto","septiembre","octubre","noviembre","diciembre")</f>
        <v>julio</v>
      </c>
      <c r="G195" s="7" t="str">
        <f aca="false">E195&amp;"-"&amp;RIGHT(B195,2)</f>
        <v>jul-23</v>
      </c>
    </row>
    <row r="196" customFormat="false" ht="15" hidden="false" customHeight="false" outlineLevel="0" collapsed="false">
      <c r="A196" s="8" t="n">
        <f aca="false">A195+1</f>
        <v>45121</v>
      </c>
      <c r="B196" s="7" t="n">
        <f aca="false">YEAR(A196)</f>
        <v>2023</v>
      </c>
      <c r="C196" s="7" t="n">
        <f aca="false">MONTH(A196)</f>
        <v>7</v>
      </c>
      <c r="D196" s="8" t="n">
        <f aca="false">DATE(B196,C196,1)</f>
        <v>45108</v>
      </c>
      <c r="E196" s="7" t="str">
        <f aca="false">CHOOSE(C196,"ene","feb","mar","abr","may","jun","jul","ago","sep","oct","nov","dic")</f>
        <v>jul</v>
      </c>
      <c r="F196" s="7" t="str">
        <f aca="false">CHOOSE(C196,"enero","febrero","marzo","abril","mayo","junio","julio","agosto","septiembre","octubre","noviembre","diciembre")</f>
        <v>julio</v>
      </c>
      <c r="G196" s="7" t="str">
        <f aca="false">E196&amp;"-"&amp;RIGHT(B196,2)</f>
        <v>jul-23</v>
      </c>
    </row>
    <row r="197" customFormat="false" ht="15" hidden="false" customHeight="false" outlineLevel="0" collapsed="false">
      <c r="A197" s="8" t="n">
        <f aca="false">A196+1</f>
        <v>45122</v>
      </c>
      <c r="B197" s="7" t="n">
        <f aca="false">YEAR(A197)</f>
        <v>2023</v>
      </c>
      <c r="C197" s="7" t="n">
        <f aca="false">MONTH(A197)</f>
        <v>7</v>
      </c>
      <c r="D197" s="8" t="n">
        <f aca="false">DATE(B197,C197,1)</f>
        <v>45108</v>
      </c>
      <c r="E197" s="7" t="str">
        <f aca="false">CHOOSE(C197,"ene","feb","mar","abr","may","jun","jul","ago","sep","oct","nov","dic")</f>
        <v>jul</v>
      </c>
      <c r="F197" s="7" t="str">
        <f aca="false">CHOOSE(C197,"enero","febrero","marzo","abril","mayo","junio","julio","agosto","septiembre","octubre","noviembre","diciembre")</f>
        <v>julio</v>
      </c>
      <c r="G197" s="7" t="str">
        <f aca="false">E197&amp;"-"&amp;RIGHT(B197,2)</f>
        <v>jul-23</v>
      </c>
    </row>
    <row r="198" customFormat="false" ht="15" hidden="false" customHeight="false" outlineLevel="0" collapsed="false">
      <c r="A198" s="8" t="n">
        <f aca="false">A197+1</f>
        <v>45123</v>
      </c>
      <c r="B198" s="7" t="n">
        <f aca="false">YEAR(A198)</f>
        <v>2023</v>
      </c>
      <c r="C198" s="7" t="n">
        <f aca="false">MONTH(A198)</f>
        <v>7</v>
      </c>
      <c r="D198" s="8" t="n">
        <f aca="false">DATE(B198,C198,1)</f>
        <v>45108</v>
      </c>
      <c r="E198" s="7" t="str">
        <f aca="false">CHOOSE(C198,"ene","feb","mar","abr","may","jun","jul","ago","sep","oct","nov","dic")</f>
        <v>jul</v>
      </c>
      <c r="F198" s="7" t="str">
        <f aca="false">CHOOSE(C198,"enero","febrero","marzo","abril","mayo","junio","julio","agosto","septiembre","octubre","noviembre","diciembre")</f>
        <v>julio</v>
      </c>
      <c r="G198" s="7" t="str">
        <f aca="false">E198&amp;"-"&amp;RIGHT(B198,2)</f>
        <v>jul-23</v>
      </c>
    </row>
    <row r="199" customFormat="false" ht="15" hidden="false" customHeight="false" outlineLevel="0" collapsed="false">
      <c r="A199" s="8" t="n">
        <f aca="false">A198+1</f>
        <v>45124</v>
      </c>
      <c r="B199" s="7" t="n">
        <f aca="false">YEAR(A199)</f>
        <v>2023</v>
      </c>
      <c r="C199" s="7" t="n">
        <f aca="false">MONTH(A199)</f>
        <v>7</v>
      </c>
      <c r="D199" s="8" t="n">
        <f aca="false">DATE(B199,C199,1)</f>
        <v>45108</v>
      </c>
      <c r="E199" s="7" t="str">
        <f aca="false">CHOOSE(C199,"ene","feb","mar","abr","may","jun","jul","ago","sep","oct","nov","dic")</f>
        <v>jul</v>
      </c>
      <c r="F199" s="7" t="str">
        <f aca="false">CHOOSE(C199,"enero","febrero","marzo","abril","mayo","junio","julio","agosto","septiembre","octubre","noviembre","diciembre")</f>
        <v>julio</v>
      </c>
      <c r="G199" s="7" t="str">
        <f aca="false">E199&amp;"-"&amp;RIGHT(B199,2)</f>
        <v>jul-23</v>
      </c>
    </row>
    <row r="200" customFormat="false" ht="15" hidden="false" customHeight="false" outlineLevel="0" collapsed="false">
      <c r="A200" s="8" t="n">
        <f aca="false">A199+1</f>
        <v>45125</v>
      </c>
      <c r="B200" s="7" t="n">
        <f aca="false">YEAR(A200)</f>
        <v>2023</v>
      </c>
      <c r="C200" s="7" t="n">
        <f aca="false">MONTH(A200)</f>
        <v>7</v>
      </c>
      <c r="D200" s="8" t="n">
        <f aca="false">DATE(B200,C200,1)</f>
        <v>45108</v>
      </c>
      <c r="E200" s="7" t="str">
        <f aca="false">CHOOSE(C200,"ene","feb","mar","abr","may","jun","jul","ago","sep","oct","nov","dic")</f>
        <v>jul</v>
      </c>
      <c r="F200" s="7" t="str">
        <f aca="false">CHOOSE(C200,"enero","febrero","marzo","abril","mayo","junio","julio","agosto","septiembre","octubre","noviembre","diciembre")</f>
        <v>julio</v>
      </c>
      <c r="G200" s="7" t="str">
        <f aca="false">E200&amp;"-"&amp;RIGHT(B200,2)</f>
        <v>jul-23</v>
      </c>
    </row>
    <row r="201" customFormat="false" ht="15" hidden="false" customHeight="false" outlineLevel="0" collapsed="false">
      <c r="A201" s="8" t="n">
        <f aca="false">A200+1</f>
        <v>45126</v>
      </c>
      <c r="B201" s="7" t="n">
        <f aca="false">YEAR(A201)</f>
        <v>2023</v>
      </c>
      <c r="C201" s="7" t="n">
        <f aca="false">MONTH(A201)</f>
        <v>7</v>
      </c>
      <c r="D201" s="8" t="n">
        <f aca="false">DATE(B201,C201,1)</f>
        <v>45108</v>
      </c>
      <c r="E201" s="7" t="str">
        <f aca="false">CHOOSE(C201,"ene","feb","mar","abr","may","jun","jul","ago","sep","oct","nov","dic")</f>
        <v>jul</v>
      </c>
      <c r="F201" s="7" t="str">
        <f aca="false">CHOOSE(C201,"enero","febrero","marzo","abril","mayo","junio","julio","agosto","septiembre","octubre","noviembre","diciembre")</f>
        <v>julio</v>
      </c>
      <c r="G201" s="7" t="str">
        <f aca="false">E201&amp;"-"&amp;RIGHT(B201,2)</f>
        <v>jul-23</v>
      </c>
    </row>
    <row r="202" customFormat="false" ht="15" hidden="false" customHeight="false" outlineLevel="0" collapsed="false">
      <c r="A202" s="8" t="n">
        <f aca="false">A201+1</f>
        <v>45127</v>
      </c>
      <c r="B202" s="7" t="n">
        <f aca="false">YEAR(A202)</f>
        <v>2023</v>
      </c>
      <c r="C202" s="7" t="n">
        <f aca="false">MONTH(A202)</f>
        <v>7</v>
      </c>
      <c r="D202" s="8" t="n">
        <f aca="false">DATE(B202,C202,1)</f>
        <v>45108</v>
      </c>
      <c r="E202" s="7" t="str">
        <f aca="false">CHOOSE(C202,"ene","feb","mar","abr","may","jun","jul","ago","sep","oct","nov","dic")</f>
        <v>jul</v>
      </c>
      <c r="F202" s="7" t="str">
        <f aca="false">CHOOSE(C202,"enero","febrero","marzo","abril","mayo","junio","julio","agosto","septiembre","octubre","noviembre","diciembre")</f>
        <v>julio</v>
      </c>
      <c r="G202" s="7" t="str">
        <f aca="false">E202&amp;"-"&amp;RIGHT(B202,2)</f>
        <v>jul-23</v>
      </c>
    </row>
    <row r="203" customFormat="false" ht="15" hidden="false" customHeight="false" outlineLevel="0" collapsed="false">
      <c r="A203" s="8" t="n">
        <f aca="false">A202+1</f>
        <v>45128</v>
      </c>
      <c r="B203" s="7" t="n">
        <f aca="false">YEAR(A203)</f>
        <v>2023</v>
      </c>
      <c r="C203" s="7" t="n">
        <f aca="false">MONTH(A203)</f>
        <v>7</v>
      </c>
      <c r="D203" s="8" t="n">
        <f aca="false">DATE(B203,C203,1)</f>
        <v>45108</v>
      </c>
      <c r="E203" s="7" t="str">
        <f aca="false">CHOOSE(C203,"ene","feb","mar","abr","may","jun","jul","ago","sep","oct","nov","dic")</f>
        <v>jul</v>
      </c>
      <c r="F203" s="7" t="str">
        <f aca="false">CHOOSE(C203,"enero","febrero","marzo","abril","mayo","junio","julio","agosto","septiembre","octubre","noviembre","diciembre")</f>
        <v>julio</v>
      </c>
      <c r="G203" s="7" t="str">
        <f aca="false">E203&amp;"-"&amp;RIGHT(B203,2)</f>
        <v>jul-23</v>
      </c>
    </row>
    <row r="204" customFormat="false" ht="15" hidden="false" customHeight="false" outlineLevel="0" collapsed="false">
      <c r="A204" s="8" t="n">
        <f aca="false">A203+1</f>
        <v>45129</v>
      </c>
      <c r="B204" s="7" t="n">
        <f aca="false">YEAR(A204)</f>
        <v>2023</v>
      </c>
      <c r="C204" s="7" t="n">
        <f aca="false">MONTH(A204)</f>
        <v>7</v>
      </c>
      <c r="D204" s="8" t="n">
        <f aca="false">DATE(B204,C204,1)</f>
        <v>45108</v>
      </c>
      <c r="E204" s="7" t="str">
        <f aca="false">CHOOSE(C204,"ene","feb","mar","abr","may","jun","jul","ago","sep","oct","nov","dic")</f>
        <v>jul</v>
      </c>
      <c r="F204" s="7" t="str">
        <f aca="false">CHOOSE(C204,"enero","febrero","marzo","abril","mayo","junio","julio","agosto","septiembre","octubre","noviembre","diciembre")</f>
        <v>julio</v>
      </c>
      <c r="G204" s="7" t="str">
        <f aca="false">E204&amp;"-"&amp;RIGHT(B204,2)</f>
        <v>jul-23</v>
      </c>
    </row>
    <row r="205" customFormat="false" ht="15" hidden="false" customHeight="false" outlineLevel="0" collapsed="false">
      <c r="A205" s="8" t="n">
        <f aca="false">A204+1</f>
        <v>45130</v>
      </c>
      <c r="B205" s="7" t="n">
        <f aca="false">YEAR(A205)</f>
        <v>2023</v>
      </c>
      <c r="C205" s="7" t="n">
        <f aca="false">MONTH(A205)</f>
        <v>7</v>
      </c>
      <c r="D205" s="8" t="n">
        <f aca="false">DATE(B205,C205,1)</f>
        <v>45108</v>
      </c>
      <c r="E205" s="7" t="str">
        <f aca="false">CHOOSE(C205,"ene","feb","mar","abr","may","jun","jul","ago","sep","oct","nov","dic")</f>
        <v>jul</v>
      </c>
      <c r="F205" s="7" t="str">
        <f aca="false">CHOOSE(C205,"enero","febrero","marzo","abril","mayo","junio","julio","agosto","septiembre","octubre","noviembre","diciembre")</f>
        <v>julio</v>
      </c>
      <c r="G205" s="7" t="str">
        <f aca="false">E205&amp;"-"&amp;RIGHT(B205,2)</f>
        <v>jul-23</v>
      </c>
    </row>
    <row r="206" customFormat="false" ht="15" hidden="false" customHeight="false" outlineLevel="0" collapsed="false">
      <c r="A206" s="8" t="n">
        <f aca="false">A205+1</f>
        <v>45131</v>
      </c>
      <c r="B206" s="7" t="n">
        <f aca="false">YEAR(A206)</f>
        <v>2023</v>
      </c>
      <c r="C206" s="7" t="n">
        <f aca="false">MONTH(A206)</f>
        <v>7</v>
      </c>
      <c r="D206" s="8" t="n">
        <f aca="false">DATE(B206,C206,1)</f>
        <v>45108</v>
      </c>
      <c r="E206" s="7" t="str">
        <f aca="false">CHOOSE(C206,"ene","feb","mar","abr","may","jun","jul","ago","sep","oct","nov","dic")</f>
        <v>jul</v>
      </c>
      <c r="F206" s="7" t="str">
        <f aca="false">CHOOSE(C206,"enero","febrero","marzo","abril","mayo","junio","julio","agosto","septiembre","octubre","noviembre","diciembre")</f>
        <v>julio</v>
      </c>
      <c r="G206" s="7" t="str">
        <f aca="false">E206&amp;"-"&amp;RIGHT(B206,2)</f>
        <v>jul-23</v>
      </c>
    </row>
    <row r="207" customFormat="false" ht="15" hidden="false" customHeight="false" outlineLevel="0" collapsed="false">
      <c r="A207" s="8" t="n">
        <f aca="false">A206+1</f>
        <v>45132</v>
      </c>
      <c r="B207" s="7" t="n">
        <f aca="false">YEAR(A207)</f>
        <v>2023</v>
      </c>
      <c r="C207" s="7" t="n">
        <f aca="false">MONTH(A207)</f>
        <v>7</v>
      </c>
      <c r="D207" s="8" t="n">
        <f aca="false">DATE(B207,C207,1)</f>
        <v>45108</v>
      </c>
      <c r="E207" s="7" t="str">
        <f aca="false">CHOOSE(C207,"ene","feb","mar","abr","may","jun","jul","ago","sep","oct","nov","dic")</f>
        <v>jul</v>
      </c>
      <c r="F207" s="7" t="str">
        <f aca="false">CHOOSE(C207,"enero","febrero","marzo","abril","mayo","junio","julio","agosto","septiembre","octubre","noviembre","diciembre")</f>
        <v>julio</v>
      </c>
      <c r="G207" s="7" t="str">
        <f aca="false">E207&amp;"-"&amp;RIGHT(B207,2)</f>
        <v>jul-23</v>
      </c>
    </row>
    <row r="208" customFormat="false" ht="15" hidden="false" customHeight="false" outlineLevel="0" collapsed="false">
      <c r="A208" s="8" t="n">
        <f aca="false">A207+1</f>
        <v>45133</v>
      </c>
      <c r="B208" s="7" t="n">
        <f aca="false">YEAR(A208)</f>
        <v>2023</v>
      </c>
      <c r="C208" s="7" t="n">
        <f aca="false">MONTH(A208)</f>
        <v>7</v>
      </c>
      <c r="D208" s="8" t="n">
        <f aca="false">DATE(B208,C208,1)</f>
        <v>45108</v>
      </c>
      <c r="E208" s="7" t="str">
        <f aca="false">CHOOSE(C208,"ene","feb","mar","abr","may","jun","jul","ago","sep","oct","nov","dic")</f>
        <v>jul</v>
      </c>
      <c r="F208" s="7" t="str">
        <f aca="false">CHOOSE(C208,"enero","febrero","marzo","abril","mayo","junio","julio","agosto","septiembre","octubre","noviembre","diciembre")</f>
        <v>julio</v>
      </c>
      <c r="G208" s="7" t="str">
        <f aca="false">E208&amp;"-"&amp;RIGHT(B208,2)</f>
        <v>jul-23</v>
      </c>
    </row>
    <row r="209" customFormat="false" ht="15" hidden="false" customHeight="false" outlineLevel="0" collapsed="false">
      <c r="A209" s="8" t="n">
        <f aca="false">A208+1</f>
        <v>45134</v>
      </c>
      <c r="B209" s="7" t="n">
        <f aca="false">YEAR(A209)</f>
        <v>2023</v>
      </c>
      <c r="C209" s="7" t="n">
        <f aca="false">MONTH(A209)</f>
        <v>7</v>
      </c>
      <c r="D209" s="8" t="n">
        <f aca="false">DATE(B209,C209,1)</f>
        <v>45108</v>
      </c>
      <c r="E209" s="7" t="str">
        <f aca="false">CHOOSE(C209,"ene","feb","mar","abr","may","jun","jul","ago","sep","oct","nov","dic")</f>
        <v>jul</v>
      </c>
      <c r="F209" s="7" t="str">
        <f aca="false">CHOOSE(C209,"enero","febrero","marzo","abril","mayo","junio","julio","agosto","septiembre","octubre","noviembre","diciembre")</f>
        <v>julio</v>
      </c>
      <c r="G209" s="7" t="str">
        <f aca="false">E209&amp;"-"&amp;RIGHT(B209,2)</f>
        <v>jul-23</v>
      </c>
    </row>
    <row r="210" customFormat="false" ht="15" hidden="false" customHeight="false" outlineLevel="0" collapsed="false">
      <c r="A210" s="8" t="n">
        <f aca="false">A209+1</f>
        <v>45135</v>
      </c>
      <c r="B210" s="7" t="n">
        <f aca="false">YEAR(A210)</f>
        <v>2023</v>
      </c>
      <c r="C210" s="7" t="n">
        <f aca="false">MONTH(A210)</f>
        <v>7</v>
      </c>
      <c r="D210" s="8" t="n">
        <f aca="false">DATE(B210,C210,1)</f>
        <v>45108</v>
      </c>
      <c r="E210" s="7" t="str">
        <f aca="false">CHOOSE(C210,"ene","feb","mar","abr","may","jun","jul","ago","sep","oct","nov","dic")</f>
        <v>jul</v>
      </c>
      <c r="F210" s="7" t="str">
        <f aca="false">CHOOSE(C210,"enero","febrero","marzo","abril","mayo","junio","julio","agosto","septiembre","octubre","noviembre","diciembre")</f>
        <v>julio</v>
      </c>
      <c r="G210" s="7" t="str">
        <f aca="false">E210&amp;"-"&amp;RIGHT(B210,2)</f>
        <v>jul-23</v>
      </c>
    </row>
    <row r="211" customFormat="false" ht="15" hidden="false" customHeight="false" outlineLevel="0" collapsed="false">
      <c r="A211" s="8" t="n">
        <f aca="false">A210+1</f>
        <v>45136</v>
      </c>
      <c r="B211" s="7" t="n">
        <f aca="false">YEAR(A211)</f>
        <v>2023</v>
      </c>
      <c r="C211" s="7" t="n">
        <f aca="false">MONTH(A211)</f>
        <v>7</v>
      </c>
      <c r="D211" s="8" t="n">
        <f aca="false">DATE(B211,C211,1)</f>
        <v>45108</v>
      </c>
      <c r="E211" s="7" t="str">
        <f aca="false">CHOOSE(C211,"ene","feb","mar","abr","may","jun","jul","ago","sep","oct","nov","dic")</f>
        <v>jul</v>
      </c>
      <c r="F211" s="7" t="str">
        <f aca="false">CHOOSE(C211,"enero","febrero","marzo","abril","mayo","junio","julio","agosto","septiembre","octubre","noviembre","diciembre")</f>
        <v>julio</v>
      </c>
      <c r="G211" s="7" t="str">
        <f aca="false">E211&amp;"-"&amp;RIGHT(B211,2)</f>
        <v>jul-23</v>
      </c>
    </row>
    <row r="212" customFormat="false" ht="15" hidden="false" customHeight="false" outlineLevel="0" collapsed="false">
      <c r="A212" s="8" t="n">
        <f aca="false">A211+1</f>
        <v>45137</v>
      </c>
      <c r="B212" s="7" t="n">
        <f aca="false">YEAR(A212)</f>
        <v>2023</v>
      </c>
      <c r="C212" s="7" t="n">
        <f aca="false">MONTH(A212)</f>
        <v>7</v>
      </c>
      <c r="D212" s="8" t="n">
        <f aca="false">DATE(B212,C212,1)</f>
        <v>45108</v>
      </c>
      <c r="E212" s="7" t="str">
        <f aca="false">CHOOSE(C212,"ene","feb","mar","abr","may","jun","jul","ago","sep","oct","nov","dic")</f>
        <v>jul</v>
      </c>
      <c r="F212" s="7" t="str">
        <f aca="false">CHOOSE(C212,"enero","febrero","marzo","abril","mayo","junio","julio","agosto","septiembre","octubre","noviembre","diciembre")</f>
        <v>julio</v>
      </c>
      <c r="G212" s="7" t="str">
        <f aca="false">E212&amp;"-"&amp;RIGHT(B212,2)</f>
        <v>jul-23</v>
      </c>
    </row>
    <row r="213" customFormat="false" ht="15" hidden="false" customHeight="false" outlineLevel="0" collapsed="false">
      <c r="A213" s="8" t="n">
        <f aca="false">A212+1</f>
        <v>45138</v>
      </c>
      <c r="B213" s="7" t="n">
        <f aca="false">YEAR(A213)</f>
        <v>2023</v>
      </c>
      <c r="C213" s="7" t="n">
        <f aca="false">MONTH(A213)</f>
        <v>7</v>
      </c>
      <c r="D213" s="8" t="n">
        <f aca="false">DATE(B213,C213,1)</f>
        <v>45108</v>
      </c>
      <c r="E213" s="7" t="str">
        <f aca="false">CHOOSE(C213,"ene","feb","mar","abr","may","jun","jul","ago","sep","oct","nov","dic")</f>
        <v>jul</v>
      </c>
      <c r="F213" s="7" t="str">
        <f aca="false">CHOOSE(C213,"enero","febrero","marzo","abril","mayo","junio","julio","agosto","septiembre","octubre","noviembre","diciembre")</f>
        <v>julio</v>
      </c>
      <c r="G213" s="7" t="str">
        <f aca="false">E213&amp;"-"&amp;RIGHT(B213,2)</f>
        <v>jul-23</v>
      </c>
    </row>
    <row r="214" customFormat="false" ht="15" hidden="false" customHeight="false" outlineLevel="0" collapsed="false">
      <c r="A214" s="8" t="n">
        <f aca="false">A213+1</f>
        <v>45139</v>
      </c>
      <c r="B214" s="7" t="n">
        <f aca="false">YEAR(A214)</f>
        <v>2023</v>
      </c>
      <c r="C214" s="7" t="n">
        <f aca="false">MONTH(A214)</f>
        <v>8</v>
      </c>
      <c r="D214" s="8" t="n">
        <f aca="false">DATE(B214,C214,1)</f>
        <v>45139</v>
      </c>
      <c r="E214" s="7" t="str">
        <f aca="false">CHOOSE(C214,"ene","feb","mar","abr","may","jun","jul","ago","sep","oct","nov","dic")</f>
        <v>ago</v>
      </c>
      <c r="F214" s="7" t="str">
        <f aca="false">CHOOSE(C214,"enero","febrero","marzo","abril","mayo","junio","julio","agosto","septiembre","octubre","noviembre","diciembre")</f>
        <v>agosto</v>
      </c>
      <c r="G214" s="7" t="str">
        <f aca="false">E214&amp;"-"&amp;RIGHT(B214,2)</f>
        <v>ago-23</v>
      </c>
    </row>
    <row r="215" customFormat="false" ht="15" hidden="false" customHeight="false" outlineLevel="0" collapsed="false">
      <c r="A215" s="8" t="n">
        <f aca="false">A214+1</f>
        <v>45140</v>
      </c>
      <c r="B215" s="7" t="n">
        <f aca="false">YEAR(A215)</f>
        <v>2023</v>
      </c>
      <c r="C215" s="7" t="n">
        <f aca="false">MONTH(A215)</f>
        <v>8</v>
      </c>
      <c r="D215" s="8" t="n">
        <f aca="false">DATE(B215,C215,1)</f>
        <v>45139</v>
      </c>
      <c r="E215" s="7" t="str">
        <f aca="false">CHOOSE(C215,"ene","feb","mar","abr","may","jun","jul","ago","sep","oct","nov","dic")</f>
        <v>ago</v>
      </c>
      <c r="F215" s="7" t="str">
        <f aca="false">CHOOSE(C215,"enero","febrero","marzo","abril","mayo","junio","julio","agosto","septiembre","octubre","noviembre","diciembre")</f>
        <v>agosto</v>
      </c>
      <c r="G215" s="7" t="str">
        <f aca="false">E215&amp;"-"&amp;RIGHT(B215,2)</f>
        <v>ago-23</v>
      </c>
    </row>
    <row r="216" customFormat="false" ht="15" hidden="false" customHeight="false" outlineLevel="0" collapsed="false">
      <c r="A216" s="8" t="n">
        <f aca="false">A215+1</f>
        <v>45141</v>
      </c>
      <c r="B216" s="7" t="n">
        <f aca="false">YEAR(A216)</f>
        <v>2023</v>
      </c>
      <c r="C216" s="7" t="n">
        <f aca="false">MONTH(A216)</f>
        <v>8</v>
      </c>
      <c r="D216" s="8" t="n">
        <f aca="false">DATE(B216,C216,1)</f>
        <v>45139</v>
      </c>
      <c r="E216" s="7" t="str">
        <f aca="false">CHOOSE(C216,"ene","feb","mar","abr","may","jun","jul","ago","sep","oct","nov","dic")</f>
        <v>ago</v>
      </c>
      <c r="F216" s="7" t="str">
        <f aca="false">CHOOSE(C216,"enero","febrero","marzo","abril","mayo","junio","julio","agosto","septiembre","octubre","noviembre","diciembre")</f>
        <v>agosto</v>
      </c>
      <c r="G216" s="7" t="str">
        <f aca="false">E216&amp;"-"&amp;RIGHT(B216,2)</f>
        <v>ago-23</v>
      </c>
    </row>
    <row r="217" customFormat="false" ht="15" hidden="false" customHeight="false" outlineLevel="0" collapsed="false">
      <c r="A217" s="8" t="n">
        <f aca="false">A216+1</f>
        <v>45142</v>
      </c>
      <c r="B217" s="7" t="n">
        <f aca="false">YEAR(A217)</f>
        <v>2023</v>
      </c>
      <c r="C217" s="7" t="n">
        <f aca="false">MONTH(A217)</f>
        <v>8</v>
      </c>
      <c r="D217" s="8" t="n">
        <f aca="false">DATE(B217,C217,1)</f>
        <v>45139</v>
      </c>
      <c r="E217" s="7" t="str">
        <f aca="false">CHOOSE(C217,"ene","feb","mar","abr","may","jun","jul","ago","sep","oct","nov","dic")</f>
        <v>ago</v>
      </c>
      <c r="F217" s="7" t="str">
        <f aca="false">CHOOSE(C217,"enero","febrero","marzo","abril","mayo","junio","julio","agosto","septiembre","octubre","noviembre","diciembre")</f>
        <v>agosto</v>
      </c>
      <c r="G217" s="7" t="str">
        <f aca="false">E217&amp;"-"&amp;RIGHT(B217,2)</f>
        <v>ago-23</v>
      </c>
    </row>
    <row r="218" customFormat="false" ht="15" hidden="false" customHeight="false" outlineLevel="0" collapsed="false">
      <c r="A218" s="8" t="n">
        <f aca="false">A217+1</f>
        <v>45143</v>
      </c>
      <c r="B218" s="7" t="n">
        <f aca="false">YEAR(A218)</f>
        <v>2023</v>
      </c>
      <c r="C218" s="7" t="n">
        <f aca="false">MONTH(A218)</f>
        <v>8</v>
      </c>
      <c r="D218" s="8" t="n">
        <f aca="false">DATE(B218,C218,1)</f>
        <v>45139</v>
      </c>
      <c r="E218" s="7" t="str">
        <f aca="false">CHOOSE(C218,"ene","feb","mar","abr","may","jun","jul","ago","sep","oct","nov","dic")</f>
        <v>ago</v>
      </c>
      <c r="F218" s="7" t="str">
        <f aca="false">CHOOSE(C218,"enero","febrero","marzo","abril","mayo","junio","julio","agosto","septiembre","octubre","noviembre","diciembre")</f>
        <v>agosto</v>
      </c>
      <c r="G218" s="7" t="str">
        <f aca="false">E218&amp;"-"&amp;RIGHT(B218,2)</f>
        <v>ago-23</v>
      </c>
    </row>
    <row r="219" customFormat="false" ht="15" hidden="false" customHeight="false" outlineLevel="0" collapsed="false">
      <c r="A219" s="8" t="n">
        <f aca="false">A218+1</f>
        <v>45144</v>
      </c>
      <c r="B219" s="7" t="n">
        <f aca="false">YEAR(A219)</f>
        <v>2023</v>
      </c>
      <c r="C219" s="7" t="n">
        <f aca="false">MONTH(A219)</f>
        <v>8</v>
      </c>
      <c r="D219" s="8" t="n">
        <f aca="false">DATE(B219,C219,1)</f>
        <v>45139</v>
      </c>
      <c r="E219" s="7" t="str">
        <f aca="false">CHOOSE(C219,"ene","feb","mar","abr","may","jun","jul","ago","sep","oct","nov","dic")</f>
        <v>ago</v>
      </c>
      <c r="F219" s="7" t="str">
        <f aca="false">CHOOSE(C219,"enero","febrero","marzo","abril","mayo","junio","julio","agosto","septiembre","octubre","noviembre","diciembre")</f>
        <v>agosto</v>
      </c>
      <c r="G219" s="7" t="str">
        <f aca="false">E219&amp;"-"&amp;RIGHT(B219,2)</f>
        <v>ago-23</v>
      </c>
    </row>
    <row r="220" customFormat="false" ht="15" hidden="false" customHeight="false" outlineLevel="0" collapsed="false">
      <c r="A220" s="8" t="n">
        <f aca="false">A219+1</f>
        <v>45145</v>
      </c>
      <c r="B220" s="7" t="n">
        <f aca="false">YEAR(A220)</f>
        <v>2023</v>
      </c>
      <c r="C220" s="7" t="n">
        <f aca="false">MONTH(A220)</f>
        <v>8</v>
      </c>
      <c r="D220" s="8" t="n">
        <f aca="false">DATE(B220,C220,1)</f>
        <v>45139</v>
      </c>
      <c r="E220" s="7" t="str">
        <f aca="false">CHOOSE(C220,"ene","feb","mar","abr","may","jun","jul","ago","sep","oct","nov","dic")</f>
        <v>ago</v>
      </c>
      <c r="F220" s="7" t="str">
        <f aca="false">CHOOSE(C220,"enero","febrero","marzo","abril","mayo","junio","julio","agosto","septiembre","octubre","noviembre","diciembre")</f>
        <v>agosto</v>
      </c>
      <c r="G220" s="7" t="str">
        <f aca="false">E220&amp;"-"&amp;RIGHT(B220,2)</f>
        <v>ago-23</v>
      </c>
    </row>
    <row r="221" customFormat="false" ht="15" hidden="false" customHeight="false" outlineLevel="0" collapsed="false">
      <c r="A221" s="8" t="n">
        <f aca="false">A220+1</f>
        <v>45146</v>
      </c>
      <c r="B221" s="7" t="n">
        <f aca="false">YEAR(A221)</f>
        <v>2023</v>
      </c>
      <c r="C221" s="7" t="n">
        <f aca="false">MONTH(A221)</f>
        <v>8</v>
      </c>
      <c r="D221" s="8" t="n">
        <f aca="false">DATE(B221,C221,1)</f>
        <v>45139</v>
      </c>
      <c r="E221" s="7" t="str">
        <f aca="false">CHOOSE(C221,"ene","feb","mar","abr","may","jun","jul","ago","sep","oct","nov","dic")</f>
        <v>ago</v>
      </c>
      <c r="F221" s="7" t="str">
        <f aca="false">CHOOSE(C221,"enero","febrero","marzo","abril","mayo","junio","julio","agosto","septiembre","octubre","noviembre","diciembre")</f>
        <v>agosto</v>
      </c>
      <c r="G221" s="7" t="str">
        <f aca="false">E221&amp;"-"&amp;RIGHT(B221,2)</f>
        <v>ago-23</v>
      </c>
    </row>
    <row r="222" customFormat="false" ht="15" hidden="false" customHeight="false" outlineLevel="0" collapsed="false">
      <c r="A222" s="8" t="n">
        <f aca="false">A221+1</f>
        <v>45147</v>
      </c>
      <c r="B222" s="7" t="n">
        <f aca="false">YEAR(A222)</f>
        <v>2023</v>
      </c>
      <c r="C222" s="7" t="n">
        <f aca="false">MONTH(A222)</f>
        <v>8</v>
      </c>
      <c r="D222" s="8" t="n">
        <f aca="false">DATE(B222,C222,1)</f>
        <v>45139</v>
      </c>
      <c r="E222" s="7" t="str">
        <f aca="false">CHOOSE(C222,"ene","feb","mar","abr","may","jun","jul","ago","sep","oct","nov","dic")</f>
        <v>ago</v>
      </c>
      <c r="F222" s="7" t="str">
        <f aca="false">CHOOSE(C222,"enero","febrero","marzo","abril","mayo","junio","julio","agosto","septiembre","octubre","noviembre","diciembre")</f>
        <v>agosto</v>
      </c>
      <c r="G222" s="7" t="str">
        <f aca="false">E222&amp;"-"&amp;RIGHT(B222,2)</f>
        <v>ago-23</v>
      </c>
    </row>
    <row r="223" customFormat="false" ht="15" hidden="false" customHeight="false" outlineLevel="0" collapsed="false">
      <c r="A223" s="8" t="n">
        <f aca="false">A222+1</f>
        <v>45148</v>
      </c>
      <c r="B223" s="7" t="n">
        <f aca="false">YEAR(A223)</f>
        <v>2023</v>
      </c>
      <c r="C223" s="7" t="n">
        <f aca="false">MONTH(A223)</f>
        <v>8</v>
      </c>
      <c r="D223" s="8" t="n">
        <f aca="false">DATE(B223,C223,1)</f>
        <v>45139</v>
      </c>
      <c r="E223" s="7" t="str">
        <f aca="false">CHOOSE(C223,"ene","feb","mar","abr","may","jun","jul","ago","sep","oct","nov","dic")</f>
        <v>ago</v>
      </c>
      <c r="F223" s="7" t="str">
        <f aca="false">CHOOSE(C223,"enero","febrero","marzo","abril","mayo","junio","julio","agosto","septiembre","octubre","noviembre","diciembre")</f>
        <v>agosto</v>
      </c>
      <c r="G223" s="7" t="str">
        <f aca="false">E223&amp;"-"&amp;RIGHT(B223,2)</f>
        <v>ago-23</v>
      </c>
    </row>
    <row r="224" customFormat="false" ht="15" hidden="false" customHeight="false" outlineLevel="0" collapsed="false">
      <c r="A224" s="8" t="n">
        <f aca="false">A223+1</f>
        <v>45149</v>
      </c>
      <c r="B224" s="7" t="n">
        <f aca="false">YEAR(A224)</f>
        <v>2023</v>
      </c>
      <c r="C224" s="7" t="n">
        <f aca="false">MONTH(A224)</f>
        <v>8</v>
      </c>
      <c r="D224" s="8" t="n">
        <f aca="false">DATE(B224,C224,1)</f>
        <v>45139</v>
      </c>
      <c r="E224" s="7" t="str">
        <f aca="false">CHOOSE(C224,"ene","feb","mar","abr","may","jun","jul","ago","sep","oct","nov","dic")</f>
        <v>ago</v>
      </c>
      <c r="F224" s="7" t="str">
        <f aca="false">CHOOSE(C224,"enero","febrero","marzo","abril","mayo","junio","julio","agosto","septiembre","octubre","noviembre","diciembre")</f>
        <v>agosto</v>
      </c>
      <c r="G224" s="7" t="str">
        <f aca="false">E224&amp;"-"&amp;RIGHT(B224,2)</f>
        <v>ago-23</v>
      </c>
    </row>
    <row r="225" customFormat="false" ht="15" hidden="false" customHeight="false" outlineLevel="0" collapsed="false">
      <c r="A225" s="8" t="n">
        <f aca="false">A224+1</f>
        <v>45150</v>
      </c>
      <c r="B225" s="7" t="n">
        <f aca="false">YEAR(A225)</f>
        <v>2023</v>
      </c>
      <c r="C225" s="7" t="n">
        <f aca="false">MONTH(A225)</f>
        <v>8</v>
      </c>
      <c r="D225" s="8" t="n">
        <f aca="false">DATE(B225,C225,1)</f>
        <v>45139</v>
      </c>
      <c r="E225" s="7" t="str">
        <f aca="false">CHOOSE(C225,"ene","feb","mar","abr","may","jun","jul","ago","sep","oct","nov","dic")</f>
        <v>ago</v>
      </c>
      <c r="F225" s="7" t="str">
        <f aca="false">CHOOSE(C225,"enero","febrero","marzo","abril","mayo","junio","julio","agosto","septiembre","octubre","noviembre","diciembre")</f>
        <v>agosto</v>
      </c>
      <c r="G225" s="7" t="str">
        <f aca="false">E225&amp;"-"&amp;RIGHT(B225,2)</f>
        <v>ago-23</v>
      </c>
    </row>
    <row r="226" customFormat="false" ht="15" hidden="false" customHeight="false" outlineLevel="0" collapsed="false">
      <c r="A226" s="8" t="n">
        <f aca="false">A225+1</f>
        <v>45151</v>
      </c>
      <c r="B226" s="7" t="n">
        <f aca="false">YEAR(A226)</f>
        <v>2023</v>
      </c>
      <c r="C226" s="7" t="n">
        <f aca="false">MONTH(A226)</f>
        <v>8</v>
      </c>
      <c r="D226" s="8" t="n">
        <f aca="false">DATE(B226,C226,1)</f>
        <v>45139</v>
      </c>
      <c r="E226" s="7" t="str">
        <f aca="false">CHOOSE(C226,"ene","feb","mar","abr","may","jun","jul","ago","sep","oct","nov","dic")</f>
        <v>ago</v>
      </c>
      <c r="F226" s="7" t="str">
        <f aca="false">CHOOSE(C226,"enero","febrero","marzo","abril","mayo","junio","julio","agosto","septiembre","octubre","noviembre","diciembre")</f>
        <v>agosto</v>
      </c>
      <c r="G226" s="7" t="str">
        <f aca="false">E226&amp;"-"&amp;RIGHT(B226,2)</f>
        <v>ago-23</v>
      </c>
    </row>
    <row r="227" customFormat="false" ht="15" hidden="false" customHeight="false" outlineLevel="0" collapsed="false">
      <c r="A227" s="8" t="n">
        <f aca="false">A226+1</f>
        <v>45152</v>
      </c>
      <c r="B227" s="7" t="n">
        <f aca="false">YEAR(A227)</f>
        <v>2023</v>
      </c>
      <c r="C227" s="7" t="n">
        <f aca="false">MONTH(A227)</f>
        <v>8</v>
      </c>
      <c r="D227" s="8" t="n">
        <f aca="false">DATE(B227,C227,1)</f>
        <v>45139</v>
      </c>
      <c r="E227" s="7" t="str">
        <f aca="false">CHOOSE(C227,"ene","feb","mar","abr","may","jun","jul","ago","sep","oct","nov","dic")</f>
        <v>ago</v>
      </c>
      <c r="F227" s="7" t="str">
        <f aca="false">CHOOSE(C227,"enero","febrero","marzo","abril","mayo","junio","julio","agosto","septiembre","octubre","noviembre","diciembre")</f>
        <v>agosto</v>
      </c>
      <c r="G227" s="7" t="str">
        <f aca="false">E227&amp;"-"&amp;RIGHT(B227,2)</f>
        <v>ago-23</v>
      </c>
    </row>
    <row r="228" customFormat="false" ht="15" hidden="false" customHeight="false" outlineLevel="0" collapsed="false">
      <c r="A228" s="8" t="n">
        <f aca="false">A227+1</f>
        <v>45153</v>
      </c>
      <c r="B228" s="7" t="n">
        <f aca="false">YEAR(A228)</f>
        <v>2023</v>
      </c>
      <c r="C228" s="7" t="n">
        <f aca="false">MONTH(A228)</f>
        <v>8</v>
      </c>
      <c r="D228" s="8" t="n">
        <f aca="false">DATE(B228,C228,1)</f>
        <v>45139</v>
      </c>
      <c r="E228" s="7" t="str">
        <f aca="false">CHOOSE(C228,"ene","feb","mar","abr","may","jun","jul","ago","sep","oct","nov","dic")</f>
        <v>ago</v>
      </c>
      <c r="F228" s="7" t="str">
        <f aca="false">CHOOSE(C228,"enero","febrero","marzo","abril","mayo","junio","julio","agosto","septiembre","octubre","noviembre","diciembre")</f>
        <v>agosto</v>
      </c>
      <c r="G228" s="7" t="str">
        <f aca="false">E228&amp;"-"&amp;RIGHT(B228,2)</f>
        <v>ago-23</v>
      </c>
    </row>
    <row r="229" customFormat="false" ht="15" hidden="false" customHeight="false" outlineLevel="0" collapsed="false">
      <c r="A229" s="8" t="n">
        <f aca="false">A228+1</f>
        <v>45154</v>
      </c>
      <c r="B229" s="7" t="n">
        <f aca="false">YEAR(A229)</f>
        <v>2023</v>
      </c>
      <c r="C229" s="7" t="n">
        <f aca="false">MONTH(A229)</f>
        <v>8</v>
      </c>
      <c r="D229" s="8" t="n">
        <f aca="false">DATE(B229,C229,1)</f>
        <v>45139</v>
      </c>
      <c r="E229" s="7" t="str">
        <f aca="false">CHOOSE(C229,"ene","feb","mar","abr","may","jun","jul","ago","sep","oct","nov","dic")</f>
        <v>ago</v>
      </c>
      <c r="F229" s="7" t="str">
        <f aca="false">CHOOSE(C229,"enero","febrero","marzo","abril","mayo","junio","julio","agosto","septiembre","octubre","noviembre","diciembre")</f>
        <v>agosto</v>
      </c>
      <c r="G229" s="7" t="str">
        <f aca="false">E229&amp;"-"&amp;RIGHT(B229,2)</f>
        <v>ago-23</v>
      </c>
    </row>
    <row r="230" customFormat="false" ht="15" hidden="false" customHeight="false" outlineLevel="0" collapsed="false">
      <c r="A230" s="8" t="n">
        <f aca="false">A229+1</f>
        <v>45155</v>
      </c>
      <c r="B230" s="7" t="n">
        <f aca="false">YEAR(A230)</f>
        <v>2023</v>
      </c>
      <c r="C230" s="7" t="n">
        <f aca="false">MONTH(A230)</f>
        <v>8</v>
      </c>
      <c r="D230" s="8" t="n">
        <f aca="false">DATE(B230,C230,1)</f>
        <v>45139</v>
      </c>
      <c r="E230" s="7" t="str">
        <f aca="false">CHOOSE(C230,"ene","feb","mar","abr","may","jun","jul","ago","sep","oct","nov","dic")</f>
        <v>ago</v>
      </c>
      <c r="F230" s="7" t="str">
        <f aca="false">CHOOSE(C230,"enero","febrero","marzo","abril","mayo","junio","julio","agosto","septiembre","octubre","noviembre","diciembre")</f>
        <v>agosto</v>
      </c>
      <c r="G230" s="7" t="str">
        <f aca="false">E230&amp;"-"&amp;RIGHT(B230,2)</f>
        <v>ago-23</v>
      </c>
    </row>
    <row r="231" customFormat="false" ht="15" hidden="false" customHeight="false" outlineLevel="0" collapsed="false">
      <c r="A231" s="8" t="n">
        <f aca="false">A230+1</f>
        <v>45156</v>
      </c>
      <c r="B231" s="7" t="n">
        <f aca="false">YEAR(A231)</f>
        <v>2023</v>
      </c>
      <c r="C231" s="7" t="n">
        <f aca="false">MONTH(A231)</f>
        <v>8</v>
      </c>
      <c r="D231" s="8" t="n">
        <f aca="false">DATE(B231,C231,1)</f>
        <v>45139</v>
      </c>
      <c r="E231" s="7" t="str">
        <f aca="false">CHOOSE(C231,"ene","feb","mar","abr","may","jun","jul","ago","sep","oct","nov","dic")</f>
        <v>ago</v>
      </c>
      <c r="F231" s="7" t="str">
        <f aca="false">CHOOSE(C231,"enero","febrero","marzo","abril","mayo","junio","julio","agosto","septiembre","octubre","noviembre","diciembre")</f>
        <v>agosto</v>
      </c>
      <c r="G231" s="7" t="str">
        <f aca="false">E231&amp;"-"&amp;RIGHT(B231,2)</f>
        <v>ago-23</v>
      </c>
    </row>
    <row r="232" customFormat="false" ht="15" hidden="false" customHeight="false" outlineLevel="0" collapsed="false">
      <c r="A232" s="8" t="n">
        <f aca="false">A231+1</f>
        <v>45157</v>
      </c>
      <c r="B232" s="7" t="n">
        <f aca="false">YEAR(A232)</f>
        <v>2023</v>
      </c>
      <c r="C232" s="7" t="n">
        <f aca="false">MONTH(A232)</f>
        <v>8</v>
      </c>
      <c r="D232" s="8" t="n">
        <f aca="false">DATE(B232,C232,1)</f>
        <v>45139</v>
      </c>
      <c r="E232" s="7" t="str">
        <f aca="false">CHOOSE(C232,"ene","feb","mar","abr","may","jun","jul","ago","sep","oct","nov","dic")</f>
        <v>ago</v>
      </c>
      <c r="F232" s="7" t="str">
        <f aca="false">CHOOSE(C232,"enero","febrero","marzo","abril","mayo","junio","julio","agosto","septiembre","octubre","noviembre","diciembre")</f>
        <v>agosto</v>
      </c>
      <c r="G232" s="7" t="str">
        <f aca="false">E232&amp;"-"&amp;RIGHT(B232,2)</f>
        <v>ago-23</v>
      </c>
    </row>
    <row r="233" customFormat="false" ht="15" hidden="false" customHeight="false" outlineLevel="0" collapsed="false">
      <c r="A233" s="8" t="n">
        <f aca="false">A232+1</f>
        <v>45158</v>
      </c>
      <c r="B233" s="7" t="n">
        <f aca="false">YEAR(A233)</f>
        <v>2023</v>
      </c>
      <c r="C233" s="7" t="n">
        <f aca="false">MONTH(A233)</f>
        <v>8</v>
      </c>
      <c r="D233" s="8" t="n">
        <f aca="false">DATE(B233,C233,1)</f>
        <v>45139</v>
      </c>
      <c r="E233" s="7" t="str">
        <f aca="false">CHOOSE(C233,"ene","feb","mar","abr","may","jun","jul","ago","sep","oct","nov","dic")</f>
        <v>ago</v>
      </c>
      <c r="F233" s="7" t="str">
        <f aca="false">CHOOSE(C233,"enero","febrero","marzo","abril","mayo","junio","julio","agosto","septiembre","octubre","noviembre","diciembre")</f>
        <v>agosto</v>
      </c>
      <c r="G233" s="7" t="str">
        <f aca="false">E233&amp;"-"&amp;RIGHT(B233,2)</f>
        <v>ago-23</v>
      </c>
    </row>
    <row r="234" customFormat="false" ht="15" hidden="false" customHeight="false" outlineLevel="0" collapsed="false">
      <c r="A234" s="8" t="n">
        <f aca="false">A233+1</f>
        <v>45159</v>
      </c>
      <c r="B234" s="7" t="n">
        <f aca="false">YEAR(A234)</f>
        <v>2023</v>
      </c>
      <c r="C234" s="7" t="n">
        <f aca="false">MONTH(A234)</f>
        <v>8</v>
      </c>
      <c r="D234" s="8" t="n">
        <f aca="false">DATE(B234,C234,1)</f>
        <v>45139</v>
      </c>
      <c r="E234" s="7" t="str">
        <f aca="false">CHOOSE(C234,"ene","feb","mar","abr","may","jun","jul","ago","sep","oct","nov","dic")</f>
        <v>ago</v>
      </c>
      <c r="F234" s="7" t="str">
        <f aca="false">CHOOSE(C234,"enero","febrero","marzo","abril","mayo","junio","julio","agosto","septiembre","octubre","noviembre","diciembre")</f>
        <v>agosto</v>
      </c>
      <c r="G234" s="7" t="str">
        <f aca="false">E234&amp;"-"&amp;RIGHT(B234,2)</f>
        <v>ago-23</v>
      </c>
    </row>
    <row r="235" customFormat="false" ht="15" hidden="false" customHeight="false" outlineLevel="0" collapsed="false">
      <c r="A235" s="8" t="n">
        <f aca="false">A234+1</f>
        <v>45160</v>
      </c>
      <c r="B235" s="7" t="n">
        <f aca="false">YEAR(A235)</f>
        <v>2023</v>
      </c>
      <c r="C235" s="7" t="n">
        <f aca="false">MONTH(A235)</f>
        <v>8</v>
      </c>
      <c r="D235" s="8" t="n">
        <f aca="false">DATE(B235,C235,1)</f>
        <v>45139</v>
      </c>
      <c r="E235" s="7" t="str">
        <f aca="false">CHOOSE(C235,"ene","feb","mar","abr","may","jun","jul","ago","sep","oct","nov","dic")</f>
        <v>ago</v>
      </c>
      <c r="F235" s="7" t="str">
        <f aca="false">CHOOSE(C235,"enero","febrero","marzo","abril","mayo","junio","julio","agosto","septiembre","octubre","noviembre","diciembre")</f>
        <v>agosto</v>
      </c>
      <c r="G235" s="7" t="str">
        <f aca="false">E235&amp;"-"&amp;RIGHT(B235,2)</f>
        <v>ago-23</v>
      </c>
    </row>
    <row r="236" customFormat="false" ht="15" hidden="false" customHeight="false" outlineLevel="0" collapsed="false">
      <c r="A236" s="8" t="n">
        <f aca="false">A235+1</f>
        <v>45161</v>
      </c>
      <c r="B236" s="7" t="n">
        <f aca="false">YEAR(A236)</f>
        <v>2023</v>
      </c>
      <c r="C236" s="7" t="n">
        <f aca="false">MONTH(A236)</f>
        <v>8</v>
      </c>
      <c r="D236" s="8" t="n">
        <f aca="false">DATE(B236,C236,1)</f>
        <v>45139</v>
      </c>
      <c r="E236" s="7" t="str">
        <f aca="false">CHOOSE(C236,"ene","feb","mar","abr","may","jun","jul","ago","sep","oct","nov","dic")</f>
        <v>ago</v>
      </c>
      <c r="F236" s="7" t="str">
        <f aca="false">CHOOSE(C236,"enero","febrero","marzo","abril","mayo","junio","julio","agosto","septiembre","octubre","noviembre","diciembre")</f>
        <v>agosto</v>
      </c>
      <c r="G236" s="7" t="str">
        <f aca="false">E236&amp;"-"&amp;RIGHT(B236,2)</f>
        <v>ago-23</v>
      </c>
    </row>
    <row r="237" customFormat="false" ht="15" hidden="false" customHeight="false" outlineLevel="0" collapsed="false">
      <c r="A237" s="8" t="n">
        <f aca="false">A236+1</f>
        <v>45162</v>
      </c>
      <c r="B237" s="7" t="n">
        <f aca="false">YEAR(A237)</f>
        <v>2023</v>
      </c>
      <c r="C237" s="7" t="n">
        <f aca="false">MONTH(A237)</f>
        <v>8</v>
      </c>
      <c r="D237" s="8" t="n">
        <f aca="false">DATE(B237,C237,1)</f>
        <v>45139</v>
      </c>
      <c r="E237" s="7" t="str">
        <f aca="false">CHOOSE(C237,"ene","feb","mar","abr","may","jun","jul","ago","sep","oct","nov","dic")</f>
        <v>ago</v>
      </c>
      <c r="F237" s="7" t="str">
        <f aca="false">CHOOSE(C237,"enero","febrero","marzo","abril","mayo","junio","julio","agosto","septiembre","octubre","noviembre","diciembre")</f>
        <v>agosto</v>
      </c>
      <c r="G237" s="7" t="str">
        <f aca="false">E237&amp;"-"&amp;RIGHT(B237,2)</f>
        <v>ago-23</v>
      </c>
    </row>
    <row r="238" customFormat="false" ht="15" hidden="false" customHeight="false" outlineLevel="0" collapsed="false">
      <c r="A238" s="8" t="n">
        <f aca="false">A237+1</f>
        <v>45163</v>
      </c>
      <c r="B238" s="7" t="n">
        <f aca="false">YEAR(A238)</f>
        <v>2023</v>
      </c>
      <c r="C238" s="7" t="n">
        <f aca="false">MONTH(A238)</f>
        <v>8</v>
      </c>
      <c r="D238" s="8" t="n">
        <f aca="false">DATE(B238,C238,1)</f>
        <v>45139</v>
      </c>
      <c r="E238" s="7" t="str">
        <f aca="false">CHOOSE(C238,"ene","feb","mar","abr","may","jun","jul","ago","sep","oct","nov","dic")</f>
        <v>ago</v>
      </c>
      <c r="F238" s="7" t="str">
        <f aca="false">CHOOSE(C238,"enero","febrero","marzo","abril","mayo","junio","julio","agosto","septiembre","octubre","noviembre","diciembre")</f>
        <v>agosto</v>
      </c>
      <c r="G238" s="7" t="str">
        <f aca="false">E238&amp;"-"&amp;RIGHT(B238,2)</f>
        <v>ago-23</v>
      </c>
    </row>
    <row r="239" customFormat="false" ht="15" hidden="false" customHeight="false" outlineLevel="0" collapsed="false">
      <c r="A239" s="8" t="n">
        <f aca="false">A238+1</f>
        <v>45164</v>
      </c>
      <c r="B239" s="7" t="n">
        <f aca="false">YEAR(A239)</f>
        <v>2023</v>
      </c>
      <c r="C239" s="7" t="n">
        <f aca="false">MONTH(A239)</f>
        <v>8</v>
      </c>
      <c r="D239" s="8" t="n">
        <f aca="false">DATE(B239,C239,1)</f>
        <v>45139</v>
      </c>
      <c r="E239" s="7" t="str">
        <f aca="false">CHOOSE(C239,"ene","feb","mar","abr","may","jun","jul","ago","sep","oct","nov","dic")</f>
        <v>ago</v>
      </c>
      <c r="F239" s="7" t="str">
        <f aca="false">CHOOSE(C239,"enero","febrero","marzo","abril","mayo","junio","julio","agosto","septiembre","octubre","noviembre","diciembre")</f>
        <v>agosto</v>
      </c>
      <c r="G239" s="7" t="str">
        <f aca="false">E239&amp;"-"&amp;RIGHT(B239,2)</f>
        <v>ago-23</v>
      </c>
    </row>
    <row r="240" customFormat="false" ht="15" hidden="false" customHeight="false" outlineLevel="0" collapsed="false">
      <c r="A240" s="8" t="n">
        <f aca="false">A239+1</f>
        <v>45165</v>
      </c>
      <c r="B240" s="7" t="n">
        <f aca="false">YEAR(A240)</f>
        <v>2023</v>
      </c>
      <c r="C240" s="7" t="n">
        <f aca="false">MONTH(A240)</f>
        <v>8</v>
      </c>
      <c r="D240" s="8" t="n">
        <f aca="false">DATE(B240,C240,1)</f>
        <v>45139</v>
      </c>
      <c r="E240" s="7" t="str">
        <f aca="false">CHOOSE(C240,"ene","feb","mar","abr","may","jun","jul","ago","sep","oct","nov","dic")</f>
        <v>ago</v>
      </c>
      <c r="F240" s="7" t="str">
        <f aca="false">CHOOSE(C240,"enero","febrero","marzo","abril","mayo","junio","julio","agosto","septiembre","octubre","noviembre","diciembre")</f>
        <v>agosto</v>
      </c>
      <c r="G240" s="7" t="str">
        <f aca="false">E240&amp;"-"&amp;RIGHT(B240,2)</f>
        <v>ago-23</v>
      </c>
    </row>
    <row r="241" customFormat="false" ht="15" hidden="false" customHeight="false" outlineLevel="0" collapsed="false">
      <c r="A241" s="8" t="n">
        <f aca="false">A240+1</f>
        <v>45166</v>
      </c>
      <c r="B241" s="7" t="n">
        <f aca="false">YEAR(A241)</f>
        <v>2023</v>
      </c>
      <c r="C241" s="7" t="n">
        <f aca="false">MONTH(A241)</f>
        <v>8</v>
      </c>
      <c r="D241" s="8" t="n">
        <f aca="false">DATE(B241,C241,1)</f>
        <v>45139</v>
      </c>
      <c r="E241" s="7" t="str">
        <f aca="false">CHOOSE(C241,"ene","feb","mar","abr","may","jun","jul","ago","sep","oct","nov","dic")</f>
        <v>ago</v>
      </c>
      <c r="F241" s="7" t="str">
        <f aca="false">CHOOSE(C241,"enero","febrero","marzo","abril","mayo","junio","julio","agosto","septiembre","octubre","noviembre","diciembre")</f>
        <v>agosto</v>
      </c>
      <c r="G241" s="7" t="str">
        <f aca="false">E241&amp;"-"&amp;RIGHT(B241,2)</f>
        <v>ago-23</v>
      </c>
    </row>
    <row r="242" customFormat="false" ht="15" hidden="false" customHeight="false" outlineLevel="0" collapsed="false">
      <c r="A242" s="8" t="n">
        <f aca="false">A241+1</f>
        <v>45167</v>
      </c>
      <c r="B242" s="7" t="n">
        <f aca="false">YEAR(A242)</f>
        <v>2023</v>
      </c>
      <c r="C242" s="7" t="n">
        <f aca="false">MONTH(A242)</f>
        <v>8</v>
      </c>
      <c r="D242" s="8" t="n">
        <f aca="false">DATE(B242,C242,1)</f>
        <v>45139</v>
      </c>
      <c r="E242" s="7" t="str">
        <f aca="false">CHOOSE(C242,"ene","feb","mar","abr","may","jun","jul","ago","sep","oct","nov","dic")</f>
        <v>ago</v>
      </c>
      <c r="F242" s="7" t="str">
        <f aca="false">CHOOSE(C242,"enero","febrero","marzo","abril","mayo","junio","julio","agosto","septiembre","octubre","noviembre","diciembre")</f>
        <v>agosto</v>
      </c>
      <c r="G242" s="7" t="str">
        <f aca="false">E242&amp;"-"&amp;RIGHT(B242,2)</f>
        <v>ago-23</v>
      </c>
    </row>
    <row r="243" customFormat="false" ht="15" hidden="false" customHeight="false" outlineLevel="0" collapsed="false">
      <c r="A243" s="8" t="n">
        <f aca="false">A242+1</f>
        <v>45168</v>
      </c>
      <c r="B243" s="7" t="n">
        <f aca="false">YEAR(A243)</f>
        <v>2023</v>
      </c>
      <c r="C243" s="7" t="n">
        <f aca="false">MONTH(A243)</f>
        <v>8</v>
      </c>
      <c r="D243" s="8" t="n">
        <f aca="false">DATE(B243,C243,1)</f>
        <v>45139</v>
      </c>
      <c r="E243" s="7" t="str">
        <f aca="false">CHOOSE(C243,"ene","feb","mar","abr","may","jun","jul","ago","sep","oct","nov","dic")</f>
        <v>ago</v>
      </c>
      <c r="F243" s="7" t="str">
        <f aca="false">CHOOSE(C243,"enero","febrero","marzo","abril","mayo","junio","julio","agosto","septiembre","octubre","noviembre","diciembre")</f>
        <v>agosto</v>
      </c>
      <c r="G243" s="7" t="str">
        <f aca="false">E243&amp;"-"&amp;RIGHT(B243,2)</f>
        <v>ago-23</v>
      </c>
    </row>
    <row r="244" customFormat="false" ht="15" hidden="false" customHeight="false" outlineLevel="0" collapsed="false">
      <c r="A244" s="8" t="n">
        <f aca="false">A243+1</f>
        <v>45169</v>
      </c>
      <c r="B244" s="7" t="n">
        <f aca="false">YEAR(A244)</f>
        <v>2023</v>
      </c>
      <c r="C244" s="7" t="n">
        <f aca="false">MONTH(A244)</f>
        <v>8</v>
      </c>
      <c r="D244" s="8" t="n">
        <f aca="false">DATE(B244,C244,1)</f>
        <v>45139</v>
      </c>
      <c r="E244" s="7" t="str">
        <f aca="false">CHOOSE(C244,"ene","feb","mar","abr","may","jun","jul","ago","sep","oct","nov","dic")</f>
        <v>ago</v>
      </c>
      <c r="F244" s="7" t="str">
        <f aca="false">CHOOSE(C244,"enero","febrero","marzo","abril","mayo","junio","julio","agosto","septiembre","octubre","noviembre","diciembre")</f>
        <v>agosto</v>
      </c>
      <c r="G244" s="7" t="str">
        <f aca="false">E244&amp;"-"&amp;RIGHT(B244,2)</f>
        <v>ago-23</v>
      </c>
    </row>
    <row r="245" customFormat="false" ht="15" hidden="false" customHeight="false" outlineLevel="0" collapsed="false">
      <c r="A245" s="8" t="n">
        <f aca="false">A244+1</f>
        <v>45170</v>
      </c>
      <c r="B245" s="7" t="n">
        <f aca="false">YEAR(A245)</f>
        <v>2023</v>
      </c>
      <c r="C245" s="7" t="n">
        <f aca="false">MONTH(A245)</f>
        <v>9</v>
      </c>
      <c r="D245" s="8" t="n">
        <f aca="false">DATE(B245,C245,1)</f>
        <v>45170</v>
      </c>
      <c r="E245" s="7" t="str">
        <f aca="false">CHOOSE(C245,"ene","feb","mar","abr","may","jun","jul","ago","sep","oct","nov","dic")</f>
        <v>sep</v>
      </c>
      <c r="F245" s="7" t="str">
        <f aca="false">CHOOSE(C245,"enero","febrero","marzo","abril","mayo","junio","julio","agosto","septiembre","octubre","noviembre","diciembre")</f>
        <v>septiembre</v>
      </c>
      <c r="G245" s="7" t="str">
        <f aca="false">E245&amp;"-"&amp;RIGHT(B245,2)</f>
        <v>sep-23</v>
      </c>
    </row>
    <row r="246" customFormat="false" ht="15" hidden="false" customHeight="false" outlineLevel="0" collapsed="false">
      <c r="A246" s="8" t="n">
        <f aca="false">A245+1</f>
        <v>45171</v>
      </c>
      <c r="B246" s="7" t="n">
        <f aca="false">YEAR(A246)</f>
        <v>2023</v>
      </c>
      <c r="C246" s="7" t="n">
        <f aca="false">MONTH(A246)</f>
        <v>9</v>
      </c>
      <c r="D246" s="8" t="n">
        <f aca="false">DATE(B246,C246,1)</f>
        <v>45170</v>
      </c>
      <c r="E246" s="7" t="str">
        <f aca="false">CHOOSE(C246,"ene","feb","mar","abr","may","jun","jul","ago","sep","oct","nov","dic")</f>
        <v>sep</v>
      </c>
      <c r="F246" s="7" t="str">
        <f aca="false">CHOOSE(C246,"enero","febrero","marzo","abril","mayo","junio","julio","agosto","septiembre","octubre","noviembre","diciembre")</f>
        <v>septiembre</v>
      </c>
      <c r="G246" s="7" t="str">
        <f aca="false">E246&amp;"-"&amp;RIGHT(B246,2)</f>
        <v>sep-23</v>
      </c>
    </row>
    <row r="247" customFormat="false" ht="15" hidden="false" customHeight="false" outlineLevel="0" collapsed="false">
      <c r="A247" s="8" t="n">
        <f aca="false">A246+1</f>
        <v>45172</v>
      </c>
      <c r="B247" s="7" t="n">
        <f aca="false">YEAR(A247)</f>
        <v>2023</v>
      </c>
      <c r="C247" s="7" t="n">
        <f aca="false">MONTH(A247)</f>
        <v>9</v>
      </c>
      <c r="D247" s="8" t="n">
        <f aca="false">DATE(B247,C247,1)</f>
        <v>45170</v>
      </c>
      <c r="E247" s="7" t="str">
        <f aca="false">CHOOSE(C247,"ene","feb","mar","abr","may","jun","jul","ago","sep","oct","nov","dic")</f>
        <v>sep</v>
      </c>
      <c r="F247" s="7" t="str">
        <f aca="false">CHOOSE(C247,"enero","febrero","marzo","abril","mayo","junio","julio","agosto","septiembre","octubre","noviembre","diciembre")</f>
        <v>septiembre</v>
      </c>
      <c r="G247" s="7" t="str">
        <f aca="false">E247&amp;"-"&amp;RIGHT(B247,2)</f>
        <v>sep-23</v>
      </c>
    </row>
    <row r="248" customFormat="false" ht="15" hidden="false" customHeight="false" outlineLevel="0" collapsed="false">
      <c r="A248" s="8" t="n">
        <f aca="false">A247+1</f>
        <v>45173</v>
      </c>
      <c r="B248" s="7" t="n">
        <f aca="false">YEAR(A248)</f>
        <v>2023</v>
      </c>
      <c r="C248" s="7" t="n">
        <f aca="false">MONTH(A248)</f>
        <v>9</v>
      </c>
      <c r="D248" s="8" t="n">
        <f aca="false">DATE(B248,C248,1)</f>
        <v>45170</v>
      </c>
      <c r="E248" s="7" t="str">
        <f aca="false">CHOOSE(C248,"ene","feb","mar","abr","may","jun","jul","ago","sep","oct","nov","dic")</f>
        <v>sep</v>
      </c>
      <c r="F248" s="7" t="str">
        <f aca="false">CHOOSE(C248,"enero","febrero","marzo","abril","mayo","junio","julio","agosto","septiembre","octubre","noviembre","diciembre")</f>
        <v>septiembre</v>
      </c>
      <c r="G248" s="7" t="str">
        <f aca="false">E248&amp;"-"&amp;RIGHT(B248,2)</f>
        <v>sep-23</v>
      </c>
    </row>
    <row r="249" customFormat="false" ht="15" hidden="false" customHeight="false" outlineLevel="0" collapsed="false">
      <c r="A249" s="8" t="n">
        <f aca="false">A248+1</f>
        <v>45174</v>
      </c>
      <c r="B249" s="7" t="n">
        <f aca="false">YEAR(A249)</f>
        <v>2023</v>
      </c>
      <c r="C249" s="7" t="n">
        <f aca="false">MONTH(A249)</f>
        <v>9</v>
      </c>
      <c r="D249" s="8" t="n">
        <f aca="false">DATE(B249,C249,1)</f>
        <v>45170</v>
      </c>
      <c r="E249" s="7" t="str">
        <f aca="false">CHOOSE(C249,"ene","feb","mar","abr","may","jun","jul","ago","sep","oct","nov","dic")</f>
        <v>sep</v>
      </c>
      <c r="F249" s="7" t="str">
        <f aca="false">CHOOSE(C249,"enero","febrero","marzo","abril","mayo","junio","julio","agosto","septiembre","octubre","noviembre","diciembre")</f>
        <v>septiembre</v>
      </c>
      <c r="G249" s="7" t="str">
        <f aca="false">E249&amp;"-"&amp;RIGHT(B249,2)</f>
        <v>sep-23</v>
      </c>
    </row>
    <row r="250" customFormat="false" ht="15" hidden="false" customHeight="false" outlineLevel="0" collapsed="false">
      <c r="A250" s="8" t="n">
        <f aca="false">A249+1</f>
        <v>45175</v>
      </c>
      <c r="B250" s="7" t="n">
        <f aca="false">YEAR(A250)</f>
        <v>2023</v>
      </c>
      <c r="C250" s="7" t="n">
        <f aca="false">MONTH(A250)</f>
        <v>9</v>
      </c>
      <c r="D250" s="8" t="n">
        <f aca="false">DATE(B250,C250,1)</f>
        <v>45170</v>
      </c>
      <c r="E250" s="7" t="str">
        <f aca="false">CHOOSE(C250,"ene","feb","mar","abr","may","jun","jul","ago","sep","oct","nov","dic")</f>
        <v>sep</v>
      </c>
      <c r="F250" s="7" t="str">
        <f aca="false">CHOOSE(C250,"enero","febrero","marzo","abril","mayo","junio","julio","agosto","septiembre","octubre","noviembre","diciembre")</f>
        <v>septiembre</v>
      </c>
      <c r="G250" s="7" t="str">
        <f aca="false">E250&amp;"-"&amp;RIGHT(B250,2)</f>
        <v>sep-23</v>
      </c>
    </row>
    <row r="251" customFormat="false" ht="15" hidden="false" customHeight="false" outlineLevel="0" collapsed="false">
      <c r="A251" s="8" t="n">
        <f aca="false">A250+1</f>
        <v>45176</v>
      </c>
      <c r="B251" s="7" t="n">
        <f aca="false">YEAR(A251)</f>
        <v>2023</v>
      </c>
      <c r="C251" s="7" t="n">
        <f aca="false">MONTH(A251)</f>
        <v>9</v>
      </c>
      <c r="D251" s="8" t="n">
        <f aca="false">DATE(B251,C251,1)</f>
        <v>45170</v>
      </c>
      <c r="E251" s="7" t="str">
        <f aca="false">CHOOSE(C251,"ene","feb","mar","abr","may","jun","jul","ago","sep","oct","nov","dic")</f>
        <v>sep</v>
      </c>
      <c r="F251" s="7" t="str">
        <f aca="false">CHOOSE(C251,"enero","febrero","marzo","abril","mayo","junio","julio","agosto","septiembre","octubre","noviembre","diciembre")</f>
        <v>septiembre</v>
      </c>
      <c r="G251" s="7" t="str">
        <f aca="false">E251&amp;"-"&amp;RIGHT(B251,2)</f>
        <v>sep-23</v>
      </c>
    </row>
    <row r="252" customFormat="false" ht="15" hidden="false" customHeight="false" outlineLevel="0" collapsed="false">
      <c r="A252" s="8" t="n">
        <f aca="false">A251+1</f>
        <v>45177</v>
      </c>
      <c r="B252" s="7" t="n">
        <f aca="false">YEAR(A252)</f>
        <v>2023</v>
      </c>
      <c r="C252" s="7" t="n">
        <f aca="false">MONTH(A252)</f>
        <v>9</v>
      </c>
      <c r="D252" s="8" t="n">
        <f aca="false">DATE(B252,C252,1)</f>
        <v>45170</v>
      </c>
      <c r="E252" s="7" t="str">
        <f aca="false">CHOOSE(C252,"ene","feb","mar","abr","may","jun","jul","ago","sep","oct","nov","dic")</f>
        <v>sep</v>
      </c>
      <c r="F252" s="7" t="str">
        <f aca="false">CHOOSE(C252,"enero","febrero","marzo","abril","mayo","junio","julio","agosto","septiembre","octubre","noviembre","diciembre")</f>
        <v>septiembre</v>
      </c>
      <c r="G252" s="7" t="str">
        <f aca="false">E252&amp;"-"&amp;RIGHT(B252,2)</f>
        <v>sep-23</v>
      </c>
    </row>
    <row r="253" customFormat="false" ht="15" hidden="false" customHeight="false" outlineLevel="0" collapsed="false">
      <c r="A253" s="8" t="n">
        <f aca="false">A252+1</f>
        <v>45178</v>
      </c>
      <c r="B253" s="7" t="n">
        <f aca="false">YEAR(A253)</f>
        <v>2023</v>
      </c>
      <c r="C253" s="7" t="n">
        <f aca="false">MONTH(A253)</f>
        <v>9</v>
      </c>
      <c r="D253" s="8" t="n">
        <f aca="false">DATE(B253,C253,1)</f>
        <v>45170</v>
      </c>
      <c r="E253" s="7" t="str">
        <f aca="false">CHOOSE(C253,"ene","feb","mar","abr","may","jun","jul","ago","sep","oct","nov","dic")</f>
        <v>sep</v>
      </c>
      <c r="F253" s="7" t="str">
        <f aca="false">CHOOSE(C253,"enero","febrero","marzo","abril","mayo","junio","julio","agosto","septiembre","octubre","noviembre","diciembre")</f>
        <v>septiembre</v>
      </c>
      <c r="G253" s="7" t="str">
        <f aca="false">E253&amp;"-"&amp;RIGHT(B253,2)</f>
        <v>sep-23</v>
      </c>
    </row>
    <row r="254" customFormat="false" ht="15" hidden="false" customHeight="false" outlineLevel="0" collapsed="false">
      <c r="A254" s="8" t="n">
        <f aca="false">A253+1</f>
        <v>45179</v>
      </c>
      <c r="B254" s="7" t="n">
        <f aca="false">YEAR(A254)</f>
        <v>2023</v>
      </c>
      <c r="C254" s="7" t="n">
        <f aca="false">MONTH(A254)</f>
        <v>9</v>
      </c>
      <c r="D254" s="8" t="n">
        <f aca="false">DATE(B254,C254,1)</f>
        <v>45170</v>
      </c>
      <c r="E254" s="7" t="str">
        <f aca="false">CHOOSE(C254,"ene","feb","mar","abr","may","jun","jul","ago","sep","oct","nov","dic")</f>
        <v>sep</v>
      </c>
      <c r="F254" s="7" t="str">
        <f aca="false">CHOOSE(C254,"enero","febrero","marzo","abril","mayo","junio","julio","agosto","septiembre","octubre","noviembre","diciembre")</f>
        <v>septiembre</v>
      </c>
      <c r="G254" s="7" t="str">
        <f aca="false">E254&amp;"-"&amp;RIGHT(B254,2)</f>
        <v>sep-23</v>
      </c>
    </row>
    <row r="255" customFormat="false" ht="15" hidden="false" customHeight="false" outlineLevel="0" collapsed="false">
      <c r="A255" s="8" t="n">
        <f aca="false">A254+1</f>
        <v>45180</v>
      </c>
      <c r="B255" s="7" t="n">
        <f aca="false">YEAR(A255)</f>
        <v>2023</v>
      </c>
      <c r="C255" s="7" t="n">
        <f aca="false">MONTH(A255)</f>
        <v>9</v>
      </c>
      <c r="D255" s="8" t="n">
        <f aca="false">DATE(B255,C255,1)</f>
        <v>45170</v>
      </c>
      <c r="E255" s="7" t="str">
        <f aca="false">CHOOSE(C255,"ene","feb","mar","abr","may","jun","jul","ago","sep","oct","nov","dic")</f>
        <v>sep</v>
      </c>
      <c r="F255" s="7" t="str">
        <f aca="false">CHOOSE(C255,"enero","febrero","marzo","abril","mayo","junio","julio","agosto","septiembre","octubre","noviembre","diciembre")</f>
        <v>septiembre</v>
      </c>
      <c r="G255" s="7" t="str">
        <f aca="false">E255&amp;"-"&amp;RIGHT(B255,2)</f>
        <v>sep-23</v>
      </c>
    </row>
    <row r="256" customFormat="false" ht="15" hidden="false" customHeight="false" outlineLevel="0" collapsed="false">
      <c r="A256" s="8" t="n">
        <f aca="false">A255+1</f>
        <v>45181</v>
      </c>
      <c r="B256" s="7" t="n">
        <f aca="false">YEAR(A256)</f>
        <v>2023</v>
      </c>
      <c r="C256" s="7" t="n">
        <f aca="false">MONTH(A256)</f>
        <v>9</v>
      </c>
      <c r="D256" s="8" t="n">
        <f aca="false">DATE(B256,C256,1)</f>
        <v>45170</v>
      </c>
      <c r="E256" s="7" t="str">
        <f aca="false">CHOOSE(C256,"ene","feb","mar","abr","may","jun","jul","ago","sep","oct","nov","dic")</f>
        <v>sep</v>
      </c>
      <c r="F256" s="7" t="str">
        <f aca="false">CHOOSE(C256,"enero","febrero","marzo","abril","mayo","junio","julio","agosto","septiembre","octubre","noviembre","diciembre")</f>
        <v>septiembre</v>
      </c>
      <c r="G256" s="7" t="str">
        <f aca="false">E256&amp;"-"&amp;RIGHT(B256,2)</f>
        <v>sep-23</v>
      </c>
    </row>
    <row r="257" customFormat="false" ht="15" hidden="false" customHeight="false" outlineLevel="0" collapsed="false">
      <c r="A257" s="8" t="n">
        <f aca="false">A256+1</f>
        <v>45182</v>
      </c>
      <c r="B257" s="7" t="n">
        <f aca="false">YEAR(A257)</f>
        <v>2023</v>
      </c>
      <c r="C257" s="7" t="n">
        <f aca="false">MONTH(A257)</f>
        <v>9</v>
      </c>
      <c r="D257" s="8" t="n">
        <f aca="false">DATE(B257,C257,1)</f>
        <v>45170</v>
      </c>
      <c r="E257" s="7" t="str">
        <f aca="false">CHOOSE(C257,"ene","feb","mar","abr","may","jun","jul","ago","sep","oct","nov","dic")</f>
        <v>sep</v>
      </c>
      <c r="F257" s="7" t="str">
        <f aca="false">CHOOSE(C257,"enero","febrero","marzo","abril","mayo","junio","julio","agosto","septiembre","octubre","noviembre","diciembre")</f>
        <v>septiembre</v>
      </c>
      <c r="G257" s="7" t="str">
        <f aca="false">E257&amp;"-"&amp;RIGHT(B257,2)</f>
        <v>sep-23</v>
      </c>
    </row>
    <row r="258" customFormat="false" ht="15" hidden="false" customHeight="false" outlineLevel="0" collapsed="false">
      <c r="A258" s="8" t="n">
        <f aca="false">A257+1</f>
        <v>45183</v>
      </c>
      <c r="B258" s="7" t="n">
        <f aca="false">YEAR(A258)</f>
        <v>2023</v>
      </c>
      <c r="C258" s="7" t="n">
        <f aca="false">MONTH(A258)</f>
        <v>9</v>
      </c>
      <c r="D258" s="8" t="n">
        <f aca="false">DATE(B258,C258,1)</f>
        <v>45170</v>
      </c>
      <c r="E258" s="7" t="str">
        <f aca="false">CHOOSE(C258,"ene","feb","mar","abr","may","jun","jul","ago","sep","oct","nov","dic")</f>
        <v>sep</v>
      </c>
      <c r="F258" s="7" t="str">
        <f aca="false">CHOOSE(C258,"enero","febrero","marzo","abril","mayo","junio","julio","agosto","septiembre","octubre","noviembre","diciembre")</f>
        <v>septiembre</v>
      </c>
      <c r="G258" s="7" t="str">
        <f aca="false">E258&amp;"-"&amp;RIGHT(B258,2)</f>
        <v>sep-23</v>
      </c>
    </row>
    <row r="259" customFormat="false" ht="15" hidden="false" customHeight="false" outlineLevel="0" collapsed="false">
      <c r="A259" s="8" t="n">
        <f aca="false">A258+1</f>
        <v>45184</v>
      </c>
      <c r="B259" s="7" t="n">
        <f aca="false">YEAR(A259)</f>
        <v>2023</v>
      </c>
      <c r="C259" s="7" t="n">
        <f aca="false">MONTH(A259)</f>
        <v>9</v>
      </c>
      <c r="D259" s="8" t="n">
        <f aca="false">DATE(B259,C259,1)</f>
        <v>45170</v>
      </c>
      <c r="E259" s="7" t="str">
        <f aca="false">CHOOSE(C259,"ene","feb","mar","abr","may","jun","jul","ago","sep","oct","nov","dic")</f>
        <v>sep</v>
      </c>
      <c r="F259" s="7" t="str">
        <f aca="false">CHOOSE(C259,"enero","febrero","marzo","abril","mayo","junio","julio","agosto","septiembre","octubre","noviembre","diciembre")</f>
        <v>septiembre</v>
      </c>
      <c r="G259" s="7" t="str">
        <f aca="false">E259&amp;"-"&amp;RIGHT(B259,2)</f>
        <v>sep-23</v>
      </c>
    </row>
    <row r="260" customFormat="false" ht="15" hidden="false" customHeight="false" outlineLevel="0" collapsed="false">
      <c r="A260" s="8" t="n">
        <f aca="false">A259+1</f>
        <v>45185</v>
      </c>
      <c r="B260" s="7" t="n">
        <f aca="false">YEAR(A260)</f>
        <v>2023</v>
      </c>
      <c r="C260" s="7" t="n">
        <f aca="false">MONTH(A260)</f>
        <v>9</v>
      </c>
      <c r="D260" s="8" t="n">
        <f aca="false">DATE(B260,C260,1)</f>
        <v>45170</v>
      </c>
      <c r="E260" s="7" t="str">
        <f aca="false">CHOOSE(C260,"ene","feb","mar","abr","may","jun","jul","ago","sep","oct","nov","dic")</f>
        <v>sep</v>
      </c>
      <c r="F260" s="7" t="str">
        <f aca="false">CHOOSE(C260,"enero","febrero","marzo","abril","mayo","junio","julio","agosto","septiembre","octubre","noviembre","diciembre")</f>
        <v>septiembre</v>
      </c>
      <c r="G260" s="7" t="str">
        <f aca="false">E260&amp;"-"&amp;RIGHT(B260,2)</f>
        <v>sep-23</v>
      </c>
    </row>
    <row r="261" customFormat="false" ht="15" hidden="false" customHeight="false" outlineLevel="0" collapsed="false">
      <c r="A261" s="8" t="n">
        <f aca="false">A260+1</f>
        <v>45186</v>
      </c>
      <c r="B261" s="7" t="n">
        <f aca="false">YEAR(A261)</f>
        <v>2023</v>
      </c>
      <c r="C261" s="7" t="n">
        <f aca="false">MONTH(A261)</f>
        <v>9</v>
      </c>
      <c r="D261" s="8" t="n">
        <f aca="false">DATE(B261,C261,1)</f>
        <v>45170</v>
      </c>
      <c r="E261" s="7" t="str">
        <f aca="false">CHOOSE(C261,"ene","feb","mar","abr","may","jun","jul","ago","sep","oct","nov","dic")</f>
        <v>sep</v>
      </c>
      <c r="F261" s="7" t="str">
        <f aca="false">CHOOSE(C261,"enero","febrero","marzo","abril","mayo","junio","julio","agosto","septiembre","octubre","noviembre","diciembre")</f>
        <v>septiembre</v>
      </c>
      <c r="G261" s="7" t="str">
        <f aca="false">E261&amp;"-"&amp;RIGHT(B261,2)</f>
        <v>sep-23</v>
      </c>
    </row>
    <row r="262" customFormat="false" ht="15" hidden="false" customHeight="false" outlineLevel="0" collapsed="false">
      <c r="A262" s="8" t="n">
        <f aca="false">A261+1</f>
        <v>45187</v>
      </c>
      <c r="B262" s="7" t="n">
        <f aca="false">YEAR(A262)</f>
        <v>2023</v>
      </c>
      <c r="C262" s="7" t="n">
        <f aca="false">MONTH(A262)</f>
        <v>9</v>
      </c>
      <c r="D262" s="8" t="n">
        <f aca="false">DATE(B262,C262,1)</f>
        <v>45170</v>
      </c>
      <c r="E262" s="7" t="str">
        <f aca="false">CHOOSE(C262,"ene","feb","mar","abr","may","jun","jul","ago","sep","oct","nov","dic")</f>
        <v>sep</v>
      </c>
      <c r="F262" s="7" t="str">
        <f aca="false">CHOOSE(C262,"enero","febrero","marzo","abril","mayo","junio","julio","agosto","septiembre","octubre","noviembre","diciembre")</f>
        <v>septiembre</v>
      </c>
      <c r="G262" s="7" t="str">
        <f aca="false">E262&amp;"-"&amp;RIGHT(B262,2)</f>
        <v>sep-23</v>
      </c>
    </row>
    <row r="263" customFormat="false" ht="15" hidden="false" customHeight="false" outlineLevel="0" collapsed="false">
      <c r="A263" s="8" t="n">
        <f aca="false">A262+1</f>
        <v>45188</v>
      </c>
      <c r="B263" s="7" t="n">
        <f aca="false">YEAR(A263)</f>
        <v>2023</v>
      </c>
      <c r="C263" s="7" t="n">
        <f aca="false">MONTH(A263)</f>
        <v>9</v>
      </c>
      <c r="D263" s="8" t="n">
        <f aca="false">DATE(B263,C263,1)</f>
        <v>45170</v>
      </c>
      <c r="E263" s="7" t="str">
        <f aca="false">CHOOSE(C263,"ene","feb","mar","abr","may","jun","jul","ago","sep","oct","nov","dic")</f>
        <v>sep</v>
      </c>
      <c r="F263" s="7" t="str">
        <f aca="false">CHOOSE(C263,"enero","febrero","marzo","abril","mayo","junio","julio","agosto","septiembre","octubre","noviembre","diciembre")</f>
        <v>septiembre</v>
      </c>
      <c r="G263" s="7" t="str">
        <f aca="false">E263&amp;"-"&amp;RIGHT(B263,2)</f>
        <v>sep-23</v>
      </c>
    </row>
    <row r="264" customFormat="false" ht="15" hidden="false" customHeight="false" outlineLevel="0" collapsed="false">
      <c r="A264" s="8" t="n">
        <f aca="false">A263+1</f>
        <v>45189</v>
      </c>
      <c r="B264" s="7" t="n">
        <f aca="false">YEAR(A264)</f>
        <v>2023</v>
      </c>
      <c r="C264" s="7" t="n">
        <f aca="false">MONTH(A264)</f>
        <v>9</v>
      </c>
      <c r="D264" s="8" t="n">
        <f aca="false">DATE(B264,C264,1)</f>
        <v>45170</v>
      </c>
      <c r="E264" s="7" t="str">
        <f aca="false">CHOOSE(C264,"ene","feb","mar","abr","may","jun","jul","ago","sep","oct","nov","dic")</f>
        <v>sep</v>
      </c>
      <c r="F264" s="7" t="str">
        <f aca="false">CHOOSE(C264,"enero","febrero","marzo","abril","mayo","junio","julio","agosto","septiembre","octubre","noviembre","diciembre")</f>
        <v>septiembre</v>
      </c>
      <c r="G264" s="7" t="str">
        <f aca="false">E264&amp;"-"&amp;RIGHT(B264,2)</f>
        <v>sep-23</v>
      </c>
    </row>
    <row r="265" customFormat="false" ht="15" hidden="false" customHeight="false" outlineLevel="0" collapsed="false">
      <c r="A265" s="8" t="n">
        <f aca="false">A264+1</f>
        <v>45190</v>
      </c>
      <c r="B265" s="7" t="n">
        <f aca="false">YEAR(A265)</f>
        <v>2023</v>
      </c>
      <c r="C265" s="7" t="n">
        <f aca="false">MONTH(A265)</f>
        <v>9</v>
      </c>
      <c r="D265" s="8" t="n">
        <f aca="false">DATE(B265,C265,1)</f>
        <v>45170</v>
      </c>
      <c r="E265" s="7" t="str">
        <f aca="false">CHOOSE(C265,"ene","feb","mar","abr","may","jun","jul","ago","sep","oct","nov","dic")</f>
        <v>sep</v>
      </c>
      <c r="F265" s="7" t="str">
        <f aca="false">CHOOSE(C265,"enero","febrero","marzo","abril","mayo","junio","julio","agosto","septiembre","octubre","noviembre","diciembre")</f>
        <v>septiembre</v>
      </c>
      <c r="G265" s="7" t="str">
        <f aca="false">E265&amp;"-"&amp;RIGHT(B265,2)</f>
        <v>sep-23</v>
      </c>
    </row>
    <row r="266" customFormat="false" ht="15" hidden="false" customHeight="false" outlineLevel="0" collapsed="false">
      <c r="A266" s="8" t="n">
        <f aca="false">A265+1</f>
        <v>45191</v>
      </c>
      <c r="B266" s="7" t="n">
        <f aca="false">YEAR(A266)</f>
        <v>2023</v>
      </c>
      <c r="C266" s="7" t="n">
        <f aca="false">MONTH(A266)</f>
        <v>9</v>
      </c>
      <c r="D266" s="8" t="n">
        <f aca="false">DATE(B266,C266,1)</f>
        <v>45170</v>
      </c>
      <c r="E266" s="7" t="str">
        <f aca="false">CHOOSE(C266,"ene","feb","mar","abr","may","jun","jul","ago","sep","oct","nov","dic")</f>
        <v>sep</v>
      </c>
      <c r="F266" s="7" t="str">
        <f aca="false">CHOOSE(C266,"enero","febrero","marzo","abril","mayo","junio","julio","agosto","septiembre","octubre","noviembre","diciembre")</f>
        <v>septiembre</v>
      </c>
      <c r="G266" s="7" t="str">
        <f aca="false">E266&amp;"-"&amp;RIGHT(B266,2)</f>
        <v>sep-23</v>
      </c>
    </row>
    <row r="267" customFormat="false" ht="15" hidden="false" customHeight="false" outlineLevel="0" collapsed="false">
      <c r="A267" s="8" t="n">
        <f aca="false">A266+1</f>
        <v>45192</v>
      </c>
      <c r="B267" s="7" t="n">
        <f aca="false">YEAR(A267)</f>
        <v>2023</v>
      </c>
      <c r="C267" s="7" t="n">
        <f aca="false">MONTH(A267)</f>
        <v>9</v>
      </c>
      <c r="D267" s="8" t="n">
        <f aca="false">DATE(B267,C267,1)</f>
        <v>45170</v>
      </c>
      <c r="E267" s="7" t="str">
        <f aca="false">CHOOSE(C267,"ene","feb","mar","abr","may","jun","jul","ago","sep","oct","nov","dic")</f>
        <v>sep</v>
      </c>
      <c r="F267" s="7" t="str">
        <f aca="false">CHOOSE(C267,"enero","febrero","marzo","abril","mayo","junio","julio","agosto","septiembre","octubre","noviembre","diciembre")</f>
        <v>septiembre</v>
      </c>
      <c r="G267" s="7" t="str">
        <f aca="false">E267&amp;"-"&amp;RIGHT(B267,2)</f>
        <v>sep-23</v>
      </c>
    </row>
    <row r="268" customFormat="false" ht="15" hidden="false" customHeight="false" outlineLevel="0" collapsed="false">
      <c r="A268" s="8" t="n">
        <f aca="false">A267+1</f>
        <v>45193</v>
      </c>
      <c r="B268" s="7" t="n">
        <f aca="false">YEAR(A268)</f>
        <v>2023</v>
      </c>
      <c r="C268" s="7" t="n">
        <f aca="false">MONTH(A268)</f>
        <v>9</v>
      </c>
      <c r="D268" s="8" t="n">
        <f aca="false">DATE(B268,C268,1)</f>
        <v>45170</v>
      </c>
      <c r="E268" s="7" t="str">
        <f aca="false">CHOOSE(C268,"ene","feb","mar","abr","may","jun","jul","ago","sep","oct","nov","dic")</f>
        <v>sep</v>
      </c>
      <c r="F268" s="7" t="str">
        <f aca="false">CHOOSE(C268,"enero","febrero","marzo","abril","mayo","junio","julio","agosto","septiembre","octubre","noviembre","diciembre")</f>
        <v>septiembre</v>
      </c>
      <c r="G268" s="7" t="str">
        <f aca="false">E268&amp;"-"&amp;RIGHT(B268,2)</f>
        <v>sep-23</v>
      </c>
    </row>
    <row r="269" customFormat="false" ht="15" hidden="false" customHeight="false" outlineLevel="0" collapsed="false">
      <c r="A269" s="8" t="n">
        <f aca="false">A268+1</f>
        <v>45194</v>
      </c>
      <c r="B269" s="7" t="n">
        <f aca="false">YEAR(A269)</f>
        <v>2023</v>
      </c>
      <c r="C269" s="7" t="n">
        <f aca="false">MONTH(A269)</f>
        <v>9</v>
      </c>
      <c r="D269" s="8" t="n">
        <f aca="false">DATE(B269,C269,1)</f>
        <v>45170</v>
      </c>
      <c r="E269" s="7" t="str">
        <f aca="false">CHOOSE(C269,"ene","feb","mar","abr","may","jun","jul","ago","sep","oct","nov","dic")</f>
        <v>sep</v>
      </c>
      <c r="F269" s="7" t="str">
        <f aca="false">CHOOSE(C269,"enero","febrero","marzo","abril","mayo","junio","julio","agosto","septiembre","octubre","noviembre","diciembre")</f>
        <v>septiembre</v>
      </c>
      <c r="G269" s="7" t="str">
        <f aca="false">E269&amp;"-"&amp;RIGHT(B269,2)</f>
        <v>sep-23</v>
      </c>
    </row>
    <row r="270" customFormat="false" ht="15" hidden="false" customHeight="false" outlineLevel="0" collapsed="false">
      <c r="A270" s="8" t="n">
        <f aca="false">A269+1</f>
        <v>45195</v>
      </c>
      <c r="B270" s="7" t="n">
        <f aca="false">YEAR(A270)</f>
        <v>2023</v>
      </c>
      <c r="C270" s="7" t="n">
        <f aca="false">MONTH(A270)</f>
        <v>9</v>
      </c>
      <c r="D270" s="8" t="n">
        <f aca="false">DATE(B270,C270,1)</f>
        <v>45170</v>
      </c>
      <c r="E270" s="7" t="str">
        <f aca="false">CHOOSE(C270,"ene","feb","mar","abr","may","jun","jul","ago","sep","oct","nov","dic")</f>
        <v>sep</v>
      </c>
      <c r="F270" s="7" t="str">
        <f aca="false">CHOOSE(C270,"enero","febrero","marzo","abril","mayo","junio","julio","agosto","septiembre","octubre","noviembre","diciembre")</f>
        <v>septiembre</v>
      </c>
      <c r="G270" s="7" t="str">
        <f aca="false">E270&amp;"-"&amp;RIGHT(B270,2)</f>
        <v>sep-23</v>
      </c>
    </row>
    <row r="271" customFormat="false" ht="15" hidden="false" customHeight="false" outlineLevel="0" collapsed="false">
      <c r="A271" s="8" t="n">
        <f aca="false">A270+1</f>
        <v>45196</v>
      </c>
      <c r="B271" s="7" t="n">
        <f aca="false">YEAR(A271)</f>
        <v>2023</v>
      </c>
      <c r="C271" s="7" t="n">
        <f aca="false">MONTH(A271)</f>
        <v>9</v>
      </c>
      <c r="D271" s="8" t="n">
        <f aca="false">DATE(B271,C271,1)</f>
        <v>45170</v>
      </c>
      <c r="E271" s="7" t="str">
        <f aca="false">CHOOSE(C271,"ene","feb","mar","abr","may","jun","jul","ago","sep","oct","nov","dic")</f>
        <v>sep</v>
      </c>
      <c r="F271" s="7" t="str">
        <f aca="false">CHOOSE(C271,"enero","febrero","marzo","abril","mayo","junio","julio","agosto","septiembre","octubre","noviembre","diciembre")</f>
        <v>septiembre</v>
      </c>
      <c r="G271" s="7" t="str">
        <f aca="false">E271&amp;"-"&amp;RIGHT(B271,2)</f>
        <v>sep-23</v>
      </c>
    </row>
    <row r="272" customFormat="false" ht="15" hidden="false" customHeight="false" outlineLevel="0" collapsed="false">
      <c r="A272" s="8" t="n">
        <f aca="false">A271+1</f>
        <v>45197</v>
      </c>
      <c r="B272" s="7" t="n">
        <f aca="false">YEAR(A272)</f>
        <v>2023</v>
      </c>
      <c r="C272" s="7" t="n">
        <f aca="false">MONTH(A272)</f>
        <v>9</v>
      </c>
      <c r="D272" s="8" t="n">
        <f aca="false">DATE(B272,C272,1)</f>
        <v>45170</v>
      </c>
      <c r="E272" s="7" t="str">
        <f aca="false">CHOOSE(C272,"ene","feb","mar","abr","may","jun","jul","ago","sep","oct","nov","dic")</f>
        <v>sep</v>
      </c>
      <c r="F272" s="7" t="str">
        <f aca="false">CHOOSE(C272,"enero","febrero","marzo","abril","mayo","junio","julio","agosto","septiembre","octubre","noviembre","diciembre")</f>
        <v>septiembre</v>
      </c>
      <c r="G272" s="7" t="str">
        <f aca="false">E272&amp;"-"&amp;RIGHT(B272,2)</f>
        <v>sep-23</v>
      </c>
    </row>
    <row r="273" customFormat="false" ht="15" hidden="false" customHeight="false" outlineLevel="0" collapsed="false">
      <c r="A273" s="8" t="n">
        <f aca="false">A272+1</f>
        <v>45198</v>
      </c>
      <c r="B273" s="7" t="n">
        <f aca="false">YEAR(A273)</f>
        <v>2023</v>
      </c>
      <c r="C273" s="7" t="n">
        <f aca="false">MONTH(A273)</f>
        <v>9</v>
      </c>
      <c r="D273" s="8" t="n">
        <f aca="false">DATE(B273,C273,1)</f>
        <v>45170</v>
      </c>
      <c r="E273" s="7" t="str">
        <f aca="false">CHOOSE(C273,"ene","feb","mar","abr","may","jun","jul","ago","sep","oct","nov","dic")</f>
        <v>sep</v>
      </c>
      <c r="F273" s="7" t="str">
        <f aca="false">CHOOSE(C273,"enero","febrero","marzo","abril","mayo","junio","julio","agosto","septiembre","octubre","noviembre","diciembre")</f>
        <v>septiembre</v>
      </c>
      <c r="G273" s="7" t="str">
        <f aca="false">E273&amp;"-"&amp;RIGHT(B273,2)</f>
        <v>sep-23</v>
      </c>
    </row>
    <row r="274" customFormat="false" ht="15" hidden="false" customHeight="false" outlineLevel="0" collapsed="false">
      <c r="A274" s="8" t="n">
        <f aca="false">A273+1</f>
        <v>45199</v>
      </c>
      <c r="B274" s="7" t="n">
        <f aca="false">YEAR(A274)</f>
        <v>2023</v>
      </c>
      <c r="C274" s="7" t="n">
        <f aca="false">MONTH(A274)</f>
        <v>9</v>
      </c>
      <c r="D274" s="8" t="n">
        <f aca="false">DATE(B274,C274,1)</f>
        <v>45170</v>
      </c>
      <c r="E274" s="7" t="str">
        <f aca="false">CHOOSE(C274,"ene","feb","mar","abr","may","jun","jul","ago","sep","oct","nov","dic")</f>
        <v>sep</v>
      </c>
      <c r="F274" s="7" t="str">
        <f aca="false">CHOOSE(C274,"enero","febrero","marzo","abril","mayo","junio","julio","agosto","septiembre","octubre","noviembre","diciembre")</f>
        <v>septiembre</v>
      </c>
      <c r="G274" s="7" t="str">
        <f aca="false">E274&amp;"-"&amp;RIGHT(B274,2)</f>
        <v>sep-23</v>
      </c>
    </row>
    <row r="275" customFormat="false" ht="15" hidden="false" customHeight="false" outlineLevel="0" collapsed="false">
      <c r="A275" s="8" t="n">
        <f aca="false">A274+1</f>
        <v>45200</v>
      </c>
      <c r="B275" s="7" t="n">
        <f aca="false">YEAR(A275)</f>
        <v>2023</v>
      </c>
      <c r="C275" s="7" t="n">
        <f aca="false">MONTH(A275)</f>
        <v>10</v>
      </c>
      <c r="D275" s="8" t="n">
        <f aca="false">DATE(B275,C275,1)</f>
        <v>45200</v>
      </c>
      <c r="E275" s="7" t="str">
        <f aca="false">CHOOSE(C275,"ene","feb","mar","abr","may","jun","jul","ago","sep","oct","nov","dic")</f>
        <v>oct</v>
      </c>
      <c r="F275" s="7" t="str">
        <f aca="false">CHOOSE(C275,"enero","febrero","marzo","abril","mayo","junio","julio","agosto","septiembre","octubre","noviembre","diciembre")</f>
        <v>octubre</v>
      </c>
      <c r="G275" s="7" t="str">
        <f aca="false">E275&amp;"-"&amp;RIGHT(B275,2)</f>
        <v>oct-23</v>
      </c>
    </row>
    <row r="276" customFormat="false" ht="15" hidden="false" customHeight="false" outlineLevel="0" collapsed="false">
      <c r="A276" s="8" t="n">
        <f aca="false">A275+1</f>
        <v>45201</v>
      </c>
      <c r="B276" s="7" t="n">
        <f aca="false">YEAR(A276)</f>
        <v>2023</v>
      </c>
      <c r="C276" s="7" t="n">
        <f aca="false">MONTH(A276)</f>
        <v>10</v>
      </c>
      <c r="D276" s="8" t="n">
        <f aca="false">DATE(B276,C276,1)</f>
        <v>45200</v>
      </c>
      <c r="E276" s="7" t="str">
        <f aca="false">CHOOSE(C276,"ene","feb","mar","abr","may","jun","jul","ago","sep","oct","nov","dic")</f>
        <v>oct</v>
      </c>
      <c r="F276" s="7" t="str">
        <f aca="false">CHOOSE(C276,"enero","febrero","marzo","abril","mayo","junio","julio","agosto","septiembre","octubre","noviembre","diciembre")</f>
        <v>octubre</v>
      </c>
      <c r="G276" s="7" t="str">
        <f aca="false">E276&amp;"-"&amp;RIGHT(B276,2)</f>
        <v>oct-23</v>
      </c>
    </row>
    <row r="277" customFormat="false" ht="15" hidden="false" customHeight="false" outlineLevel="0" collapsed="false">
      <c r="A277" s="8" t="n">
        <f aca="false">A276+1</f>
        <v>45202</v>
      </c>
      <c r="B277" s="7" t="n">
        <f aca="false">YEAR(A277)</f>
        <v>2023</v>
      </c>
      <c r="C277" s="7" t="n">
        <f aca="false">MONTH(A277)</f>
        <v>10</v>
      </c>
      <c r="D277" s="8" t="n">
        <f aca="false">DATE(B277,C277,1)</f>
        <v>45200</v>
      </c>
      <c r="E277" s="7" t="str">
        <f aca="false">CHOOSE(C277,"ene","feb","mar","abr","may","jun","jul","ago","sep","oct","nov","dic")</f>
        <v>oct</v>
      </c>
      <c r="F277" s="7" t="str">
        <f aca="false">CHOOSE(C277,"enero","febrero","marzo","abril","mayo","junio","julio","agosto","septiembre","octubre","noviembre","diciembre")</f>
        <v>octubre</v>
      </c>
      <c r="G277" s="7" t="str">
        <f aca="false">E277&amp;"-"&amp;RIGHT(B277,2)</f>
        <v>oct-23</v>
      </c>
    </row>
    <row r="278" customFormat="false" ht="15" hidden="false" customHeight="false" outlineLevel="0" collapsed="false">
      <c r="A278" s="8" t="n">
        <f aca="false">A277+1</f>
        <v>45203</v>
      </c>
      <c r="B278" s="7" t="n">
        <f aca="false">YEAR(A278)</f>
        <v>2023</v>
      </c>
      <c r="C278" s="7" t="n">
        <f aca="false">MONTH(A278)</f>
        <v>10</v>
      </c>
      <c r="D278" s="8" t="n">
        <f aca="false">DATE(B278,C278,1)</f>
        <v>45200</v>
      </c>
      <c r="E278" s="7" t="str">
        <f aca="false">CHOOSE(C278,"ene","feb","mar","abr","may","jun","jul","ago","sep","oct","nov","dic")</f>
        <v>oct</v>
      </c>
      <c r="F278" s="7" t="str">
        <f aca="false">CHOOSE(C278,"enero","febrero","marzo","abril","mayo","junio","julio","agosto","septiembre","octubre","noviembre","diciembre")</f>
        <v>octubre</v>
      </c>
      <c r="G278" s="7" t="str">
        <f aca="false">E278&amp;"-"&amp;RIGHT(B278,2)</f>
        <v>oct-23</v>
      </c>
    </row>
    <row r="279" customFormat="false" ht="15" hidden="false" customHeight="false" outlineLevel="0" collapsed="false">
      <c r="A279" s="8" t="n">
        <f aca="false">A278+1</f>
        <v>45204</v>
      </c>
      <c r="B279" s="7" t="n">
        <f aca="false">YEAR(A279)</f>
        <v>2023</v>
      </c>
      <c r="C279" s="7" t="n">
        <f aca="false">MONTH(A279)</f>
        <v>10</v>
      </c>
      <c r="D279" s="8" t="n">
        <f aca="false">DATE(B279,C279,1)</f>
        <v>45200</v>
      </c>
      <c r="E279" s="7" t="str">
        <f aca="false">CHOOSE(C279,"ene","feb","mar","abr","may","jun","jul","ago","sep","oct","nov","dic")</f>
        <v>oct</v>
      </c>
      <c r="F279" s="7" t="str">
        <f aca="false">CHOOSE(C279,"enero","febrero","marzo","abril","mayo","junio","julio","agosto","septiembre","octubre","noviembre","diciembre")</f>
        <v>octubre</v>
      </c>
      <c r="G279" s="7" t="str">
        <f aca="false">E279&amp;"-"&amp;RIGHT(B279,2)</f>
        <v>oct-23</v>
      </c>
    </row>
    <row r="280" customFormat="false" ht="15" hidden="false" customHeight="false" outlineLevel="0" collapsed="false">
      <c r="A280" s="8" t="n">
        <f aca="false">A279+1</f>
        <v>45205</v>
      </c>
      <c r="B280" s="7" t="n">
        <f aca="false">YEAR(A280)</f>
        <v>2023</v>
      </c>
      <c r="C280" s="7" t="n">
        <f aca="false">MONTH(A280)</f>
        <v>10</v>
      </c>
      <c r="D280" s="8" t="n">
        <f aca="false">DATE(B280,C280,1)</f>
        <v>45200</v>
      </c>
      <c r="E280" s="7" t="str">
        <f aca="false">CHOOSE(C280,"ene","feb","mar","abr","may","jun","jul","ago","sep","oct","nov","dic")</f>
        <v>oct</v>
      </c>
      <c r="F280" s="7" t="str">
        <f aca="false">CHOOSE(C280,"enero","febrero","marzo","abril","mayo","junio","julio","agosto","septiembre","octubre","noviembre","diciembre")</f>
        <v>octubre</v>
      </c>
      <c r="G280" s="7" t="str">
        <f aca="false">E280&amp;"-"&amp;RIGHT(B280,2)</f>
        <v>oct-23</v>
      </c>
    </row>
    <row r="281" customFormat="false" ht="15" hidden="false" customHeight="false" outlineLevel="0" collapsed="false">
      <c r="A281" s="8" t="n">
        <f aca="false">A280+1</f>
        <v>45206</v>
      </c>
      <c r="B281" s="7" t="n">
        <f aca="false">YEAR(A281)</f>
        <v>2023</v>
      </c>
      <c r="C281" s="7" t="n">
        <f aca="false">MONTH(A281)</f>
        <v>10</v>
      </c>
      <c r="D281" s="8" t="n">
        <f aca="false">DATE(B281,C281,1)</f>
        <v>45200</v>
      </c>
      <c r="E281" s="7" t="str">
        <f aca="false">CHOOSE(C281,"ene","feb","mar","abr","may","jun","jul","ago","sep","oct","nov","dic")</f>
        <v>oct</v>
      </c>
      <c r="F281" s="7" t="str">
        <f aca="false">CHOOSE(C281,"enero","febrero","marzo","abril","mayo","junio","julio","agosto","septiembre","octubre","noviembre","diciembre")</f>
        <v>octubre</v>
      </c>
      <c r="G281" s="7" t="str">
        <f aca="false">E281&amp;"-"&amp;RIGHT(B281,2)</f>
        <v>oct-23</v>
      </c>
    </row>
    <row r="282" customFormat="false" ht="15" hidden="false" customHeight="false" outlineLevel="0" collapsed="false">
      <c r="A282" s="8" t="n">
        <f aca="false">A281+1</f>
        <v>45207</v>
      </c>
      <c r="B282" s="7" t="n">
        <f aca="false">YEAR(A282)</f>
        <v>2023</v>
      </c>
      <c r="C282" s="7" t="n">
        <f aca="false">MONTH(A282)</f>
        <v>10</v>
      </c>
      <c r="D282" s="8" t="n">
        <f aca="false">DATE(B282,C282,1)</f>
        <v>45200</v>
      </c>
      <c r="E282" s="7" t="str">
        <f aca="false">CHOOSE(C282,"ene","feb","mar","abr","may","jun","jul","ago","sep","oct","nov","dic")</f>
        <v>oct</v>
      </c>
      <c r="F282" s="7" t="str">
        <f aca="false">CHOOSE(C282,"enero","febrero","marzo","abril","mayo","junio","julio","agosto","septiembre","octubre","noviembre","diciembre")</f>
        <v>octubre</v>
      </c>
      <c r="G282" s="7" t="str">
        <f aca="false">E282&amp;"-"&amp;RIGHT(B282,2)</f>
        <v>oct-23</v>
      </c>
    </row>
    <row r="283" customFormat="false" ht="15" hidden="false" customHeight="false" outlineLevel="0" collapsed="false">
      <c r="A283" s="8" t="n">
        <f aca="false">A282+1</f>
        <v>45208</v>
      </c>
      <c r="B283" s="7" t="n">
        <f aca="false">YEAR(A283)</f>
        <v>2023</v>
      </c>
      <c r="C283" s="7" t="n">
        <f aca="false">MONTH(A283)</f>
        <v>10</v>
      </c>
      <c r="D283" s="8" t="n">
        <f aca="false">DATE(B283,C283,1)</f>
        <v>45200</v>
      </c>
      <c r="E283" s="7" t="str">
        <f aca="false">CHOOSE(C283,"ene","feb","mar","abr","may","jun","jul","ago","sep","oct","nov","dic")</f>
        <v>oct</v>
      </c>
      <c r="F283" s="7" t="str">
        <f aca="false">CHOOSE(C283,"enero","febrero","marzo","abril","mayo","junio","julio","agosto","septiembre","octubre","noviembre","diciembre")</f>
        <v>octubre</v>
      </c>
      <c r="G283" s="7" t="str">
        <f aca="false">E283&amp;"-"&amp;RIGHT(B283,2)</f>
        <v>oct-23</v>
      </c>
    </row>
    <row r="284" customFormat="false" ht="15" hidden="false" customHeight="false" outlineLevel="0" collapsed="false">
      <c r="A284" s="8" t="n">
        <f aca="false">A283+1</f>
        <v>45209</v>
      </c>
      <c r="B284" s="7" t="n">
        <f aca="false">YEAR(A284)</f>
        <v>2023</v>
      </c>
      <c r="C284" s="7" t="n">
        <f aca="false">MONTH(A284)</f>
        <v>10</v>
      </c>
      <c r="D284" s="8" t="n">
        <f aca="false">DATE(B284,C284,1)</f>
        <v>45200</v>
      </c>
      <c r="E284" s="7" t="str">
        <f aca="false">CHOOSE(C284,"ene","feb","mar","abr","may","jun","jul","ago","sep","oct","nov","dic")</f>
        <v>oct</v>
      </c>
      <c r="F284" s="7" t="str">
        <f aca="false">CHOOSE(C284,"enero","febrero","marzo","abril","mayo","junio","julio","agosto","septiembre","octubre","noviembre","diciembre")</f>
        <v>octubre</v>
      </c>
      <c r="G284" s="7" t="str">
        <f aca="false">E284&amp;"-"&amp;RIGHT(B284,2)</f>
        <v>oct-23</v>
      </c>
    </row>
    <row r="285" customFormat="false" ht="15" hidden="false" customHeight="false" outlineLevel="0" collapsed="false">
      <c r="A285" s="8" t="n">
        <f aca="false">A284+1</f>
        <v>45210</v>
      </c>
      <c r="B285" s="7" t="n">
        <f aca="false">YEAR(A285)</f>
        <v>2023</v>
      </c>
      <c r="C285" s="7" t="n">
        <f aca="false">MONTH(A285)</f>
        <v>10</v>
      </c>
      <c r="D285" s="8" t="n">
        <f aca="false">DATE(B285,C285,1)</f>
        <v>45200</v>
      </c>
      <c r="E285" s="7" t="str">
        <f aca="false">CHOOSE(C285,"ene","feb","mar","abr","may","jun","jul","ago","sep","oct","nov","dic")</f>
        <v>oct</v>
      </c>
      <c r="F285" s="7" t="str">
        <f aca="false">CHOOSE(C285,"enero","febrero","marzo","abril","mayo","junio","julio","agosto","septiembre","octubre","noviembre","diciembre")</f>
        <v>octubre</v>
      </c>
      <c r="G285" s="7" t="str">
        <f aca="false">E285&amp;"-"&amp;RIGHT(B285,2)</f>
        <v>oct-23</v>
      </c>
    </row>
    <row r="286" customFormat="false" ht="15" hidden="false" customHeight="false" outlineLevel="0" collapsed="false">
      <c r="A286" s="8" t="n">
        <f aca="false">A285+1</f>
        <v>45211</v>
      </c>
      <c r="B286" s="7" t="n">
        <f aca="false">YEAR(A286)</f>
        <v>2023</v>
      </c>
      <c r="C286" s="7" t="n">
        <f aca="false">MONTH(A286)</f>
        <v>10</v>
      </c>
      <c r="D286" s="8" t="n">
        <f aca="false">DATE(B286,C286,1)</f>
        <v>45200</v>
      </c>
      <c r="E286" s="7" t="str">
        <f aca="false">CHOOSE(C286,"ene","feb","mar","abr","may","jun","jul","ago","sep","oct","nov","dic")</f>
        <v>oct</v>
      </c>
      <c r="F286" s="7" t="str">
        <f aca="false">CHOOSE(C286,"enero","febrero","marzo","abril","mayo","junio","julio","agosto","septiembre","octubre","noviembre","diciembre")</f>
        <v>octubre</v>
      </c>
      <c r="G286" s="7" t="str">
        <f aca="false">E286&amp;"-"&amp;RIGHT(B286,2)</f>
        <v>oct-23</v>
      </c>
    </row>
    <row r="287" customFormat="false" ht="15" hidden="false" customHeight="false" outlineLevel="0" collapsed="false">
      <c r="A287" s="8" t="n">
        <f aca="false">A286+1</f>
        <v>45212</v>
      </c>
      <c r="B287" s="7" t="n">
        <f aca="false">YEAR(A287)</f>
        <v>2023</v>
      </c>
      <c r="C287" s="7" t="n">
        <f aca="false">MONTH(A287)</f>
        <v>10</v>
      </c>
      <c r="D287" s="8" t="n">
        <f aca="false">DATE(B287,C287,1)</f>
        <v>45200</v>
      </c>
      <c r="E287" s="7" t="str">
        <f aca="false">CHOOSE(C287,"ene","feb","mar","abr","may","jun","jul","ago","sep","oct","nov","dic")</f>
        <v>oct</v>
      </c>
      <c r="F287" s="7" t="str">
        <f aca="false">CHOOSE(C287,"enero","febrero","marzo","abril","mayo","junio","julio","agosto","septiembre","octubre","noviembre","diciembre")</f>
        <v>octubre</v>
      </c>
      <c r="G287" s="7" t="str">
        <f aca="false">E287&amp;"-"&amp;RIGHT(B287,2)</f>
        <v>oct-23</v>
      </c>
    </row>
    <row r="288" customFormat="false" ht="15" hidden="false" customHeight="false" outlineLevel="0" collapsed="false">
      <c r="A288" s="8" t="n">
        <f aca="false">A287+1</f>
        <v>45213</v>
      </c>
      <c r="B288" s="7" t="n">
        <f aca="false">YEAR(A288)</f>
        <v>2023</v>
      </c>
      <c r="C288" s="7" t="n">
        <f aca="false">MONTH(A288)</f>
        <v>10</v>
      </c>
      <c r="D288" s="8" t="n">
        <f aca="false">DATE(B288,C288,1)</f>
        <v>45200</v>
      </c>
      <c r="E288" s="7" t="str">
        <f aca="false">CHOOSE(C288,"ene","feb","mar","abr","may","jun","jul","ago","sep","oct","nov","dic")</f>
        <v>oct</v>
      </c>
      <c r="F288" s="7" t="str">
        <f aca="false">CHOOSE(C288,"enero","febrero","marzo","abril","mayo","junio","julio","agosto","septiembre","octubre","noviembre","diciembre")</f>
        <v>octubre</v>
      </c>
      <c r="G288" s="7" t="str">
        <f aca="false">E288&amp;"-"&amp;RIGHT(B288,2)</f>
        <v>oct-23</v>
      </c>
    </row>
    <row r="289" customFormat="false" ht="15" hidden="false" customHeight="false" outlineLevel="0" collapsed="false">
      <c r="A289" s="8" t="n">
        <f aca="false">A288+1</f>
        <v>45214</v>
      </c>
      <c r="B289" s="7" t="n">
        <f aca="false">YEAR(A289)</f>
        <v>2023</v>
      </c>
      <c r="C289" s="7" t="n">
        <f aca="false">MONTH(A289)</f>
        <v>10</v>
      </c>
      <c r="D289" s="8" t="n">
        <f aca="false">DATE(B289,C289,1)</f>
        <v>45200</v>
      </c>
      <c r="E289" s="7" t="str">
        <f aca="false">CHOOSE(C289,"ene","feb","mar","abr","may","jun","jul","ago","sep","oct","nov","dic")</f>
        <v>oct</v>
      </c>
      <c r="F289" s="7" t="str">
        <f aca="false">CHOOSE(C289,"enero","febrero","marzo","abril","mayo","junio","julio","agosto","septiembre","octubre","noviembre","diciembre")</f>
        <v>octubre</v>
      </c>
      <c r="G289" s="7" t="str">
        <f aca="false">E289&amp;"-"&amp;RIGHT(B289,2)</f>
        <v>oct-23</v>
      </c>
    </row>
    <row r="290" customFormat="false" ht="15" hidden="false" customHeight="false" outlineLevel="0" collapsed="false">
      <c r="A290" s="8" t="n">
        <f aca="false">A289+1</f>
        <v>45215</v>
      </c>
      <c r="B290" s="7" t="n">
        <f aca="false">YEAR(A290)</f>
        <v>2023</v>
      </c>
      <c r="C290" s="7" t="n">
        <f aca="false">MONTH(A290)</f>
        <v>10</v>
      </c>
      <c r="D290" s="8" t="n">
        <f aca="false">DATE(B290,C290,1)</f>
        <v>45200</v>
      </c>
      <c r="E290" s="7" t="str">
        <f aca="false">CHOOSE(C290,"ene","feb","mar","abr","may","jun","jul","ago","sep","oct","nov","dic")</f>
        <v>oct</v>
      </c>
      <c r="F290" s="7" t="str">
        <f aca="false">CHOOSE(C290,"enero","febrero","marzo","abril","mayo","junio","julio","agosto","septiembre","octubre","noviembre","diciembre")</f>
        <v>octubre</v>
      </c>
      <c r="G290" s="7" t="str">
        <f aca="false">E290&amp;"-"&amp;RIGHT(B290,2)</f>
        <v>oct-23</v>
      </c>
    </row>
    <row r="291" customFormat="false" ht="15" hidden="false" customHeight="false" outlineLevel="0" collapsed="false">
      <c r="A291" s="8" t="n">
        <f aca="false">A290+1</f>
        <v>45216</v>
      </c>
      <c r="B291" s="7" t="n">
        <f aca="false">YEAR(A291)</f>
        <v>2023</v>
      </c>
      <c r="C291" s="7" t="n">
        <f aca="false">MONTH(A291)</f>
        <v>10</v>
      </c>
      <c r="D291" s="8" t="n">
        <f aca="false">DATE(B291,C291,1)</f>
        <v>45200</v>
      </c>
      <c r="E291" s="7" t="str">
        <f aca="false">CHOOSE(C291,"ene","feb","mar","abr","may","jun","jul","ago","sep","oct","nov","dic")</f>
        <v>oct</v>
      </c>
      <c r="F291" s="7" t="str">
        <f aca="false">CHOOSE(C291,"enero","febrero","marzo","abril","mayo","junio","julio","agosto","septiembre","octubre","noviembre","diciembre")</f>
        <v>octubre</v>
      </c>
      <c r="G291" s="7" t="str">
        <f aca="false">E291&amp;"-"&amp;RIGHT(B291,2)</f>
        <v>oct-23</v>
      </c>
    </row>
    <row r="292" customFormat="false" ht="15" hidden="false" customHeight="false" outlineLevel="0" collapsed="false">
      <c r="A292" s="8" t="n">
        <f aca="false">A291+1</f>
        <v>45217</v>
      </c>
      <c r="B292" s="7" t="n">
        <f aca="false">YEAR(A292)</f>
        <v>2023</v>
      </c>
      <c r="C292" s="7" t="n">
        <f aca="false">MONTH(A292)</f>
        <v>10</v>
      </c>
      <c r="D292" s="8" t="n">
        <f aca="false">DATE(B292,C292,1)</f>
        <v>45200</v>
      </c>
      <c r="E292" s="7" t="str">
        <f aca="false">CHOOSE(C292,"ene","feb","mar","abr","may","jun","jul","ago","sep","oct","nov","dic")</f>
        <v>oct</v>
      </c>
      <c r="F292" s="7" t="str">
        <f aca="false">CHOOSE(C292,"enero","febrero","marzo","abril","mayo","junio","julio","agosto","septiembre","octubre","noviembre","diciembre")</f>
        <v>octubre</v>
      </c>
      <c r="G292" s="7" t="str">
        <f aca="false">E292&amp;"-"&amp;RIGHT(B292,2)</f>
        <v>oct-23</v>
      </c>
    </row>
    <row r="293" customFormat="false" ht="15" hidden="false" customHeight="false" outlineLevel="0" collapsed="false">
      <c r="A293" s="8" t="n">
        <f aca="false">A292+1</f>
        <v>45218</v>
      </c>
      <c r="B293" s="7" t="n">
        <f aca="false">YEAR(A293)</f>
        <v>2023</v>
      </c>
      <c r="C293" s="7" t="n">
        <f aca="false">MONTH(A293)</f>
        <v>10</v>
      </c>
      <c r="D293" s="8" t="n">
        <f aca="false">DATE(B293,C293,1)</f>
        <v>45200</v>
      </c>
      <c r="E293" s="7" t="str">
        <f aca="false">CHOOSE(C293,"ene","feb","mar","abr","may","jun","jul","ago","sep","oct","nov","dic")</f>
        <v>oct</v>
      </c>
      <c r="F293" s="7" t="str">
        <f aca="false">CHOOSE(C293,"enero","febrero","marzo","abril","mayo","junio","julio","agosto","septiembre","octubre","noviembre","diciembre")</f>
        <v>octubre</v>
      </c>
      <c r="G293" s="7" t="str">
        <f aca="false">E293&amp;"-"&amp;RIGHT(B293,2)</f>
        <v>oct-23</v>
      </c>
    </row>
    <row r="294" customFormat="false" ht="15" hidden="false" customHeight="false" outlineLevel="0" collapsed="false">
      <c r="A294" s="8" t="n">
        <f aca="false">A293+1</f>
        <v>45219</v>
      </c>
      <c r="B294" s="7" t="n">
        <f aca="false">YEAR(A294)</f>
        <v>2023</v>
      </c>
      <c r="C294" s="7" t="n">
        <f aca="false">MONTH(A294)</f>
        <v>10</v>
      </c>
      <c r="D294" s="8" t="n">
        <f aca="false">DATE(B294,C294,1)</f>
        <v>45200</v>
      </c>
      <c r="E294" s="7" t="str">
        <f aca="false">CHOOSE(C294,"ene","feb","mar","abr","may","jun","jul","ago","sep","oct","nov","dic")</f>
        <v>oct</v>
      </c>
      <c r="F294" s="7" t="str">
        <f aca="false">CHOOSE(C294,"enero","febrero","marzo","abril","mayo","junio","julio","agosto","septiembre","octubre","noviembre","diciembre")</f>
        <v>octubre</v>
      </c>
      <c r="G294" s="7" t="str">
        <f aca="false">E294&amp;"-"&amp;RIGHT(B294,2)</f>
        <v>oct-23</v>
      </c>
    </row>
    <row r="295" customFormat="false" ht="15" hidden="false" customHeight="false" outlineLevel="0" collapsed="false">
      <c r="A295" s="8" t="n">
        <f aca="false">A294+1</f>
        <v>45220</v>
      </c>
      <c r="B295" s="7" t="n">
        <f aca="false">YEAR(A295)</f>
        <v>2023</v>
      </c>
      <c r="C295" s="7" t="n">
        <f aca="false">MONTH(A295)</f>
        <v>10</v>
      </c>
      <c r="D295" s="8" t="n">
        <f aca="false">DATE(B295,C295,1)</f>
        <v>45200</v>
      </c>
      <c r="E295" s="7" t="str">
        <f aca="false">CHOOSE(C295,"ene","feb","mar","abr","may","jun","jul","ago","sep","oct","nov","dic")</f>
        <v>oct</v>
      </c>
      <c r="F295" s="7" t="str">
        <f aca="false">CHOOSE(C295,"enero","febrero","marzo","abril","mayo","junio","julio","agosto","septiembre","octubre","noviembre","diciembre")</f>
        <v>octubre</v>
      </c>
      <c r="G295" s="7" t="str">
        <f aca="false">E295&amp;"-"&amp;RIGHT(B295,2)</f>
        <v>oct-23</v>
      </c>
    </row>
    <row r="296" customFormat="false" ht="15" hidden="false" customHeight="false" outlineLevel="0" collapsed="false">
      <c r="A296" s="8" t="n">
        <f aca="false">A295+1</f>
        <v>45221</v>
      </c>
      <c r="B296" s="7" t="n">
        <f aca="false">YEAR(A296)</f>
        <v>2023</v>
      </c>
      <c r="C296" s="7" t="n">
        <f aca="false">MONTH(A296)</f>
        <v>10</v>
      </c>
      <c r="D296" s="8" t="n">
        <f aca="false">DATE(B296,C296,1)</f>
        <v>45200</v>
      </c>
      <c r="E296" s="7" t="str">
        <f aca="false">CHOOSE(C296,"ene","feb","mar","abr","may","jun","jul","ago","sep","oct","nov","dic")</f>
        <v>oct</v>
      </c>
      <c r="F296" s="7" t="str">
        <f aca="false">CHOOSE(C296,"enero","febrero","marzo","abril","mayo","junio","julio","agosto","septiembre","octubre","noviembre","diciembre")</f>
        <v>octubre</v>
      </c>
      <c r="G296" s="7" t="str">
        <f aca="false">E296&amp;"-"&amp;RIGHT(B296,2)</f>
        <v>oct-23</v>
      </c>
    </row>
    <row r="297" customFormat="false" ht="15" hidden="false" customHeight="false" outlineLevel="0" collapsed="false">
      <c r="A297" s="8" t="n">
        <f aca="false">A296+1</f>
        <v>45222</v>
      </c>
      <c r="B297" s="7" t="n">
        <f aca="false">YEAR(A297)</f>
        <v>2023</v>
      </c>
      <c r="C297" s="7" t="n">
        <f aca="false">MONTH(A297)</f>
        <v>10</v>
      </c>
      <c r="D297" s="8" t="n">
        <f aca="false">DATE(B297,C297,1)</f>
        <v>45200</v>
      </c>
      <c r="E297" s="7" t="str">
        <f aca="false">CHOOSE(C297,"ene","feb","mar","abr","may","jun","jul","ago","sep","oct","nov","dic")</f>
        <v>oct</v>
      </c>
      <c r="F297" s="7" t="str">
        <f aca="false">CHOOSE(C297,"enero","febrero","marzo","abril","mayo","junio","julio","agosto","septiembre","octubre","noviembre","diciembre")</f>
        <v>octubre</v>
      </c>
      <c r="G297" s="7" t="str">
        <f aca="false">E297&amp;"-"&amp;RIGHT(B297,2)</f>
        <v>oct-23</v>
      </c>
    </row>
    <row r="298" customFormat="false" ht="15" hidden="false" customHeight="false" outlineLevel="0" collapsed="false">
      <c r="A298" s="8" t="n">
        <f aca="false">A297+1</f>
        <v>45223</v>
      </c>
      <c r="B298" s="7" t="n">
        <f aca="false">YEAR(A298)</f>
        <v>2023</v>
      </c>
      <c r="C298" s="7" t="n">
        <f aca="false">MONTH(A298)</f>
        <v>10</v>
      </c>
      <c r="D298" s="8" t="n">
        <f aca="false">DATE(B298,C298,1)</f>
        <v>45200</v>
      </c>
      <c r="E298" s="7" t="str">
        <f aca="false">CHOOSE(C298,"ene","feb","mar","abr","may","jun","jul","ago","sep","oct","nov","dic")</f>
        <v>oct</v>
      </c>
      <c r="F298" s="7" t="str">
        <f aca="false">CHOOSE(C298,"enero","febrero","marzo","abril","mayo","junio","julio","agosto","septiembre","octubre","noviembre","diciembre")</f>
        <v>octubre</v>
      </c>
      <c r="G298" s="7" t="str">
        <f aca="false">E298&amp;"-"&amp;RIGHT(B298,2)</f>
        <v>oct-23</v>
      </c>
    </row>
    <row r="299" customFormat="false" ht="15" hidden="false" customHeight="false" outlineLevel="0" collapsed="false">
      <c r="A299" s="8" t="n">
        <f aca="false">A298+1</f>
        <v>45224</v>
      </c>
      <c r="B299" s="7" t="n">
        <f aca="false">YEAR(A299)</f>
        <v>2023</v>
      </c>
      <c r="C299" s="7" t="n">
        <f aca="false">MONTH(A299)</f>
        <v>10</v>
      </c>
      <c r="D299" s="8" t="n">
        <f aca="false">DATE(B299,C299,1)</f>
        <v>45200</v>
      </c>
      <c r="E299" s="7" t="str">
        <f aca="false">CHOOSE(C299,"ene","feb","mar","abr","may","jun","jul","ago","sep","oct","nov","dic")</f>
        <v>oct</v>
      </c>
      <c r="F299" s="7" t="str">
        <f aca="false">CHOOSE(C299,"enero","febrero","marzo","abril","mayo","junio","julio","agosto","septiembre","octubre","noviembre","diciembre")</f>
        <v>octubre</v>
      </c>
      <c r="G299" s="7" t="str">
        <f aca="false">E299&amp;"-"&amp;RIGHT(B299,2)</f>
        <v>oct-23</v>
      </c>
    </row>
    <row r="300" customFormat="false" ht="15" hidden="false" customHeight="false" outlineLevel="0" collapsed="false">
      <c r="A300" s="8" t="n">
        <f aca="false">A299+1</f>
        <v>45225</v>
      </c>
      <c r="B300" s="7" t="n">
        <f aca="false">YEAR(A300)</f>
        <v>2023</v>
      </c>
      <c r="C300" s="7" t="n">
        <f aca="false">MONTH(A300)</f>
        <v>10</v>
      </c>
      <c r="D300" s="8" t="n">
        <f aca="false">DATE(B300,C300,1)</f>
        <v>45200</v>
      </c>
      <c r="E300" s="7" t="str">
        <f aca="false">CHOOSE(C300,"ene","feb","mar","abr","may","jun","jul","ago","sep","oct","nov","dic")</f>
        <v>oct</v>
      </c>
      <c r="F300" s="7" t="str">
        <f aca="false">CHOOSE(C300,"enero","febrero","marzo","abril","mayo","junio","julio","agosto","septiembre","octubre","noviembre","diciembre")</f>
        <v>octubre</v>
      </c>
      <c r="G300" s="7" t="str">
        <f aca="false">E300&amp;"-"&amp;RIGHT(B300,2)</f>
        <v>oct-23</v>
      </c>
    </row>
    <row r="301" customFormat="false" ht="15" hidden="false" customHeight="false" outlineLevel="0" collapsed="false">
      <c r="A301" s="8" t="n">
        <f aca="false">A300+1</f>
        <v>45226</v>
      </c>
      <c r="B301" s="7" t="n">
        <f aca="false">YEAR(A301)</f>
        <v>2023</v>
      </c>
      <c r="C301" s="7" t="n">
        <f aca="false">MONTH(A301)</f>
        <v>10</v>
      </c>
      <c r="D301" s="8" t="n">
        <f aca="false">DATE(B301,C301,1)</f>
        <v>45200</v>
      </c>
      <c r="E301" s="7" t="str">
        <f aca="false">CHOOSE(C301,"ene","feb","mar","abr","may","jun","jul","ago","sep","oct","nov","dic")</f>
        <v>oct</v>
      </c>
      <c r="F301" s="7" t="str">
        <f aca="false">CHOOSE(C301,"enero","febrero","marzo","abril","mayo","junio","julio","agosto","septiembre","octubre","noviembre","diciembre")</f>
        <v>octubre</v>
      </c>
      <c r="G301" s="7" t="str">
        <f aca="false">E301&amp;"-"&amp;RIGHT(B301,2)</f>
        <v>oct-23</v>
      </c>
    </row>
    <row r="302" customFormat="false" ht="15" hidden="false" customHeight="false" outlineLevel="0" collapsed="false">
      <c r="A302" s="8" t="n">
        <f aca="false">A301+1</f>
        <v>45227</v>
      </c>
      <c r="B302" s="7" t="n">
        <f aca="false">YEAR(A302)</f>
        <v>2023</v>
      </c>
      <c r="C302" s="7" t="n">
        <f aca="false">MONTH(A302)</f>
        <v>10</v>
      </c>
      <c r="D302" s="8" t="n">
        <f aca="false">DATE(B302,C302,1)</f>
        <v>45200</v>
      </c>
      <c r="E302" s="7" t="str">
        <f aca="false">CHOOSE(C302,"ene","feb","mar","abr","may","jun","jul","ago","sep","oct","nov","dic")</f>
        <v>oct</v>
      </c>
      <c r="F302" s="7" t="str">
        <f aca="false">CHOOSE(C302,"enero","febrero","marzo","abril","mayo","junio","julio","agosto","septiembre","octubre","noviembre","diciembre")</f>
        <v>octubre</v>
      </c>
      <c r="G302" s="7" t="str">
        <f aca="false">E302&amp;"-"&amp;RIGHT(B302,2)</f>
        <v>oct-23</v>
      </c>
    </row>
    <row r="303" customFormat="false" ht="15" hidden="false" customHeight="false" outlineLevel="0" collapsed="false">
      <c r="A303" s="8" t="n">
        <f aca="false">A302+1</f>
        <v>45228</v>
      </c>
      <c r="B303" s="7" t="n">
        <f aca="false">YEAR(A303)</f>
        <v>2023</v>
      </c>
      <c r="C303" s="7" t="n">
        <f aca="false">MONTH(A303)</f>
        <v>10</v>
      </c>
      <c r="D303" s="8" t="n">
        <f aca="false">DATE(B303,C303,1)</f>
        <v>45200</v>
      </c>
      <c r="E303" s="7" t="str">
        <f aca="false">CHOOSE(C303,"ene","feb","mar","abr","may","jun","jul","ago","sep","oct","nov","dic")</f>
        <v>oct</v>
      </c>
      <c r="F303" s="7" t="str">
        <f aca="false">CHOOSE(C303,"enero","febrero","marzo","abril","mayo","junio","julio","agosto","septiembre","octubre","noviembre","diciembre")</f>
        <v>octubre</v>
      </c>
      <c r="G303" s="7" t="str">
        <f aca="false">E303&amp;"-"&amp;RIGHT(B303,2)</f>
        <v>oct-23</v>
      </c>
    </row>
    <row r="304" customFormat="false" ht="15" hidden="false" customHeight="false" outlineLevel="0" collapsed="false">
      <c r="A304" s="8" t="n">
        <f aca="false">A303+1</f>
        <v>45229</v>
      </c>
      <c r="B304" s="7" t="n">
        <f aca="false">YEAR(A304)</f>
        <v>2023</v>
      </c>
      <c r="C304" s="7" t="n">
        <f aca="false">MONTH(A304)</f>
        <v>10</v>
      </c>
      <c r="D304" s="8" t="n">
        <f aca="false">DATE(B304,C304,1)</f>
        <v>45200</v>
      </c>
      <c r="E304" s="7" t="str">
        <f aca="false">CHOOSE(C304,"ene","feb","mar","abr","may","jun","jul","ago","sep","oct","nov","dic")</f>
        <v>oct</v>
      </c>
      <c r="F304" s="7" t="str">
        <f aca="false">CHOOSE(C304,"enero","febrero","marzo","abril","mayo","junio","julio","agosto","septiembre","octubre","noviembre","diciembre")</f>
        <v>octubre</v>
      </c>
      <c r="G304" s="7" t="str">
        <f aca="false">E304&amp;"-"&amp;RIGHT(B304,2)</f>
        <v>oct-23</v>
      </c>
    </row>
    <row r="305" customFormat="false" ht="15" hidden="false" customHeight="false" outlineLevel="0" collapsed="false">
      <c r="A305" s="8" t="n">
        <f aca="false">A304+1</f>
        <v>45230</v>
      </c>
      <c r="B305" s="7" t="n">
        <f aca="false">YEAR(A305)</f>
        <v>2023</v>
      </c>
      <c r="C305" s="7" t="n">
        <f aca="false">MONTH(A305)</f>
        <v>10</v>
      </c>
      <c r="D305" s="8" t="n">
        <f aca="false">DATE(B305,C305,1)</f>
        <v>45200</v>
      </c>
      <c r="E305" s="7" t="str">
        <f aca="false">CHOOSE(C305,"ene","feb","mar","abr","may","jun","jul","ago","sep","oct","nov","dic")</f>
        <v>oct</v>
      </c>
      <c r="F305" s="7" t="str">
        <f aca="false">CHOOSE(C305,"enero","febrero","marzo","abril","mayo","junio","julio","agosto","septiembre","octubre","noviembre","diciembre")</f>
        <v>octubre</v>
      </c>
      <c r="G305" s="7" t="str">
        <f aca="false">E305&amp;"-"&amp;RIGHT(B305,2)</f>
        <v>oct-23</v>
      </c>
    </row>
    <row r="306" customFormat="false" ht="15" hidden="false" customHeight="false" outlineLevel="0" collapsed="false">
      <c r="A306" s="8" t="n">
        <f aca="false">A305+1</f>
        <v>45231</v>
      </c>
      <c r="B306" s="7" t="n">
        <f aca="false">YEAR(A306)</f>
        <v>2023</v>
      </c>
      <c r="C306" s="7" t="n">
        <f aca="false">MONTH(A306)</f>
        <v>11</v>
      </c>
      <c r="D306" s="8" t="n">
        <f aca="false">DATE(B306,C306,1)</f>
        <v>45231</v>
      </c>
      <c r="E306" s="7" t="str">
        <f aca="false">CHOOSE(C306,"ene","feb","mar","abr","may","jun","jul","ago","sep","oct","nov","dic")</f>
        <v>nov</v>
      </c>
      <c r="F306" s="7" t="str">
        <f aca="false">CHOOSE(C306,"enero","febrero","marzo","abril","mayo","junio","julio","agosto","septiembre","octubre","noviembre","diciembre")</f>
        <v>noviembre</v>
      </c>
      <c r="G306" s="7" t="str">
        <f aca="false">E306&amp;"-"&amp;RIGHT(B306,2)</f>
        <v>nov-23</v>
      </c>
    </row>
    <row r="307" customFormat="false" ht="15" hidden="false" customHeight="false" outlineLevel="0" collapsed="false">
      <c r="A307" s="8" t="n">
        <f aca="false">A306+1</f>
        <v>45232</v>
      </c>
      <c r="B307" s="7" t="n">
        <f aca="false">YEAR(A307)</f>
        <v>2023</v>
      </c>
      <c r="C307" s="7" t="n">
        <f aca="false">MONTH(A307)</f>
        <v>11</v>
      </c>
      <c r="D307" s="8" t="n">
        <f aca="false">DATE(B307,C307,1)</f>
        <v>45231</v>
      </c>
      <c r="E307" s="7" t="str">
        <f aca="false">CHOOSE(C307,"ene","feb","mar","abr","may","jun","jul","ago","sep","oct","nov","dic")</f>
        <v>nov</v>
      </c>
      <c r="F307" s="7" t="str">
        <f aca="false">CHOOSE(C307,"enero","febrero","marzo","abril","mayo","junio","julio","agosto","septiembre","octubre","noviembre","diciembre")</f>
        <v>noviembre</v>
      </c>
      <c r="G307" s="7" t="str">
        <f aca="false">E307&amp;"-"&amp;RIGHT(B307,2)</f>
        <v>nov-23</v>
      </c>
    </row>
    <row r="308" customFormat="false" ht="15" hidden="false" customHeight="false" outlineLevel="0" collapsed="false">
      <c r="A308" s="8" t="n">
        <f aca="false">A307+1</f>
        <v>45233</v>
      </c>
      <c r="B308" s="7" t="n">
        <f aca="false">YEAR(A308)</f>
        <v>2023</v>
      </c>
      <c r="C308" s="7" t="n">
        <f aca="false">MONTH(A308)</f>
        <v>11</v>
      </c>
      <c r="D308" s="8" t="n">
        <f aca="false">DATE(B308,C308,1)</f>
        <v>45231</v>
      </c>
      <c r="E308" s="7" t="str">
        <f aca="false">CHOOSE(C308,"ene","feb","mar","abr","may","jun","jul","ago","sep","oct","nov","dic")</f>
        <v>nov</v>
      </c>
      <c r="F308" s="7" t="str">
        <f aca="false">CHOOSE(C308,"enero","febrero","marzo","abril","mayo","junio","julio","agosto","septiembre","octubre","noviembre","diciembre")</f>
        <v>noviembre</v>
      </c>
      <c r="G308" s="7" t="str">
        <f aca="false">E308&amp;"-"&amp;RIGHT(B308,2)</f>
        <v>nov-23</v>
      </c>
    </row>
    <row r="309" customFormat="false" ht="15" hidden="false" customHeight="false" outlineLevel="0" collapsed="false">
      <c r="A309" s="8" t="n">
        <f aca="false">A308+1</f>
        <v>45234</v>
      </c>
      <c r="B309" s="7" t="n">
        <f aca="false">YEAR(A309)</f>
        <v>2023</v>
      </c>
      <c r="C309" s="7" t="n">
        <f aca="false">MONTH(A309)</f>
        <v>11</v>
      </c>
      <c r="D309" s="8" t="n">
        <f aca="false">DATE(B309,C309,1)</f>
        <v>45231</v>
      </c>
      <c r="E309" s="7" t="str">
        <f aca="false">CHOOSE(C309,"ene","feb","mar","abr","may","jun","jul","ago","sep","oct","nov","dic")</f>
        <v>nov</v>
      </c>
      <c r="F309" s="7" t="str">
        <f aca="false">CHOOSE(C309,"enero","febrero","marzo","abril","mayo","junio","julio","agosto","septiembre","octubre","noviembre","diciembre")</f>
        <v>noviembre</v>
      </c>
      <c r="G309" s="7" t="str">
        <f aca="false">E309&amp;"-"&amp;RIGHT(B309,2)</f>
        <v>nov-23</v>
      </c>
    </row>
    <row r="310" customFormat="false" ht="15" hidden="false" customHeight="false" outlineLevel="0" collapsed="false">
      <c r="A310" s="8" t="n">
        <f aca="false">A309+1</f>
        <v>45235</v>
      </c>
      <c r="B310" s="7" t="n">
        <f aca="false">YEAR(A310)</f>
        <v>2023</v>
      </c>
      <c r="C310" s="7" t="n">
        <f aca="false">MONTH(A310)</f>
        <v>11</v>
      </c>
      <c r="D310" s="8" t="n">
        <f aca="false">DATE(B310,C310,1)</f>
        <v>45231</v>
      </c>
      <c r="E310" s="7" t="str">
        <f aca="false">CHOOSE(C310,"ene","feb","mar","abr","may","jun","jul","ago","sep","oct","nov","dic")</f>
        <v>nov</v>
      </c>
      <c r="F310" s="7" t="str">
        <f aca="false">CHOOSE(C310,"enero","febrero","marzo","abril","mayo","junio","julio","agosto","septiembre","octubre","noviembre","diciembre")</f>
        <v>noviembre</v>
      </c>
      <c r="G310" s="7" t="str">
        <f aca="false">E310&amp;"-"&amp;RIGHT(B310,2)</f>
        <v>nov-23</v>
      </c>
    </row>
    <row r="311" customFormat="false" ht="15" hidden="false" customHeight="false" outlineLevel="0" collapsed="false">
      <c r="A311" s="8" t="n">
        <f aca="false">A310+1</f>
        <v>45236</v>
      </c>
      <c r="B311" s="7" t="n">
        <f aca="false">YEAR(A311)</f>
        <v>2023</v>
      </c>
      <c r="C311" s="7" t="n">
        <f aca="false">MONTH(A311)</f>
        <v>11</v>
      </c>
      <c r="D311" s="8" t="n">
        <f aca="false">DATE(B311,C311,1)</f>
        <v>45231</v>
      </c>
      <c r="E311" s="7" t="str">
        <f aca="false">CHOOSE(C311,"ene","feb","mar","abr","may","jun","jul","ago","sep","oct","nov","dic")</f>
        <v>nov</v>
      </c>
      <c r="F311" s="7" t="str">
        <f aca="false">CHOOSE(C311,"enero","febrero","marzo","abril","mayo","junio","julio","agosto","septiembre","octubre","noviembre","diciembre")</f>
        <v>noviembre</v>
      </c>
      <c r="G311" s="7" t="str">
        <f aca="false">E311&amp;"-"&amp;RIGHT(B311,2)</f>
        <v>nov-23</v>
      </c>
    </row>
    <row r="312" customFormat="false" ht="15" hidden="false" customHeight="false" outlineLevel="0" collapsed="false">
      <c r="A312" s="8" t="n">
        <f aca="false">A311+1</f>
        <v>45237</v>
      </c>
      <c r="B312" s="7" t="n">
        <f aca="false">YEAR(A312)</f>
        <v>2023</v>
      </c>
      <c r="C312" s="7" t="n">
        <f aca="false">MONTH(A312)</f>
        <v>11</v>
      </c>
      <c r="D312" s="8" t="n">
        <f aca="false">DATE(B312,C312,1)</f>
        <v>45231</v>
      </c>
      <c r="E312" s="7" t="str">
        <f aca="false">CHOOSE(C312,"ene","feb","mar","abr","may","jun","jul","ago","sep","oct","nov","dic")</f>
        <v>nov</v>
      </c>
      <c r="F312" s="7" t="str">
        <f aca="false">CHOOSE(C312,"enero","febrero","marzo","abril","mayo","junio","julio","agosto","septiembre","octubre","noviembre","diciembre")</f>
        <v>noviembre</v>
      </c>
      <c r="G312" s="7" t="str">
        <f aca="false">E312&amp;"-"&amp;RIGHT(B312,2)</f>
        <v>nov-23</v>
      </c>
    </row>
    <row r="313" customFormat="false" ht="15" hidden="false" customHeight="false" outlineLevel="0" collapsed="false">
      <c r="A313" s="8" t="n">
        <f aca="false">A312+1</f>
        <v>45238</v>
      </c>
      <c r="B313" s="7" t="n">
        <f aca="false">YEAR(A313)</f>
        <v>2023</v>
      </c>
      <c r="C313" s="7" t="n">
        <f aca="false">MONTH(A313)</f>
        <v>11</v>
      </c>
      <c r="D313" s="8" t="n">
        <f aca="false">DATE(B313,C313,1)</f>
        <v>45231</v>
      </c>
      <c r="E313" s="7" t="str">
        <f aca="false">CHOOSE(C313,"ene","feb","mar","abr","may","jun","jul","ago","sep","oct","nov","dic")</f>
        <v>nov</v>
      </c>
      <c r="F313" s="7" t="str">
        <f aca="false">CHOOSE(C313,"enero","febrero","marzo","abril","mayo","junio","julio","agosto","septiembre","octubre","noviembre","diciembre")</f>
        <v>noviembre</v>
      </c>
      <c r="G313" s="7" t="str">
        <f aca="false">E313&amp;"-"&amp;RIGHT(B313,2)</f>
        <v>nov-23</v>
      </c>
    </row>
    <row r="314" customFormat="false" ht="15" hidden="false" customHeight="false" outlineLevel="0" collapsed="false">
      <c r="A314" s="8" t="n">
        <f aca="false">A313+1</f>
        <v>45239</v>
      </c>
      <c r="B314" s="7" t="n">
        <f aca="false">YEAR(A314)</f>
        <v>2023</v>
      </c>
      <c r="C314" s="7" t="n">
        <f aca="false">MONTH(A314)</f>
        <v>11</v>
      </c>
      <c r="D314" s="8" t="n">
        <f aca="false">DATE(B314,C314,1)</f>
        <v>45231</v>
      </c>
      <c r="E314" s="7" t="str">
        <f aca="false">CHOOSE(C314,"ene","feb","mar","abr","may","jun","jul","ago","sep","oct","nov","dic")</f>
        <v>nov</v>
      </c>
      <c r="F314" s="7" t="str">
        <f aca="false">CHOOSE(C314,"enero","febrero","marzo","abril","mayo","junio","julio","agosto","septiembre","octubre","noviembre","diciembre")</f>
        <v>noviembre</v>
      </c>
      <c r="G314" s="7" t="str">
        <f aca="false">E314&amp;"-"&amp;RIGHT(B314,2)</f>
        <v>nov-23</v>
      </c>
    </row>
    <row r="315" customFormat="false" ht="15" hidden="false" customHeight="false" outlineLevel="0" collapsed="false">
      <c r="A315" s="8" t="n">
        <f aca="false">A314+1</f>
        <v>45240</v>
      </c>
      <c r="B315" s="7" t="n">
        <f aca="false">YEAR(A315)</f>
        <v>2023</v>
      </c>
      <c r="C315" s="7" t="n">
        <f aca="false">MONTH(A315)</f>
        <v>11</v>
      </c>
      <c r="D315" s="8" t="n">
        <f aca="false">DATE(B315,C315,1)</f>
        <v>45231</v>
      </c>
      <c r="E315" s="7" t="str">
        <f aca="false">CHOOSE(C315,"ene","feb","mar","abr","may","jun","jul","ago","sep","oct","nov","dic")</f>
        <v>nov</v>
      </c>
      <c r="F315" s="7" t="str">
        <f aca="false">CHOOSE(C315,"enero","febrero","marzo","abril","mayo","junio","julio","agosto","septiembre","octubre","noviembre","diciembre")</f>
        <v>noviembre</v>
      </c>
      <c r="G315" s="7" t="str">
        <f aca="false">E315&amp;"-"&amp;RIGHT(B315,2)</f>
        <v>nov-23</v>
      </c>
    </row>
    <row r="316" customFormat="false" ht="15" hidden="false" customHeight="false" outlineLevel="0" collapsed="false">
      <c r="A316" s="8" t="n">
        <f aca="false">A315+1</f>
        <v>45241</v>
      </c>
      <c r="B316" s="7" t="n">
        <f aca="false">YEAR(A316)</f>
        <v>2023</v>
      </c>
      <c r="C316" s="7" t="n">
        <f aca="false">MONTH(A316)</f>
        <v>11</v>
      </c>
      <c r="D316" s="8" t="n">
        <f aca="false">DATE(B316,C316,1)</f>
        <v>45231</v>
      </c>
      <c r="E316" s="7" t="str">
        <f aca="false">CHOOSE(C316,"ene","feb","mar","abr","may","jun","jul","ago","sep","oct","nov","dic")</f>
        <v>nov</v>
      </c>
      <c r="F316" s="7" t="str">
        <f aca="false">CHOOSE(C316,"enero","febrero","marzo","abril","mayo","junio","julio","agosto","septiembre","octubre","noviembre","diciembre")</f>
        <v>noviembre</v>
      </c>
      <c r="G316" s="7" t="str">
        <f aca="false">E316&amp;"-"&amp;RIGHT(B316,2)</f>
        <v>nov-23</v>
      </c>
    </row>
    <row r="317" customFormat="false" ht="15" hidden="false" customHeight="false" outlineLevel="0" collapsed="false">
      <c r="A317" s="8" t="n">
        <f aca="false">A316+1</f>
        <v>45242</v>
      </c>
      <c r="B317" s="7" t="n">
        <f aca="false">YEAR(A317)</f>
        <v>2023</v>
      </c>
      <c r="C317" s="7" t="n">
        <f aca="false">MONTH(A317)</f>
        <v>11</v>
      </c>
      <c r="D317" s="8" t="n">
        <f aca="false">DATE(B317,C317,1)</f>
        <v>45231</v>
      </c>
      <c r="E317" s="7" t="str">
        <f aca="false">CHOOSE(C317,"ene","feb","mar","abr","may","jun","jul","ago","sep","oct","nov","dic")</f>
        <v>nov</v>
      </c>
      <c r="F317" s="7" t="str">
        <f aca="false">CHOOSE(C317,"enero","febrero","marzo","abril","mayo","junio","julio","agosto","septiembre","octubre","noviembre","diciembre")</f>
        <v>noviembre</v>
      </c>
      <c r="G317" s="7" t="str">
        <f aca="false">E317&amp;"-"&amp;RIGHT(B317,2)</f>
        <v>nov-23</v>
      </c>
    </row>
    <row r="318" customFormat="false" ht="15" hidden="false" customHeight="false" outlineLevel="0" collapsed="false">
      <c r="A318" s="8" t="n">
        <f aca="false">A317+1</f>
        <v>45243</v>
      </c>
      <c r="B318" s="7" t="n">
        <f aca="false">YEAR(A318)</f>
        <v>2023</v>
      </c>
      <c r="C318" s="7" t="n">
        <f aca="false">MONTH(A318)</f>
        <v>11</v>
      </c>
      <c r="D318" s="8" t="n">
        <f aca="false">DATE(B318,C318,1)</f>
        <v>45231</v>
      </c>
      <c r="E318" s="7" t="str">
        <f aca="false">CHOOSE(C318,"ene","feb","mar","abr","may","jun","jul","ago","sep","oct","nov","dic")</f>
        <v>nov</v>
      </c>
      <c r="F318" s="7" t="str">
        <f aca="false">CHOOSE(C318,"enero","febrero","marzo","abril","mayo","junio","julio","agosto","septiembre","octubre","noviembre","diciembre")</f>
        <v>noviembre</v>
      </c>
      <c r="G318" s="7" t="str">
        <f aca="false">E318&amp;"-"&amp;RIGHT(B318,2)</f>
        <v>nov-23</v>
      </c>
    </row>
    <row r="319" customFormat="false" ht="15" hidden="false" customHeight="false" outlineLevel="0" collapsed="false">
      <c r="A319" s="8" t="n">
        <f aca="false">A318+1</f>
        <v>45244</v>
      </c>
      <c r="B319" s="7" t="n">
        <f aca="false">YEAR(A319)</f>
        <v>2023</v>
      </c>
      <c r="C319" s="7" t="n">
        <f aca="false">MONTH(A319)</f>
        <v>11</v>
      </c>
      <c r="D319" s="8" t="n">
        <f aca="false">DATE(B319,C319,1)</f>
        <v>45231</v>
      </c>
      <c r="E319" s="7" t="str">
        <f aca="false">CHOOSE(C319,"ene","feb","mar","abr","may","jun","jul","ago","sep","oct","nov","dic")</f>
        <v>nov</v>
      </c>
      <c r="F319" s="7" t="str">
        <f aca="false">CHOOSE(C319,"enero","febrero","marzo","abril","mayo","junio","julio","agosto","septiembre","octubre","noviembre","diciembre")</f>
        <v>noviembre</v>
      </c>
      <c r="G319" s="7" t="str">
        <f aca="false">E319&amp;"-"&amp;RIGHT(B319,2)</f>
        <v>nov-23</v>
      </c>
    </row>
    <row r="320" customFormat="false" ht="15" hidden="false" customHeight="false" outlineLevel="0" collapsed="false">
      <c r="A320" s="8" t="n">
        <f aca="false">A319+1</f>
        <v>45245</v>
      </c>
      <c r="B320" s="7" t="n">
        <f aca="false">YEAR(A320)</f>
        <v>2023</v>
      </c>
      <c r="C320" s="7" t="n">
        <f aca="false">MONTH(A320)</f>
        <v>11</v>
      </c>
      <c r="D320" s="8" t="n">
        <f aca="false">DATE(B320,C320,1)</f>
        <v>45231</v>
      </c>
      <c r="E320" s="7" t="str">
        <f aca="false">CHOOSE(C320,"ene","feb","mar","abr","may","jun","jul","ago","sep","oct","nov","dic")</f>
        <v>nov</v>
      </c>
      <c r="F320" s="7" t="str">
        <f aca="false">CHOOSE(C320,"enero","febrero","marzo","abril","mayo","junio","julio","agosto","septiembre","octubre","noviembre","diciembre")</f>
        <v>noviembre</v>
      </c>
      <c r="G320" s="7" t="str">
        <f aca="false">E320&amp;"-"&amp;RIGHT(B320,2)</f>
        <v>nov-23</v>
      </c>
    </row>
    <row r="321" customFormat="false" ht="15" hidden="false" customHeight="false" outlineLevel="0" collapsed="false">
      <c r="A321" s="8" t="n">
        <f aca="false">A320+1</f>
        <v>45246</v>
      </c>
      <c r="B321" s="7" t="n">
        <f aca="false">YEAR(A321)</f>
        <v>2023</v>
      </c>
      <c r="C321" s="7" t="n">
        <f aca="false">MONTH(A321)</f>
        <v>11</v>
      </c>
      <c r="D321" s="8" t="n">
        <f aca="false">DATE(B321,C321,1)</f>
        <v>45231</v>
      </c>
      <c r="E321" s="7" t="str">
        <f aca="false">CHOOSE(C321,"ene","feb","mar","abr","may","jun","jul","ago","sep","oct","nov","dic")</f>
        <v>nov</v>
      </c>
      <c r="F321" s="7" t="str">
        <f aca="false">CHOOSE(C321,"enero","febrero","marzo","abril","mayo","junio","julio","agosto","septiembre","octubre","noviembre","diciembre")</f>
        <v>noviembre</v>
      </c>
      <c r="G321" s="7" t="str">
        <f aca="false">E321&amp;"-"&amp;RIGHT(B321,2)</f>
        <v>nov-23</v>
      </c>
    </row>
    <row r="322" customFormat="false" ht="15" hidden="false" customHeight="false" outlineLevel="0" collapsed="false">
      <c r="A322" s="8" t="n">
        <f aca="false">A321+1</f>
        <v>45247</v>
      </c>
      <c r="B322" s="7" t="n">
        <f aca="false">YEAR(A322)</f>
        <v>2023</v>
      </c>
      <c r="C322" s="7" t="n">
        <f aca="false">MONTH(A322)</f>
        <v>11</v>
      </c>
      <c r="D322" s="8" t="n">
        <f aca="false">DATE(B322,C322,1)</f>
        <v>45231</v>
      </c>
      <c r="E322" s="7" t="str">
        <f aca="false">CHOOSE(C322,"ene","feb","mar","abr","may","jun","jul","ago","sep","oct","nov","dic")</f>
        <v>nov</v>
      </c>
      <c r="F322" s="7" t="str">
        <f aca="false">CHOOSE(C322,"enero","febrero","marzo","abril","mayo","junio","julio","agosto","septiembre","octubre","noviembre","diciembre")</f>
        <v>noviembre</v>
      </c>
      <c r="G322" s="7" t="str">
        <f aca="false">E322&amp;"-"&amp;RIGHT(B322,2)</f>
        <v>nov-23</v>
      </c>
    </row>
    <row r="323" customFormat="false" ht="15" hidden="false" customHeight="false" outlineLevel="0" collapsed="false">
      <c r="A323" s="8" t="n">
        <f aca="false">A322+1</f>
        <v>45248</v>
      </c>
      <c r="B323" s="7" t="n">
        <f aca="false">YEAR(A323)</f>
        <v>2023</v>
      </c>
      <c r="C323" s="7" t="n">
        <f aca="false">MONTH(A323)</f>
        <v>11</v>
      </c>
      <c r="D323" s="8" t="n">
        <f aca="false">DATE(B323,C323,1)</f>
        <v>45231</v>
      </c>
      <c r="E323" s="7" t="str">
        <f aca="false">CHOOSE(C323,"ene","feb","mar","abr","may","jun","jul","ago","sep","oct","nov","dic")</f>
        <v>nov</v>
      </c>
      <c r="F323" s="7" t="str">
        <f aca="false">CHOOSE(C323,"enero","febrero","marzo","abril","mayo","junio","julio","agosto","septiembre","octubre","noviembre","diciembre")</f>
        <v>noviembre</v>
      </c>
      <c r="G323" s="7" t="str">
        <f aca="false">E323&amp;"-"&amp;RIGHT(B323,2)</f>
        <v>nov-23</v>
      </c>
    </row>
    <row r="324" customFormat="false" ht="15" hidden="false" customHeight="false" outlineLevel="0" collapsed="false">
      <c r="A324" s="8" t="n">
        <f aca="false">A323+1</f>
        <v>45249</v>
      </c>
      <c r="B324" s="7" t="n">
        <f aca="false">YEAR(A324)</f>
        <v>2023</v>
      </c>
      <c r="C324" s="7" t="n">
        <f aca="false">MONTH(A324)</f>
        <v>11</v>
      </c>
      <c r="D324" s="8" t="n">
        <f aca="false">DATE(B324,C324,1)</f>
        <v>45231</v>
      </c>
      <c r="E324" s="7" t="str">
        <f aca="false">CHOOSE(C324,"ene","feb","mar","abr","may","jun","jul","ago","sep","oct","nov","dic")</f>
        <v>nov</v>
      </c>
      <c r="F324" s="7" t="str">
        <f aca="false">CHOOSE(C324,"enero","febrero","marzo","abril","mayo","junio","julio","agosto","septiembre","octubre","noviembre","diciembre")</f>
        <v>noviembre</v>
      </c>
      <c r="G324" s="7" t="str">
        <f aca="false">E324&amp;"-"&amp;RIGHT(B324,2)</f>
        <v>nov-23</v>
      </c>
    </row>
    <row r="325" customFormat="false" ht="15" hidden="false" customHeight="false" outlineLevel="0" collapsed="false">
      <c r="A325" s="8" t="n">
        <f aca="false">A324+1</f>
        <v>45250</v>
      </c>
      <c r="B325" s="7" t="n">
        <f aca="false">YEAR(A325)</f>
        <v>2023</v>
      </c>
      <c r="C325" s="7" t="n">
        <f aca="false">MONTH(A325)</f>
        <v>11</v>
      </c>
      <c r="D325" s="8" t="n">
        <f aca="false">DATE(B325,C325,1)</f>
        <v>45231</v>
      </c>
      <c r="E325" s="7" t="str">
        <f aca="false">CHOOSE(C325,"ene","feb","mar","abr","may","jun","jul","ago","sep","oct","nov","dic")</f>
        <v>nov</v>
      </c>
      <c r="F325" s="7" t="str">
        <f aca="false">CHOOSE(C325,"enero","febrero","marzo","abril","mayo","junio","julio","agosto","septiembre","octubre","noviembre","diciembre")</f>
        <v>noviembre</v>
      </c>
      <c r="G325" s="7" t="str">
        <f aca="false">E325&amp;"-"&amp;RIGHT(B325,2)</f>
        <v>nov-23</v>
      </c>
    </row>
    <row r="326" customFormat="false" ht="15" hidden="false" customHeight="false" outlineLevel="0" collapsed="false">
      <c r="A326" s="8" t="n">
        <f aca="false">A325+1</f>
        <v>45251</v>
      </c>
      <c r="B326" s="7" t="n">
        <f aca="false">YEAR(A326)</f>
        <v>2023</v>
      </c>
      <c r="C326" s="7" t="n">
        <f aca="false">MONTH(A326)</f>
        <v>11</v>
      </c>
      <c r="D326" s="8" t="n">
        <f aca="false">DATE(B326,C326,1)</f>
        <v>45231</v>
      </c>
      <c r="E326" s="7" t="str">
        <f aca="false">CHOOSE(C326,"ene","feb","mar","abr","may","jun","jul","ago","sep","oct","nov","dic")</f>
        <v>nov</v>
      </c>
      <c r="F326" s="7" t="str">
        <f aca="false">CHOOSE(C326,"enero","febrero","marzo","abril","mayo","junio","julio","agosto","septiembre","octubre","noviembre","diciembre")</f>
        <v>noviembre</v>
      </c>
      <c r="G326" s="7" t="str">
        <f aca="false">E326&amp;"-"&amp;RIGHT(B326,2)</f>
        <v>nov-23</v>
      </c>
    </row>
    <row r="327" customFormat="false" ht="15" hidden="false" customHeight="false" outlineLevel="0" collapsed="false">
      <c r="A327" s="8" t="n">
        <f aca="false">A326+1</f>
        <v>45252</v>
      </c>
      <c r="B327" s="7" t="n">
        <f aca="false">YEAR(A327)</f>
        <v>2023</v>
      </c>
      <c r="C327" s="7" t="n">
        <f aca="false">MONTH(A327)</f>
        <v>11</v>
      </c>
      <c r="D327" s="8" t="n">
        <f aca="false">DATE(B327,C327,1)</f>
        <v>45231</v>
      </c>
      <c r="E327" s="7" t="str">
        <f aca="false">CHOOSE(C327,"ene","feb","mar","abr","may","jun","jul","ago","sep","oct","nov","dic")</f>
        <v>nov</v>
      </c>
      <c r="F327" s="7" t="str">
        <f aca="false">CHOOSE(C327,"enero","febrero","marzo","abril","mayo","junio","julio","agosto","septiembre","octubre","noviembre","diciembre")</f>
        <v>noviembre</v>
      </c>
      <c r="G327" s="7" t="str">
        <f aca="false">E327&amp;"-"&amp;RIGHT(B327,2)</f>
        <v>nov-23</v>
      </c>
    </row>
    <row r="328" customFormat="false" ht="15" hidden="false" customHeight="false" outlineLevel="0" collapsed="false">
      <c r="A328" s="8" t="n">
        <f aca="false">A327+1</f>
        <v>45253</v>
      </c>
      <c r="B328" s="7" t="n">
        <f aca="false">YEAR(A328)</f>
        <v>2023</v>
      </c>
      <c r="C328" s="7" t="n">
        <f aca="false">MONTH(A328)</f>
        <v>11</v>
      </c>
      <c r="D328" s="8" t="n">
        <f aca="false">DATE(B328,C328,1)</f>
        <v>45231</v>
      </c>
      <c r="E328" s="7" t="str">
        <f aca="false">CHOOSE(C328,"ene","feb","mar","abr","may","jun","jul","ago","sep","oct","nov","dic")</f>
        <v>nov</v>
      </c>
      <c r="F328" s="7" t="str">
        <f aca="false">CHOOSE(C328,"enero","febrero","marzo","abril","mayo","junio","julio","agosto","septiembre","octubre","noviembre","diciembre")</f>
        <v>noviembre</v>
      </c>
      <c r="G328" s="7" t="str">
        <f aca="false">E328&amp;"-"&amp;RIGHT(B328,2)</f>
        <v>nov-23</v>
      </c>
    </row>
    <row r="329" customFormat="false" ht="15" hidden="false" customHeight="false" outlineLevel="0" collapsed="false">
      <c r="A329" s="8" t="n">
        <f aca="false">A328+1</f>
        <v>45254</v>
      </c>
      <c r="B329" s="7" t="n">
        <f aca="false">YEAR(A329)</f>
        <v>2023</v>
      </c>
      <c r="C329" s="7" t="n">
        <f aca="false">MONTH(A329)</f>
        <v>11</v>
      </c>
      <c r="D329" s="8" t="n">
        <f aca="false">DATE(B329,C329,1)</f>
        <v>45231</v>
      </c>
      <c r="E329" s="7" t="str">
        <f aca="false">CHOOSE(C329,"ene","feb","mar","abr","may","jun","jul","ago","sep","oct","nov","dic")</f>
        <v>nov</v>
      </c>
      <c r="F329" s="7" t="str">
        <f aca="false">CHOOSE(C329,"enero","febrero","marzo","abril","mayo","junio","julio","agosto","septiembre","octubre","noviembre","diciembre")</f>
        <v>noviembre</v>
      </c>
      <c r="G329" s="7" t="str">
        <f aca="false">E329&amp;"-"&amp;RIGHT(B329,2)</f>
        <v>nov-23</v>
      </c>
    </row>
    <row r="330" customFormat="false" ht="15" hidden="false" customHeight="false" outlineLevel="0" collapsed="false">
      <c r="A330" s="8" t="n">
        <f aca="false">A329+1</f>
        <v>45255</v>
      </c>
      <c r="B330" s="7" t="n">
        <f aca="false">YEAR(A330)</f>
        <v>2023</v>
      </c>
      <c r="C330" s="7" t="n">
        <f aca="false">MONTH(A330)</f>
        <v>11</v>
      </c>
      <c r="D330" s="8" t="n">
        <f aca="false">DATE(B330,C330,1)</f>
        <v>45231</v>
      </c>
      <c r="E330" s="7" t="str">
        <f aca="false">CHOOSE(C330,"ene","feb","mar","abr","may","jun","jul","ago","sep","oct","nov","dic")</f>
        <v>nov</v>
      </c>
      <c r="F330" s="7" t="str">
        <f aca="false">CHOOSE(C330,"enero","febrero","marzo","abril","mayo","junio","julio","agosto","septiembre","octubre","noviembre","diciembre")</f>
        <v>noviembre</v>
      </c>
      <c r="G330" s="7" t="str">
        <f aca="false">E330&amp;"-"&amp;RIGHT(B330,2)</f>
        <v>nov-23</v>
      </c>
    </row>
    <row r="331" customFormat="false" ht="15" hidden="false" customHeight="false" outlineLevel="0" collapsed="false">
      <c r="A331" s="8" t="n">
        <f aca="false">A330+1</f>
        <v>45256</v>
      </c>
      <c r="B331" s="7" t="n">
        <f aca="false">YEAR(A331)</f>
        <v>2023</v>
      </c>
      <c r="C331" s="7" t="n">
        <f aca="false">MONTH(A331)</f>
        <v>11</v>
      </c>
      <c r="D331" s="8" t="n">
        <f aca="false">DATE(B331,C331,1)</f>
        <v>45231</v>
      </c>
      <c r="E331" s="7" t="str">
        <f aca="false">CHOOSE(C331,"ene","feb","mar","abr","may","jun","jul","ago","sep","oct","nov","dic")</f>
        <v>nov</v>
      </c>
      <c r="F331" s="7" t="str">
        <f aca="false">CHOOSE(C331,"enero","febrero","marzo","abril","mayo","junio","julio","agosto","septiembre","octubre","noviembre","diciembre")</f>
        <v>noviembre</v>
      </c>
      <c r="G331" s="7" t="str">
        <f aca="false">E331&amp;"-"&amp;RIGHT(B331,2)</f>
        <v>nov-23</v>
      </c>
    </row>
    <row r="332" customFormat="false" ht="15" hidden="false" customHeight="false" outlineLevel="0" collapsed="false">
      <c r="A332" s="8" t="n">
        <f aca="false">A331+1</f>
        <v>45257</v>
      </c>
      <c r="B332" s="7" t="n">
        <f aca="false">YEAR(A332)</f>
        <v>2023</v>
      </c>
      <c r="C332" s="7" t="n">
        <f aca="false">MONTH(A332)</f>
        <v>11</v>
      </c>
      <c r="D332" s="8" t="n">
        <f aca="false">DATE(B332,C332,1)</f>
        <v>45231</v>
      </c>
      <c r="E332" s="7" t="str">
        <f aca="false">CHOOSE(C332,"ene","feb","mar","abr","may","jun","jul","ago","sep","oct","nov","dic")</f>
        <v>nov</v>
      </c>
      <c r="F332" s="7" t="str">
        <f aca="false">CHOOSE(C332,"enero","febrero","marzo","abril","mayo","junio","julio","agosto","septiembre","octubre","noviembre","diciembre")</f>
        <v>noviembre</v>
      </c>
      <c r="G332" s="7" t="str">
        <f aca="false">E332&amp;"-"&amp;RIGHT(B332,2)</f>
        <v>nov-23</v>
      </c>
    </row>
    <row r="333" customFormat="false" ht="15" hidden="false" customHeight="false" outlineLevel="0" collapsed="false">
      <c r="A333" s="8" t="n">
        <f aca="false">A332+1</f>
        <v>45258</v>
      </c>
      <c r="B333" s="7" t="n">
        <f aca="false">YEAR(A333)</f>
        <v>2023</v>
      </c>
      <c r="C333" s="7" t="n">
        <f aca="false">MONTH(A333)</f>
        <v>11</v>
      </c>
      <c r="D333" s="8" t="n">
        <f aca="false">DATE(B333,C333,1)</f>
        <v>45231</v>
      </c>
      <c r="E333" s="7" t="str">
        <f aca="false">CHOOSE(C333,"ene","feb","mar","abr","may","jun","jul","ago","sep","oct","nov","dic")</f>
        <v>nov</v>
      </c>
      <c r="F333" s="7" t="str">
        <f aca="false">CHOOSE(C333,"enero","febrero","marzo","abril","mayo","junio","julio","agosto","septiembre","octubre","noviembre","diciembre")</f>
        <v>noviembre</v>
      </c>
      <c r="G333" s="7" t="str">
        <f aca="false">E333&amp;"-"&amp;RIGHT(B333,2)</f>
        <v>nov-23</v>
      </c>
    </row>
    <row r="334" customFormat="false" ht="15" hidden="false" customHeight="false" outlineLevel="0" collapsed="false">
      <c r="A334" s="8" t="n">
        <f aca="false">A333+1</f>
        <v>45259</v>
      </c>
      <c r="B334" s="7" t="n">
        <f aca="false">YEAR(A334)</f>
        <v>2023</v>
      </c>
      <c r="C334" s="7" t="n">
        <f aca="false">MONTH(A334)</f>
        <v>11</v>
      </c>
      <c r="D334" s="8" t="n">
        <f aca="false">DATE(B334,C334,1)</f>
        <v>45231</v>
      </c>
      <c r="E334" s="7" t="str">
        <f aca="false">CHOOSE(C334,"ene","feb","mar","abr","may","jun","jul","ago","sep","oct","nov","dic")</f>
        <v>nov</v>
      </c>
      <c r="F334" s="7" t="str">
        <f aca="false">CHOOSE(C334,"enero","febrero","marzo","abril","mayo","junio","julio","agosto","septiembre","octubre","noviembre","diciembre")</f>
        <v>noviembre</v>
      </c>
      <c r="G334" s="7" t="str">
        <f aca="false">E334&amp;"-"&amp;RIGHT(B334,2)</f>
        <v>nov-23</v>
      </c>
    </row>
    <row r="335" customFormat="false" ht="15" hidden="false" customHeight="false" outlineLevel="0" collapsed="false">
      <c r="A335" s="8" t="n">
        <f aca="false">A334+1</f>
        <v>45260</v>
      </c>
      <c r="B335" s="7" t="n">
        <f aca="false">YEAR(A335)</f>
        <v>2023</v>
      </c>
      <c r="C335" s="7" t="n">
        <f aca="false">MONTH(A335)</f>
        <v>11</v>
      </c>
      <c r="D335" s="8" t="n">
        <f aca="false">DATE(B335,C335,1)</f>
        <v>45231</v>
      </c>
      <c r="E335" s="7" t="str">
        <f aca="false">CHOOSE(C335,"ene","feb","mar","abr","may","jun","jul","ago","sep","oct","nov","dic")</f>
        <v>nov</v>
      </c>
      <c r="F335" s="7" t="str">
        <f aca="false">CHOOSE(C335,"enero","febrero","marzo","abril","mayo","junio","julio","agosto","septiembre","octubre","noviembre","diciembre")</f>
        <v>noviembre</v>
      </c>
      <c r="G335" s="7" t="str">
        <f aca="false">E335&amp;"-"&amp;RIGHT(B335,2)</f>
        <v>nov-23</v>
      </c>
    </row>
    <row r="336" customFormat="false" ht="15" hidden="false" customHeight="false" outlineLevel="0" collapsed="false">
      <c r="A336" s="8" t="n">
        <f aca="false">A335+1</f>
        <v>45261</v>
      </c>
      <c r="B336" s="7" t="n">
        <f aca="false">YEAR(A336)</f>
        <v>2023</v>
      </c>
      <c r="C336" s="7" t="n">
        <f aca="false">MONTH(A336)</f>
        <v>12</v>
      </c>
      <c r="D336" s="8" t="n">
        <f aca="false">DATE(B336,C336,1)</f>
        <v>45261</v>
      </c>
      <c r="E336" s="7" t="str">
        <f aca="false">CHOOSE(C336,"ene","feb","mar","abr","may","jun","jul","ago","sep","oct","nov","dic")</f>
        <v>dic</v>
      </c>
      <c r="F336" s="7" t="str">
        <f aca="false">CHOOSE(C336,"enero","febrero","marzo","abril","mayo","junio","julio","agosto","septiembre","octubre","noviembre","diciembre")</f>
        <v>diciembre</v>
      </c>
      <c r="G336" s="7" t="str">
        <f aca="false">E336&amp;"-"&amp;RIGHT(B336,2)</f>
        <v>dic-23</v>
      </c>
    </row>
    <row r="337" customFormat="false" ht="15" hidden="false" customHeight="false" outlineLevel="0" collapsed="false">
      <c r="A337" s="8" t="n">
        <f aca="false">A336+1</f>
        <v>45262</v>
      </c>
      <c r="B337" s="7" t="n">
        <f aca="false">YEAR(A337)</f>
        <v>2023</v>
      </c>
      <c r="C337" s="7" t="n">
        <f aca="false">MONTH(A337)</f>
        <v>12</v>
      </c>
      <c r="D337" s="8" t="n">
        <f aca="false">DATE(B337,C337,1)</f>
        <v>45261</v>
      </c>
      <c r="E337" s="7" t="str">
        <f aca="false">CHOOSE(C337,"ene","feb","mar","abr","may","jun","jul","ago","sep","oct","nov","dic")</f>
        <v>dic</v>
      </c>
      <c r="F337" s="7" t="str">
        <f aca="false">CHOOSE(C337,"enero","febrero","marzo","abril","mayo","junio","julio","agosto","septiembre","octubre","noviembre","diciembre")</f>
        <v>diciembre</v>
      </c>
      <c r="G337" s="7" t="str">
        <f aca="false">E337&amp;"-"&amp;RIGHT(B337,2)</f>
        <v>dic-23</v>
      </c>
    </row>
    <row r="338" customFormat="false" ht="15" hidden="false" customHeight="false" outlineLevel="0" collapsed="false">
      <c r="A338" s="8" t="n">
        <f aca="false">A337+1</f>
        <v>45263</v>
      </c>
      <c r="B338" s="7" t="n">
        <f aca="false">YEAR(A338)</f>
        <v>2023</v>
      </c>
      <c r="C338" s="7" t="n">
        <f aca="false">MONTH(A338)</f>
        <v>12</v>
      </c>
      <c r="D338" s="8" t="n">
        <f aca="false">DATE(B338,C338,1)</f>
        <v>45261</v>
      </c>
      <c r="E338" s="7" t="str">
        <f aca="false">CHOOSE(C338,"ene","feb","mar","abr","may","jun","jul","ago","sep","oct","nov","dic")</f>
        <v>dic</v>
      </c>
      <c r="F338" s="7" t="str">
        <f aca="false">CHOOSE(C338,"enero","febrero","marzo","abril","mayo","junio","julio","agosto","septiembre","octubre","noviembre","diciembre")</f>
        <v>diciembre</v>
      </c>
      <c r="G338" s="7" t="str">
        <f aca="false">E338&amp;"-"&amp;RIGHT(B338,2)</f>
        <v>dic-23</v>
      </c>
    </row>
    <row r="339" customFormat="false" ht="15" hidden="false" customHeight="false" outlineLevel="0" collapsed="false">
      <c r="A339" s="8" t="n">
        <f aca="false">A338+1</f>
        <v>45264</v>
      </c>
      <c r="B339" s="7" t="n">
        <f aca="false">YEAR(A339)</f>
        <v>2023</v>
      </c>
      <c r="C339" s="7" t="n">
        <f aca="false">MONTH(A339)</f>
        <v>12</v>
      </c>
      <c r="D339" s="8" t="n">
        <f aca="false">DATE(B339,C339,1)</f>
        <v>45261</v>
      </c>
      <c r="E339" s="7" t="str">
        <f aca="false">CHOOSE(C339,"ene","feb","mar","abr","may","jun","jul","ago","sep","oct","nov","dic")</f>
        <v>dic</v>
      </c>
      <c r="F339" s="7" t="str">
        <f aca="false">CHOOSE(C339,"enero","febrero","marzo","abril","mayo","junio","julio","agosto","septiembre","octubre","noviembre","diciembre")</f>
        <v>diciembre</v>
      </c>
      <c r="G339" s="7" t="str">
        <f aca="false">E339&amp;"-"&amp;RIGHT(B339,2)</f>
        <v>dic-23</v>
      </c>
    </row>
    <row r="340" customFormat="false" ht="15" hidden="false" customHeight="false" outlineLevel="0" collapsed="false">
      <c r="A340" s="8" t="n">
        <f aca="false">A339+1</f>
        <v>45265</v>
      </c>
      <c r="B340" s="7" t="n">
        <f aca="false">YEAR(A340)</f>
        <v>2023</v>
      </c>
      <c r="C340" s="7" t="n">
        <f aca="false">MONTH(A340)</f>
        <v>12</v>
      </c>
      <c r="D340" s="8" t="n">
        <f aca="false">DATE(B340,C340,1)</f>
        <v>45261</v>
      </c>
      <c r="E340" s="7" t="str">
        <f aca="false">CHOOSE(C340,"ene","feb","mar","abr","may","jun","jul","ago","sep","oct","nov","dic")</f>
        <v>dic</v>
      </c>
      <c r="F340" s="7" t="str">
        <f aca="false">CHOOSE(C340,"enero","febrero","marzo","abril","mayo","junio","julio","agosto","septiembre","octubre","noviembre","diciembre")</f>
        <v>diciembre</v>
      </c>
      <c r="G340" s="7" t="str">
        <f aca="false">E340&amp;"-"&amp;RIGHT(B340,2)</f>
        <v>dic-23</v>
      </c>
    </row>
    <row r="341" customFormat="false" ht="15" hidden="false" customHeight="false" outlineLevel="0" collapsed="false">
      <c r="A341" s="8" t="n">
        <f aca="false">A340+1</f>
        <v>45266</v>
      </c>
      <c r="B341" s="7" t="n">
        <f aca="false">YEAR(A341)</f>
        <v>2023</v>
      </c>
      <c r="C341" s="7" t="n">
        <f aca="false">MONTH(A341)</f>
        <v>12</v>
      </c>
      <c r="D341" s="8" t="n">
        <f aca="false">DATE(B341,C341,1)</f>
        <v>45261</v>
      </c>
      <c r="E341" s="7" t="str">
        <f aca="false">CHOOSE(C341,"ene","feb","mar","abr","may","jun","jul","ago","sep","oct","nov","dic")</f>
        <v>dic</v>
      </c>
      <c r="F341" s="7" t="str">
        <f aca="false">CHOOSE(C341,"enero","febrero","marzo","abril","mayo","junio","julio","agosto","septiembre","octubre","noviembre","diciembre")</f>
        <v>diciembre</v>
      </c>
      <c r="G341" s="7" t="str">
        <f aca="false">E341&amp;"-"&amp;RIGHT(B341,2)</f>
        <v>dic-23</v>
      </c>
    </row>
    <row r="342" customFormat="false" ht="15" hidden="false" customHeight="false" outlineLevel="0" collapsed="false">
      <c r="A342" s="8" t="n">
        <f aca="false">A341+1</f>
        <v>45267</v>
      </c>
      <c r="B342" s="7" t="n">
        <f aca="false">YEAR(A342)</f>
        <v>2023</v>
      </c>
      <c r="C342" s="7" t="n">
        <f aca="false">MONTH(A342)</f>
        <v>12</v>
      </c>
      <c r="D342" s="8" t="n">
        <f aca="false">DATE(B342,C342,1)</f>
        <v>45261</v>
      </c>
      <c r="E342" s="7" t="str">
        <f aca="false">CHOOSE(C342,"ene","feb","mar","abr","may","jun","jul","ago","sep","oct","nov","dic")</f>
        <v>dic</v>
      </c>
      <c r="F342" s="7" t="str">
        <f aca="false">CHOOSE(C342,"enero","febrero","marzo","abril","mayo","junio","julio","agosto","septiembre","octubre","noviembre","diciembre")</f>
        <v>diciembre</v>
      </c>
      <c r="G342" s="7" t="str">
        <f aca="false">E342&amp;"-"&amp;RIGHT(B342,2)</f>
        <v>dic-23</v>
      </c>
    </row>
    <row r="343" customFormat="false" ht="15" hidden="false" customHeight="false" outlineLevel="0" collapsed="false">
      <c r="A343" s="8" t="n">
        <f aca="false">A342+1</f>
        <v>45268</v>
      </c>
      <c r="B343" s="7" t="n">
        <f aca="false">YEAR(A343)</f>
        <v>2023</v>
      </c>
      <c r="C343" s="7" t="n">
        <f aca="false">MONTH(A343)</f>
        <v>12</v>
      </c>
      <c r="D343" s="8" t="n">
        <f aca="false">DATE(B343,C343,1)</f>
        <v>45261</v>
      </c>
      <c r="E343" s="7" t="str">
        <f aca="false">CHOOSE(C343,"ene","feb","mar","abr","may","jun","jul","ago","sep","oct","nov","dic")</f>
        <v>dic</v>
      </c>
      <c r="F343" s="7" t="str">
        <f aca="false">CHOOSE(C343,"enero","febrero","marzo","abril","mayo","junio","julio","agosto","septiembre","octubre","noviembre","diciembre")</f>
        <v>diciembre</v>
      </c>
      <c r="G343" s="7" t="str">
        <f aca="false">E343&amp;"-"&amp;RIGHT(B343,2)</f>
        <v>dic-23</v>
      </c>
    </row>
    <row r="344" customFormat="false" ht="15" hidden="false" customHeight="false" outlineLevel="0" collapsed="false">
      <c r="A344" s="8" t="n">
        <f aca="false">A343+1</f>
        <v>45269</v>
      </c>
      <c r="B344" s="7" t="n">
        <f aca="false">YEAR(A344)</f>
        <v>2023</v>
      </c>
      <c r="C344" s="7" t="n">
        <f aca="false">MONTH(A344)</f>
        <v>12</v>
      </c>
      <c r="D344" s="8" t="n">
        <f aca="false">DATE(B344,C344,1)</f>
        <v>45261</v>
      </c>
      <c r="E344" s="7" t="str">
        <f aca="false">CHOOSE(C344,"ene","feb","mar","abr","may","jun","jul","ago","sep","oct","nov","dic")</f>
        <v>dic</v>
      </c>
      <c r="F344" s="7" t="str">
        <f aca="false">CHOOSE(C344,"enero","febrero","marzo","abril","mayo","junio","julio","agosto","septiembre","octubre","noviembre","diciembre")</f>
        <v>diciembre</v>
      </c>
      <c r="G344" s="7" t="str">
        <f aca="false">E344&amp;"-"&amp;RIGHT(B344,2)</f>
        <v>dic-23</v>
      </c>
    </row>
    <row r="345" customFormat="false" ht="15" hidden="false" customHeight="false" outlineLevel="0" collapsed="false">
      <c r="A345" s="8" t="n">
        <f aca="false">A344+1</f>
        <v>45270</v>
      </c>
      <c r="B345" s="7" t="n">
        <f aca="false">YEAR(A345)</f>
        <v>2023</v>
      </c>
      <c r="C345" s="7" t="n">
        <f aca="false">MONTH(A345)</f>
        <v>12</v>
      </c>
      <c r="D345" s="8" t="n">
        <f aca="false">DATE(B345,C345,1)</f>
        <v>45261</v>
      </c>
      <c r="E345" s="7" t="str">
        <f aca="false">CHOOSE(C345,"ene","feb","mar","abr","may","jun","jul","ago","sep","oct","nov","dic")</f>
        <v>dic</v>
      </c>
      <c r="F345" s="7" t="str">
        <f aca="false">CHOOSE(C345,"enero","febrero","marzo","abril","mayo","junio","julio","agosto","septiembre","octubre","noviembre","diciembre")</f>
        <v>diciembre</v>
      </c>
      <c r="G345" s="7" t="str">
        <f aca="false">E345&amp;"-"&amp;RIGHT(B345,2)</f>
        <v>dic-23</v>
      </c>
    </row>
    <row r="346" customFormat="false" ht="15" hidden="false" customHeight="false" outlineLevel="0" collapsed="false">
      <c r="A346" s="8" t="n">
        <f aca="false">A345+1</f>
        <v>45271</v>
      </c>
      <c r="B346" s="7" t="n">
        <f aca="false">YEAR(A346)</f>
        <v>2023</v>
      </c>
      <c r="C346" s="7" t="n">
        <f aca="false">MONTH(A346)</f>
        <v>12</v>
      </c>
      <c r="D346" s="8" t="n">
        <f aca="false">DATE(B346,C346,1)</f>
        <v>45261</v>
      </c>
      <c r="E346" s="7" t="str">
        <f aca="false">CHOOSE(C346,"ene","feb","mar","abr","may","jun","jul","ago","sep","oct","nov","dic")</f>
        <v>dic</v>
      </c>
      <c r="F346" s="7" t="str">
        <f aca="false">CHOOSE(C346,"enero","febrero","marzo","abril","mayo","junio","julio","agosto","septiembre","octubre","noviembre","diciembre")</f>
        <v>diciembre</v>
      </c>
      <c r="G346" s="7" t="str">
        <f aca="false">E346&amp;"-"&amp;RIGHT(B346,2)</f>
        <v>dic-23</v>
      </c>
    </row>
    <row r="347" customFormat="false" ht="15" hidden="false" customHeight="false" outlineLevel="0" collapsed="false">
      <c r="A347" s="8" t="n">
        <f aca="false">A346+1</f>
        <v>45272</v>
      </c>
      <c r="B347" s="7" t="n">
        <f aca="false">YEAR(A347)</f>
        <v>2023</v>
      </c>
      <c r="C347" s="7" t="n">
        <f aca="false">MONTH(A347)</f>
        <v>12</v>
      </c>
      <c r="D347" s="8" t="n">
        <f aca="false">DATE(B347,C347,1)</f>
        <v>45261</v>
      </c>
      <c r="E347" s="7" t="str">
        <f aca="false">CHOOSE(C347,"ene","feb","mar","abr","may","jun","jul","ago","sep","oct","nov","dic")</f>
        <v>dic</v>
      </c>
      <c r="F347" s="7" t="str">
        <f aca="false">CHOOSE(C347,"enero","febrero","marzo","abril","mayo","junio","julio","agosto","septiembre","octubre","noviembre","diciembre")</f>
        <v>diciembre</v>
      </c>
      <c r="G347" s="7" t="str">
        <f aca="false">E347&amp;"-"&amp;RIGHT(B347,2)</f>
        <v>dic-23</v>
      </c>
    </row>
    <row r="348" customFormat="false" ht="15" hidden="false" customHeight="false" outlineLevel="0" collapsed="false">
      <c r="A348" s="8" t="n">
        <f aca="false">A347+1</f>
        <v>45273</v>
      </c>
      <c r="B348" s="7" t="n">
        <f aca="false">YEAR(A348)</f>
        <v>2023</v>
      </c>
      <c r="C348" s="7" t="n">
        <f aca="false">MONTH(A348)</f>
        <v>12</v>
      </c>
      <c r="D348" s="8" t="n">
        <f aca="false">DATE(B348,C348,1)</f>
        <v>45261</v>
      </c>
      <c r="E348" s="7" t="str">
        <f aca="false">CHOOSE(C348,"ene","feb","mar","abr","may","jun","jul","ago","sep","oct","nov","dic")</f>
        <v>dic</v>
      </c>
      <c r="F348" s="7" t="str">
        <f aca="false">CHOOSE(C348,"enero","febrero","marzo","abril","mayo","junio","julio","agosto","septiembre","octubre","noviembre","diciembre")</f>
        <v>diciembre</v>
      </c>
      <c r="G348" s="7" t="str">
        <f aca="false">E348&amp;"-"&amp;RIGHT(B348,2)</f>
        <v>dic-23</v>
      </c>
    </row>
    <row r="349" customFormat="false" ht="15" hidden="false" customHeight="false" outlineLevel="0" collapsed="false">
      <c r="A349" s="8" t="n">
        <f aca="false">A348+1</f>
        <v>45274</v>
      </c>
      <c r="B349" s="7" t="n">
        <f aca="false">YEAR(A349)</f>
        <v>2023</v>
      </c>
      <c r="C349" s="7" t="n">
        <f aca="false">MONTH(A349)</f>
        <v>12</v>
      </c>
      <c r="D349" s="8" t="n">
        <f aca="false">DATE(B349,C349,1)</f>
        <v>45261</v>
      </c>
      <c r="E349" s="7" t="str">
        <f aca="false">CHOOSE(C349,"ene","feb","mar","abr","may","jun","jul","ago","sep","oct","nov","dic")</f>
        <v>dic</v>
      </c>
      <c r="F349" s="7" t="str">
        <f aca="false">CHOOSE(C349,"enero","febrero","marzo","abril","mayo","junio","julio","agosto","septiembre","octubre","noviembre","diciembre")</f>
        <v>diciembre</v>
      </c>
      <c r="G349" s="7" t="str">
        <f aca="false">E349&amp;"-"&amp;RIGHT(B349,2)</f>
        <v>dic-23</v>
      </c>
    </row>
    <row r="350" customFormat="false" ht="15" hidden="false" customHeight="false" outlineLevel="0" collapsed="false">
      <c r="A350" s="8" t="n">
        <f aca="false">A349+1</f>
        <v>45275</v>
      </c>
      <c r="B350" s="7" t="n">
        <f aca="false">YEAR(A350)</f>
        <v>2023</v>
      </c>
      <c r="C350" s="7" t="n">
        <f aca="false">MONTH(A350)</f>
        <v>12</v>
      </c>
      <c r="D350" s="8" t="n">
        <f aca="false">DATE(B350,C350,1)</f>
        <v>45261</v>
      </c>
      <c r="E350" s="7" t="str">
        <f aca="false">CHOOSE(C350,"ene","feb","mar","abr","may","jun","jul","ago","sep","oct","nov","dic")</f>
        <v>dic</v>
      </c>
      <c r="F350" s="7" t="str">
        <f aca="false">CHOOSE(C350,"enero","febrero","marzo","abril","mayo","junio","julio","agosto","septiembre","octubre","noviembre","diciembre")</f>
        <v>diciembre</v>
      </c>
      <c r="G350" s="7" t="str">
        <f aca="false">E350&amp;"-"&amp;RIGHT(B350,2)</f>
        <v>dic-23</v>
      </c>
    </row>
    <row r="351" customFormat="false" ht="15" hidden="false" customHeight="false" outlineLevel="0" collapsed="false">
      <c r="A351" s="8" t="n">
        <f aca="false">A350+1</f>
        <v>45276</v>
      </c>
      <c r="B351" s="7" t="n">
        <f aca="false">YEAR(A351)</f>
        <v>2023</v>
      </c>
      <c r="C351" s="7" t="n">
        <f aca="false">MONTH(A351)</f>
        <v>12</v>
      </c>
      <c r="D351" s="8" t="n">
        <f aca="false">DATE(B351,C351,1)</f>
        <v>45261</v>
      </c>
      <c r="E351" s="7" t="str">
        <f aca="false">CHOOSE(C351,"ene","feb","mar","abr","may","jun","jul","ago","sep","oct","nov","dic")</f>
        <v>dic</v>
      </c>
      <c r="F351" s="7" t="str">
        <f aca="false">CHOOSE(C351,"enero","febrero","marzo","abril","mayo","junio","julio","agosto","septiembre","octubre","noviembre","diciembre")</f>
        <v>diciembre</v>
      </c>
      <c r="G351" s="7" t="str">
        <f aca="false">E351&amp;"-"&amp;RIGHT(B351,2)</f>
        <v>dic-23</v>
      </c>
    </row>
    <row r="352" customFormat="false" ht="15" hidden="false" customHeight="false" outlineLevel="0" collapsed="false">
      <c r="A352" s="8" t="n">
        <f aca="false">A351+1</f>
        <v>45277</v>
      </c>
      <c r="B352" s="7" t="n">
        <f aca="false">YEAR(A352)</f>
        <v>2023</v>
      </c>
      <c r="C352" s="7" t="n">
        <f aca="false">MONTH(A352)</f>
        <v>12</v>
      </c>
      <c r="D352" s="8" t="n">
        <f aca="false">DATE(B352,C352,1)</f>
        <v>45261</v>
      </c>
      <c r="E352" s="7" t="str">
        <f aca="false">CHOOSE(C352,"ene","feb","mar","abr","may","jun","jul","ago","sep","oct","nov","dic")</f>
        <v>dic</v>
      </c>
      <c r="F352" s="7" t="str">
        <f aca="false">CHOOSE(C352,"enero","febrero","marzo","abril","mayo","junio","julio","agosto","septiembre","octubre","noviembre","diciembre")</f>
        <v>diciembre</v>
      </c>
      <c r="G352" s="7" t="str">
        <f aca="false">E352&amp;"-"&amp;RIGHT(B352,2)</f>
        <v>dic-23</v>
      </c>
    </row>
    <row r="353" customFormat="false" ht="15" hidden="false" customHeight="false" outlineLevel="0" collapsed="false">
      <c r="A353" s="8" t="n">
        <f aca="false">A352+1</f>
        <v>45278</v>
      </c>
      <c r="B353" s="7" t="n">
        <f aca="false">YEAR(A353)</f>
        <v>2023</v>
      </c>
      <c r="C353" s="7" t="n">
        <f aca="false">MONTH(A353)</f>
        <v>12</v>
      </c>
      <c r="D353" s="8" t="n">
        <f aca="false">DATE(B353,C353,1)</f>
        <v>45261</v>
      </c>
      <c r="E353" s="7" t="str">
        <f aca="false">CHOOSE(C353,"ene","feb","mar","abr","may","jun","jul","ago","sep","oct","nov","dic")</f>
        <v>dic</v>
      </c>
      <c r="F353" s="7" t="str">
        <f aca="false">CHOOSE(C353,"enero","febrero","marzo","abril","mayo","junio","julio","agosto","septiembre","octubre","noviembre","diciembre")</f>
        <v>diciembre</v>
      </c>
      <c r="G353" s="7" t="str">
        <f aca="false">E353&amp;"-"&amp;RIGHT(B353,2)</f>
        <v>dic-23</v>
      </c>
    </row>
    <row r="354" customFormat="false" ht="15" hidden="false" customHeight="false" outlineLevel="0" collapsed="false">
      <c r="A354" s="8" t="n">
        <f aca="false">A353+1</f>
        <v>45279</v>
      </c>
      <c r="B354" s="7" t="n">
        <f aca="false">YEAR(A354)</f>
        <v>2023</v>
      </c>
      <c r="C354" s="7" t="n">
        <f aca="false">MONTH(A354)</f>
        <v>12</v>
      </c>
      <c r="D354" s="8" t="n">
        <f aca="false">DATE(B354,C354,1)</f>
        <v>45261</v>
      </c>
      <c r="E354" s="7" t="str">
        <f aca="false">CHOOSE(C354,"ene","feb","mar","abr","may","jun","jul","ago","sep","oct","nov","dic")</f>
        <v>dic</v>
      </c>
      <c r="F354" s="7" t="str">
        <f aca="false">CHOOSE(C354,"enero","febrero","marzo","abril","mayo","junio","julio","agosto","septiembre","octubre","noviembre","diciembre")</f>
        <v>diciembre</v>
      </c>
      <c r="G354" s="7" t="str">
        <f aca="false">E354&amp;"-"&amp;RIGHT(B354,2)</f>
        <v>dic-23</v>
      </c>
    </row>
    <row r="355" customFormat="false" ht="15" hidden="false" customHeight="false" outlineLevel="0" collapsed="false">
      <c r="A355" s="8" t="n">
        <f aca="false">A354+1</f>
        <v>45280</v>
      </c>
      <c r="B355" s="7" t="n">
        <f aca="false">YEAR(A355)</f>
        <v>2023</v>
      </c>
      <c r="C355" s="7" t="n">
        <f aca="false">MONTH(A355)</f>
        <v>12</v>
      </c>
      <c r="D355" s="8" t="n">
        <f aca="false">DATE(B355,C355,1)</f>
        <v>45261</v>
      </c>
      <c r="E355" s="7" t="str">
        <f aca="false">CHOOSE(C355,"ene","feb","mar","abr","may","jun","jul","ago","sep","oct","nov","dic")</f>
        <v>dic</v>
      </c>
      <c r="F355" s="7" t="str">
        <f aca="false">CHOOSE(C355,"enero","febrero","marzo","abril","mayo","junio","julio","agosto","septiembre","octubre","noviembre","diciembre")</f>
        <v>diciembre</v>
      </c>
      <c r="G355" s="7" t="str">
        <f aca="false">E355&amp;"-"&amp;RIGHT(B355,2)</f>
        <v>dic-23</v>
      </c>
    </row>
    <row r="356" customFormat="false" ht="15" hidden="false" customHeight="false" outlineLevel="0" collapsed="false">
      <c r="A356" s="8" t="n">
        <f aca="false">A355+1</f>
        <v>45281</v>
      </c>
      <c r="B356" s="7" t="n">
        <f aca="false">YEAR(A356)</f>
        <v>2023</v>
      </c>
      <c r="C356" s="7" t="n">
        <f aca="false">MONTH(A356)</f>
        <v>12</v>
      </c>
      <c r="D356" s="8" t="n">
        <f aca="false">DATE(B356,C356,1)</f>
        <v>45261</v>
      </c>
      <c r="E356" s="7" t="str">
        <f aca="false">CHOOSE(C356,"ene","feb","mar","abr","may","jun","jul","ago","sep","oct","nov","dic")</f>
        <v>dic</v>
      </c>
      <c r="F356" s="7" t="str">
        <f aca="false">CHOOSE(C356,"enero","febrero","marzo","abril","mayo","junio","julio","agosto","septiembre","octubre","noviembre","diciembre")</f>
        <v>diciembre</v>
      </c>
      <c r="G356" s="7" t="str">
        <f aca="false">E356&amp;"-"&amp;RIGHT(B356,2)</f>
        <v>dic-23</v>
      </c>
    </row>
    <row r="357" customFormat="false" ht="15" hidden="false" customHeight="false" outlineLevel="0" collapsed="false">
      <c r="A357" s="8" t="n">
        <f aca="false">A356+1</f>
        <v>45282</v>
      </c>
      <c r="B357" s="7" t="n">
        <f aca="false">YEAR(A357)</f>
        <v>2023</v>
      </c>
      <c r="C357" s="7" t="n">
        <f aca="false">MONTH(A357)</f>
        <v>12</v>
      </c>
      <c r="D357" s="8" t="n">
        <f aca="false">DATE(B357,C357,1)</f>
        <v>45261</v>
      </c>
      <c r="E357" s="7" t="str">
        <f aca="false">CHOOSE(C357,"ene","feb","mar","abr","may","jun","jul","ago","sep","oct","nov","dic")</f>
        <v>dic</v>
      </c>
      <c r="F357" s="7" t="str">
        <f aca="false">CHOOSE(C357,"enero","febrero","marzo","abril","mayo","junio","julio","agosto","septiembre","octubre","noviembre","diciembre")</f>
        <v>diciembre</v>
      </c>
      <c r="G357" s="7" t="str">
        <f aca="false">E357&amp;"-"&amp;RIGHT(B357,2)</f>
        <v>dic-23</v>
      </c>
    </row>
    <row r="358" customFormat="false" ht="15" hidden="false" customHeight="false" outlineLevel="0" collapsed="false">
      <c r="A358" s="8" t="n">
        <f aca="false">A357+1</f>
        <v>45283</v>
      </c>
      <c r="B358" s="7" t="n">
        <f aca="false">YEAR(A358)</f>
        <v>2023</v>
      </c>
      <c r="C358" s="7" t="n">
        <f aca="false">MONTH(A358)</f>
        <v>12</v>
      </c>
      <c r="D358" s="8" t="n">
        <f aca="false">DATE(B358,C358,1)</f>
        <v>45261</v>
      </c>
      <c r="E358" s="7" t="str">
        <f aca="false">CHOOSE(C358,"ene","feb","mar","abr","may","jun","jul","ago","sep","oct","nov","dic")</f>
        <v>dic</v>
      </c>
      <c r="F358" s="7" t="str">
        <f aca="false">CHOOSE(C358,"enero","febrero","marzo","abril","mayo","junio","julio","agosto","septiembre","octubre","noviembre","diciembre")</f>
        <v>diciembre</v>
      </c>
      <c r="G358" s="7" t="str">
        <f aca="false">E358&amp;"-"&amp;RIGHT(B358,2)</f>
        <v>dic-23</v>
      </c>
    </row>
    <row r="359" customFormat="false" ht="15" hidden="false" customHeight="false" outlineLevel="0" collapsed="false">
      <c r="A359" s="8" t="n">
        <f aca="false">A358+1</f>
        <v>45284</v>
      </c>
      <c r="B359" s="7" t="n">
        <f aca="false">YEAR(A359)</f>
        <v>2023</v>
      </c>
      <c r="C359" s="7" t="n">
        <f aca="false">MONTH(A359)</f>
        <v>12</v>
      </c>
      <c r="D359" s="8" t="n">
        <f aca="false">DATE(B359,C359,1)</f>
        <v>45261</v>
      </c>
      <c r="E359" s="7" t="str">
        <f aca="false">CHOOSE(C359,"ene","feb","mar","abr","may","jun","jul","ago","sep","oct","nov","dic")</f>
        <v>dic</v>
      </c>
      <c r="F359" s="7" t="str">
        <f aca="false">CHOOSE(C359,"enero","febrero","marzo","abril","mayo","junio","julio","agosto","septiembre","octubre","noviembre","diciembre")</f>
        <v>diciembre</v>
      </c>
      <c r="G359" s="7" t="str">
        <f aca="false">E359&amp;"-"&amp;RIGHT(B359,2)</f>
        <v>dic-23</v>
      </c>
    </row>
    <row r="360" customFormat="false" ht="15" hidden="false" customHeight="false" outlineLevel="0" collapsed="false">
      <c r="A360" s="8" t="n">
        <f aca="false">A359+1</f>
        <v>45285</v>
      </c>
      <c r="B360" s="7" t="n">
        <f aca="false">YEAR(A360)</f>
        <v>2023</v>
      </c>
      <c r="C360" s="7" t="n">
        <f aca="false">MONTH(A360)</f>
        <v>12</v>
      </c>
      <c r="D360" s="8" t="n">
        <f aca="false">DATE(B360,C360,1)</f>
        <v>45261</v>
      </c>
      <c r="E360" s="7" t="str">
        <f aca="false">CHOOSE(C360,"ene","feb","mar","abr","may","jun","jul","ago","sep","oct","nov","dic")</f>
        <v>dic</v>
      </c>
      <c r="F360" s="7" t="str">
        <f aca="false">CHOOSE(C360,"enero","febrero","marzo","abril","mayo","junio","julio","agosto","septiembre","octubre","noviembre","diciembre")</f>
        <v>diciembre</v>
      </c>
      <c r="G360" s="7" t="str">
        <f aca="false">E360&amp;"-"&amp;RIGHT(B360,2)</f>
        <v>dic-23</v>
      </c>
    </row>
    <row r="361" customFormat="false" ht="15" hidden="false" customHeight="false" outlineLevel="0" collapsed="false">
      <c r="A361" s="8" t="n">
        <f aca="false">A360+1</f>
        <v>45286</v>
      </c>
      <c r="B361" s="7" t="n">
        <f aca="false">YEAR(A361)</f>
        <v>2023</v>
      </c>
      <c r="C361" s="7" t="n">
        <f aca="false">MONTH(A361)</f>
        <v>12</v>
      </c>
      <c r="D361" s="8" t="n">
        <f aca="false">DATE(B361,C361,1)</f>
        <v>45261</v>
      </c>
      <c r="E361" s="7" t="str">
        <f aca="false">CHOOSE(C361,"ene","feb","mar","abr","may","jun","jul","ago","sep","oct","nov","dic")</f>
        <v>dic</v>
      </c>
      <c r="F361" s="7" t="str">
        <f aca="false">CHOOSE(C361,"enero","febrero","marzo","abril","mayo","junio","julio","agosto","septiembre","octubre","noviembre","diciembre")</f>
        <v>diciembre</v>
      </c>
      <c r="G361" s="7" t="str">
        <f aca="false">E361&amp;"-"&amp;RIGHT(B361,2)</f>
        <v>dic-23</v>
      </c>
    </row>
    <row r="362" customFormat="false" ht="15" hidden="false" customHeight="false" outlineLevel="0" collapsed="false">
      <c r="A362" s="8" t="n">
        <f aca="false">A361+1</f>
        <v>45287</v>
      </c>
      <c r="B362" s="7" t="n">
        <f aca="false">YEAR(A362)</f>
        <v>2023</v>
      </c>
      <c r="C362" s="7" t="n">
        <f aca="false">MONTH(A362)</f>
        <v>12</v>
      </c>
      <c r="D362" s="8" t="n">
        <f aca="false">DATE(B362,C362,1)</f>
        <v>45261</v>
      </c>
      <c r="E362" s="7" t="str">
        <f aca="false">CHOOSE(C362,"ene","feb","mar","abr","may","jun","jul","ago","sep","oct","nov","dic")</f>
        <v>dic</v>
      </c>
      <c r="F362" s="7" t="str">
        <f aca="false">CHOOSE(C362,"enero","febrero","marzo","abril","mayo","junio","julio","agosto","septiembre","octubre","noviembre","diciembre")</f>
        <v>diciembre</v>
      </c>
      <c r="G362" s="7" t="str">
        <f aca="false">E362&amp;"-"&amp;RIGHT(B362,2)</f>
        <v>dic-23</v>
      </c>
    </row>
    <row r="363" customFormat="false" ht="15" hidden="false" customHeight="false" outlineLevel="0" collapsed="false">
      <c r="A363" s="8" t="n">
        <f aca="false">A362+1</f>
        <v>45288</v>
      </c>
      <c r="B363" s="7" t="n">
        <f aca="false">YEAR(A363)</f>
        <v>2023</v>
      </c>
      <c r="C363" s="7" t="n">
        <f aca="false">MONTH(A363)</f>
        <v>12</v>
      </c>
      <c r="D363" s="8" t="n">
        <f aca="false">DATE(B363,C363,1)</f>
        <v>45261</v>
      </c>
      <c r="E363" s="7" t="str">
        <f aca="false">CHOOSE(C363,"ene","feb","mar","abr","may","jun","jul","ago","sep","oct","nov","dic")</f>
        <v>dic</v>
      </c>
      <c r="F363" s="7" t="str">
        <f aca="false">CHOOSE(C363,"enero","febrero","marzo","abril","mayo","junio","julio","agosto","septiembre","octubre","noviembre","diciembre")</f>
        <v>diciembre</v>
      </c>
      <c r="G363" s="7" t="str">
        <f aca="false">E363&amp;"-"&amp;RIGHT(B363,2)</f>
        <v>dic-23</v>
      </c>
    </row>
    <row r="364" customFormat="false" ht="15" hidden="false" customHeight="false" outlineLevel="0" collapsed="false">
      <c r="A364" s="8" t="n">
        <f aca="false">A363+1</f>
        <v>45289</v>
      </c>
      <c r="B364" s="7" t="n">
        <f aca="false">YEAR(A364)</f>
        <v>2023</v>
      </c>
      <c r="C364" s="7" t="n">
        <f aca="false">MONTH(A364)</f>
        <v>12</v>
      </c>
      <c r="D364" s="8" t="n">
        <f aca="false">DATE(B364,C364,1)</f>
        <v>45261</v>
      </c>
      <c r="E364" s="7" t="str">
        <f aca="false">CHOOSE(C364,"ene","feb","mar","abr","may","jun","jul","ago","sep","oct","nov","dic")</f>
        <v>dic</v>
      </c>
      <c r="F364" s="7" t="str">
        <f aca="false">CHOOSE(C364,"enero","febrero","marzo","abril","mayo","junio","julio","agosto","septiembre","octubre","noviembre","diciembre")</f>
        <v>diciembre</v>
      </c>
      <c r="G364" s="7" t="str">
        <f aca="false">E364&amp;"-"&amp;RIGHT(B364,2)</f>
        <v>dic-23</v>
      </c>
    </row>
    <row r="365" customFormat="false" ht="15" hidden="false" customHeight="false" outlineLevel="0" collapsed="false">
      <c r="A365" s="8" t="n">
        <f aca="false">A364+1</f>
        <v>45290</v>
      </c>
      <c r="B365" s="7" t="n">
        <f aca="false">YEAR(A365)</f>
        <v>2023</v>
      </c>
      <c r="C365" s="7" t="n">
        <f aca="false">MONTH(A365)</f>
        <v>12</v>
      </c>
      <c r="D365" s="8" t="n">
        <f aca="false">DATE(B365,C365,1)</f>
        <v>45261</v>
      </c>
      <c r="E365" s="7" t="str">
        <f aca="false">CHOOSE(C365,"ene","feb","mar","abr","may","jun","jul","ago","sep","oct","nov","dic")</f>
        <v>dic</v>
      </c>
      <c r="F365" s="7" t="str">
        <f aca="false">CHOOSE(C365,"enero","febrero","marzo","abril","mayo","junio","julio","agosto","septiembre","octubre","noviembre","diciembre")</f>
        <v>diciembre</v>
      </c>
      <c r="G365" s="7" t="str">
        <f aca="false">E365&amp;"-"&amp;RIGHT(B365,2)</f>
        <v>dic-23</v>
      </c>
    </row>
    <row r="366" customFormat="false" ht="15" hidden="false" customHeight="false" outlineLevel="0" collapsed="false">
      <c r="A366" s="8" t="n">
        <f aca="false">A365+1</f>
        <v>45291</v>
      </c>
      <c r="B366" s="7" t="n">
        <f aca="false">YEAR(A366)</f>
        <v>2023</v>
      </c>
      <c r="C366" s="7" t="n">
        <f aca="false">MONTH(A366)</f>
        <v>12</v>
      </c>
      <c r="D366" s="8" t="n">
        <f aca="false">DATE(B366,C366,1)</f>
        <v>45261</v>
      </c>
      <c r="E366" s="7" t="str">
        <f aca="false">CHOOSE(C366,"ene","feb","mar","abr","may","jun","jul","ago","sep","oct","nov","dic")</f>
        <v>dic</v>
      </c>
      <c r="F366" s="7" t="str">
        <f aca="false">CHOOSE(C366,"enero","febrero","marzo","abril","mayo","junio","julio","agosto","septiembre","octubre","noviembre","diciembre")</f>
        <v>diciembre</v>
      </c>
      <c r="G366" s="7" t="str">
        <f aca="false">E366&amp;"-"&amp;RIGHT(B366,2)</f>
        <v>dic-23</v>
      </c>
    </row>
    <row r="367" customFormat="false" ht="15" hidden="false" customHeight="false" outlineLevel="0" collapsed="false">
      <c r="A367" s="8" t="n">
        <f aca="false">A366+1</f>
        <v>45292</v>
      </c>
      <c r="B367" s="7" t="n">
        <f aca="false">YEAR(A367)</f>
        <v>2024</v>
      </c>
      <c r="C367" s="7" t="n">
        <f aca="false">MONTH(A367)</f>
        <v>1</v>
      </c>
      <c r="D367" s="8" t="n">
        <f aca="false">DATE(B367,C367,1)</f>
        <v>45292</v>
      </c>
      <c r="E367" s="7" t="str">
        <f aca="false">CHOOSE(C367,"ene","feb","mar","abr","may","jun","jul","ago","sep","oct","nov","dic")</f>
        <v>ene</v>
      </c>
      <c r="F367" s="7" t="str">
        <f aca="false">CHOOSE(C367,"enero","febrero","marzo","abril","mayo","junio","julio","agosto","septiembre","octubre","noviembre","diciembre")</f>
        <v>enero</v>
      </c>
      <c r="G367" s="7" t="str">
        <f aca="false">E367&amp;"-"&amp;RIGHT(B367,2)</f>
        <v>ene-24</v>
      </c>
    </row>
    <row r="368" customFormat="false" ht="15" hidden="false" customHeight="false" outlineLevel="0" collapsed="false">
      <c r="A368" s="8" t="n">
        <f aca="false">A367+1</f>
        <v>45293</v>
      </c>
      <c r="B368" s="7" t="n">
        <f aca="false">YEAR(A368)</f>
        <v>2024</v>
      </c>
      <c r="C368" s="7" t="n">
        <f aca="false">MONTH(A368)</f>
        <v>1</v>
      </c>
      <c r="D368" s="8" t="n">
        <f aca="false">DATE(B368,C368,1)</f>
        <v>45292</v>
      </c>
      <c r="E368" s="7" t="str">
        <f aca="false">CHOOSE(C368,"ene","feb","mar","abr","may","jun","jul","ago","sep","oct","nov","dic")</f>
        <v>ene</v>
      </c>
      <c r="F368" s="7" t="str">
        <f aca="false">CHOOSE(C368,"enero","febrero","marzo","abril","mayo","junio","julio","agosto","septiembre","octubre","noviembre","diciembre")</f>
        <v>enero</v>
      </c>
      <c r="G368" s="7" t="str">
        <f aca="false">E368&amp;"-"&amp;RIGHT(B368,2)</f>
        <v>ene-24</v>
      </c>
    </row>
    <row r="369" customFormat="false" ht="15" hidden="false" customHeight="false" outlineLevel="0" collapsed="false">
      <c r="A369" s="8" t="n">
        <f aca="false">A368+1</f>
        <v>45294</v>
      </c>
      <c r="B369" s="7" t="n">
        <f aca="false">YEAR(A369)</f>
        <v>2024</v>
      </c>
      <c r="C369" s="7" t="n">
        <f aca="false">MONTH(A369)</f>
        <v>1</v>
      </c>
      <c r="D369" s="8" t="n">
        <f aca="false">DATE(B369,C369,1)</f>
        <v>45292</v>
      </c>
      <c r="E369" s="7" t="str">
        <f aca="false">CHOOSE(C369,"ene","feb","mar","abr","may","jun","jul","ago","sep","oct","nov","dic")</f>
        <v>ene</v>
      </c>
      <c r="F369" s="7" t="str">
        <f aca="false">CHOOSE(C369,"enero","febrero","marzo","abril","mayo","junio","julio","agosto","septiembre","octubre","noviembre","diciembre")</f>
        <v>enero</v>
      </c>
      <c r="G369" s="7" t="str">
        <f aca="false">E369&amp;"-"&amp;RIGHT(B369,2)</f>
        <v>ene-24</v>
      </c>
    </row>
    <row r="370" customFormat="false" ht="15" hidden="false" customHeight="false" outlineLevel="0" collapsed="false">
      <c r="A370" s="8" t="n">
        <f aca="false">A369+1</f>
        <v>45295</v>
      </c>
      <c r="B370" s="7" t="n">
        <f aca="false">YEAR(A370)</f>
        <v>2024</v>
      </c>
      <c r="C370" s="7" t="n">
        <f aca="false">MONTH(A370)</f>
        <v>1</v>
      </c>
      <c r="D370" s="8" t="n">
        <f aca="false">DATE(B370,C370,1)</f>
        <v>45292</v>
      </c>
      <c r="E370" s="7" t="str">
        <f aca="false">CHOOSE(C370,"ene","feb","mar","abr","may","jun","jul","ago","sep","oct","nov","dic")</f>
        <v>ene</v>
      </c>
      <c r="F370" s="7" t="str">
        <f aca="false">CHOOSE(C370,"enero","febrero","marzo","abril","mayo","junio","julio","agosto","septiembre","octubre","noviembre","diciembre")</f>
        <v>enero</v>
      </c>
      <c r="G370" s="7" t="str">
        <f aca="false">E370&amp;"-"&amp;RIGHT(B370,2)</f>
        <v>ene-24</v>
      </c>
    </row>
    <row r="371" customFormat="false" ht="15" hidden="false" customHeight="false" outlineLevel="0" collapsed="false">
      <c r="A371" s="8" t="n">
        <f aca="false">A370+1</f>
        <v>45296</v>
      </c>
      <c r="B371" s="7" t="n">
        <f aca="false">YEAR(A371)</f>
        <v>2024</v>
      </c>
      <c r="C371" s="7" t="n">
        <f aca="false">MONTH(A371)</f>
        <v>1</v>
      </c>
      <c r="D371" s="8" t="n">
        <f aca="false">DATE(B371,C371,1)</f>
        <v>45292</v>
      </c>
      <c r="E371" s="7" t="str">
        <f aca="false">CHOOSE(C371,"ene","feb","mar","abr","may","jun","jul","ago","sep","oct","nov","dic")</f>
        <v>ene</v>
      </c>
      <c r="F371" s="7" t="str">
        <f aca="false">CHOOSE(C371,"enero","febrero","marzo","abril","mayo","junio","julio","agosto","septiembre","octubre","noviembre","diciembre")</f>
        <v>enero</v>
      </c>
      <c r="G371" s="7" t="str">
        <f aca="false">E371&amp;"-"&amp;RIGHT(B371,2)</f>
        <v>ene-24</v>
      </c>
    </row>
    <row r="372" customFormat="false" ht="15" hidden="false" customHeight="false" outlineLevel="0" collapsed="false">
      <c r="A372" s="8" t="n">
        <f aca="false">A371+1</f>
        <v>45297</v>
      </c>
      <c r="B372" s="7" t="n">
        <f aca="false">YEAR(A372)</f>
        <v>2024</v>
      </c>
      <c r="C372" s="7" t="n">
        <f aca="false">MONTH(A372)</f>
        <v>1</v>
      </c>
      <c r="D372" s="8" t="n">
        <f aca="false">DATE(B372,C372,1)</f>
        <v>45292</v>
      </c>
      <c r="E372" s="7" t="str">
        <f aca="false">CHOOSE(C372,"ene","feb","mar","abr","may","jun","jul","ago","sep","oct","nov","dic")</f>
        <v>ene</v>
      </c>
      <c r="F372" s="7" t="str">
        <f aca="false">CHOOSE(C372,"enero","febrero","marzo","abril","mayo","junio","julio","agosto","septiembre","octubre","noviembre","diciembre")</f>
        <v>enero</v>
      </c>
      <c r="G372" s="7" t="str">
        <f aca="false">E372&amp;"-"&amp;RIGHT(B372,2)</f>
        <v>ene-24</v>
      </c>
    </row>
    <row r="373" customFormat="false" ht="15" hidden="false" customHeight="false" outlineLevel="0" collapsed="false">
      <c r="A373" s="8" t="n">
        <f aca="false">A372+1</f>
        <v>45298</v>
      </c>
      <c r="B373" s="7" t="n">
        <f aca="false">YEAR(A373)</f>
        <v>2024</v>
      </c>
      <c r="C373" s="7" t="n">
        <f aca="false">MONTH(A373)</f>
        <v>1</v>
      </c>
      <c r="D373" s="8" t="n">
        <f aca="false">DATE(B373,C373,1)</f>
        <v>45292</v>
      </c>
      <c r="E373" s="7" t="str">
        <f aca="false">CHOOSE(C373,"ene","feb","mar","abr","may","jun","jul","ago","sep","oct","nov","dic")</f>
        <v>ene</v>
      </c>
      <c r="F373" s="7" t="str">
        <f aca="false">CHOOSE(C373,"enero","febrero","marzo","abril","mayo","junio","julio","agosto","septiembre","octubre","noviembre","diciembre")</f>
        <v>enero</v>
      </c>
      <c r="G373" s="7" t="str">
        <f aca="false">E373&amp;"-"&amp;RIGHT(B373,2)</f>
        <v>ene-24</v>
      </c>
    </row>
    <row r="374" customFormat="false" ht="15" hidden="false" customHeight="false" outlineLevel="0" collapsed="false">
      <c r="A374" s="8" t="n">
        <f aca="false">A373+1</f>
        <v>45299</v>
      </c>
      <c r="B374" s="7" t="n">
        <f aca="false">YEAR(A374)</f>
        <v>2024</v>
      </c>
      <c r="C374" s="7" t="n">
        <f aca="false">MONTH(A374)</f>
        <v>1</v>
      </c>
      <c r="D374" s="8" t="n">
        <f aca="false">DATE(B374,C374,1)</f>
        <v>45292</v>
      </c>
      <c r="E374" s="7" t="str">
        <f aca="false">CHOOSE(C374,"ene","feb","mar","abr","may","jun","jul","ago","sep","oct","nov","dic")</f>
        <v>ene</v>
      </c>
      <c r="F374" s="7" t="str">
        <f aca="false">CHOOSE(C374,"enero","febrero","marzo","abril","mayo","junio","julio","agosto","septiembre","octubre","noviembre","diciembre")</f>
        <v>enero</v>
      </c>
      <c r="G374" s="7" t="str">
        <f aca="false">E374&amp;"-"&amp;RIGHT(B374,2)</f>
        <v>ene-24</v>
      </c>
    </row>
    <row r="375" customFormat="false" ht="15" hidden="false" customHeight="false" outlineLevel="0" collapsed="false">
      <c r="A375" s="8" t="n">
        <f aca="false">A374+1</f>
        <v>45300</v>
      </c>
      <c r="B375" s="7" t="n">
        <f aca="false">YEAR(A375)</f>
        <v>2024</v>
      </c>
      <c r="C375" s="7" t="n">
        <f aca="false">MONTH(A375)</f>
        <v>1</v>
      </c>
      <c r="D375" s="8" t="n">
        <f aca="false">DATE(B375,C375,1)</f>
        <v>45292</v>
      </c>
      <c r="E375" s="7" t="str">
        <f aca="false">CHOOSE(C375,"ene","feb","mar","abr","may","jun","jul","ago","sep","oct","nov","dic")</f>
        <v>ene</v>
      </c>
      <c r="F375" s="7" t="str">
        <f aca="false">CHOOSE(C375,"enero","febrero","marzo","abril","mayo","junio","julio","agosto","septiembre","octubre","noviembre","diciembre")</f>
        <v>enero</v>
      </c>
      <c r="G375" s="7" t="str">
        <f aca="false">E375&amp;"-"&amp;RIGHT(B375,2)</f>
        <v>ene-24</v>
      </c>
    </row>
    <row r="376" customFormat="false" ht="15" hidden="false" customHeight="false" outlineLevel="0" collapsed="false">
      <c r="A376" s="8" t="n">
        <f aca="false">A375+1</f>
        <v>45301</v>
      </c>
      <c r="B376" s="7" t="n">
        <f aca="false">YEAR(A376)</f>
        <v>2024</v>
      </c>
      <c r="C376" s="7" t="n">
        <f aca="false">MONTH(A376)</f>
        <v>1</v>
      </c>
      <c r="D376" s="8" t="n">
        <f aca="false">DATE(B376,C376,1)</f>
        <v>45292</v>
      </c>
      <c r="E376" s="7" t="str">
        <f aca="false">CHOOSE(C376,"ene","feb","mar","abr","may","jun","jul","ago","sep","oct","nov","dic")</f>
        <v>ene</v>
      </c>
      <c r="F376" s="7" t="str">
        <f aca="false">CHOOSE(C376,"enero","febrero","marzo","abril","mayo","junio","julio","agosto","septiembre","octubre","noviembre","diciembre")</f>
        <v>enero</v>
      </c>
      <c r="G376" s="7" t="str">
        <f aca="false">E376&amp;"-"&amp;RIGHT(B376,2)</f>
        <v>ene-24</v>
      </c>
    </row>
    <row r="377" customFormat="false" ht="15" hidden="false" customHeight="false" outlineLevel="0" collapsed="false">
      <c r="A377" s="8" t="n">
        <f aca="false">A376+1</f>
        <v>45302</v>
      </c>
      <c r="B377" s="7" t="n">
        <f aca="false">YEAR(A377)</f>
        <v>2024</v>
      </c>
      <c r="C377" s="7" t="n">
        <f aca="false">MONTH(A377)</f>
        <v>1</v>
      </c>
      <c r="D377" s="8" t="n">
        <f aca="false">DATE(B377,C377,1)</f>
        <v>45292</v>
      </c>
      <c r="E377" s="7" t="str">
        <f aca="false">CHOOSE(C377,"ene","feb","mar","abr","may","jun","jul","ago","sep","oct","nov","dic")</f>
        <v>ene</v>
      </c>
      <c r="F377" s="7" t="str">
        <f aca="false">CHOOSE(C377,"enero","febrero","marzo","abril","mayo","junio","julio","agosto","septiembre","octubre","noviembre","diciembre")</f>
        <v>enero</v>
      </c>
      <c r="G377" s="7" t="str">
        <f aca="false">E377&amp;"-"&amp;RIGHT(B377,2)</f>
        <v>ene-24</v>
      </c>
    </row>
    <row r="378" customFormat="false" ht="15" hidden="false" customHeight="false" outlineLevel="0" collapsed="false">
      <c r="A378" s="8" t="n">
        <f aca="false">A377+1</f>
        <v>45303</v>
      </c>
      <c r="B378" s="7" t="n">
        <f aca="false">YEAR(A378)</f>
        <v>2024</v>
      </c>
      <c r="C378" s="7" t="n">
        <f aca="false">MONTH(A378)</f>
        <v>1</v>
      </c>
      <c r="D378" s="8" t="n">
        <f aca="false">DATE(B378,C378,1)</f>
        <v>45292</v>
      </c>
      <c r="E378" s="7" t="str">
        <f aca="false">CHOOSE(C378,"ene","feb","mar","abr","may","jun","jul","ago","sep","oct","nov","dic")</f>
        <v>ene</v>
      </c>
      <c r="F378" s="7" t="str">
        <f aca="false">CHOOSE(C378,"enero","febrero","marzo","abril","mayo","junio","julio","agosto","septiembre","octubre","noviembre","diciembre")</f>
        <v>enero</v>
      </c>
      <c r="G378" s="7" t="str">
        <f aca="false">E378&amp;"-"&amp;RIGHT(B378,2)</f>
        <v>ene-24</v>
      </c>
    </row>
    <row r="379" customFormat="false" ht="15" hidden="false" customHeight="false" outlineLevel="0" collapsed="false">
      <c r="A379" s="8" t="n">
        <f aca="false">A378+1</f>
        <v>45304</v>
      </c>
      <c r="B379" s="7" t="n">
        <f aca="false">YEAR(A379)</f>
        <v>2024</v>
      </c>
      <c r="C379" s="7" t="n">
        <f aca="false">MONTH(A379)</f>
        <v>1</v>
      </c>
      <c r="D379" s="8" t="n">
        <f aca="false">DATE(B379,C379,1)</f>
        <v>45292</v>
      </c>
      <c r="E379" s="7" t="str">
        <f aca="false">CHOOSE(C379,"ene","feb","mar","abr","may","jun","jul","ago","sep","oct","nov","dic")</f>
        <v>ene</v>
      </c>
      <c r="F379" s="7" t="str">
        <f aca="false">CHOOSE(C379,"enero","febrero","marzo","abril","mayo","junio","julio","agosto","septiembre","octubre","noviembre","diciembre")</f>
        <v>enero</v>
      </c>
      <c r="G379" s="7" t="str">
        <f aca="false">E379&amp;"-"&amp;RIGHT(B379,2)</f>
        <v>ene-24</v>
      </c>
    </row>
    <row r="380" customFormat="false" ht="15" hidden="false" customHeight="false" outlineLevel="0" collapsed="false">
      <c r="A380" s="8" t="n">
        <f aca="false">A379+1</f>
        <v>45305</v>
      </c>
      <c r="B380" s="7" t="n">
        <f aca="false">YEAR(A380)</f>
        <v>2024</v>
      </c>
      <c r="C380" s="7" t="n">
        <f aca="false">MONTH(A380)</f>
        <v>1</v>
      </c>
      <c r="D380" s="8" t="n">
        <f aca="false">DATE(B380,C380,1)</f>
        <v>45292</v>
      </c>
      <c r="E380" s="7" t="str">
        <f aca="false">CHOOSE(C380,"ene","feb","mar","abr","may","jun","jul","ago","sep","oct","nov","dic")</f>
        <v>ene</v>
      </c>
      <c r="F380" s="7" t="str">
        <f aca="false">CHOOSE(C380,"enero","febrero","marzo","abril","mayo","junio","julio","agosto","septiembre","octubre","noviembre","diciembre")</f>
        <v>enero</v>
      </c>
      <c r="G380" s="7" t="str">
        <f aca="false">E380&amp;"-"&amp;RIGHT(B380,2)</f>
        <v>ene-24</v>
      </c>
    </row>
    <row r="381" customFormat="false" ht="15" hidden="false" customHeight="false" outlineLevel="0" collapsed="false">
      <c r="A381" s="8" t="n">
        <f aca="false">A380+1</f>
        <v>45306</v>
      </c>
      <c r="B381" s="7" t="n">
        <f aca="false">YEAR(A381)</f>
        <v>2024</v>
      </c>
      <c r="C381" s="7" t="n">
        <f aca="false">MONTH(A381)</f>
        <v>1</v>
      </c>
      <c r="D381" s="8" t="n">
        <f aca="false">DATE(B381,C381,1)</f>
        <v>45292</v>
      </c>
      <c r="E381" s="7" t="str">
        <f aca="false">CHOOSE(C381,"ene","feb","mar","abr","may","jun","jul","ago","sep","oct","nov","dic")</f>
        <v>ene</v>
      </c>
      <c r="F381" s="7" t="str">
        <f aca="false">CHOOSE(C381,"enero","febrero","marzo","abril","mayo","junio","julio","agosto","septiembre","octubre","noviembre","diciembre")</f>
        <v>enero</v>
      </c>
      <c r="G381" s="7" t="str">
        <f aca="false">E381&amp;"-"&amp;RIGHT(B381,2)</f>
        <v>ene-24</v>
      </c>
    </row>
    <row r="382" customFormat="false" ht="15" hidden="false" customHeight="false" outlineLevel="0" collapsed="false">
      <c r="A382" s="8" t="n">
        <f aca="false">A381+1</f>
        <v>45307</v>
      </c>
      <c r="B382" s="7" t="n">
        <f aca="false">YEAR(A382)</f>
        <v>2024</v>
      </c>
      <c r="C382" s="7" t="n">
        <f aca="false">MONTH(A382)</f>
        <v>1</v>
      </c>
      <c r="D382" s="8" t="n">
        <f aca="false">DATE(B382,C382,1)</f>
        <v>45292</v>
      </c>
      <c r="E382" s="7" t="str">
        <f aca="false">CHOOSE(C382,"ene","feb","mar","abr","may","jun","jul","ago","sep","oct","nov","dic")</f>
        <v>ene</v>
      </c>
      <c r="F382" s="7" t="str">
        <f aca="false">CHOOSE(C382,"enero","febrero","marzo","abril","mayo","junio","julio","agosto","septiembre","octubre","noviembre","diciembre")</f>
        <v>enero</v>
      </c>
      <c r="G382" s="7" t="str">
        <f aca="false">E382&amp;"-"&amp;RIGHT(B382,2)</f>
        <v>ene-24</v>
      </c>
    </row>
    <row r="383" customFormat="false" ht="15" hidden="false" customHeight="false" outlineLevel="0" collapsed="false">
      <c r="A383" s="8" t="n">
        <f aca="false">A382+1</f>
        <v>45308</v>
      </c>
      <c r="B383" s="7" t="n">
        <f aca="false">YEAR(A383)</f>
        <v>2024</v>
      </c>
      <c r="C383" s="7" t="n">
        <f aca="false">MONTH(A383)</f>
        <v>1</v>
      </c>
      <c r="D383" s="8" t="n">
        <f aca="false">DATE(B383,C383,1)</f>
        <v>45292</v>
      </c>
      <c r="E383" s="7" t="str">
        <f aca="false">CHOOSE(C383,"ene","feb","mar","abr","may","jun","jul","ago","sep","oct","nov","dic")</f>
        <v>ene</v>
      </c>
      <c r="F383" s="7" t="str">
        <f aca="false">CHOOSE(C383,"enero","febrero","marzo","abril","mayo","junio","julio","agosto","septiembre","octubre","noviembre","diciembre")</f>
        <v>enero</v>
      </c>
      <c r="G383" s="7" t="str">
        <f aca="false">E383&amp;"-"&amp;RIGHT(B383,2)</f>
        <v>ene-24</v>
      </c>
    </row>
    <row r="384" customFormat="false" ht="15" hidden="false" customHeight="false" outlineLevel="0" collapsed="false">
      <c r="A384" s="8" t="n">
        <f aca="false">A383+1</f>
        <v>45309</v>
      </c>
      <c r="B384" s="7" t="n">
        <f aca="false">YEAR(A384)</f>
        <v>2024</v>
      </c>
      <c r="C384" s="7" t="n">
        <f aca="false">MONTH(A384)</f>
        <v>1</v>
      </c>
      <c r="D384" s="8" t="n">
        <f aca="false">DATE(B384,C384,1)</f>
        <v>45292</v>
      </c>
      <c r="E384" s="7" t="str">
        <f aca="false">CHOOSE(C384,"ene","feb","mar","abr","may","jun","jul","ago","sep","oct","nov","dic")</f>
        <v>ene</v>
      </c>
      <c r="F384" s="7" t="str">
        <f aca="false">CHOOSE(C384,"enero","febrero","marzo","abril","mayo","junio","julio","agosto","septiembre","octubre","noviembre","diciembre")</f>
        <v>enero</v>
      </c>
      <c r="G384" s="7" t="str">
        <f aca="false">E384&amp;"-"&amp;RIGHT(B384,2)</f>
        <v>ene-24</v>
      </c>
    </row>
    <row r="385" customFormat="false" ht="15" hidden="false" customHeight="false" outlineLevel="0" collapsed="false">
      <c r="A385" s="8" t="n">
        <f aca="false">A384+1</f>
        <v>45310</v>
      </c>
      <c r="B385" s="7" t="n">
        <f aca="false">YEAR(A385)</f>
        <v>2024</v>
      </c>
      <c r="C385" s="7" t="n">
        <f aca="false">MONTH(A385)</f>
        <v>1</v>
      </c>
      <c r="D385" s="8" t="n">
        <f aca="false">DATE(B385,C385,1)</f>
        <v>45292</v>
      </c>
      <c r="E385" s="7" t="str">
        <f aca="false">CHOOSE(C385,"ene","feb","mar","abr","may","jun","jul","ago","sep","oct","nov","dic")</f>
        <v>ene</v>
      </c>
      <c r="F385" s="7" t="str">
        <f aca="false">CHOOSE(C385,"enero","febrero","marzo","abril","mayo","junio","julio","agosto","septiembre","octubre","noviembre","diciembre")</f>
        <v>enero</v>
      </c>
      <c r="G385" s="7" t="str">
        <f aca="false">E385&amp;"-"&amp;RIGHT(B385,2)</f>
        <v>ene-24</v>
      </c>
    </row>
    <row r="386" customFormat="false" ht="15" hidden="false" customHeight="false" outlineLevel="0" collapsed="false">
      <c r="A386" s="8" t="n">
        <f aca="false">A385+1</f>
        <v>45311</v>
      </c>
      <c r="B386" s="7" t="n">
        <f aca="false">YEAR(A386)</f>
        <v>2024</v>
      </c>
      <c r="C386" s="7" t="n">
        <f aca="false">MONTH(A386)</f>
        <v>1</v>
      </c>
      <c r="D386" s="8" t="n">
        <f aca="false">DATE(B386,C386,1)</f>
        <v>45292</v>
      </c>
      <c r="E386" s="7" t="str">
        <f aca="false">CHOOSE(C386,"ene","feb","mar","abr","may","jun","jul","ago","sep","oct","nov","dic")</f>
        <v>ene</v>
      </c>
      <c r="F386" s="7" t="str">
        <f aca="false">CHOOSE(C386,"enero","febrero","marzo","abril","mayo","junio","julio","agosto","septiembre","octubre","noviembre","diciembre")</f>
        <v>enero</v>
      </c>
      <c r="G386" s="7" t="str">
        <f aca="false">E386&amp;"-"&amp;RIGHT(B386,2)</f>
        <v>ene-24</v>
      </c>
    </row>
    <row r="387" customFormat="false" ht="15" hidden="false" customHeight="false" outlineLevel="0" collapsed="false">
      <c r="A387" s="8" t="n">
        <f aca="false">A386+1</f>
        <v>45312</v>
      </c>
      <c r="B387" s="7" t="n">
        <f aca="false">YEAR(A387)</f>
        <v>2024</v>
      </c>
      <c r="C387" s="7" t="n">
        <f aca="false">MONTH(A387)</f>
        <v>1</v>
      </c>
      <c r="D387" s="8" t="n">
        <f aca="false">DATE(B387,C387,1)</f>
        <v>45292</v>
      </c>
      <c r="E387" s="7" t="str">
        <f aca="false">CHOOSE(C387,"ene","feb","mar","abr","may","jun","jul","ago","sep","oct","nov","dic")</f>
        <v>ene</v>
      </c>
      <c r="F387" s="7" t="str">
        <f aca="false">CHOOSE(C387,"enero","febrero","marzo","abril","mayo","junio","julio","agosto","septiembre","octubre","noviembre","diciembre")</f>
        <v>enero</v>
      </c>
      <c r="G387" s="7" t="str">
        <f aca="false">E387&amp;"-"&amp;RIGHT(B387,2)</f>
        <v>ene-24</v>
      </c>
    </row>
    <row r="388" customFormat="false" ht="15" hidden="false" customHeight="false" outlineLevel="0" collapsed="false">
      <c r="A388" s="8" t="n">
        <f aca="false">A387+1</f>
        <v>45313</v>
      </c>
      <c r="B388" s="7" t="n">
        <f aca="false">YEAR(A388)</f>
        <v>2024</v>
      </c>
      <c r="C388" s="7" t="n">
        <f aca="false">MONTH(A388)</f>
        <v>1</v>
      </c>
      <c r="D388" s="8" t="n">
        <f aca="false">DATE(B388,C388,1)</f>
        <v>45292</v>
      </c>
      <c r="E388" s="7" t="str">
        <f aca="false">CHOOSE(C388,"ene","feb","mar","abr","may","jun","jul","ago","sep","oct","nov","dic")</f>
        <v>ene</v>
      </c>
      <c r="F388" s="7" t="str">
        <f aca="false">CHOOSE(C388,"enero","febrero","marzo","abril","mayo","junio","julio","agosto","septiembre","octubre","noviembre","diciembre")</f>
        <v>enero</v>
      </c>
      <c r="G388" s="7" t="str">
        <f aca="false">E388&amp;"-"&amp;RIGHT(B388,2)</f>
        <v>ene-24</v>
      </c>
    </row>
    <row r="389" customFormat="false" ht="15" hidden="false" customHeight="false" outlineLevel="0" collapsed="false">
      <c r="A389" s="8" t="n">
        <f aca="false">A388+1</f>
        <v>45314</v>
      </c>
      <c r="B389" s="7" t="n">
        <f aca="false">YEAR(A389)</f>
        <v>2024</v>
      </c>
      <c r="C389" s="7" t="n">
        <f aca="false">MONTH(A389)</f>
        <v>1</v>
      </c>
      <c r="D389" s="8" t="n">
        <f aca="false">DATE(B389,C389,1)</f>
        <v>45292</v>
      </c>
      <c r="E389" s="7" t="str">
        <f aca="false">CHOOSE(C389,"ene","feb","mar","abr","may","jun","jul","ago","sep","oct","nov","dic")</f>
        <v>ene</v>
      </c>
      <c r="F389" s="7" t="str">
        <f aca="false">CHOOSE(C389,"enero","febrero","marzo","abril","mayo","junio","julio","agosto","septiembre","octubre","noviembre","diciembre")</f>
        <v>enero</v>
      </c>
      <c r="G389" s="7" t="str">
        <f aca="false">E389&amp;"-"&amp;RIGHT(B389,2)</f>
        <v>ene-24</v>
      </c>
    </row>
    <row r="390" customFormat="false" ht="15" hidden="false" customHeight="false" outlineLevel="0" collapsed="false">
      <c r="A390" s="8" t="n">
        <f aca="false">A389+1</f>
        <v>45315</v>
      </c>
      <c r="B390" s="7" t="n">
        <f aca="false">YEAR(A390)</f>
        <v>2024</v>
      </c>
      <c r="C390" s="7" t="n">
        <f aca="false">MONTH(A390)</f>
        <v>1</v>
      </c>
      <c r="D390" s="8" t="n">
        <f aca="false">DATE(B390,C390,1)</f>
        <v>45292</v>
      </c>
      <c r="E390" s="7" t="str">
        <f aca="false">CHOOSE(C390,"ene","feb","mar","abr","may","jun","jul","ago","sep","oct","nov","dic")</f>
        <v>ene</v>
      </c>
      <c r="F390" s="7" t="str">
        <f aca="false">CHOOSE(C390,"enero","febrero","marzo","abril","mayo","junio","julio","agosto","septiembre","octubre","noviembre","diciembre")</f>
        <v>enero</v>
      </c>
      <c r="G390" s="7" t="str">
        <f aca="false">E390&amp;"-"&amp;RIGHT(B390,2)</f>
        <v>ene-24</v>
      </c>
    </row>
    <row r="391" customFormat="false" ht="15" hidden="false" customHeight="false" outlineLevel="0" collapsed="false">
      <c r="A391" s="8" t="n">
        <f aca="false">A390+1</f>
        <v>45316</v>
      </c>
      <c r="B391" s="7" t="n">
        <f aca="false">YEAR(A391)</f>
        <v>2024</v>
      </c>
      <c r="C391" s="7" t="n">
        <f aca="false">MONTH(A391)</f>
        <v>1</v>
      </c>
      <c r="D391" s="8" t="n">
        <f aca="false">DATE(B391,C391,1)</f>
        <v>45292</v>
      </c>
      <c r="E391" s="7" t="str">
        <f aca="false">CHOOSE(C391,"ene","feb","mar","abr","may","jun","jul","ago","sep","oct","nov","dic")</f>
        <v>ene</v>
      </c>
      <c r="F391" s="7" t="str">
        <f aca="false">CHOOSE(C391,"enero","febrero","marzo","abril","mayo","junio","julio","agosto","septiembre","octubre","noviembre","diciembre")</f>
        <v>enero</v>
      </c>
      <c r="G391" s="7" t="str">
        <f aca="false">E391&amp;"-"&amp;RIGHT(B391,2)</f>
        <v>ene-24</v>
      </c>
    </row>
    <row r="392" customFormat="false" ht="15" hidden="false" customHeight="false" outlineLevel="0" collapsed="false">
      <c r="A392" s="8" t="n">
        <f aca="false">A391+1</f>
        <v>45317</v>
      </c>
      <c r="B392" s="7" t="n">
        <f aca="false">YEAR(A392)</f>
        <v>2024</v>
      </c>
      <c r="C392" s="7" t="n">
        <f aca="false">MONTH(A392)</f>
        <v>1</v>
      </c>
      <c r="D392" s="8" t="n">
        <f aca="false">DATE(B392,C392,1)</f>
        <v>45292</v>
      </c>
      <c r="E392" s="7" t="str">
        <f aca="false">CHOOSE(C392,"ene","feb","mar","abr","may","jun","jul","ago","sep","oct","nov","dic")</f>
        <v>ene</v>
      </c>
      <c r="F392" s="7" t="str">
        <f aca="false">CHOOSE(C392,"enero","febrero","marzo","abril","mayo","junio","julio","agosto","septiembre","octubre","noviembre","diciembre")</f>
        <v>enero</v>
      </c>
      <c r="G392" s="7" t="str">
        <f aca="false">E392&amp;"-"&amp;RIGHT(B392,2)</f>
        <v>ene-24</v>
      </c>
    </row>
    <row r="393" customFormat="false" ht="15" hidden="false" customHeight="false" outlineLevel="0" collapsed="false">
      <c r="A393" s="8" t="n">
        <f aca="false">A392+1</f>
        <v>45318</v>
      </c>
      <c r="B393" s="7" t="n">
        <f aca="false">YEAR(A393)</f>
        <v>2024</v>
      </c>
      <c r="C393" s="7" t="n">
        <f aca="false">MONTH(A393)</f>
        <v>1</v>
      </c>
      <c r="D393" s="8" t="n">
        <f aca="false">DATE(B393,C393,1)</f>
        <v>45292</v>
      </c>
      <c r="E393" s="7" t="str">
        <f aca="false">CHOOSE(C393,"ene","feb","mar","abr","may","jun","jul","ago","sep","oct","nov","dic")</f>
        <v>ene</v>
      </c>
      <c r="F393" s="7" t="str">
        <f aca="false">CHOOSE(C393,"enero","febrero","marzo","abril","mayo","junio","julio","agosto","septiembre","octubre","noviembre","diciembre")</f>
        <v>enero</v>
      </c>
      <c r="G393" s="7" t="str">
        <f aca="false">E393&amp;"-"&amp;RIGHT(B393,2)</f>
        <v>ene-24</v>
      </c>
    </row>
    <row r="394" customFormat="false" ht="15" hidden="false" customHeight="false" outlineLevel="0" collapsed="false">
      <c r="A394" s="8" t="n">
        <f aca="false">A393+1</f>
        <v>45319</v>
      </c>
      <c r="B394" s="7" t="n">
        <f aca="false">YEAR(A394)</f>
        <v>2024</v>
      </c>
      <c r="C394" s="7" t="n">
        <f aca="false">MONTH(A394)</f>
        <v>1</v>
      </c>
      <c r="D394" s="8" t="n">
        <f aca="false">DATE(B394,C394,1)</f>
        <v>45292</v>
      </c>
      <c r="E394" s="7" t="str">
        <f aca="false">CHOOSE(C394,"ene","feb","mar","abr","may","jun","jul","ago","sep","oct","nov","dic")</f>
        <v>ene</v>
      </c>
      <c r="F394" s="7" t="str">
        <f aca="false">CHOOSE(C394,"enero","febrero","marzo","abril","mayo","junio","julio","agosto","septiembre","octubre","noviembre","diciembre")</f>
        <v>enero</v>
      </c>
      <c r="G394" s="7" t="str">
        <f aca="false">E394&amp;"-"&amp;RIGHT(B394,2)</f>
        <v>ene-24</v>
      </c>
    </row>
    <row r="395" customFormat="false" ht="15" hidden="false" customHeight="false" outlineLevel="0" collapsed="false">
      <c r="A395" s="8" t="n">
        <f aca="false">A394+1</f>
        <v>45320</v>
      </c>
      <c r="B395" s="7" t="n">
        <f aca="false">YEAR(A395)</f>
        <v>2024</v>
      </c>
      <c r="C395" s="7" t="n">
        <f aca="false">MONTH(A395)</f>
        <v>1</v>
      </c>
      <c r="D395" s="8" t="n">
        <f aca="false">DATE(B395,C395,1)</f>
        <v>45292</v>
      </c>
      <c r="E395" s="7" t="str">
        <f aca="false">CHOOSE(C395,"ene","feb","mar","abr","may","jun","jul","ago","sep","oct","nov","dic")</f>
        <v>ene</v>
      </c>
      <c r="F395" s="7" t="str">
        <f aca="false">CHOOSE(C395,"enero","febrero","marzo","abril","mayo","junio","julio","agosto","septiembre","octubre","noviembre","diciembre")</f>
        <v>enero</v>
      </c>
      <c r="G395" s="7" t="str">
        <f aca="false">E395&amp;"-"&amp;RIGHT(B395,2)</f>
        <v>ene-24</v>
      </c>
    </row>
    <row r="396" customFormat="false" ht="15" hidden="false" customHeight="false" outlineLevel="0" collapsed="false">
      <c r="A396" s="8" t="n">
        <f aca="false">A395+1</f>
        <v>45321</v>
      </c>
      <c r="B396" s="7" t="n">
        <f aca="false">YEAR(A396)</f>
        <v>2024</v>
      </c>
      <c r="C396" s="7" t="n">
        <f aca="false">MONTH(A396)</f>
        <v>1</v>
      </c>
      <c r="D396" s="8" t="n">
        <f aca="false">DATE(B396,C396,1)</f>
        <v>45292</v>
      </c>
      <c r="E396" s="7" t="str">
        <f aca="false">CHOOSE(C396,"ene","feb","mar","abr","may","jun","jul","ago","sep","oct","nov","dic")</f>
        <v>ene</v>
      </c>
      <c r="F396" s="7" t="str">
        <f aca="false">CHOOSE(C396,"enero","febrero","marzo","abril","mayo","junio","julio","agosto","septiembre","octubre","noviembre","diciembre")</f>
        <v>enero</v>
      </c>
      <c r="G396" s="7" t="str">
        <f aca="false">E396&amp;"-"&amp;RIGHT(B396,2)</f>
        <v>ene-24</v>
      </c>
    </row>
    <row r="397" customFormat="false" ht="15" hidden="false" customHeight="false" outlineLevel="0" collapsed="false">
      <c r="A397" s="8" t="n">
        <f aca="false">A396+1</f>
        <v>45322</v>
      </c>
      <c r="B397" s="7" t="n">
        <f aca="false">YEAR(A397)</f>
        <v>2024</v>
      </c>
      <c r="C397" s="7" t="n">
        <f aca="false">MONTH(A397)</f>
        <v>1</v>
      </c>
      <c r="D397" s="8" t="n">
        <f aca="false">DATE(B397,C397,1)</f>
        <v>45292</v>
      </c>
      <c r="E397" s="7" t="str">
        <f aca="false">CHOOSE(C397,"ene","feb","mar","abr","may","jun","jul","ago","sep","oct","nov","dic")</f>
        <v>ene</v>
      </c>
      <c r="F397" s="7" t="str">
        <f aca="false">CHOOSE(C397,"enero","febrero","marzo","abril","mayo","junio","julio","agosto","septiembre","octubre","noviembre","diciembre")</f>
        <v>enero</v>
      </c>
      <c r="G397" s="7" t="str">
        <f aca="false">E397&amp;"-"&amp;RIGHT(B397,2)</f>
        <v>ene-24</v>
      </c>
    </row>
    <row r="398" customFormat="false" ht="15" hidden="false" customHeight="false" outlineLevel="0" collapsed="false">
      <c r="A398" s="8" t="n">
        <f aca="false">A397+1</f>
        <v>45323</v>
      </c>
      <c r="B398" s="7" t="n">
        <f aca="false">YEAR(A398)</f>
        <v>2024</v>
      </c>
      <c r="C398" s="7" t="n">
        <f aca="false">MONTH(A398)</f>
        <v>2</v>
      </c>
      <c r="D398" s="8" t="n">
        <f aca="false">DATE(B398,C398,1)</f>
        <v>45323</v>
      </c>
      <c r="E398" s="7" t="str">
        <f aca="false">CHOOSE(C398,"ene","feb","mar","abr","may","jun","jul","ago","sep","oct","nov","dic")</f>
        <v>feb</v>
      </c>
      <c r="F398" s="7" t="str">
        <f aca="false">CHOOSE(C398,"enero","febrero","marzo","abril","mayo","junio","julio","agosto","septiembre","octubre","noviembre","diciembre")</f>
        <v>febrero</v>
      </c>
      <c r="G398" s="7" t="str">
        <f aca="false">E398&amp;"-"&amp;RIGHT(B398,2)</f>
        <v>feb-24</v>
      </c>
    </row>
    <row r="399" customFormat="false" ht="15" hidden="false" customHeight="false" outlineLevel="0" collapsed="false">
      <c r="A399" s="8" t="n">
        <f aca="false">A398+1</f>
        <v>45324</v>
      </c>
      <c r="B399" s="7" t="n">
        <f aca="false">YEAR(A399)</f>
        <v>2024</v>
      </c>
      <c r="C399" s="7" t="n">
        <f aca="false">MONTH(A399)</f>
        <v>2</v>
      </c>
      <c r="D399" s="8" t="n">
        <f aca="false">DATE(B399,C399,1)</f>
        <v>45323</v>
      </c>
      <c r="E399" s="7" t="str">
        <f aca="false">CHOOSE(C399,"ene","feb","mar","abr","may","jun","jul","ago","sep","oct","nov","dic")</f>
        <v>feb</v>
      </c>
      <c r="F399" s="7" t="str">
        <f aca="false">CHOOSE(C399,"enero","febrero","marzo","abril","mayo","junio","julio","agosto","septiembre","octubre","noviembre","diciembre")</f>
        <v>febrero</v>
      </c>
      <c r="G399" s="7" t="str">
        <f aca="false">E399&amp;"-"&amp;RIGHT(B399,2)</f>
        <v>feb-24</v>
      </c>
    </row>
    <row r="400" customFormat="false" ht="15" hidden="false" customHeight="false" outlineLevel="0" collapsed="false">
      <c r="A400" s="8" t="n">
        <f aca="false">A399+1</f>
        <v>45325</v>
      </c>
      <c r="B400" s="7" t="n">
        <f aca="false">YEAR(A400)</f>
        <v>2024</v>
      </c>
      <c r="C400" s="7" t="n">
        <f aca="false">MONTH(A400)</f>
        <v>2</v>
      </c>
      <c r="D400" s="8" t="n">
        <f aca="false">DATE(B400,C400,1)</f>
        <v>45323</v>
      </c>
      <c r="E400" s="7" t="str">
        <f aca="false">CHOOSE(C400,"ene","feb","mar","abr","may","jun","jul","ago","sep","oct","nov","dic")</f>
        <v>feb</v>
      </c>
      <c r="F400" s="7" t="str">
        <f aca="false">CHOOSE(C400,"enero","febrero","marzo","abril","mayo","junio","julio","agosto","septiembre","octubre","noviembre","diciembre")</f>
        <v>febrero</v>
      </c>
      <c r="G400" s="7" t="str">
        <f aca="false">E400&amp;"-"&amp;RIGHT(B400,2)</f>
        <v>feb-24</v>
      </c>
    </row>
    <row r="401" customFormat="false" ht="15" hidden="false" customHeight="false" outlineLevel="0" collapsed="false">
      <c r="A401" s="8" t="n">
        <f aca="false">A400+1</f>
        <v>45326</v>
      </c>
      <c r="B401" s="7" t="n">
        <f aca="false">YEAR(A401)</f>
        <v>2024</v>
      </c>
      <c r="C401" s="7" t="n">
        <f aca="false">MONTH(A401)</f>
        <v>2</v>
      </c>
      <c r="D401" s="8" t="n">
        <f aca="false">DATE(B401,C401,1)</f>
        <v>45323</v>
      </c>
      <c r="E401" s="7" t="str">
        <f aca="false">CHOOSE(C401,"ene","feb","mar","abr","may","jun","jul","ago","sep","oct","nov","dic")</f>
        <v>feb</v>
      </c>
      <c r="F401" s="7" t="str">
        <f aca="false">CHOOSE(C401,"enero","febrero","marzo","abril","mayo","junio","julio","agosto","septiembre","octubre","noviembre","diciembre")</f>
        <v>febrero</v>
      </c>
      <c r="G401" s="7" t="str">
        <f aca="false">E401&amp;"-"&amp;RIGHT(B401,2)</f>
        <v>feb-24</v>
      </c>
    </row>
    <row r="402" customFormat="false" ht="15" hidden="false" customHeight="false" outlineLevel="0" collapsed="false">
      <c r="A402" s="8" t="n">
        <f aca="false">A401+1</f>
        <v>45327</v>
      </c>
      <c r="B402" s="7" t="n">
        <f aca="false">YEAR(A402)</f>
        <v>2024</v>
      </c>
      <c r="C402" s="7" t="n">
        <f aca="false">MONTH(A402)</f>
        <v>2</v>
      </c>
      <c r="D402" s="8" t="n">
        <f aca="false">DATE(B402,C402,1)</f>
        <v>45323</v>
      </c>
      <c r="E402" s="7" t="str">
        <f aca="false">CHOOSE(C402,"ene","feb","mar","abr","may","jun","jul","ago","sep","oct","nov","dic")</f>
        <v>feb</v>
      </c>
      <c r="F402" s="7" t="str">
        <f aca="false">CHOOSE(C402,"enero","febrero","marzo","abril","mayo","junio","julio","agosto","septiembre","octubre","noviembre","diciembre")</f>
        <v>febrero</v>
      </c>
      <c r="G402" s="7" t="str">
        <f aca="false">E402&amp;"-"&amp;RIGHT(B402,2)</f>
        <v>feb-24</v>
      </c>
    </row>
    <row r="403" customFormat="false" ht="15" hidden="false" customHeight="false" outlineLevel="0" collapsed="false">
      <c r="A403" s="8" t="n">
        <f aca="false">A402+1</f>
        <v>45328</v>
      </c>
      <c r="B403" s="7" t="n">
        <f aca="false">YEAR(A403)</f>
        <v>2024</v>
      </c>
      <c r="C403" s="7" t="n">
        <f aca="false">MONTH(A403)</f>
        <v>2</v>
      </c>
      <c r="D403" s="8" t="n">
        <f aca="false">DATE(B403,C403,1)</f>
        <v>45323</v>
      </c>
      <c r="E403" s="7" t="str">
        <f aca="false">CHOOSE(C403,"ene","feb","mar","abr","may","jun","jul","ago","sep","oct","nov","dic")</f>
        <v>feb</v>
      </c>
      <c r="F403" s="7" t="str">
        <f aca="false">CHOOSE(C403,"enero","febrero","marzo","abril","mayo","junio","julio","agosto","septiembre","octubre","noviembre","diciembre")</f>
        <v>febrero</v>
      </c>
      <c r="G403" s="7" t="str">
        <f aca="false">E403&amp;"-"&amp;RIGHT(B403,2)</f>
        <v>feb-24</v>
      </c>
    </row>
    <row r="404" customFormat="false" ht="15" hidden="false" customHeight="false" outlineLevel="0" collapsed="false">
      <c r="A404" s="8" t="n">
        <f aca="false">A403+1</f>
        <v>45329</v>
      </c>
      <c r="B404" s="7" t="n">
        <f aca="false">YEAR(A404)</f>
        <v>2024</v>
      </c>
      <c r="C404" s="7" t="n">
        <f aca="false">MONTH(A404)</f>
        <v>2</v>
      </c>
      <c r="D404" s="8" t="n">
        <f aca="false">DATE(B404,C404,1)</f>
        <v>45323</v>
      </c>
      <c r="E404" s="7" t="str">
        <f aca="false">CHOOSE(C404,"ene","feb","mar","abr","may","jun","jul","ago","sep","oct","nov","dic")</f>
        <v>feb</v>
      </c>
      <c r="F404" s="7" t="str">
        <f aca="false">CHOOSE(C404,"enero","febrero","marzo","abril","mayo","junio","julio","agosto","septiembre","octubre","noviembre","diciembre")</f>
        <v>febrero</v>
      </c>
      <c r="G404" s="7" t="str">
        <f aca="false">E404&amp;"-"&amp;RIGHT(B404,2)</f>
        <v>feb-24</v>
      </c>
    </row>
    <row r="405" customFormat="false" ht="15" hidden="false" customHeight="false" outlineLevel="0" collapsed="false">
      <c r="A405" s="8" t="n">
        <f aca="false">A404+1</f>
        <v>45330</v>
      </c>
      <c r="B405" s="7" t="n">
        <f aca="false">YEAR(A405)</f>
        <v>2024</v>
      </c>
      <c r="C405" s="7" t="n">
        <f aca="false">MONTH(A405)</f>
        <v>2</v>
      </c>
      <c r="D405" s="8" t="n">
        <f aca="false">DATE(B405,C405,1)</f>
        <v>45323</v>
      </c>
      <c r="E405" s="7" t="str">
        <f aca="false">CHOOSE(C405,"ene","feb","mar","abr","may","jun","jul","ago","sep","oct","nov","dic")</f>
        <v>feb</v>
      </c>
      <c r="F405" s="7" t="str">
        <f aca="false">CHOOSE(C405,"enero","febrero","marzo","abril","mayo","junio","julio","agosto","septiembre","octubre","noviembre","diciembre")</f>
        <v>febrero</v>
      </c>
      <c r="G405" s="7" t="str">
        <f aca="false">E405&amp;"-"&amp;RIGHT(B405,2)</f>
        <v>feb-24</v>
      </c>
    </row>
    <row r="406" customFormat="false" ht="15" hidden="false" customHeight="false" outlineLevel="0" collapsed="false">
      <c r="A406" s="8" t="n">
        <f aca="false">A405+1</f>
        <v>45331</v>
      </c>
      <c r="B406" s="7" t="n">
        <f aca="false">YEAR(A406)</f>
        <v>2024</v>
      </c>
      <c r="C406" s="7" t="n">
        <f aca="false">MONTH(A406)</f>
        <v>2</v>
      </c>
      <c r="D406" s="8" t="n">
        <f aca="false">DATE(B406,C406,1)</f>
        <v>45323</v>
      </c>
      <c r="E406" s="7" t="str">
        <f aca="false">CHOOSE(C406,"ene","feb","mar","abr","may","jun","jul","ago","sep","oct","nov","dic")</f>
        <v>feb</v>
      </c>
      <c r="F406" s="7" t="str">
        <f aca="false">CHOOSE(C406,"enero","febrero","marzo","abril","mayo","junio","julio","agosto","septiembre","octubre","noviembre","diciembre")</f>
        <v>febrero</v>
      </c>
      <c r="G406" s="7" t="str">
        <f aca="false">E406&amp;"-"&amp;RIGHT(B406,2)</f>
        <v>feb-24</v>
      </c>
    </row>
    <row r="407" customFormat="false" ht="15" hidden="false" customHeight="false" outlineLevel="0" collapsed="false">
      <c r="A407" s="8" t="n">
        <f aca="false">A406+1</f>
        <v>45332</v>
      </c>
      <c r="B407" s="7" t="n">
        <f aca="false">YEAR(A407)</f>
        <v>2024</v>
      </c>
      <c r="C407" s="7" t="n">
        <f aca="false">MONTH(A407)</f>
        <v>2</v>
      </c>
      <c r="D407" s="8" t="n">
        <f aca="false">DATE(B407,C407,1)</f>
        <v>45323</v>
      </c>
      <c r="E407" s="7" t="str">
        <f aca="false">CHOOSE(C407,"ene","feb","mar","abr","may","jun","jul","ago","sep","oct","nov","dic")</f>
        <v>feb</v>
      </c>
      <c r="F407" s="7" t="str">
        <f aca="false">CHOOSE(C407,"enero","febrero","marzo","abril","mayo","junio","julio","agosto","septiembre","octubre","noviembre","diciembre")</f>
        <v>febrero</v>
      </c>
      <c r="G407" s="7" t="str">
        <f aca="false">E407&amp;"-"&amp;RIGHT(B407,2)</f>
        <v>feb-24</v>
      </c>
    </row>
    <row r="408" customFormat="false" ht="15" hidden="false" customHeight="false" outlineLevel="0" collapsed="false">
      <c r="A408" s="8" t="n">
        <f aca="false">A407+1</f>
        <v>45333</v>
      </c>
      <c r="B408" s="7" t="n">
        <f aca="false">YEAR(A408)</f>
        <v>2024</v>
      </c>
      <c r="C408" s="7" t="n">
        <f aca="false">MONTH(A408)</f>
        <v>2</v>
      </c>
      <c r="D408" s="8" t="n">
        <f aca="false">DATE(B408,C408,1)</f>
        <v>45323</v>
      </c>
      <c r="E408" s="7" t="str">
        <f aca="false">CHOOSE(C408,"ene","feb","mar","abr","may","jun","jul","ago","sep","oct","nov","dic")</f>
        <v>feb</v>
      </c>
      <c r="F408" s="7" t="str">
        <f aca="false">CHOOSE(C408,"enero","febrero","marzo","abril","mayo","junio","julio","agosto","septiembre","octubre","noviembre","diciembre")</f>
        <v>febrero</v>
      </c>
      <c r="G408" s="7" t="str">
        <f aca="false">E408&amp;"-"&amp;RIGHT(B408,2)</f>
        <v>feb-24</v>
      </c>
    </row>
    <row r="409" customFormat="false" ht="15" hidden="false" customHeight="false" outlineLevel="0" collapsed="false">
      <c r="A409" s="8" t="n">
        <f aca="false">A408+1</f>
        <v>45334</v>
      </c>
      <c r="B409" s="7" t="n">
        <f aca="false">YEAR(A409)</f>
        <v>2024</v>
      </c>
      <c r="C409" s="7" t="n">
        <f aca="false">MONTH(A409)</f>
        <v>2</v>
      </c>
      <c r="D409" s="8" t="n">
        <f aca="false">DATE(B409,C409,1)</f>
        <v>45323</v>
      </c>
      <c r="E409" s="7" t="str">
        <f aca="false">CHOOSE(C409,"ene","feb","mar","abr","may","jun","jul","ago","sep","oct","nov","dic")</f>
        <v>feb</v>
      </c>
      <c r="F409" s="7" t="str">
        <f aca="false">CHOOSE(C409,"enero","febrero","marzo","abril","mayo","junio","julio","agosto","septiembre","octubre","noviembre","diciembre")</f>
        <v>febrero</v>
      </c>
      <c r="G409" s="7" t="str">
        <f aca="false">E409&amp;"-"&amp;RIGHT(B409,2)</f>
        <v>feb-24</v>
      </c>
    </row>
    <row r="410" customFormat="false" ht="15" hidden="false" customHeight="false" outlineLevel="0" collapsed="false">
      <c r="A410" s="8" t="n">
        <f aca="false">A409+1</f>
        <v>45335</v>
      </c>
      <c r="B410" s="7" t="n">
        <f aca="false">YEAR(A410)</f>
        <v>2024</v>
      </c>
      <c r="C410" s="7" t="n">
        <f aca="false">MONTH(A410)</f>
        <v>2</v>
      </c>
      <c r="D410" s="8" t="n">
        <f aca="false">DATE(B410,C410,1)</f>
        <v>45323</v>
      </c>
      <c r="E410" s="7" t="str">
        <f aca="false">CHOOSE(C410,"ene","feb","mar","abr","may","jun","jul","ago","sep","oct","nov","dic")</f>
        <v>feb</v>
      </c>
      <c r="F410" s="7" t="str">
        <f aca="false">CHOOSE(C410,"enero","febrero","marzo","abril","mayo","junio","julio","agosto","septiembre","octubre","noviembre","diciembre")</f>
        <v>febrero</v>
      </c>
      <c r="G410" s="7" t="str">
        <f aca="false">E410&amp;"-"&amp;RIGHT(B410,2)</f>
        <v>feb-24</v>
      </c>
    </row>
    <row r="411" customFormat="false" ht="15" hidden="false" customHeight="false" outlineLevel="0" collapsed="false">
      <c r="A411" s="8" t="n">
        <f aca="false">A410+1</f>
        <v>45336</v>
      </c>
      <c r="B411" s="7" t="n">
        <f aca="false">YEAR(A411)</f>
        <v>2024</v>
      </c>
      <c r="C411" s="7" t="n">
        <f aca="false">MONTH(A411)</f>
        <v>2</v>
      </c>
      <c r="D411" s="8" t="n">
        <f aca="false">DATE(B411,C411,1)</f>
        <v>45323</v>
      </c>
      <c r="E411" s="7" t="str">
        <f aca="false">CHOOSE(C411,"ene","feb","mar","abr","may","jun","jul","ago","sep","oct","nov","dic")</f>
        <v>feb</v>
      </c>
      <c r="F411" s="7" t="str">
        <f aca="false">CHOOSE(C411,"enero","febrero","marzo","abril","mayo","junio","julio","agosto","septiembre","octubre","noviembre","diciembre")</f>
        <v>febrero</v>
      </c>
      <c r="G411" s="7" t="str">
        <f aca="false">E411&amp;"-"&amp;RIGHT(B411,2)</f>
        <v>feb-24</v>
      </c>
    </row>
    <row r="412" customFormat="false" ht="15" hidden="false" customHeight="false" outlineLevel="0" collapsed="false">
      <c r="A412" s="8" t="n">
        <f aca="false">A411+1</f>
        <v>45337</v>
      </c>
      <c r="B412" s="7" t="n">
        <f aca="false">YEAR(A412)</f>
        <v>2024</v>
      </c>
      <c r="C412" s="7" t="n">
        <f aca="false">MONTH(A412)</f>
        <v>2</v>
      </c>
      <c r="D412" s="8" t="n">
        <f aca="false">DATE(B412,C412,1)</f>
        <v>45323</v>
      </c>
      <c r="E412" s="7" t="str">
        <f aca="false">CHOOSE(C412,"ene","feb","mar","abr","may","jun","jul","ago","sep","oct","nov","dic")</f>
        <v>feb</v>
      </c>
      <c r="F412" s="7" t="str">
        <f aca="false">CHOOSE(C412,"enero","febrero","marzo","abril","mayo","junio","julio","agosto","septiembre","octubre","noviembre","diciembre")</f>
        <v>febrero</v>
      </c>
      <c r="G412" s="7" t="str">
        <f aca="false">E412&amp;"-"&amp;RIGHT(B412,2)</f>
        <v>feb-24</v>
      </c>
    </row>
    <row r="413" customFormat="false" ht="15" hidden="false" customHeight="false" outlineLevel="0" collapsed="false">
      <c r="A413" s="8" t="n">
        <f aca="false">A412+1</f>
        <v>45338</v>
      </c>
      <c r="B413" s="7" t="n">
        <f aca="false">YEAR(A413)</f>
        <v>2024</v>
      </c>
      <c r="C413" s="7" t="n">
        <f aca="false">MONTH(A413)</f>
        <v>2</v>
      </c>
      <c r="D413" s="8" t="n">
        <f aca="false">DATE(B413,C413,1)</f>
        <v>45323</v>
      </c>
      <c r="E413" s="7" t="str">
        <f aca="false">CHOOSE(C413,"ene","feb","mar","abr","may","jun","jul","ago","sep","oct","nov","dic")</f>
        <v>feb</v>
      </c>
      <c r="F413" s="7" t="str">
        <f aca="false">CHOOSE(C413,"enero","febrero","marzo","abril","mayo","junio","julio","agosto","septiembre","octubre","noviembre","diciembre")</f>
        <v>febrero</v>
      </c>
      <c r="G413" s="7" t="str">
        <f aca="false">E413&amp;"-"&amp;RIGHT(B413,2)</f>
        <v>feb-24</v>
      </c>
    </row>
    <row r="414" customFormat="false" ht="15" hidden="false" customHeight="false" outlineLevel="0" collapsed="false">
      <c r="A414" s="8" t="n">
        <f aca="false">A413+1</f>
        <v>45339</v>
      </c>
      <c r="B414" s="7" t="n">
        <f aca="false">YEAR(A414)</f>
        <v>2024</v>
      </c>
      <c r="C414" s="7" t="n">
        <f aca="false">MONTH(A414)</f>
        <v>2</v>
      </c>
      <c r="D414" s="8" t="n">
        <f aca="false">DATE(B414,C414,1)</f>
        <v>45323</v>
      </c>
      <c r="E414" s="7" t="str">
        <f aca="false">CHOOSE(C414,"ene","feb","mar","abr","may","jun","jul","ago","sep","oct","nov","dic")</f>
        <v>feb</v>
      </c>
      <c r="F414" s="7" t="str">
        <f aca="false">CHOOSE(C414,"enero","febrero","marzo","abril","mayo","junio","julio","agosto","septiembre","octubre","noviembre","diciembre")</f>
        <v>febrero</v>
      </c>
      <c r="G414" s="7" t="str">
        <f aca="false">E414&amp;"-"&amp;RIGHT(B414,2)</f>
        <v>feb-24</v>
      </c>
    </row>
    <row r="415" customFormat="false" ht="15" hidden="false" customHeight="false" outlineLevel="0" collapsed="false">
      <c r="A415" s="8" t="n">
        <f aca="false">A414+1</f>
        <v>45340</v>
      </c>
      <c r="B415" s="7" t="n">
        <f aca="false">YEAR(A415)</f>
        <v>2024</v>
      </c>
      <c r="C415" s="7" t="n">
        <f aca="false">MONTH(A415)</f>
        <v>2</v>
      </c>
      <c r="D415" s="8" t="n">
        <f aca="false">DATE(B415,C415,1)</f>
        <v>45323</v>
      </c>
      <c r="E415" s="7" t="str">
        <f aca="false">CHOOSE(C415,"ene","feb","mar","abr","may","jun","jul","ago","sep","oct","nov","dic")</f>
        <v>feb</v>
      </c>
      <c r="F415" s="7" t="str">
        <f aca="false">CHOOSE(C415,"enero","febrero","marzo","abril","mayo","junio","julio","agosto","septiembre","octubre","noviembre","diciembre")</f>
        <v>febrero</v>
      </c>
      <c r="G415" s="7" t="str">
        <f aca="false">E415&amp;"-"&amp;RIGHT(B415,2)</f>
        <v>feb-24</v>
      </c>
    </row>
    <row r="416" customFormat="false" ht="15" hidden="false" customHeight="false" outlineLevel="0" collapsed="false">
      <c r="A416" s="8" t="n">
        <f aca="false">A415+1</f>
        <v>45341</v>
      </c>
      <c r="B416" s="7" t="n">
        <f aca="false">YEAR(A416)</f>
        <v>2024</v>
      </c>
      <c r="C416" s="7" t="n">
        <f aca="false">MONTH(A416)</f>
        <v>2</v>
      </c>
      <c r="D416" s="8" t="n">
        <f aca="false">DATE(B416,C416,1)</f>
        <v>45323</v>
      </c>
      <c r="E416" s="7" t="str">
        <f aca="false">CHOOSE(C416,"ene","feb","mar","abr","may","jun","jul","ago","sep","oct","nov","dic")</f>
        <v>feb</v>
      </c>
      <c r="F416" s="7" t="str">
        <f aca="false">CHOOSE(C416,"enero","febrero","marzo","abril","mayo","junio","julio","agosto","septiembre","octubre","noviembre","diciembre")</f>
        <v>febrero</v>
      </c>
      <c r="G416" s="7" t="str">
        <f aca="false">E416&amp;"-"&amp;RIGHT(B416,2)</f>
        <v>feb-24</v>
      </c>
    </row>
    <row r="417" customFormat="false" ht="15" hidden="false" customHeight="false" outlineLevel="0" collapsed="false">
      <c r="A417" s="8" t="n">
        <f aca="false">A416+1</f>
        <v>45342</v>
      </c>
      <c r="B417" s="7" t="n">
        <f aca="false">YEAR(A417)</f>
        <v>2024</v>
      </c>
      <c r="C417" s="7" t="n">
        <f aca="false">MONTH(A417)</f>
        <v>2</v>
      </c>
      <c r="D417" s="8" t="n">
        <f aca="false">DATE(B417,C417,1)</f>
        <v>45323</v>
      </c>
      <c r="E417" s="7" t="str">
        <f aca="false">CHOOSE(C417,"ene","feb","mar","abr","may","jun","jul","ago","sep","oct","nov","dic")</f>
        <v>feb</v>
      </c>
      <c r="F417" s="7" t="str">
        <f aca="false">CHOOSE(C417,"enero","febrero","marzo","abril","mayo","junio","julio","agosto","septiembre","octubre","noviembre","diciembre")</f>
        <v>febrero</v>
      </c>
      <c r="G417" s="7" t="str">
        <f aca="false">E417&amp;"-"&amp;RIGHT(B417,2)</f>
        <v>feb-24</v>
      </c>
    </row>
    <row r="418" customFormat="false" ht="15" hidden="false" customHeight="false" outlineLevel="0" collapsed="false">
      <c r="A418" s="8" t="n">
        <f aca="false">A417+1</f>
        <v>45343</v>
      </c>
      <c r="B418" s="7" t="n">
        <f aca="false">YEAR(A418)</f>
        <v>2024</v>
      </c>
      <c r="C418" s="7" t="n">
        <f aca="false">MONTH(A418)</f>
        <v>2</v>
      </c>
      <c r="D418" s="8" t="n">
        <f aca="false">DATE(B418,C418,1)</f>
        <v>45323</v>
      </c>
      <c r="E418" s="7" t="str">
        <f aca="false">CHOOSE(C418,"ene","feb","mar","abr","may","jun","jul","ago","sep","oct","nov","dic")</f>
        <v>feb</v>
      </c>
      <c r="F418" s="7" t="str">
        <f aca="false">CHOOSE(C418,"enero","febrero","marzo","abril","mayo","junio","julio","agosto","septiembre","octubre","noviembre","diciembre")</f>
        <v>febrero</v>
      </c>
      <c r="G418" s="7" t="str">
        <f aca="false">E418&amp;"-"&amp;RIGHT(B418,2)</f>
        <v>feb-24</v>
      </c>
    </row>
    <row r="419" customFormat="false" ht="15" hidden="false" customHeight="false" outlineLevel="0" collapsed="false">
      <c r="A419" s="8" t="n">
        <f aca="false">A418+1</f>
        <v>45344</v>
      </c>
      <c r="B419" s="7" t="n">
        <f aca="false">YEAR(A419)</f>
        <v>2024</v>
      </c>
      <c r="C419" s="7" t="n">
        <f aca="false">MONTH(A419)</f>
        <v>2</v>
      </c>
      <c r="D419" s="8" t="n">
        <f aca="false">DATE(B419,C419,1)</f>
        <v>45323</v>
      </c>
      <c r="E419" s="7" t="str">
        <f aca="false">CHOOSE(C419,"ene","feb","mar","abr","may","jun","jul","ago","sep","oct","nov","dic")</f>
        <v>feb</v>
      </c>
      <c r="F419" s="7" t="str">
        <f aca="false">CHOOSE(C419,"enero","febrero","marzo","abril","mayo","junio","julio","agosto","septiembre","octubre","noviembre","diciembre")</f>
        <v>febrero</v>
      </c>
      <c r="G419" s="7" t="str">
        <f aca="false">E419&amp;"-"&amp;RIGHT(B419,2)</f>
        <v>feb-24</v>
      </c>
    </row>
    <row r="420" customFormat="false" ht="15" hidden="false" customHeight="false" outlineLevel="0" collapsed="false">
      <c r="A420" s="8" t="n">
        <f aca="false">A419+1</f>
        <v>45345</v>
      </c>
      <c r="B420" s="7" t="n">
        <f aca="false">YEAR(A420)</f>
        <v>2024</v>
      </c>
      <c r="C420" s="7" t="n">
        <f aca="false">MONTH(A420)</f>
        <v>2</v>
      </c>
      <c r="D420" s="8" t="n">
        <f aca="false">DATE(B420,C420,1)</f>
        <v>45323</v>
      </c>
      <c r="E420" s="7" t="str">
        <f aca="false">CHOOSE(C420,"ene","feb","mar","abr","may","jun","jul","ago","sep","oct","nov","dic")</f>
        <v>feb</v>
      </c>
      <c r="F420" s="7" t="str">
        <f aca="false">CHOOSE(C420,"enero","febrero","marzo","abril","mayo","junio","julio","agosto","septiembre","octubre","noviembre","diciembre")</f>
        <v>febrero</v>
      </c>
      <c r="G420" s="7" t="str">
        <f aca="false">E420&amp;"-"&amp;RIGHT(B420,2)</f>
        <v>feb-24</v>
      </c>
    </row>
    <row r="421" customFormat="false" ht="15" hidden="false" customHeight="false" outlineLevel="0" collapsed="false">
      <c r="A421" s="8" t="n">
        <f aca="false">A420+1</f>
        <v>45346</v>
      </c>
      <c r="B421" s="7" t="n">
        <f aca="false">YEAR(A421)</f>
        <v>2024</v>
      </c>
      <c r="C421" s="7" t="n">
        <f aca="false">MONTH(A421)</f>
        <v>2</v>
      </c>
      <c r="D421" s="8" t="n">
        <f aca="false">DATE(B421,C421,1)</f>
        <v>45323</v>
      </c>
      <c r="E421" s="7" t="str">
        <f aca="false">CHOOSE(C421,"ene","feb","mar","abr","may","jun","jul","ago","sep","oct","nov","dic")</f>
        <v>feb</v>
      </c>
      <c r="F421" s="7" t="str">
        <f aca="false">CHOOSE(C421,"enero","febrero","marzo","abril","mayo","junio","julio","agosto","septiembre","octubre","noviembre","diciembre")</f>
        <v>febrero</v>
      </c>
      <c r="G421" s="7" t="str">
        <f aca="false">E421&amp;"-"&amp;RIGHT(B421,2)</f>
        <v>feb-24</v>
      </c>
    </row>
    <row r="422" customFormat="false" ht="15" hidden="false" customHeight="false" outlineLevel="0" collapsed="false">
      <c r="A422" s="8" t="n">
        <f aca="false">A421+1</f>
        <v>45347</v>
      </c>
      <c r="B422" s="7" t="n">
        <f aca="false">YEAR(A422)</f>
        <v>2024</v>
      </c>
      <c r="C422" s="7" t="n">
        <f aca="false">MONTH(A422)</f>
        <v>2</v>
      </c>
      <c r="D422" s="8" t="n">
        <f aca="false">DATE(B422,C422,1)</f>
        <v>45323</v>
      </c>
      <c r="E422" s="7" t="str">
        <f aca="false">CHOOSE(C422,"ene","feb","mar","abr","may","jun","jul","ago","sep","oct","nov","dic")</f>
        <v>feb</v>
      </c>
      <c r="F422" s="7" t="str">
        <f aca="false">CHOOSE(C422,"enero","febrero","marzo","abril","mayo","junio","julio","agosto","septiembre","octubre","noviembre","diciembre")</f>
        <v>febrero</v>
      </c>
      <c r="G422" s="7" t="str">
        <f aca="false">E422&amp;"-"&amp;RIGHT(B422,2)</f>
        <v>feb-24</v>
      </c>
    </row>
    <row r="423" customFormat="false" ht="15" hidden="false" customHeight="false" outlineLevel="0" collapsed="false">
      <c r="A423" s="8" t="n">
        <f aca="false">A422+1</f>
        <v>45348</v>
      </c>
      <c r="B423" s="7" t="n">
        <f aca="false">YEAR(A423)</f>
        <v>2024</v>
      </c>
      <c r="C423" s="7" t="n">
        <f aca="false">MONTH(A423)</f>
        <v>2</v>
      </c>
      <c r="D423" s="8" t="n">
        <f aca="false">DATE(B423,C423,1)</f>
        <v>45323</v>
      </c>
      <c r="E423" s="7" t="str">
        <f aca="false">CHOOSE(C423,"ene","feb","mar","abr","may","jun","jul","ago","sep","oct","nov","dic")</f>
        <v>feb</v>
      </c>
      <c r="F423" s="7" t="str">
        <f aca="false">CHOOSE(C423,"enero","febrero","marzo","abril","mayo","junio","julio","agosto","septiembre","octubre","noviembre","diciembre")</f>
        <v>febrero</v>
      </c>
      <c r="G423" s="7" t="str">
        <f aca="false">E423&amp;"-"&amp;RIGHT(B423,2)</f>
        <v>feb-24</v>
      </c>
    </row>
    <row r="424" customFormat="false" ht="15" hidden="false" customHeight="false" outlineLevel="0" collapsed="false">
      <c r="A424" s="8" t="n">
        <f aca="false">A423+1</f>
        <v>45349</v>
      </c>
      <c r="B424" s="7" t="n">
        <f aca="false">YEAR(A424)</f>
        <v>2024</v>
      </c>
      <c r="C424" s="7" t="n">
        <f aca="false">MONTH(A424)</f>
        <v>2</v>
      </c>
      <c r="D424" s="8" t="n">
        <f aca="false">DATE(B424,C424,1)</f>
        <v>45323</v>
      </c>
      <c r="E424" s="7" t="str">
        <f aca="false">CHOOSE(C424,"ene","feb","mar","abr","may","jun","jul","ago","sep","oct","nov","dic")</f>
        <v>feb</v>
      </c>
      <c r="F424" s="7" t="str">
        <f aca="false">CHOOSE(C424,"enero","febrero","marzo","abril","mayo","junio","julio","agosto","septiembre","octubre","noviembre","diciembre")</f>
        <v>febrero</v>
      </c>
      <c r="G424" s="7" t="str">
        <f aca="false">E424&amp;"-"&amp;RIGHT(B424,2)</f>
        <v>feb-24</v>
      </c>
    </row>
    <row r="425" customFormat="false" ht="15" hidden="false" customHeight="false" outlineLevel="0" collapsed="false">
      <c r="A425" s="8" t="n">
        <f aca="false">A424+1</f>
        <v>45350</v>
      </c>
      <c r="B425" s="7" t="n">
        <f aca="false">YEAR(A425)</f>
        <v>2024</v>
      </c>
      <c r="C425" s="7" t="n">
        <f aca="false">MONTH(A425)</f>
        <v>2</v>
      </c>
      <c r="D425" s="8" t="n">
        <f aca="false">DATE(B425,C425,1)</f>
        <v>45323</v>
      </c>
      <c r="E425" s="7" t="str">
        <f aca="false">CHOOSE(C425,"ene","feb","mar","abr","may","jun","jul","ago","sep","oct","nov","dic")</f>
        <v>feb</v>
      </c>
      <c r="F425" s="7" t="str">
        <f aca="false">CHOOSE(C425,"enero","febrero","marzo","abril","mayo","junio","julio","agosto","septiembre","octubre","noviembre","diciembre")</f>
        <v>febrero</v>
      </c>
      <c r="G425" s="7" t="str">
        <f aca="false">E425&amp;"-"&amp;RIGHT(B425,2)</f>
        <v>feb-24</v>
      </c>
    </row>
    <row r="426" customFormat="false" ht="15" hidden="false" customHeight="false" outlineLevel="0" collapsed="false">
      <c r="A426" s="8" t="n">
        <f aca="false">A425+1</f>
        <v>45351</v>
      </c>
      <c r="B426" s="7" t="n">
        <f aca="false">YEAR(A426)</f>
        <v>2024</v>
      </c>
      <c r="C426" s="7" t="n">
        <f aca="false">MONTH(A426)</f>
        <v>2</v>
      </c>
      <c r="D426" s="8" t="n">
        <f aca="false">DATE(B426,C426,1)</f>
        <v>45323</v>
      </c>
      <c r="E426" s="7" t="str">
        <f aca="false">CHOOSE(C426,"ene","feb","mar","abr","may","jun","jul","ago","sep","oct","nov","dic")</f>
        <v>feb</v>
      </c>
      <c r="F426" s="7" t="str">
        <f aca="false">CHOOSE(C426,"enero","febrero","marzo","abril","mayo","junio","julio","agosto","septiembre","octubre","noviembre","diciembre")</f>
        <v>febrero</v>
      </c>
      <c r="G426" s="7" t="str">
        <f aca="false">E426&amp;"-"&amp;RIGHT(B426,2)</f>
        <v>feb-24</v>
      </c>
    </row>
    <row r="427" customFormat="false" ht="15" hidden="false" customHeight="false" outlineLevel="0" collapsed="false">
      <c r="A427" s="8" t="n">
        <f aca="false">A426+1</f>
        <v>45352</v>
      </c>
      <c r="B427" s="7" t="n">
        <f aca="false">YEAR(A427)</f>
        <v>2024</v>
      </c>
      <c r="C427" s="7" t="n">
        <f aca="false">MONTH(A427)</f>
        <v>3</v>
      </c>
      <c r="D427" s="8" t="n">
        <f aca="false">DATE(B427,C427,1)</f>
        <v>45352</v>
      </c>
      <c r="E427" s="7" t="str">
        <f aca="false">CHOOSE(C427,"ene","feb","mar","abr","may","jun","jul","ago","sep","oct","nov","dic")</f>
        <v>mar</v>
      </c>
      <c r="F427" s="7" t="str">
        <f aca="false">CHOOSE(C427,"enero","febrero","marzo","abril","mayo","junio","julio","agosto","septiembre","octubre","noviembre","diciembre")</f>
        <v>marzo</v>
      </c>
      <c r="G427" s="7" t="str">
        <f aca="false">E427&amp;"-"&amp;RIGHT(B427,2)</f>
        <v>mar-24</v>
      </c>
    </row>
    <row r="428" customFormat="false" ht="15" hidden="false" customHeight="false" outlineLevel="0" collapsed="false">
      <c r="A428" s="8" t="n">
        <f aca="false">A427+1</f>
        <v>45353</v>
      </c>
      <c r="B428" s="7" t="n">
        <f aca="false">YEAR(A428)</f>
        <v>2024</v>
      </c>
      <c r="C428" s="7" t="n">
        <f aca="false">MONTH(A428)</f>
        <v>3</v>
      </c>
      <c r="D428" s="8" t="n">
        <f aca="false">DATE(B428,C428,1)</f>
        <v>45352</v>
      </c>
      <c r="E428" s="7" t="str">
        <f aca="false">CHOOSE(C428,"ene","feb","mar","abr","may","jun","jul","ago","sep","oct","nov","dic")</f>
        <v>mar</v>
      </c>
      <c r="F428" s="7" t="str">
        <f aca="false">CHOOSE(C428,"enero","febrero","marzo","abril","mayo","junio","julio","agosto","septiembre","octubre","noviembre","diciembre")</f>
        <v>marzo</v>
      </c>
      <c r="G428" s="7" t="str">
        <f aca="false">E428&amp;"-"&amp;RIGHT(B428,2)</f>
        <v>mar-24</v>
      </c>
    </row>
    <row r="429" customFormat="false" ht="15" hidden="false" customHeight="false" outlineLevel="0" collapsed="false">
      <c r="A429" s="8" t="n">
        <f aca="false">A428+1</f>
        <v>45354</v>
      </c>
      <c r="B429" s="7" t="n">
        <f aca="false">YEAR(A429)</f>
        <v>2024</v>
      </c>
      <c r="C429" s="7" t="n">
        <f aca="false">MONTH(A429)</f>
        <v>3</v>
      </c>
      <c r="D429" s="8" t="n">
        <f aca="false">DATE(B429,C429,1)</f>
        <v>45352</v>
      </c>
      <c r="E429" s="7" t="str">
        <f aca="false">CHOOSE(C429,"ene","feb","mar","abr","may","jun","jul","ago","sep","oct","nov","dic")</f>
        <v>mar</v>
      </c>
      <c r="F429" s="7" t="str">
        <f aca="false">CHOOSE(C429,"enero","febrero","marzo","abril","mayo","junio","julio","agosto","septiembre","octubre","noviembre","diciembre")</f>
        <v>marzo</v>
      </c>
      <c r="G429" s="7" t="str">
        <f aca="false">E429&amp;"-"&amp;RIGHT(B429,2)</f>
        <v>mar-24</v>
      </c>
    </row>
    <row r="430" customFormat="false" ht="15" hidden="false" customHeight="false" outlineLevel="0" collapsed="false">
      <c r="A430" s="8" t="n">
        <f aca="false">A429+1</f>
        <v>45355</v>
      </c>
      <c r="B430" s="7" t="n">
        <f aca="false">YEAR(A430)</f>
        <v>2024</v>
      </c>
      <c r="C430" s="7" t="n">
        <f aca="false">MONTH(A430)</f>
        <v>3</v>
      </c>
      <c r="D430" s="8" t="n">
        <f aca="false">DATE(B430,C430,1)</f>
        <v>45352</v>
      </c>
      <c r="E430" s="7" t="str">
        <f aca="false">CHOOSE(C430,"ene","feb","mar","abr","may","jun","jul","ago","sep","oct","nov","dic")</f>
        <v>mar</v>
      </c>
      <c r="F430" s="7" t="str">
        <f aca="false">CHOOSE(C430,"enero","febrero","marzo","abril","mayo","junio","julio","agosto","septiembre","octubre","noviembre","diciembre")</f>
        <v>marzo</v>
      </c>
      <c r="G430" s="7" t="str">
        <f aca="false">E430&amp;"-"&amp;RIGHT(B430,2)</f>
        <v>mar-24</v>
      </c>
    </row>
    <row r="431" customFormat="false" ht="15" hidden="false" customHeight="false" outlineLevel="0" collapsed="false">
      <c r="A431" s="8" t="n">
        <f aca="false">A430+1</f>
        <v>45356</v>
      </c>
      <c r="B431" s="7" t="n">
        <f aca="false">YEAR(A431)</f>
        <v>2024</v>
      </c>
      <c r="C431" s="7" t="n">
        <f aca="false">MONTH(A431)</f>
        <v>3</v>
      </c>
      <c r="D431" s="8" t="n">
        <f aca="false">DATE(B431,C431,1)</f>
        <v>45352</v>
      </c>
      <c r="E431" s="7" t="str">
        <f aca="false">CHOOSE(C431,"ene","feb","mar","abr","may","jun","jul","ago","sep","oct","nov","dic")</f>
        <v>mar</v>
      </c>
      <c r="F431" s="7" t="str">
        <f aca="false">CHOOSE(C431,"enero","febrero","marzo","abril","mayo","junio","julio","agosto","septiembre","octubre","noviembre","diciembre")</f>
        <v>marzo</v>
      </c>
      <c r="G431" s="7" t="str">
        <f aca="false">E431&amp;"-"&amp;RIGHT(B431,2)</f>
        <v>mar-24</v>
      </c>
    </row>
    <row r="432" customFormat="false" ht="15" hidden="false" customHeight="false" outlineLevel="0" collapsed="false">
      <c r="A432" s="8" t="n">
        <f aca="false">A431+1</f>
        <v>45357</v>
      </c>
      <c r="B432" s="7" t="n">
        <f aca="false">YEAR(A432)</f>
        <v>2024</v>
      </c>
      <c r="C432" s="7" t="n">
        <f aca="false">MONTH(A432)</f>
        <v>3</v>
      </c>
      <c r="D432" s="8" t="n">
        <f aca="false">DATE(B432,C432,1)</f>
        <v>45352</v>
      </c>
      <c r="E432" s="7" t="str">
        <f aca="false">CHOOSE(C432,"ene","feb","mar","abr","may","jun","jul","ago","sep","oct","nov","dic")</f>
        <v>mar</v>
      </c>
      <c r="F432" s="7" t="str">
        <f aca="false">CHOOSE(C432,"enero","febrero","marzo","abril","mayo","junio","julio","agosto","septiembre","octubre","noviembre","diciembre")</f>
        <v>marzo</v>
      </c>
      <c r="G432" s="7" t="str">
        <f aca="false">E432&amp;"-"&amp;RIGHT(B432,2)</f>
        <v>mar-24</v>
      </c>
    </row>
    <row r="433" customFormat="false" ht="15" hidden="false" customHeight="false" outlineLevel="0" collapsed="false">
      <c r="A433" s="8" t="n">
        <f aca="false">A432+1</f>
        <v>45358</v>
      </c>
      <c r="B433" s="7" t="n">
        <f aca="false">YEAR(A433)</f>
        <v>2024</v>
      </c>
      <c r="C433" s="7" t="n">
        <f aca="false">MONTH(A433)</f>
        <v>3</v>
      </c>
      <c r="D433" s="8" t="n">
        <f aca="false">DATE(B433,C433,1)</f>
        <v>45352</v>
      </c>
      <c r="E433" s="7" t="str">
        <f aca="false">CHOOSE(C433,"ene","feb","mar","abr","may","jun","jul","ago","sep","oct","nov","dic")</f>
        <v>mar</v>
      </c>
      <c r="F433" s="7" t="str">
        <f aca="false">CHOOSE(C433,"enero","febrero","marzo","abril","mayo","junio","julio","agosto","septiembre","octubre","noviembre","diciembre")</f>
        <v>marzo</v>
      </c>
      <c r="G433" s="7" t="str">
        <f aca="false">E433&amp;"-"&amp;RIGHT(B433,2)</f>
        <v>mar-24</v>
      </c>
    </row>
    <row r="434" customFormat="false" ht="15" hidden="false" customHeight="false" outlineLevel="0" collapsed="false">
      <c r="A434" s="8" t="n">
        <f aca="false">A433+1</f>
        <v>45359</v>
      </c>
      <c r="B434" s="7" t="n">
        <f aca="false">YEAR(A434)</f>
        <v>2024</v>
      </c>
      <c r="C434" s="7" t="n">
        <f aca="false">MONTH(A434)</f>
        <v>3</v>
      </c>
      <c r="D434" s="8" t="n">
        <f aca="false">DATE(B434,C434,1)</f>
        <v>45352</v>
      </c>
      <c r="E434" s="7" t="str">
        <f aca="false">CHOOSE(C434,"ene","feb","mar","abr","may","jun","jul","ago","sep","oct","nov","dic")</f>
        <v>mar</v>
      </c>
      <c r="F434" s="7" t="str">
        <f aca="false">CHOOSE(C434,"enero","febrero","marzo","abril","mayo","junio","julio","agosto","septiembre","octubre","noviembre","diciembre")</f>
        <v>marzo</v>
      </c>
      <c r="G434" s="7" t="str">
        <f aca="false">E434&amp;"-"&amp;RIGHT(B434,2)</f>
        <v>mar-24</v>
      </c>
    </row>
    <row r="435" customFormat="false" ht="15" hidden="false" customHeight="false" outlineLevel="0" collapsed="false">
      <c r="A435" s="8" t="n">
        <f aca="false">A434+1</f>
        <v>45360</v>
      </c>
      <c r="B435" s="7" t="n">
        <f aca="false">YEAR(A435)</f>
        <v>2024</v>
      </c>
      <c r="C435" s="7" t="n">
        <f aca="false">MONTH(A435)</f>
        <v>3</v>
      </c>
      <c r="D435" s="8" t="n">
        <f aca="false">DATE(B435,C435,1)</f>
        <v>45352</v>
      </c>
      <c r="E435" s="7" t="str">
        <f aca="false">CHOOSE(C435,"ene","feb","mar","abr","may","jun","jul","ago","sep","oct","nov","dic")</f>
        <v>mar</v>
      </c>
      <c r="F435" s="7" t="str">
        <f aca="false">CHOOSE(C435,"enero","febrero","marzo","abril","mayo","junio","julio","agosto","septiembre","octubre","noviembre","diciembre")</f>
        <v>marzo</v>
      </c>
      <c r="G435" s="7" t="str">
        <f aca="false">E435&amp;"-"&amp;RIGHT(B435,2)</f>
        <v>mar-24</v>
      </c>
    </row>
    <row r="436" customFormat="false" ht="15" hidden="false" customHeight="false" outlineLevel="0" collapsed="false">
      <c r="A436" s="8" t="n">
        <f aca="false">A435+1</f>
        <v>45361</v>
      </c>
      <c r="B436" s="7" t="n">
        <f aca="false">YEAR(A436)</f>
        <v>2024</v>
      </c>
      <c r="C436" s="7" t="n">
        <f aca="false">MONTH(A436)</f>
        <v>3</v>
      </c>
      <c r="D436" s="8" t="n">
        <f aca="false">DATE(B436,C436,1)</f>
        <v>45352</v>
      </c>
      <c r="E436" s="7" t="str">
        <f aca="false">CHOOSE(C436,"ene","feb","mar","abr","may","jun","jul","ago","sep","oct","nov","dic")</f>
        <v>mar</v>
      </c>
      <c r="F436" s="7" t="str">
        <f aca="false">CHOOSE(C436,"enero","febrero","marzo","abril","mayo","junio","julio","agosto","septiembre","octubre","noviembre","diciembre")</f>
        <v>marzo</v>
      </c>
      <c r="G436" s="7" t="str">
        <f aca="false">E436&amp;"-"&amp;RIGHT(B436,2)</f>
        <v>mar-24</v>
      </c>
    </row>
    <row r="437" customFormat="false" ht="15" hidden="false" customHeight="false" outlineLevel="0" collapsed="false">
      <c r="A437" s="8" t="n">
        <f aca="false">A436+1</f>
        <v>45362</v>
      </c>
      <c r="B437" s="7" t="n">
        <f aca="false">YEAR(A437)</f>
        <v>2024</v>
      </c>
      <c r="C437" s="7" t="n">
        <f aca="false">MONTH(A437)</f>
        <v>3</v>
      </c>
      <c r="D437" s="8" t="n">
        <f aca="false">DATE(B437,C437,1)</f>
        <v>45352</v>
      </c>
      <c r="E437" s="7" t="str">
        <f aca="false">CHOOSE(C437,"ene","feb","mar","abr","may","jun","jul","ago","sep","oct","nov","dic")</f>
        <v>mar</v>
      </c>
      <c r="F437" s="7" t="str">
        <f aca="false">CHOOSE(C437,"enero","febrero","marzo","abril","mayo","junio","julio","agosto","septiembre","octubre","noviembre","diciembre")</f>
        <v>marzo</v>
      </c>
      <c r="G437" s="7" t="str">
        <f aca="false">E437&amp;"-"&amp;RIGHT(B437,2)</f>
        <v>mar-24</v>
      </c>
    </row>
    <row r="438" customFormat="false" ht="15" hidden="false" customHeight="false" outlineLevel="0" collapsed="false">
      <c r="A438" s="8" t="n">
        <f aca="false">A437+1</f>
        <v>45363</v>
      </c>
      <c r="B438" s="7" t="n">
        <f aca="false">YEAR(A438)</f>
        <v>2024</v>
      </c>
      <c r="C438" s="7" t="n">
        <f aca="false">MONTH(A438)</f>
        <v>3</v>
      </c>
      <c r="D438" s="8" t="n">
        <f aca="false">DATE(B438,C438,1)</f>
        <v>45352</v>
      </c>
      <c r="E438" s="7" t="str">
        <f aca="false">CHOOSE(C438,"ene","feb","mar","abr","may","jun","jul","ago","sep","oct","nov","dic")</f>
        <v>mar</v>
      </c>
      <c r="F438" s="7" t="str">
        <f aca="false">CHOOSE(C438,"enero","febrero","marzo","abril","mayo","junio","julio","agosto","septiembre","octubre","noviembre","diciembre")</f>
        <v>marzo</v>
      </c>
      <c r="G438" s="7" t="str">
        <f aca="false">E438&amp;"-"&amp;RIGHT(B438,2)</f>
        <v>mar-24</v>
      </c>
    </row>
    <row r="439" customFormat="false" ht="15" hidden="false" customHeight="false" outlineLevel="0" collapsed="false">
      <c r="A439" s="8" t="n">
        <f aca="false">A438+1</f>
        <v>45364</v>
      </c>
      <c r="B439" s="7" t="n">
        <f aca="false">YEAR(A439)</f>
        <v>2024</v>
      </c>
      <c r="C439" s="7" t="n">
        <f aca="false">MONTH(A439)</f>
        <v>3</v>
      </c>
      <c r="D439" s="8" t="n">
        <f aca="false">DATE(B439,C439,1)</f>
        <v>45352</v>
      </c>
      <c r="E439" s="7" t="str">
        <f aca="false">CHOOSE(C439,"ene","feb","mar","abr","may","jun","jul","ago","sep","oct","nov","dic")</f>
        <v>mar</v>
      </c>
      <c r="F439" s="7" t="str">
        <f aca="false">CHOOSE(C439,"enero","febrero","marzo","abril","mayo","junio","julio","agosto","septiembre","octubre","noviembre","diciembre")</f>
        <v>marzo</v>
      </c>
      <c r="G439" s="7" t="str">
        <f aca="false">E439&amp;"-"&amp;RIGHT(B439,2)</f>
        <v>mar-24</v>
      </c>
    </row>
    <row r="440" customFormat="false" ht="15" hidden="false" customHeight="false" outlineLevel="0" collapsed="false">
      <c r="A440" s="8" t="n">
        <f aca="false">A439+1</f>
        <v>45365</v>
      </c>
      <c r="B440" s="7" t="n">
        <f aca="false">YEAR(A440)</f>
        <v>2024</v>
      </c>
      <c r="C440" s="7" t="n">
        <f aca="false">MONTH(A440)</f>
        <v>3</v>
      </c>
      <c r="D440" s="8" t="n">
        <f aca="false">DATE(B440,C440,1)</f>
        <v>45352</v>
      </c>
      <c r="E440" s="7" t="str">
        <f aca="false">CHOOSE(C440,"ene","feb","mar","abr","may","jun","jul","ago","sep","oct","nov","dic")</f>
        <v>mar</v>
      </c>
      <c r="F440" s="7" t="str">
        <f aca="false">CHOOSE(C440,"enero","febrero","marzo","abril","mayo","junio","julio","agosto","septiembre","octubre","noviembre","diciembre")</f>
        <v>marzo</v>
      </c>
      <c r="G440" s="7" t="str">
        <f aca="false">E440&amp;"-"&amp;RIGHT(B440,2)</f>
        <v>mar-24</v>
      </c>
    </row>
    <row r="441" customFormat="false" ht="15" hidden="false" customHeight="false" outlineLevel="0" collapsed="false">
      <c r="A441" s="8" t="n">
        <f aca="false">A440+1</f>
        <v>45366</v>
      </c>
      <c r="B441" s="7" t="n">
        <f aca="false">YEAR(A441)</f>
        <v>2024</v>
      </c>
      <c r="C441" s="7" t="n">
        <f aca="false">MONTH(A441)</f>
        <v>3</v>
      </c>
      <c r="D441" s="8" t="n">
        <f aca="false">DATE(B441,C441,1)</f>
        <v>45352</v>
      </c>
      <c r="E441" s="7" t="str">
        <f aca="false">CHOOSE(C441,"ene","feb","mar","abr","may","jun","jul","ago","sep","oct","nov","dic")</f>
        <v>mar</v>
      </c>
      <c r="F441" s="7" t="str">
        <f aca="false">CHOOSE(C441,"enero","febrero","marzo","abril","mayo","junio","julio","agosto","septiembre","octubre","noviembre","diciembre")</f>
        <v>marzo</v>
      </c>
      <c r="G441" s="7" t="str">
        <f aca="false">E441&amp;"-"&amp;RIGHT(B441,2)</f>
        <v>mar-24</v>
      </c>
    </row>
    <row r="442" customFormat="false" ht="15" hidden="false" customHeight="false" outlineLevel="0" collapsed="false">
      <c r="A442" s="8" t="n">
        <f aca="false">A441+1</f>
        <v>45367</v>
      </c>
      <c r="B442" s="7" t="n">
        <f aca="false">YEAR(A442)</f>
        <v>2024</v>
      </c>
      <c r="C442" s="7" t="n">
        <f aca="false">MONTH(A442)</f>
        <v>3</v>
      </c>
      <c r="D442" s="8" t="n">
        <f aca="false">DATE(B442,C442,1)</f>
        <v>45352</v>
      </c>
      <c r="E442" s="7" t="str">
        <f aca="false">CHOOSE(C442,"ene","feb","mar","abr","may","jun","jul","ago","sep","oct","nov","dic")</f>
        <v>mar</v>
      </c>
      <c r="F442" s="7" t="str">
        <f aca="false">CHOOSE(C442,"enero","febrero","marzo","abril","mayo","junio","julio","agosto","septiembre","octubre","noviembre","diciembre")</f>
        <v>marzo</v>
      </c>
      <c r="G442" s="7" t="str">
        <f aca="false">E442&amp;"-"&amp;RIGHT(B442,2)</f>
        <v>mar-24</v>
      </c>
    </row>
    <row r="443" customFormat="false" ht="15" hidden="false" customHeight="false" outlineLevel="0" collapsed="false">
      <c r="A443" s="8" t="n">
        <f aca="false">A442+1</f>
        <v>45368</v>
      </c>
      <c r="B443" s="7" t="n">
        <f aca="false">YEAR(A443)</f>
        <v>2024</v>
      </c>
      <c r="C443" s="7" t="n">
        <f aca="false">MONTH(A443)</f>
        <v>3</v>
      </c>
      <c r="D443" s="8" t="n">
        <f aca="false">DATE(B443,C443,1)</f>
        <v>45352</v>
      </c>
      <c r="E443" s="7" t="str">
        <f aca="false">CHOOSE(C443,"ene","feb","mar","abr","may","jun","jul","ago","sep","oct","nov","dic")</f>
        <v>mar</v>
      </c>
      <c r="F443" s="7" t="str">
        <f aca="false">CHOOSE(C443,"enero","febrero","marzo","abril","mayo","junio","julio","agosto","septiembre","octubre","noviembre","diciembre")</f>
        <v>marzo</v>
      </c>
      <c r="G443" s="7" t="str">
        <f aca="false">E443&amp;"-"&amp;RIGHT(B443,2)</f>
        <v>mar-24</v>
      </c>
    </row>
    <row r="444" customFormat="false" ht="15" hidden="false" customHeight="false" outlineLevel="0" collapsed="false">
      <c r="A444" s="8" t="n">
        <f aca="false">A443+1</f>
        <v>45369</v>
      </c>
      <c r="B444" s="7" t="n">
        <f aca="false">YEAR(A444)</f>
        <v>2024</v>
      </c>
      <c r="C444" s="7" t="n">
        <f aca="false">MONTH(A444)</f>
        <v>3</v>
      </c>
      <c r="D444" s="8" t="n">
        <f aca="false">DATE(B444,C444,1)</f>
        <v>45352</v>
      </c>
      <c r="E444" s="7" t="str">
        <f aca="false">CHOOSE(C444,"ene","feb","mar","abr","may","jun","jul","ago","sep","oct","nov","dic")</f>
        <v>mar</v>
      </c>
      <c r="F444" s="7" t="str">
        <f aca="false">CHOOSE(C444,"enero","febrero","marzo","abril","mayo","junio","julio","agosto","septiembre","octubre","noviembre","diciembre")</f>
        <v>marzo</v>
      </c>
      <c r="G444" s="7" t="str">
        <f aca="false">E444&amp;"-"&amp;RIGHT(B444,2)</f>
        <v>mar-24</v>
      </c>
    </row>
    <row r="445" customFormat="false" ht="15" hidden="false" customHeight="false" outlineLevel="0" collapsed="false">
      <c r="A445" s="8" t="n">
        <f aca="false">A444+1</f>
        <v>45370</v>
      </c>
      <c r="B445" s="7" t="n">
        <f aca="false">YEAR(A445)</f>
        <v>2024</v>
      </c>
      <c r="C445" s="7" t="n">
        <f aca="false">MONTH(A445)</f>
        <v>3</v>
      </c>
      <c r="D445" s="8" t="n">
        <f aca="false">DATE(B445,C445,1)</f>
        <v>45352</v>
      </c>
      <c r="E445" s="7" t="str">
        <f aca="false">CHOOSE(C445,"ene","feb","mar","abr","may","jun","jul","ago","sep","oct","nov","dic")</f>
        <v>mar</v>
      </c>
      <c r="F445" s="7" t="str">
        <f aca="false">CHOOSE(C445,"enero","febrero","marzo","abril","mayo","junio","julio","agosto","septiembre","octubre","noviembre","diciembre")</f>
        <v>marzo</v>
      </c>
      <c r="G445" s="7" t="str">
        <f aca="false">E445&amp;"-"&amp;RIGHT(B445,2)</f>
        <v>mar-24</v>
      </c>
    </row>
    <row r="446" customFormat="false" ht="15" hidden="false" customHeight="false" outlineLevel="0" collapsed="false">
      <c r="A446" s="8" t="n">
        <f aca="false">A445+1</f>
        <v>45371</v>
      </c>
      <c r="B446" s="7" t="n">
        <f aca="false">YEAR(A446)</f>
        <v>2024</v>
      </c>
      <c r="C446" s="7" t="n">
        <f aca="false">MONTH(A446)</f>
        <v>3</v>
      </c>
      <c r="D446" s="8" t="n">
        <f aca="false">DATE(B446,C446,1)</f>
        <v>45352</v>
      </c>
      <c r="E446" s="7" t="str">
        <f aca="false">CHOOSE(C446,"ene","feb","mar","abr","may","jun","jul","ago","sep","oct","nov","dic")</f>
        <v>mar</v>
      </c>
      <c r="F446" s="7" t="str">
        <f aca="false">CHOOSE(C446,"enero","febrero","marzo","abril","mayo","junio","julio","agosto","septiembre","octubre","noviembre","diciembre")</f>
        <v>marzo</v>
      </c>
      <c r="G446" s="7" t="str">
        <f aca="false">E446&amp;"-"&amp;RIGHT(B446,2)</f>
        <v>mar-24</v>
      </c>
    </row>
    <row r="447" customFormat="false" ht="15" hidden="false" customHeight="false" outlineLevel="0" collapsed="false">
      <c r="A447" s="8" t="n">
        <f aca="false">A446+1</f>
        <v>45372</v>
      </c>
      <c r="B447" s="7" t="n">
        <f aca="false">YEAR(A447)</f>
        <v>2024</v>
      </c>
      <c r="C447" s="7" t="n">
        <f aca="false">MONTH(A447)</f>
        <v>3</v>
      </c>
      <c r="D447" s="8" t="n">
        <f aca="false">DATE(B447,C447,1)</f>
        <v>45352</v>
      </c>
      <c r="E447" s="7" t="str">
        <f aca="false">CHOOSE(C447,"ene","feb","mar","abr","may","jun","jul","ago","sep","oct","nov","dic")</f>
        <v>mar</v>
      </c>
      <c r="F447" s="7" t="str">
        <f aca="false">CHOOSE(C447,"enero","febrero","marzo","abril","mayo","junio","julio","agosto","septiembre","octubre","noviembre","diciembre")</f>
        <v>marzo</v>
      </c>
      <c r="G447" s="7" t="str">
        <f aca="false">E447&amp;"-"&amp;RIGHT(B447,2)</f>
        <v>mar-24</v>
      </c>
    </row>
    <row r="448" customFormat="false" ht="15" hidden="false" customHeight="false" outlineLevel="0" collapsed="false">
      <c r="A448" s="8" t="n">
        <f aca="false">A447+1</f>
        <v>45373</v>
      </c>
      <c r="B448" s="7" t="n">
        <f aca="false">YEAR(A448)</f>
        <v>2024</v>
      </c>
      <c r="C448" s="7" t="n">
        <f aca="false">MONTH(A448)</f>
        <v>3</v>
      </c>
      <c r="D448" s="8" t="n">
        <f aca="false">DATE(B448,C448,1)</f>
        <v>45352</v>
      </c>
      <c r="E448" s="7" t="str">
        <f aca="false">CHOOSE(C448,"ene","feb","mar","abr","may","jun","jul","ago","sep","oct","nov","dic")</f>
        <v>mar</v>
      </c>
      <c r="F448" s="7" t="str">
        <f aca="false">CHOOSE(C448,"enero","febrero","marzo","abril","mayo","junio","julio","agosto","septiembre","octubre","noviembre","diciembre")</f>
        <v>marzo</v>
      </c>
      <c r="G448" s="7" t="str">
        <f aca="false">E448&amp;"-"&amp;RIGHT(B448,2)</f>
        <v>mar-24</v>
      </c>
    </row>
    <row r="449" customFormat="false" ht="15" hidden="false" customHeight="false" outlineLevel="0" collapsed="false">
      <c r="A449" s="8" t="n">
        <f aca="false">A448+1</f>
        <v>45374</v>
      </c>
      <c r="B449" s="7" t="n">
        <f aca="false">YEAR(A449)</f>
        <v>2024</v>
      </c>
      <c r="C449" s="7" t="n">
        <f aca="false">MONTH(A449)</f>
        <v>3</v>
      </c>
      <c r="D449" s="8" t="n">
        <f aca="false">DATE(B449,C449,1)</f>
        <v>45352</v>
      </c>
      <c r="E449" s="7" t="str">
        <f aca="false">CHOOSE(C449,"ene","feb","mar","abr","may","jun","jul","ago","sep","oct","nov","dic")</f>
        <v>mar</v>
      </c>
      <c r="F449" s="7" t="str">
        <f aca="false">CHOOSE(C449,"enero","febrero","marzo","abril","mayo","junio","julio","agosto","septiembre","octubre","noviembre","diciembre")</f>
        <v>marzo</v>
      </c>
      <c r="G449" s="7" t="str">
        <f aca="false">E449&amp;"-"&amp;RIGHT(B449,2)</f>
        <v>mar-24</v>
      </c>
    </row>
    <row r="450" customFormat="false" ht="15" hidden="false" customHeight="false" outlineLevel="0" collapsed="false">
      <c r="A450" s="8" t="n">
        <f aca="false">A449+1</f>
        <v>45375</v>
      </c>
      <c r="B450" s="7" t="n">
        <f aca="false">YEAR(A450)</f>
        <v>2024</v>
      </c>
      <c r="C450" s="7" t="n">
        <f aca="false">MONTH(A450)</f>
        <v>3</v>
      </c>
      <c r="D450" s="8" t="n">
        <f aca="false">DATE(B450,C450,1)</f>
        <v>45352</v>
      </c>
      <c r="E450" s="7" t="str">
        <f aca="false">CHOOSE(C450,"ene","feb","mar","abr","may","jun","jul","ago","sep","oct","nov","dic")</f>
        <v>mar</v>
      </c>
      <c r="F450" s="7" t="str">
        <f aca="false">CHOOSE(C450,"enero","febrero","marzo","abril","mayo","junio","julio","agosto","septiembre","octubre","noviembre","diciembre")</f>
        <v>marzo</v>
      </c>
      <c r="G450" s="7" t="str">
        <f aca="false">E450&amp;"-"&amp;RIGHT(B450,2)</f>
        <v>mar-24</v>
      </c>
    </row>
    <row r="451" customFormat="false" ht="15" hidden="false" customHeight="false" outlineLevel="0" collapsed="false">
      <c r="A451" s="8" t="n">
        <f aca="false">A450+1</f>
        <v>45376</v>
      </c>
      <c r="B451" s="7" t="n">
        <f aca="false">YEAR(A451)</f>
        <v>2024</v>
      </c>
      <c r="C451" s="7" t="n">
        <f aca="false">MONTH(A451)</f>
        <v>3</v>
      </c>
      <c r="D451" s="8" t="n">
        <f aca="false">DATE(B451,C451,1)</f>
        <v>45352</v>
      </c>
      <c r="E451" s="7" t="str">
        <f aca="false">CHOOSE(C451,"ene","feb","mar","abr","may","jun","jul","ago","sep","oct","nov","dic")</f>
        <v>mar</v>
      </c>
      <c r="F451" s="7" t="str">
        <f aca="false">CHOOSE(C451,"enero","febrero","marzo","abril","mayo","junio","julio","agosto","septiembre","octubre","noviembre","diciembre")</f>
        <v>marzo</v>
      </c>
      <c r="G451" s="7" t="str">
        <f aca="false">E451&amp;"-"&amp;RIGHT(B451,2)</f>
        <v>mar-24</v>
      </c>
    </row>
    <row r="452" customFormat="false" ht="15" hidden="false" customHeight="false" outlineLevel="0" collapsed="false">
      <c r="A452" s="8" t="n">
        <f aca="false">A451+1</f>
        <v>45377</v>
      </c>
      <c r="B452" s="7" t="n">
        <f aca="false">YEAR(A452)</f>
        <v>2024</v>
      </c>
      <c r="C452" s="7" t="n">
        <f aca="false">MONTH(A452)</f>
        <v>3</v>
      </c>
      <c r="D452" s="8" t="n">
        <f aca="false">DATE(B452,C452,1)</f>
        <v>45352</v>
      </c>
      <c r="E452" s="7" t="str">
        <f aca="false">CHOOSE(C452,"ene","feb","mar","abr","may","jun","jul","ago","sep","oct","nov","dic")</f>
        <v>mar</v>
      </c>
      <c r="F452" s="7" t="str">
        <f aca="false">CHOOSE(C452,"enero","febrero","marzo","abril","mayo","junio","julio","agosto","septiembre","octubre","noviembre","diciembre")</f>
        <v>marzo</v>
      </c>
      <c r="G452" s="7" t="str">
        <f aca="false">E452&amp;"-"&amp;RIGHT(B452,2)</f>
        <v>mar-24</v>
      </c>
    </row>
    <row r="453" customFormat="false" ht="15" hidden="false" customHeight="false" outlineLevel="0" collapsed="false">
      <c r="A453" s="8" t="n">
        <f aca="false">A452+1</f>
        <v>45378</v>
      </c>
      <c r="B453" s="7" t="n">
        <f aca="false">YEAR(A453)</f>
        <v>2024</v>
      </c>
      <c r="C453" s="7" t="n">
        <f aca="false">MONTH(A453)</f>
        <v>3</v>
      </c>
      <c r="D453" s="8" t="n">
        <f aca="false">DATE(B453,C453,1)</f>
        <v>45352</v>
      </c>
      <c r="E453" s="7" t="str">
        <f aca="false">CHOOSE(C453,"ene","feb","mar","abr","may","jun","jul","ago","sep","oct","nov","dic")</f>
        <v>mar</v>
      </c>
      <c r="F453" s="7" t="str">
        <f aca="false">CHOOSE(C453,"enero","febrero","marzo","abril","mayo","junio","julio","agosto","septiembre","octubre","noviembre","diciembre")</f>
        <v>marzo</v>
      </c>
      <c r="G453" s="7" t="str">
        <f aca="false">E453&amp;"-"&amp;RIGHT(B453,2)</f>
        <v>mar-24</v>
      </c>
    </row>
    <row r="454" customFormat="false" ht="15" hidden="false" customHeight="false" outlineLevel="0" collapsed="false">
      <c r="A454" s="8" t="n">
        <f aca="false">A453+1</f>
        <v>45379</v>
      </c>
      <c r="B454" s="7" t="n">
        <f aca="false">YEAR(A454)</f>
        <v>2024</v>
      </c>
      <c r="C454" s="7" t="n">
        <f aca="false">MONTH(A454)</f>
        <v>3</v>
      </c>
      <c r="D454" s="8" t="n">
        <f aca="false">DATE(B454,C454,1)</f>
        <v>45352</v>
      </c>
      <c r="E454" s="7" t="str">
        <f aca="false">CHOOSE(C454,"ene","feb","mar","abr","may","jun","jul","ago","sep","oct","nov","dic")</f>
        <v>mar</v>
      </c>
      <c r="F454" s="7" t="str">
        <f aca="false">CHOOSE(C454,"enero","febrero","marzo","abril","mayo","junio","julio","agosto","septiembre","octubre","noviembre","diciembre")</f>
        <v>marzo</v>
      </c>
      <c r="G454" s="7" t="str">
        <f aca="false">E454&amp;"-"&amp;RIGHT(B454,2)</f>
        <v>mar-24</v>
      </c>
    </row>
    <row r="455" customFormat="false" ht="15" hidden="false" customHeight="false" outlineLevel="0" collapsed="false">
      <c r="A455" s="8" t="n">
        <f aca="false">A454+1</f>
        <v>45380</v>
      </c>
      <c r="B455" s="7" t="n">
        <f aca="false">YEAR(A455)</f>
        <v>2024</v>
      </c>
      <c r="C455" s="7" t="n">
        <f aca="false">MONTH(A455)</f>
        <v>3</v>
      </c>
      <c r="D455" s="8" t="n">
        <f aca="false">DATE(B455,C455,1)</f>
        <v>45352</v>
      </c>
      <c r="E455" s="7" t="str">
        <f aca="false">CHOOSE(C455,"ene","feb","mar","abr","may","jun","jul","ago","sep","oct","nov","dic")</f>
        <v>mar</v>
      </c>
      <c r="F455" s="7" t="str">
        <f aca="false">CHOOSE(C455,"enero","febrero","marzo","abril","mayo","junio","julio","agosto","septiembre","octubre","noviembre","diciembre")</f>
        <v>marzo</v>
      </c>
      <c r="G455" s="7" t="str">
        <f aca="false">E455&amp;"-"&amp;RIGHT(B455,2)</f>
        <v>mar-24</v>
      </c>
    </row>
    <row r="456" customFormat="false" ht="15" hidden="false" customHeight="false" outlineLevel="0" collapsed="false">
      <c r="A456" s="8" t="n">
        <f aca="false">A455+1</f>
        <v>45381</v>
      </c>
      <c r="B456" s="7" t="n">
        <f aca="false">YEAR(A456)</f>
        <v>2024</v>
      </c>
      <c r="C456" s="7" t="n">
        <f aca="false">MONTH(A456)</f>
        <v>3</v>
      </c>
      <c r="D456" s="8" t="n">
        <f aca="false">DATE(B456,C456,1)</f>
        <v>45352</v>
      </c>
      <c r="E456" s="7" t="str">
        <f aca="false">CHOOSE(C456,"ene","feb","mar","abr","may","jun","jul","ago","sep","oct","nov","dic")</f>
        <v>mar</v>
      </c>
      <c r="F456" s="7" t="str">
        <f aca="false">CHOOSE(C456,"enero","febrero","marzo","abril","mayo","junio","julio","agosto","septiembre","octubre","noviembre","diciembre")</f>
        <v>marzo</v>
      </c>
      <c r="G456" s="7" t="str">
        <f aca="false">E456&amp;"-"&amp;RIGHT(B456,2)</f>
        <v>mar-24</v>
      </c>
    </row>
    <row r="457" customFormat="false" ht="15" hidden="false" customHeight="false" outlineLevel="0" collapsed="false">
      <c r="A457" s="8" t="n">
        <f aca="false">A456+1</f>
        <v>45382</v>
      </c>
      <c r="B457" s="7" t="n">
        <f aca="false">YEAR(A457)</f>
        <v>2024</v>
      </c>
      <c r="C457" s="7" t="n">
        <f aca="false">MONTH(A457)</f>
        <v>3</v>
      </c>
      <c r="D457" s="8" t="n">
        <f aca="false">DATE(B457,C457,1)</f>
        <v>45352</v>
      </c>
      <c r="E457" s="7" t="str">
        <f aca="false">CHOOSE(C457,"ene","feb","mar","abr","may","jun","jul","ago","sep","oct","nov","dic")</f>
        <v>mar</v>
      </c>
      <c r="F457" s="7" t="str">
        <f aca="false">CHOOSE(C457,"enero","febrero","marzo","abril","mayo","junio","julio","agosto","septiembre","octubre","noviembre","diciembre")</f>
        <v>marzo</v>
      </c>
      <c r="G457" s="7" t="str">
        <f aca="false">E457&amp;"-"&amp;RIGHT(B457,2)</f>
        <v>mar-24</v>
      </c>
    </row>
    <row r="458" customFormat="false" ht="15" hidden="false" customHeight="false" outlineLevel="0" collapsed="false">
      <c r="A458" s="8" t="n">
        <f aca="false">A457+1</f>
        <v>45383</v>
      </c>
      <c r="B458" s="7" t="n">
        <f aca="false">YEAR(A458)</f>
        <v>2024</v>
      </c>
      <c r="C458" s="7" t="n">
        <f aca="false">MONTH(A458)</f>
        <v>4</v>
      </c>
      <c r="D458" s="8" t="n">
        <f aca="false">DATE(B458,C458,1)</f>
        <v>45383</v>
      </c>
      <c r="E458" s="7" t="str">
        <f aca="false">CHOOSE(C458,"ene","feb","mar","abr","may","jun","jul","ago","sep","oct","nov","dic")</f>
        <v>abr</v>
      </c>
      <c r="F458" s="7" t="str">
        <f aca="false">CHOOSE(C458,"enero","febrero","marzo","abril","mayo","junio","julio","agosto","septiembre","octubre","noviembre","diciembre")</f>
        <v>abril</v>
      </c>
      <c r="G458" s="7" t="str">
        <f aca="false">E458&amp;"-"&amp;RIGHT(B458,2)</f>
        <v>abr-24</v>
      </c>
    </row>
    <row r="459" customFormat="false" ht="15" hidden="false" customHeight="false" outlineLevel="0" collapsed="false">
      <c r="A459" s="8" t="n">
        <f aca="false">A458+1</f>
        <v>45384</v>
      </c>
      <c r="B459" s="7" t="n">
        <f aca="false">YEAR(A459)</f>
        <v>2024</v>
      </c>
      <c r="C459" s="7" t="n">
        <f aca="false">MONTH(A459)</f>
        <v>4</v>
      </c>
      <c r="D459" s="8" t="n">
        <f aca="false">DATE(B459,C459,1)</f>
        <v>45383</v>
      </c>
      <c r="E459" s="7" t="str">
        <f aca="false">CHOOSE(C459,"ene","feb","mar","abr","may","jun","jul","ago","sep","oct","nov","dic")</f>
        <v>abr</v>
      </c>
      <c r="F459" s="7" t="str">
        <f aca="false">CHOOSE(C459,"enero","febrero","marzo","abril","mayo","junio","julio","agosto","septiembre","octubre","noviembre","diciembre")</f>
        <v>abril</v>
      </c>
      <c r="G459" s="7" t="str">
        <f aca="false">E459&amp;"-"&amp;RIGHT(B459,2)</f>
        <v>abr-24</v>
      </c>
    </row>
    <row r="460" customFormat="false" ht="15" hidden="false" customHeight="false" outlineLevel="0" collapsed="false">
      <c r="A460" s="8" t="n">
        <f aca="false">A459+1</f>
        <v>45385</v>
      </c>
      <c r="B460" s="7" t="n">
        <f aca="false">YEAR(A460)</f>
        <v>2024</v>
      </c>
      <c r="C460" s="7" t="n">
        <f aca="false">MONTH(A460)</f>
        <v>4</v>
      </c>
      <c r="D460" s="8" t="n">
        <f aca="false">DATE(B460,C460,1)</f>
        <v>45383</v>
      </c>
      <c r="E460" s="7" t="str">
        <f aca="false">CHOOSE(C460,"ene","feb","mar","abr","may","jun","jul","ago","sep","oct","nov","dic")</f>
        <v>abr</v>
      </c>
      <c r="F460" s="7" t="str">
        <f aca="false">CHOOSE(C460,"enero","febrero","marzo","abril","mayo","junio","julio","agosto","septiembre","octubre","noviembre","diciembre")</f>
        <v>abril</v>
      </c>
      <c r="G460" s="7" t="str">
        <f aca="false">E460&amp;"-"&amp;RIGHT(B460,2)</f>
        <v>abr-24</v>
      </c>
    </row>
    <row r="461" customFormat="false" ht="15" hidden="false" customHeight="false" outlineLevel="0" collapsed="false">
      <c r="A461" s="8" t="n">
        <f aca="false">A460+1</f>
        <v>45386</v>
      </c>
      <c r="B461" s="7" t="n">
        <f aca="false">YEAR(A461)</f>
        <v>2024</v>
      </c>
      <c r="C461" s="7" t="n">
        <f aca="false">MONTH(A461)</f>
        <v>4</v>
      </c>
      <c r="D461" s="8" t="n">
        <f aca="false">DATE(B461,C461,1)</f>
        <v>45383</v>
      </c>
      <c r="E461" s="7" t="str">
        <f aca="false">CHOOSE(C461,"ene","feb","mar","abr","may","jun","jul","ago","sep","oct","nov","dic")</f>
        <v>abr</v>
      </c>
      <c r="F461" s="7" t="str">
        <f aca="false">CHOOSE(C461,"enero","febrero","marzo","abril","mayo","junio","julio","agosto","septiembre","octubre","noviembre","diciembre")</f>
        <v>abril</v>
      </c>
      <c r="G461" s="7" t="str">
        <f aca="false">E461&amp;"-"&amp;RIGHT(B461,2)</f>
        <v>abr-24</v>
      </c>
    </row>
    <row r="462" customFormat="false" ht="15" hidden="false" customHeight="false" outlineLevel="0" collapsed="false">
      <c r="A462" s="8" t="n">
        <f aca="false">A461+1</f>
        <v>45387</v>
      </c>
      <c r="B462" s="7" t="n">
        <f aca="false">YEAR(A462)</f>
        <v>2024</v>
      </c>
      <c r="C462" s="7" t="n">
        <f aca="false">MONTH(A462)</f>
        <v>4</v>
      </c>
      <c r="D462" s="8" t="n">
        <f aca="false">DATE(B462,C462,1)</f>
        <v>45383</v>
      </c>
      <c r="E462" s="7" t="str">
        <f aca="false">CHOOSE(C462,"ene","feb","mar","abr","may","jun","jul","ago","sep","oct","nov","dic")</f>
        <v>abr</v>
      </c>
      <c r="F462" s="7" t="str">
        <f aca="false">CHOOSE(C462,"enero","febrero","marzo","abril","mayo","junio","julio","agosto","septiembre","octubre","noviembre","diciembre")</f>
        <v>abril</v>
      </c>
      <c r="G462" s="7" t="str">
        <f aca="false">E462&amp;"-"&amp;RIGHT(B462,2)</f>
        <v>abr-24</v>
      </c>
    </row>
    <row r="463" customFormat="false" ht="15" hidden="false" customHeight="false" outlineLevel="0" collapsed="false">
      <c r="A463" s="8" t="n">
        <f aca="false">A462+1</f>
        <v>45388</v>
      </c>
      <c r="B463" s="7" t="n">
        <f aca="false">YEAR(A463)</f>
        <v>2024</v>
      </c>
      <c r="C463" s="7" t="n">
        <f aca="false">MONTH(A463)</f>
        <v>4</v>
      </c>
      <c r="D463" s="8" t="n">
        <f aca="false">DATE(B463,C463,1)</f>
        <v>45383</v>
      </c>
      <c r="E463" s="7" t="str">
        <f aca="false">CHOOSE(C463,"ene","feb","mar","abr","may","jun","jul","ago","sep","oct","nov","dic")</f>
        <v>abr</v>
      </c>
      <c r="F463" s="7" t="str">
        <f aca="false">CHOOSE(C463,"enero","febrero","marzo","abril","mayo","junio","julio","agosto","septiembre","octubre","noviembre","diciembre")</f>
        <v>abril</v>
      </c>
      <c r="G463" s="7" t="str">
        <f aca="false">E463&amp;"-"&amp;RIGHT(B463,2)</f>
        <v>abr-24</v>
      </c>
    </row>
    <row r="464" customFormat="false" ht="15" hidden="false" customHeight="false" outlineLevel="0" collapsed="false">
      <c r="A464" s="8" t="n">
        <f aca="false">A463+1</f>
        <v>45389</v>
      </c>
      <c r="B464" s="7" t="n">
        <f aca="false">YEAR(A464)</f>
        <v>2024</v>
      </c>
      <c r="C464" s="7" t="n">
        <f aca="false">MONTH(A464)</f>
        <v>4</v>
      </c>
      <c r="D464" s="8" t="n">
        <f aca="false">DATE(B464,C464,1)</f>
        <v>45383</v>
      </c>
      <c r="E464" s="7" t="str">
        <f aca="false">CHOOSE(C464,"ene","feb","mar","abr","may","jun","jul","ago","sep","oct","nov","dic")</f>
        <v>abr</v>
      </c>
      <c r="F464" s="7" t="str">
        <f aca="false">CHOOSE(C464,"enero","febrero","marzo","abril","mayo","junio","julio","agosto","septiembre","octubre","noviembre","diciembre")</f>
        <v>abril</v>
      </c>
      <c r="G464" s="7" t="str">
        <f aca="false">E464&amp;"-"&amp;RIGHT(B464,2)</f>
        <v>abr-24</v>
      </c>
    </row>
    <row r="465" customFormat="false" ht="15" hidden="false" customHeight="false" outlineLevel="0" collapsed="false">
      <c r="A465" s="8" t="n">
        <f aca="false">A464+1</f>
        <v>45390</v>
      </c>
      <c r="B465" s="7" t="n">
        <f aca="false">YEAR(A465)</f>
        <v>2024</v>
      </c>
      <c r="C465" s="7" t="n">
        <f aca="false">MONTH(A465)</f>
        <v>4</v>
      </c>
      <c r="D465" s="8" t="n">
        <f aca="false">DATE(B465,C465,1)</f>
        <v>45383</v>
      </c>
      <c r="E465" s="7" t="str">
        <f aca="false">CHOOSE(C465,"ene","feb","mar","abr","may","jun","jul","ago","sep","oct","nov","dic")</f>
        <v>abr</v>
      </c>
      <c r="F465" s="7" t="str">
        <f aca="false">CHOOSE(C465,"enero","febrero","marzo","abril","mayo","junio","julio","agosto","septiembre","octubre","noviembre","diciembre")</f>
        <v>abril</v>
      </c>
      <c r="G465" s="7" t="str">
        <f aca="false">E465&amp;"-"&amp;RIGHT(B465,2)</f>
        <v>abr-24</v>
      </c>
    </row>
    <row r="466" customFormat="false" ht="15" hidden="false" customHeight="false" outlineLevel="0" collapsed="false">
      <c r="A466" s="8" t="n">
        <f aca="false">A465+1</f>
        <v>45391</v>
      </c>
      <c r="B466" s="7" t="n">
        <f aca="false">YEAR(A466)</f>
        <v>2024</v>
      </c>
      <c r="C466" s="7" t="n">
        <f aca="false">MONTH(A466)</f>
        <v>4</v>
      </c>
      <c r="D466" s="8" t="n">
        <f aca="false">DATE(B466,C466,1)</f>
        <v>45383</v>
      </c>
      <c r="E466" s="7" t="str">
        <f aca="false">CHOOSE(C466,"ene","feb","mar","abr","may","jun","jul","ago","sep","oct","nov","dic")</f>
        <v>abr</v>
      </c>
      <c r="F466" s="7" t="str">
        <f aca="false">CHOOSE(C466,"enero","febrero","marzo","abril","mayo","junio","julio","agosto","septiembre","octubre","noviembre","diciembre")</f>
        <v>abril</v>
      </c>
      <c r="G466" s="7" t="str">
        <f aca="false">E466&amp;"-"&amp;RIGHT(B466,2)</f>
        <v>abr-24</v>
      </c>
    </row>
    <row r="467" customFormat="false" ht="15" hidden="false" customHeight="false" outlineLevel="0" collapsed="false">
      <c r="A467" s="8" t="n">
        <f aca="false">A466+1</f>
        <v>45392</v>
      </c>
      <c r="B467" s="7" t="n">
        <f aca="false">YEAR(A467)</f>
        <v>2024</v>
      </c>
      <c r="C467" s="7" t="n">
        <f aca="false">MONTH(A467)</f>
        <v>4</v>
      </c>
      <c r="D467" s="8" t="n">
        <f aca="false">DATE(B467,C467,1)</f>
        <v>45383</v>
      </c>
      <c r="E467" s="7" t="str">
        <f aca="false">CHOOSE(C467,"ene","feb","mar","abr","may","jun","jul","ago","sep","oct","nov","dic")</f>
        <v>abr</v>
      </c>
      <c r="F467" s="7" t="str">
        <f aca="false">CHOOSE(C467,"enero","febrero","marzo","abril","mayo","junio","julio","agosto","septiembre","octubre","noviembre","diciembre")</f>
        <v>abril</v>
      </c>
      <c r="G467" s="7" t="str">
        <f aca="false">E467&amp;"-"&amp;RIGHT(B467,2)</f>
        <v>abr-24</v>
      </c>
    </row>
    <row r="468" customFormat="false" ht="15" hidden="false" customHeight="false" outlineLevel="0" collapsed="false">
      <c r="A468" s="8" t="n">
        <f aca="false">A467+1</f>
        <v>45393</v>
      </c>
      <c r="B468" s="7" t="n">
        <f aca="false">YEAR(A468)</f>
        <v>2024</v>
      </c>
      <c r="C468" s="7" t="n">
        <f aca="false">MONTH(A468)</f>
        <v>4</v>
      </c>
      <c r="D468" s="8" t="n">
        <f aca="false">DATE(B468,C468,1)</f>
        <v>45383</v>
      </c>
      <c r="E468" s="7" t="str">
        <f aca="false">CHOOSE(C468,"ene","feb","mar","abr","may","jun","jul","ago","sep","oct","nov","dic")</f>
        <v>abr</v>
      </c>
      <c r="F468" s="7" t="str">
        <f aca="false">CHOOSE(C468,"enero","febrero","marzo","abril","mayo","junio","julio","agosto","septiembre","octubre","noviembre","diciembre")</f>
        <v>abril</v>
      </c>
      <c r="G468" s="7" t="str">
        <f aca="false">E468&amp;"-"&amp;RIGHT(B468,2)</f>
        <v>abr-24</v>
      </c>
    </row>
    <row r="469" customFormat="false" ht="15" hidden="false" customHeight="false" outlineLevel="0" collapsed="false">
      <c r="A469" s="8" t="n">
        <f aca="false">A468+1</f>
        <v>45394</v>
      </c>
      <c r="B469" s="7" t="n">
        <f aca="false">YEAR(A469)</f>
        <v>2024</v>
      </c>
      <c r="C469" s="7" t="n">
        <f aca="false">MONTH(A469)</f>
        <v>4</v>
      </c>
      <c r="D469" s="8" t="n">
        <f aca="false">DATE(B469,C469,1)</f>
        <v>45383</v>
      </c>
      <c r="E469" s="7" t="str">
        <f aca="false">CHOOSE(C469,"ene","feb","mar","abr","may","jun","jul","ago","sep","oct","nov","dic")</f>
        <v>abr</v>
      </c>
      <c r="F469" s="7" t="str">
        <f aca="false">CHOOSE(C469,"enero","febrero","marzo","abril","mayo","junio","julio","agosto","septiembre","octubre","noviembre","diciembre")</f>
        <v>abril</v>
      </c>
      <c r="G469" s="7" t="str">
        <f aca="false">E469&amp;"-"&amp;RIGHT(B469,2)</f>
        <v>abr-24</v>
      </c>
    </row>
    <row r="470" customFormat="false" ht="15" hidden="false" customHeight="false" outlineLevel="0" collapsed="false">
      <c r="A470" s="8" t="n">
        <f aca="false">A469+1</f>
        <v>45395</v>
      </c>
      <c r="B470" s="7" t="n">
        <f aca="false">YEAR(A470)</f>
        <v>2024</v>
      </c>
      <c r="C470" s="7" t="n">
        <f aca="false">MONTH(A470)</f>
        <v>4</v>
      </c>
      <c r="D470" s="8" t="n">
        <f aca="false">DATE(B470,C470,1)</f>
        <v>45383</v>
      </c>
      <c r="E470" s="7" t="str">
        <f aca="false">CHOOSE(C470,"ene","feb","mar","abr","may","jun","jul","ago","sep","oct","nov","dic")</f>
        <v>abr</v>
      </c>
      <c r="F470" s="7" t="str">
        <f aca="false">CHOOSE(C470,"enero","febrero","marzo","abril","mayo","junio","julio","agosto","septiembre","octubre","noviembre","diciembre")</f>
        <v>abril</v>
      </c>
      <c r="G470" s="7" t="str">
        <f aca="false">E470&amp;"-"&amp;RIGHT(B470,2)</f>
        <v>abr-24</v>
      </c>
    </row>
    <row r="471" customFormat="false" ht="15" hidden="false" customHeight="false" outlineLevel="0" collapsed="false">
      <c r="A471" s="8" t="n">
        <f aca="false">A470+1</f>
        <v>45396</v>
      </c>
      <c r="B471" s="7" t="n">
        <f aca="false">YEAR(A471)</f>
        <v>2024</v>
      </c>
      <c r="C471" s="7" t="n">
        <f aca="false">MONTH(A471)</f>
        <v>4</v>
      </c>
      <c r="D471" s="8" t="n">
        <f aca="false">DATE(B471,C471,1)</f>
        <v>45383</v>
      </c>
      <c r="E471" s="7" t="str">
        <f aca="false">CHOOSE(C471,"ene","feb","mar","abr","may","jun","jul","ago","sep","oct","nov","dic")</f>
        <v>abr</v>
      </c>
      <c r="F471" s="7" t="str">
        <f aca="false">CHOOSE(C471,"enero","febrero","marzo","abril","mayo","junio","julio","agosto","septiembre","octubre","noviembre","diciembre")</f>
        <v>abril</v>
      </c>
      <c r="G471" s="7" t="str">
        <f aca="false">E471&amp;"-"&amp;RIGHT(B471,2)</f>
        <v>abr-24</v>
      </c>
    </row>
    <row r="472" customFormat="false" ht="15" hidden="false" customHeight="false" outlineLevel="0" collapsed="false">
      <c r="A472" s="8" t="n">
        <f aca="false">A471+1</f>
        <v>45397</v>
      </c>
      <c r="B472" s="7" t="n">
        <f aca="false">YEAR(A472)</f>
        <v>2024</v>
      </c>
      <c r="C472" s="7" t="n">
        <f aca="false">MONTH(A472)</f>
        <v>4</v>
      </c>
      <c r="D472" s="8" t="n">
        <f aca="false">DATE(B472,C472,1)</f>
        <v>45383</v>
      </c>
      <c r="E472" s="7" t="str">
        <f aca="false">CHOOSE(C472,"ene","feb","mar","abr","may","jun","jul","ago","sep","oct","nov","dic")</f>
        <v>abr</v>
      </c>
      <c r="F472" s="7" t="str">
        <f aca="false">CHOOSE(C472,"enero","febrero","marzo","abril","mayo","junio","julio","agosto","septiembre","octubre","noviembre","diciembre")</f>
        <v>abril</v>
      </c>
      <c r="G472" s="7" t="str">
        <f aca="false">E472&amp;"-"&amp;RIGHT(B472,2)</f>
        <v>abr-24</v>
      </c>
    </row>
    <row r="473" customFormat="false" ht="15" hidden="false" customHeight="false" outlineLevel="0" collapsed="false">
      <c r="A473" s="8" t="n">
        <f aca="false">A472+1</f>
        <v>45398</v>
      </c>
      <c r="B473" s="7" t="n">
        <f aca="false">YEAR(A473)</f>
        <v>2024</v>
      </c>
      <c r="C473" s="7" t="n">
        <f aca="false">MONTH(A473)</f>
        <v>4</v>
      </c>
      <c r="D473" s="8" t="n">
        <f aca="false">DATE(B473,C473,1)</f>
        <v>45383</v>
      </c>
      <c r="E473" s="7" t="str">
        <f aca="false">CHOOSE(C473,"ene","feb","mar","abr","may","jun","jul","ago","sep","oct","nov","dic")</f>
        <v>abr</v>
      </c>
      <c r="F473" s="7" t="str">
        <f aca="false">CHOOSE(C473,"enero","febrero","marzo","abril","mayo","junio","julio","agosto","septiembre","octubre","noviembre","diciembre")</f>
        <v>abril</v>
      </c>
      <c r="G473" s="7" t="str">
        <f aca="false">E473&amp;"-"&amp;RIGHT(B473,2)</f>
        <v>abr-24</v>
      </c>
    </row>
    <row r="474" customFormat="false" ht="15" hidden="false" customHeight="false" outlineLevel="0" collapsed="false">
      <c r="A474" s="8" t="n">
        <f aca="false">A473+1</f>
        <v>45399</v>
      </c>
      <c r="B474" s="7" t="n">
        <f aca="false">YEAR(A474)</f>
        <v>2024</v>
      </c>
      <c r="C474" s="7" t="n">
        <f aca="false">MONTH(A474)</f>
        <v>4</v>
      </c>
      <c r="D474" s="8" t="n">
        <f aca="false">DATE(B474,C474,1)</f>
        <v>45383</v>
      </c>
      <c r="E474" s="7" t="str">
        <f aca="false">CHOOSE(C474,"ene","feb","mar","abr","may","jun","jul","ago","sep","oct","nov","dic")</f>
        <v>abr</v>
      </c>
      <c r="F474" s="7" t="str">
        <f aca="false">CHOOSE(C474,"enero","febrero","marzo","abril","mayo","junio","julio","agosto","septiembre","octubre","noviembre","diciembre")</f>
        <v>abril</v>
      </c>
      <c r="G474" s="7" t="str">
        <f aca="false">E474&amp;"-"&amp;RIGHT(B474,2)</f>
        <v>abr-24</v>
      </c>
    </row>
    <row r="475" customFormat="false" ht="15" hidden="false" customHeight="false" outlineLevel="0" collapsed="false">
      <c r="A475" s="8" t="n">
        <f aca="false">A474+1</f>
        <v>45400</v>
      </c>
      <c r="B475" s="7" t="n">
        <f aca="false">YEAR(A475)</f>
        <v>2024</v>
      </c>
      <c r="C475" s="7" t="n">
        <f aca="false">MONTH(A475)</f>
        <v>4</v>
      </c>
      <c r="D475" s="8" t="n">
        <f aca="false">DATE(B475,C475,1)</f>
        <v>45383</v>
      </c>
      <c r="E475" s="7" t="str">
        <f aca="false">CHOOSE(C475,"ene","feb","mar","abr","may","jun","jul","ago","sep","oct","nov","dic")</f>
        <v>abr</v>
      </c>
      <c r="F475" s="7" t="str">
        <f aca="false">CHOOSE(C475,"enero","febrero","marzo","abril","mayo","junio","julio","agosto","septiembre","octubre","noviembre","diciembre")</f>
        <v>abril</v>
      </c>
      <c r="G475" s="7" t="str">
        <f aca="false">E475&amp;"-"&amp;RIGHT(B475,2)</f>
        <v>abr-24</v>
      </c>
    </row>
    <row r="476" customFormat="false" ht="15" hidden="false" customHeight="false" outlineLevel="0" collapsed="false">
      <c r="A476" s="8" t="n">
        <f aca="false">A475+1</f>
        <v>45401</v>
      </c>
      <c r="B476" s="7" t="n">
        <f aca="false">YEAR(A476)</f>
        <v>2024</v>
      </c>
      <c r="C476" s="7" t="n">
        <f aca="false">MONTH(A476)</f>
        <v>4</v>
      </c>
      <c r="D476" s="8" t="n">
        <f aca="false">DATE(B476,C476,1)</f>
        <v>45383</v>
      </c>
      <c r="E476" s="7" t="str">
        <f aca="false">CHOOSE(C476,"ene","feb","mar","abr","may","jun","jul","ago","sep","oct","nov","dic")</f>
        <v>abr</v>
      </c>
      <c r="F476" s="7" t="str">
        <f aca="false">CHOOSE(C476,"enero","febrero","marzo","abril","mayo","junio","julio","agosto","septiembre","octubre","noviembre","diciembre")</f>
        <v>abril</v>
      </c>
      <c r="G476" s="7" t="str">
        <f aca="false">E476&amp;"-"&amp;RIGHT(B476,2)</f>
        <v>abr-24</v>
      </c>
    </row>
    <row r="477" customFormat="false" ht="15" hidden="false" customHeight="false" outlineLevel="0" collapsed="false">
      <c r="A477" s="8" t="n">
        <f aca="false">A476+1</f>
        <v>45402</v>
      </c>
      <c r="B477" s="7" t="n">
        <f aca="false">YEAR(A477)</f>
        <v>2024</v>
      </c>
      <c r="C477" s="7" t="n">
        <f aca="false">MONTH(A477)</f>
        <v>4</v>
      </c>
      <c r="D477" s="8" t="n">
        <f aca="false">DATE(B477,C477,1)</f>
        <v>45383</v>
      </c>
      <c r="E477" s="7" t="str">
        <f aca="false">CHOOSE(C477,"ene","feb","mar","abr","may","jun","jul","ago","sep","oct","nov","dic")</f>
        <v>abr</v>
      </c>
      <c r="F477" s="7" t="str">
        <f aca="false">CHOOSE(C477,"enero","febrero","marzo","abril","mayo","junio","julio","agosto","septiembre","octubre","noviembre","diciembre")</f>
        <v>abril</v>
      </c>
      <c r="G477" s="7" t="str">
        <f aca="false">E477&amp;"-"&amp;RIGHT(B477,2)</f>
        <v>abr-24</v>
      </c>
    </row>
    <row r="478" customFormat="false" ht="15" hidden="false" customHeight="false" outlineLevel="0" collapsed="false">
      <c r="A478" s="8" t="n">
        <f aca="false">A477+1</f>
        <v>45403</v>
      </c>
      <c r="B478" s="7" t="n">
        <f aca="false">YEAR(A478)</f>
        <v>2024</v>
      </c>
      <c r="C478" s="7" t="n">
        <f aca="false">MONTH(A478)</f>
        <v>4</v>
      </c>
      <c r="D478" s="8" t="n">
        <f aca="false">DATE(B478,C478,1)</f>
        <v>45383</v>
      </c>
      <c r="E478" s="7" t="str">
        <f aca="false">CHOOSE(C478,"ene","feb","mar","abr","may","jun","jul","ago","sep","oct","nov","dic")</f>
        <v>abr</v>
      </c>
      <c r="F478" s="7" t="str">
        <f aca="false">CHOOSE(C478,"enero","febrero","marzo","abril","mayo","junio","julio","agosto","septiembre","octubre","noviembre","diciembre")</f>
        <v>abril</v>
      </c>
      <c r="G478" s="7" t="str">
        <f aca="false">E478&amp;"-"&amp;RIGHT(B478,2)</f>
        <v>abr-24</v>
      </c>
    </row>
    <row r="479" customFormat="false" ht="15" hidden="false" customHeight="false" outlineLevel="0" collapsed="false">
      <c r="A479" s="8" t="n">
        <f aca="false">A478+1</f>
        <v>45404</v>
      </c>
      <c r="B479" s="7" t="n">
        <f aca="false">YEAR(A479)</f>
        <v>2024</v>
      </c>
      <c r="C479" s="7" t="n">
        <f aca="false">MONTH(A479)</f>
        <v>4</v>
      </c>
      <c r="D479" s="8" t="n">
        <f aca="false">DATE(B479,C479,1)</f>
        <v>45383</v>
      </c>
      <c r="E479" s="7" t="str">
        <f aca="false">CHOOSE(C479,"ene","feb","mar","abr","may","jun","jul","ago","sep","oct","nov","dic")</f>
        <v>abr</v>
      </c>
      <c r="F479" s="7" t="str">
        <f aca="false">CHOOSE(C479,"enero","febrero","marzo","abril","mayo","junio","julio","agosto","septiembre","octubre","noviembre","diciembre")</f>
        <v>abril</v>
      </c>
      <c r="G479" s="7" t="str">
        <f aca="false">E479&amp;"-"&amp;RIGHT(B479,2)</f>
        <v>abr-24</v>
      </c>
    </row>
    <row r="480" customFormat="false" ht="15" hidden="false" customHeight="false" outlineLevel="0" collapsed="false">
      <c r="A480" s="8" t="n">
        <f aca="false">A479+1</f>
        <v>45405</v>
      </c>
      <c r="B480" s="7" t="n">
        <f aca="false">YEAR(A480)</f>
        <v>2024</v>
      </c>
      <c r="C480" s="7" t="n">
        <f aca="false">MONTH(A480)</f>
        <v>4</v>
      </c>
      <c r="D480" s="8" t="n">
        <f aca="false">DATE(B480,C480,1)</f>
        <v>45383</v>
      </c>
      <c r="E480" s="7" t="str">
        <f aca="false">CHOOSE(C480,"ene","feb","mar","abr","may","jun","jul","ago","sep","oct","nov","dic")</f>
        <v>abr</v>
      </c>
      <c r="F480" s="7" t="str">
        <f aca="false">CHOOSE(C480,"enero","febrero","marzo","abril","mayo","junio","julio","agosto","septiembre","octubre","noviembre","diciembre")</f>
        <v>abril</v>
      </c>
      <c r="G480" s="7" t="str">
        <f aca="false">E480&amp;"-"&amp;RIGHT(B480,2)</f>
        <v>abr-24</v>
      </c>
    </row>
    <row r="481" customFormat="false" ht="15" hidden="false" customHeight="false" outlineLevel="0" collapsed="false">
      <c r="A481" s="8" t="n">
        <f aca="false">A480+1</f>
        <v>45406</v>
      </c>
      <c r="B481" s="7" t="n">
        <f aca="false">YEAR(A481)</f>
        <v>2024</v>
      </c>
      <c r="C481" s="7" t="n">
        <f aca="false">MONTH(A481)</f>
        <v>4</v>
      </c>
      <c r="D481" s="8" t="n">
        <f aca="false">DATE(B481,C481,1)</f>
        <v>45383</v>
      </c>
      <c r="E481" s="7" t="str">
        <f aca="false">CHOOSE(C481,"ene","feb","mar","abr","may","jun","jul","ago","sep","oct","nov","dic")</f>
        <v>abr</v>
      </c>
      <c r="F481" s="7" t="str">
        <f aca="false">CHOOSE(C481,"enero","febrero","marzo","abril","mayo","junio","julio","agosto","septiembre","octubre","noviembre","diciembre")</f>
        <v>abril</v>
      </c>
      <c r="G481" s="7" t="str">
        <f aca="false">E481&amp;"-"&amp;RIGHT(B481,2)</f>
        <v>abr-24</v>
      </c>
    </row>
    <row r="482" customFormat="false" ht="15" hidden="false" customHeight="false" outlineLevel="0" collapsed="false">
      <c r="A482" s="8" t="n">
        <f aca="false">A481+1</f>
        <v>45407</v>
      </c>
      <c r="B482" s="7" t="n">
        <f aca="false">YEAR(A482)</f>
        <v>2024</v>
      </c>
      <c r="C482" s="7" t="n">
        <f aca="false">MONTH(A482)</f>
        <v>4</v>
      </c>
      <c r="D482" s="8" t="n">
        <f aca="false">DATE(B482,C482,1)</f>
        <v>45383</v>
      </c>
      <c r="E482" s="7" t="str">
        <f aca="false">CHOOSE(C482,"ene","feb","mar","abr","may","jun","jul","ago","sep","oct","nov","dic")</f>
        <v>abr</v>
      </c>
      <c r="F482" s="7" t="str">
        <f aca="false">CHOOSE(C482,"enero","febrero","marzo","abril","mayo","junio","julio","agosto","septiembre","octubre","noviembre","diciembre")</f>
        <v>abril</v>
      </c>
      <c r="G482" s="7" t="str">
        <f aca="false">E482&amp;"-"&amp;RIGHT(B482,2)</f>
        <v>abr-24</v>
      </c>
    </row>
    <row r="483" customFormat="false" ht="15" hidden="false" customHeight="false" outlineLevel="0" collapsed="false">
      <c r="A483" s="8" t="n">
        <f aca="false">A482+1</f>
        <v>45408</v>
      </c>
      <c r="B483" s="7" t="n">
        <f aca="false">YEAR(A483)</f>
        <v>2024</v>
      </c>
      <c r="C483" s="7" t="n">
        <f aca="false">MONTH(A483)</f>
        <v>4</v>
      </c>
      <c r="D483" s="8" t="n">
        <f aca="false">DATE(B483,C483,1)</f>
        <v>45383</v>
      </c>
      <c r="E483" s="7" t="str">
        <f aca="false">CHOOSE(C483,"ene","feb","mar","abr","may","jun","jul","ago","sep","oct","nov","dic")</f>
        <v>abr</v>
      </c>
      <c r="F483" s="7" t="str">
        <f aca="false">CHOOSE(C483,"enero","febrero","marzo","abril","mayo","junio","julio","agosto","septiembre","octubre","noviembre","diciembre")</f>
        <v>abril</v>
      </c>
      <c r="G483" s="7" t="str">
        <f aca="false">E483&amp;"-"&amp;RIGHT(B483,2)</f>
        <v>abr-24</v>
      </c>
    </row>
    <row r="484" customFormat="false" ht="15" hidden="false" customHeight="false" outlineLevel="0" collapsed="false">
      <c r="A484" s="8" t="n">
        <f aca="false">A483+1</f>
        <v>45409</v>
      </c>
      <c r="B484" s="7" t="n">
        <f aca="false">YEAR(A484)</f>
        <v>2024</v>
      </c>
      <c r="C484" s="7" t="n">
        <f aca="false">MONTH(A484)</f>
        <v>4</v>
      </c>
      <c r="D484" s="8" t="n">
        <f aca="false">DATE(B484,C484,1)</f>
        <v>45383</v>
      </c>
      <c r="E484" s="7" t="str">
        <f aca="false">CHOOSE(C484,"ene","feb","mar","abr","may","jun","jul","ago","sep","oct","nov","dic")</f>
        <v>abr</v>
      </c>
      <c r="F484" s="7" t="str">
        <f aca="false">CHOOSE(C484,"enero","febrero","marzo","abril","mayo","junio","julio","agosto","septiembre","octubre","noviembre","diciembre")</f>
        <v>abril</v>
      </c>
      <c r="G484" s="7" t="str">
        <f aca="false">E484&amp;"-"&amp;RIGHT(B484,2)</f>
        <v>abr-24</v>
      </c>
    </row>
    <row r="485" customFormat="false" ht="15" hidden="false" customHeight="false" outlineLevel="0" collapsed="false">
      <c r="A485" s="8" t="n">
        <f aca="false">A484+1</f>
        <v>45410</v>
      </c>
      <c r="B485" s="7" t="n">
        <f aca="false">YEAR(A485)</f>
        <v>2024</v>
      </c>
      <c r="C485" s="7" t="n">
        <f aca="false">MONTH(A485)</f>
        <v>4</v>
      </c>
      <c r="D485" s="8" t="n">
        <f aca="false">DATE(B485,C485,1)</f>
        <v>45383</v>
      </c>
      <c r="E485" s="7" t="str">
        <f aca="false">CHOOSE(C485,"ene","feb","mar","abr","may","jun","jul","ago","sep","oct","nov","dic")</f>
        <v>abr</v>
      </c>
      <c r="F485" s="7" t="str">
        <f aca="false">CHOOSE(C485,"enero","febrero","marzo","abril","mayo","junio","julio","agosto","septiembre","octubre","noviembre","diciembre")</f>
        <v>abril</v>
      </c>
      <c r="G485" s="7" t="str">
        <f aca="false">E485&amp;"-"&amp;RIGHT(B485,2)</f>
        <v>abr-24</v>
      </c>
    </row>
    <row r="486" customFormat="false" ht="15" hidden="false" customHeight="false" outlineLevel="0" collapsed="false">
      <c r="A486" s="8" t="n">
        <f aca="false">A485+1</f>
        <v>45411</v>
      </c>
      <c r="B486" s="7" t="n">
        <f aca="false">YEAR(A486)</f>
        <v>2024</v>
      </c>
      <c r="C486" s="7" t="n">
        <f aca="false">MONTH(A486)</f>
        <v>4</v>
      </c>
      <c r="D486" s="8" t="n">
        <f aca="false">DATE(B486,C486,1)</f>
        <v>45383</v>
      </c>
      <c r="E486" s="7" t="str">
        <f aca="false">CHOOSE(C486,"ene","feb","mar","abr","may","jun","jul","ago","sep","oct","nov","dic")</f>
        <v>abr</v>
      </c>
      <c r="F486" s="7" t="str">
        <f aca="false">CHOOSE(C486,"enero","febrero","marzo","abril","mayo","junio","julio","agosto","septiembre","octubre","noviembre","diciembre")</f>
        <v>abril</v>
      </c>
      <c r="G486" s="7" t="str">
        <f aca="false">E486&amp;"-"&amp;RIGHT(B486,2)</f>
        <v>abr-24</v>
      </c>
    </row>
    <row r="487" customFormat="false" ht="15" hidden="false" customHeight="false" outlineLevel="0" collapsed="false">
      <c r="A487" s="8" t="n">
        <f aca="false">A486+1</f>
        <v>45412</v>
      </c>
      <c r="B487" s="7" t="n">
        <f aca="false">YEAR(A487)</f>
        <v>2024</v>
      </c>
      <c r="C487" s="7" t="n">
        <f aca="false">MONTH(A487)</f>
        <v>4</v>
      </c>
      <c r="D487" s="8" t="n">
        <f aca="false">DATE(B487,C487,1)</f>
        <v>45383</v>
      </c>
      <c r="E487" s="7" t="str">
        <f aca="false">CHOOSE(C487,"ene","feb","mar","abr","may","jun","jul","ago","sep","oct","nov","dic")</f>
        <v>abr</v>
      </c>
      <c r="F487" s="7" t="str">
        <f aca="false">CHOOSE(C487,"enero","febrero","marzo","abril","mayo","junio","julio","agosto","septiembre","octubre","noviembre","diciembre")</f>
        <v>abril</v>
      </c>
      <c r="G487" s="7" t="str">
        <f aca="false">E487&amp;"-"&amp;RIGHT(B487,2)</f>
        <v>abr-24</v>
      </c>
    </row>
    <row r="488" customFormat="false" ht="15" hidden="false" customHeight="false" outlineLevel="0" collapsed="false">
      <c r="A488" s="8" t="n">
        <f aca="false">A487+1</f>
        <v>45413</v>
      </c>
      <c r="B488" s="7" t="n">
        <f aca="false">YEAR(A488)</f>
        <v>2024</v>
      </c>
      <c r="C488" s="7" t="n">
        <f aca="false">MONTH(A488)</f>
        <v>5</v>
      </c>
      <c r="D488" s="8" t="n">
        <f aca="false">DATE(B488,C488,1)</f>
        <v>45413</v>
      </c>
      <c r="E488" s="7" t="str">
        <f aca="false">CHOOSE(C488,"ene","feb","mar","abr","may","jun","jul","ago","sep","oct","nov","dic")</f>
        <v>may</v>
      </c>
      <c r="F488" s="7" t="str">
        <f aca="false">CHOOSE(C488,"enero","febrero","marzo","abril","mayo","junio","julio","agosto","septiembre","octubre","noviembre","diciembre")</f>
        <v>mayo</v>
      </c>
      <c r="G488" s="7" t="str">
        <f aca="false">E488&amp;"-"&amp;RIGHT(B488,2)</f>
        <v>may-24</v>
      </c>
    </row>
    <row r="489" customFormat="false" ht="15" hidden="false" customHeight="false" outlineLevel="0" collapsed="false">
      <c r="A489" s="8" t="n">
        <f aca="false">A488+1</f>
        <v>45414</v>
      </c>
      <c r="B489" s="7" t="n">
        <f aca="false">YEAR(A489)</f>
        <v>2024</v>
      </c>
      <c r="C489" s="7" t="n">
        <f aca="false">MONTH(A489)</f>
        <v>5</v>
      </c>
      <c r="D489" s="8" t="n">
        <f aca="false">DATE(B489,C489,1)</f>
        <v>45413</v>
      </c>
      <c r="E489" s="7" t="str">
        <f aca="false">CHOOSE(C489,"ene","feb","mar","abr","may","jun","jul","ago","sep","oct","nov","dic")</f>
        <v>may</v>
      </c>
      <c r="F489" s="7" t="str">
        <f aca="false">CHOOSE(C489,"enero","febrero","marzo","abril","mayo","junio","julio","agosto","septiembre","octubre","noviembre","diciembre")</f>
        <v>mayo</v>
      </c>
      <c r="G489" s="7" t="str">
        <f aca="false">E489&amp;"-"&amp;RIGHT(B489,2)</f>
        <v>may-24</v>
      </c>
    </row>
    <row r="490" customFormat="false" ht="15" hidden="false" customHeight="false" outlineLevel="0" collapsed="false">
      <c r="A490" s="8" t="n">
        <f aca="false">A489+1</f>
        <v>45415</v>
      </c>
      <c r="B490" s="7" t="n">
        <f aca="false">YEAR(A490)</f>
        <v>2024</v>
      </c>
      <c r="C490" s="7" t="n">
        <f aca="false">MONTH(A490)</f>
        <v>5</v>
      </c>
      <c r="D490" s="8" t="n">
        <f aca="false">DATE(B490,C490,1)</f>
        <v>45413</v>
      </c>
      <c r="E490" s="7" t="str">
        <f aca="false">CHOOSE(C490,"ene","feb","mar","abr","may","jun","jul","ago","sep","oct","nov","dic")</f>
        <v>may</v>
      </c>
      <c r="F490" s="7" t="str">
        <f aca="false">CHOOSE(C490,"enero","febrero","marzo","abril","mayo","junio","julio","agosto","septiembre","octubre","noviembre","diciembre")</f>
        <v>mayo</v>
      </c>
      <c r="G490" s="7" t="str">
        <f aca="false">E490&amp;"-"&amp;RIGHT(B490,2)</f>
        <v>may-24</v>
      </c>
    </row>
    <row r="491" customFormat="false" ht="15" hidden="false" customHeight="false" outlineLevel="0" collapsed="false">
      <c r="A491" s="8" t="n">
        <f aca="false">A490+1</f>
        <v>45416</v>
      </c>
      <c r="B491" s="7" t="n">
        <f aca="false">YEAR(A491)</f>
        <v>2024</v>
      </c>
      <c r="C491" s="7" t="n">
        <f aca="false">MONTH(A491)</f>
        <v>5</v>
      </c>
      <c r="D491" s="8" t="n">
        <f aca="false">DATE(B491,C491,1)</f>
        <v>45413</v>
      </c>
      <c r="E491" s="7" t="str">
        <f aca="false">CHOOSE(C491,"ene","feb","mar","abr","may","jun","jul","ago","sep","oct","nov","dic")</f>
        <v>may</v>
      </c>
      <c r="F491" s="7" t="str">
        <f aca="false">CHOOSE(C491,"enero","febrero","marzo","abril","mayo","junio","julio","agosto","septiembre","octubre","noviembre","diciembre")</f>
        <v>mayo</v>
      </c>
      <c r="G491" s="7" t="str">
        <f aca="false">E491&amp;"-"&amp;RIGHT(B491,2)</f>
        <v>may-24</v>
      </c>
    </row>
    <row r="492" customFormat="false" ht="15" hidden="false" customHeight="false" outlineLevel="0" collapsed="false">
      <c r="A492" s="8" t="n">
        <f aca="false">A491+1</f>
        <v>45417</v>
      </c>
      <c r="B492" s="7" t="n">
        <f aca="false">YEAR(A492)</f>
        <v>2024</v>
      </c>
      <c r="C492" s="7" t="n">
        <f aca="false">MONTH(A492)</f>
        <v>5</v>
      </c>
      <c r="D492" s="8" t="n">
        <f aca="false">DATE(B492,C492,1)</f>
        <v>45413</v>
      </c>
      <c r="E492" s="7" t="str">
        <f aca="false">CHOOSE(C492,"ene","feb","mar","abr","may","jun","jul","ago","sep","oct","nov","dic")</f>
        <v>may</v>
      </c>
      <c r="F492" s="7" t="str">
        <f aca="false">CHOOSE(C492,"enero","febrero","marzo","abril","mayo","junio","julio","agosto","septiembre","octubre","noviembre","diciembre")</f>
        <v>mayo</v>
      </c>
      <c r="G492" s="7" t="str">
        <f aca="false">E492&amp;"-"&amp;RIGHT(B492,2)</f>
        <v>may-24</v>
      </c>
    </row>
    <row r="493" customFormat="false" ht="15" hidden="false" customHeight="false" outlineLevel="0" collapsed="false">
      <c r="A493" s="8" t="n">
        <f aca="false">A492+1</f>
        <v>45418</v>
      </c>
      <c r="B493" s="7" t="n">
        <f aca="false">YEAR(A493)</f>
        <v>2024</v>
      </c>
      <c r="C493" s="7" t="n">
        <f aca="false">MONTH(A493)</f>
        <v>5</v>
      </c>
      <c r="D493" s="8" t="n">
        <f aca="false">DATE(B493,C493,1)</f>
        <v>45413</v>
      </c>
      <c r="E493" s="7" t="str">
        <f aca="false">CHOOSE(C493,"ene","feb","mar","abr","may","jun","jul","ago","sep","oct","nov","dic")</f>
        <v>may</v>
      </c>
      <c r="F493" s="7" t="str">
        <f aca="false">CHOOSE(C493,"enero","febrero","marzo","abril","mayo","junio","julio","agosto","septiembre","octubre","noviembre","diciembre")</f>
        <v>mayo</v>
      </c>
      <c r="G493" s="7" t="str">
        <f aca="false">E493&amp;"-"&amp;RIGHT(B493,2)</f>
        <v>may-24</v>
      </c>
    </row>
    <row r="494" customFormat="false" ht="15" hidden="false" customHeight="false" outlineLevel="0" collapsed="false">
      <c r="A494" s="8" t="n">
        <f aca="false">A493+1</f>
        <v>45419</v>
      </c>
      <c r="B494" s="7" t="n">
        <f aca="false">YEAR(A494)</f>
        <v>2024</v>
      </c>
      <c r="C494" s="7" t="n">
        <f aca="false">MONTH(A494)</f>
        <v>5</v>
      </c>
      <c r="D494" s="8" t="n">
        <f aca="false">DATE(B494,C494,1)</f>
        <v>45413</v>
      </c>
      <c r="E494" s="7" t="str">
        <f aca="false">CHOOSE(C494,"ene","feb","mar","abr","may","jun","jul","ago","sep","oct","nov","dic")</f>
        <v>may</v>
      </c>
      <c r="F494" s="7" t="str">
        <f aca="false">CHOOSE(C494,"enero","febrero","marzo","abril","mayo","junio","julio","agosto","septiembre","octubre","noviembre","diciembre")</f>
        <v>mayo</v>
      </c>
      <c r="G494" s="7" t="str">
        <f aca="false">E494&amp;"-"&amp;RIGHT(B494,2)</f>
        <v>may-24</v>
      </c>
    </row>
    <row r="495" customFormat="false" ht="15" hidden="false" customHeight="false" outlineLevel="0" collapsed="false">
      <c r="A495" s="8" t="n">
        <f aca="false">A494+1</f>
        <v>45420</v>
      </c>
      <c r="B495" s="7" t="n">
        <f aca="false">YEAR(A495)</f>
        <v>2024</v>
      </c>
      <c r="C495" s="7" t="n">
        <f aca="false">MONTH(A495)</f>
        <v>5</v>
      </c>
      <c r="D495" s="8" t="n">
        <f aca="false">DATE(B495,C495,1)</f>
        <v>45413</v>
      </c>
      <c r="E495" s="7" t="str">
        <f aca="false">CHOOSE(C495,"ene","feb","mar","abr","may","jun","jul","ago","sep","oct","nov","dic")</f>
        <v>may</v>
      </c>
      <c r="F495" s="7" t="str">
        <f aca="false">CHOOSE(C495,"enero","febrero","marzo","abril","mayo","junio","julio","agosto","septiembre","octubre","noviembre","diciembre")</f>
        <v>mayo</v>
      </c>
      <c r="G495" s="7" t="str">
        <f aca="false">E495&amp;"-"&amp;RIGHT(B495,2)</f>
        <v>may-24</v>
      </c>
    </row>
    <row r="496" customFormat="false" ht="15" hidden="false" customHeight="false" outlineLevel="0" collapsed="false">
      <c r="A496" s="8" t="n">
        <f aca="false">A495+1</f>
        <v>45421</v>
      </c>
      <c r="B496" s="7" t="n">
        <f aca="false">YEAR(A496)</f>
        <v>2024</v>
      </c>
      <c r="C496" s="7" t="n">
        <f aca="false">MONTH(A496)</f>
        <v>5</v>
      </c>
      <c r="D496" s="8" t="n">
        <f aca="false">DATE(B496,C496,1)</f>
        <v>45413</v>
      </c>
      <c r="E496" s="7" t="str">
        <f aca="false">CHOOSE(C496,"ene","feb","mar","abr","may","jun","jul","ago","sep","oct","nov","dic")</f>
        <v>may</v>
      </c>
      <c r="F496" s="7" t="str">
        <f aca="false">CHOOSE(C496,"enero","febrero","marzo","abril","mayo","junio","julio","agosto","septiembre","octubre","noviembre","diciembre")</f>
        <v>mayo</v>
      </c>
      <c r="G496" s="7" t="str">
        <f aca="false">E496&amp;"-"&amp;RIGHT(B496,2)</f>
        <v>may-24</v>
      </c>
    </row>
    <row r="497" customFormat="false" ht="15" hidden="false" customHeight="false" outlineLevel="0" collapsed="false">
      <c r="A497" s="8" t="n">
        <f aca="false">A496+1</f>
        <v>45422</v>
      </c>
      <c r="B497" s="7" t="n">
        <f aca="false">YEAR(A497)</f>
        <v>2024</v>
      </c>
      <c r="C497" s="7" t="n">
        <f aca="false">MONTH(A497)</f>
        <v>5</v>
      </c>
      <c r="D497" s="8" t="n">
        <f aca="false">DATE(B497,C497,1)</f>
        <v>45413</v>
      </c>
      <c r="E497" s="7" t="str">
        <f aca="false">CHOOSE(C497,"ene","feb","mar","abr","may","jun","jul","ago","sep","oct","nov","dic")</f>
        <v>may</v>
      </c>
      <c r="F497" s="7" t="str">
        <f aca="false">CHOOSE(C497,"enero","febrero","marzo","abril","mayo","junio","julio","agosto","septiembre","octubre","noviembre","diciembre")</f>
        <v>mayo</v>
      </c>
      <c r="G497" s="7" t="str">
        <f aca="false">E497&amp;"-"&amp;RIGHT(B497,2)</f>
        <v>may-24</v>
      </c>
    </row>
    <row r="498" customFormat="false" ht="15" hidden="false" customHeight="false" outlineLevel="0" collapsed="false">
      <c r="A498" s="8" t="n">
        <f aca="false">A497+1</f>
        <v>45423</v>
      </c>
      <c r="B498" s="7" t="n">
        <f aca="false">YEAR(A498)</f>
        <v>2024</v>
      </c>
      <c r="C498" s="7" t="n">
        <f aca="false">MONTH(A498)</f>
        <v>5</v>
      </c>
      <c r="D498" s="8" t="n">
        <f aca="false">DATE(B498,C498,1)</f>
        <v>45413</v>
      </c>
      <c r="E498" s="7" t="str">
        <f aca="false">CHOOSE(C498,"ene","feb","mar","abr","may","jun","jul","ago","sep","oct","nov","dic")</f>
        <v>may</v>
      </c>
      <c r="F498" s="7" t="str">
        <f aca="false">CHOOSE(C498,"enero","febrero","marzo","abril","mayo","junio","julio","agosto","septiembre","octubre","noviembre","diciembre")</f>
        <v>mayo</v>
      </c>
      <c r="G498" s="7" t="str">
        <f aca="false">E498&amp;"-"&amp;RIGHT(B498,2)</f>
        <v>may-24</v>
      </c>
    </row>
    <row r="499" customFormat="false" ht="15" hidden="false" customHeight="false" outlineLevel="0" collapsed="false">
      <c r="A499" s="8" t="n">
        <f aca="false">A498+1</f>
        <v>45424</v>
      </c>
      <c r="B499" s="7" t="n">
        <f aca="false">YEAR(A499)</f>
        <v>2024</v>
      </c>
      <c r="C499" s="7" t="n">
        <f aca="false">MONTH(A499)</f>
        <v>5</v>
      </c>
      <c r="D499" s="8" t="n">
        <f aca="false">DATE(B499,C499,1)</f>
        <v>45413</v>
      </c>
      <c r="E499" s="7" t="str">
        <f aca="false">CHOOSE(C499,"ene","feb","mar","abr","may","jun","jul","ago","sep","oct","nov","dic")</f>
        <v>may</v>
      </c>
      <c r="F499" s="7" t="str">
        <f aca="false">CHOOSE(C499,"enero","febrero","marzo","abril","mayo","junio","julio","agosto","septiembre","octubre","noviembre","diciembre")</f>
        <v>mayo</v>
      </c>
      <c r="G499" s="7" t="str">
        <f aca="false">E499&amp;"-"&amp;RIGHT(B499,2)</f>
        <v>may-24</v>
      </c>
    </row>
    <row r="500" customFormat="false" ht="15" hidden="false" customHeight="false" outlineLevel="0" collapsed="false">
      <c r="A500" s="8" t="n">
        <f aca="false">A499+1</f>
        <v>45425</v>
      </c>
      <c r="B500" s="7" t="n">
        <f aca="false">YEAR(A500)</f>
        <v>2024</v>
      </c>
      <c r="C500" s="7" t="n">
        <f aca="false">MONTH(A500)</f>
        <v>5</v>
      </c>
      <c r="D500" s="8" t="n">
        <f aca="false">DATE(B500,C500,1)</f>
        <v>45413</v>
      </c>
      <c r="E500" s="7" t="str">
        <f aca="false">CHOOSE(C500,"ene","feb","mar","abr","may","jun","jul","ago","sep","oct","nov","dic")</f>
        <v>may</v>
      </c>
      <c r="F500" s="7" t="str">
        <f aca="false">CHOOSE(C500,"enero","febrero","marzo","abril","mayo","junio","julio","agosto","septiembre","octubre","noviembre","diciembre")</f>
        <v>mayo</v>
      </c>
      <c r="G500" s="7" t="str">
        <f aca="false">E500&amp;"-"&amp;RIGHT(B500,2)</f>
        <v>may-24</v>
      </c>
    </row>
    <row r="501" customFormat="false" ht="15" hidden="false" customHeight="false" outlineLevel="0" collapsed="false">
      <c r="A501" s="8" t="n">
        <f aca="false">A500+1</f>
        <v>45426</v>
      </c>
      <c r="B501" s="7" t="n">
        <f aca="false">YEAR(A501)</f>
        <v>2024</v>
      </c>
      <c r="C501" s="7" t="n">
        <f aca="false">MONTH(A501)</f>
        <v>5</v>
      </c>
      <c r="D501" s="8" t="n">
        <f aca="false">DATE(B501,C501,1)</f>
        <v>45413</v>
      </c>
      <c r="E501" s="7" t="str">
        <f aca="false">CHOOSE(C501,"ene","feb","mar","abr","may","jun","jul","ago","sep","oct","nov","dic")</f>
        <v>may</v>
      </c>
      <c r="F501" s="7" t="str">
        <f aca="false">CHOOSE(C501,"enero","febrero","marzo","abril","mayo","junio","julio","agosto","septiembre","octubre","noviembre","diciembre")</f>
        <v>mayo</v>
      </c>
      <c r="G501" s="7" t="str">
        <f aca="false">E501&amp;"-"&amp;RIGHT(B501,2)</f>
        <v>may-24</v>
      </c>
    </row>
    <row r="502" customFormat="false" ht="15" hidden="false" customHeight="false" outlineLevel="0" collapsed="false">
      <c r="A502" s="8" t="n">
        <f aca="false">A501+1</f>
        <v>45427</v>
      </c>
      <c r="B502" s="7" t="n">
        <f aca="false">YEAR(A502)</f>
        <v>2024</v>
      </c>
      <c r="C502" s="7" t="n">
        <f aca="false">MONTH(A502)</f>
        <v>5</v>
      </c>
      <c r="D502" s="8" t="n">
        <f aca="false">DATE(B502,C502,1)</f>
        <v>45413</v>
      </c>
      <c r="E502" s="7" t="str">
        <f aca="false">CHOOSE(C502,"ene","feb","mar","abr","may","jun","jul","ago","sep","oct","nov","dic")</f>
        <v>may</v>
      </c>
      <c r="F502" s="7" t="str">
        <f aca="false">CHOOSE(C502,"enero","febrero","marzo","abril","mayo","junio","julio","agosto","septiembre","octubre","noviembre","diciembre")</f>
        <v>mayo</v>
      </c>
      <c r="G502" s="7" t="str">
        <f aca="false">E502&amp;"-"&amp;RIGHT(B502,2)</f>
        <v>may-24</v>
      </c>
    </row>
    <row r="503" customFormat="false" ht="15" hidden="false" customHeight="false" outlineLevel="0" collapsed="false">
      <c r="A503" s="8" t="n">
        <f aca="false">A502+1</f>
        <v>45428</v>
      </c>
      <c r="B503" s="7" t="n">
        <f aca="false">YEAR(A503)</f>
        <v>2024</v>
      </c>
      <c r="C503" s="7" t="n">
        <f aca="false">MONTH(A503)</f>
        <v>5</v>
      </c>
      <c r="D503" s="8" t="n">
        <f aca="false">DATE(B503,C503,1)</f>
        <v>45413</v>
      </c>
      <c r="E503" s="7" t="str">
        <f aca="false">CHOOSE(C503,"ene","feb","mar","abr","may","jun","jul","ago","sep","oct","nov","dic")</f>
        <v>may</v>
      </c>
      <c r="F503" s="7" t="str">
        <f aca="false">CHOOSE(C503,"enero","febrero","marzo","abril","mayo","junio","julio","agosto","septiembre","octubre","noviembre","diciembre")</f>
        <v>mayo</v>
      </c>
      <c r="G503" s="7" t="str">
        <f aca="false">E503&amp;"-"&amp;RIGHT(B503,2)</f>
        <v>may-24</v>
      </c>
    </row>
    <row r="504" customFormat="false" ht="15" hidden="false" customHeight="false" outlineLevel="0" collapsed="false">
      <c r="A504" s="8" t="n">
        <f aca="false">A503+1</f>
        <v>45429</v>
      </c>
      <c r="B504" s="7" t="n">
        <f aca="false">YEAR(A504)</f>
        <v>2024</v>
      </c>
      <c r="C504" s="7" t="n">
        <f aca="false">MONTH(A504)</f>
        <v>5</v>
      </c>
      <c r="D504" s="8" t="n">
        <f aca="false">DATE(B504,C504,1)</f>
        <v>45413</v>
      </c>
      <c r="E504" s="7" t="str">
        <f aca="false">CHOOSE(C504,"ene","feb","mar","abr","may","jun","jul","ago","sep","oct","nov","dic")</f>
        <v>may</v>
      </c>
      <c r="F504" s="7" t="str">
        <f aca="false">CHOOSE(C504,"enero","febrero","marzo","abril","mayo","junio","julio","agosto","septiembre","octubre","noviembre","diciembre")</f>
        <v>mayo</v>
      </c>
      <c r="G504" s="7" t="str">
        <f aca="false">E504&amp;"-"&amp;RIGHT(B504,2)</f>
        <v>may-24</v>
      </c>
    </row>
    <row r="505" customFormat="false" ht="15" hidden="false" customHeight="false" outlineLevel="0" collapsed="false">
      <c r="A505" s="8" t="n">
        <f aca="false">A504+1</f>
        <v>45430</v>
      </c>
      <c r="B505" s="7" t="n">
        <f aca="false">YEAR(A505)</f>
        <v>2024</v>
      </c>
      <c r="C505" s="7" t="n">
        <f aca="false">MONTH(A505)</f>
        <v>5</v>
      </c>
      <c r="D505" s="8" t="n">
        <f aca="false">DATE(B505,C505,1)</f>
        <v>45413</v>
      </c>
      <c r="E505" s="7" t="str">
        <f aca="false">CHOOSE(C505,"ene","feb","mar","abr","may","jun","jul","ago","sep","oct","nov","dic")</f>
        <v>may</v>
      </c>
      <c r="F505" s="7" t="str">
        <f aca="false">CHOOSE(C505,"enero","febrero","marzo","abril","mayo","junio","julio","agosto","septiembre","octubre","noviembre","diciembre")</f>
        <v>mayo</v>
      </c>
      <c r="G505" s="7" t="str">
        <f aca="false">E505&amp;"-"&amp;RIGHT(B505,2)</f>
        <v>may-24</v>
      </c>
    </row>
    <row r="506" customFormat="false" ht="15" hidden="false" customHeight="false" outlineLevel="0" collapsed="false">
      <c r="A506" s="8" t="n">
        <f aca="false">A505+1</f>
        <v>45431</v>
      </c>
      <c r="B506" s="7" t="n">
        <f aca="false">YEAR(A506)</f>
        <v>2024</v>
      </c>
      <c r="C506" s="7" t="n">
        <f aca="false">MONTH(A506)</f>
        <v>5</v>
      </c>
      <c r="D506" s="8" t="n">
        <f aca="false">DATE(B506,C506,1)</f>
        <v>45413</v>
      </c>
      <c r="E506" s="7" t="str">
        <f aca="false">CHOOSE(C506,"ene","feb","mar","abr","may","jun","jul","ago","sep","oct","nov","dic")</f>
        <v>may</v>
      </c>
      <c r="F506" s="7" t="str">
        <f aca="false">CHOOSE(C506,"enero","febrero","marzo","abril","mayo","junio","julio","agosto","septiembre","octubre","noviembre","diciembre")</f>
        <v>mayo</v>
      </c>
      <c r="G506" s="7" t="str">
        <f aca="false">E506&amp;"-"&amp;RIGHT(B506,2)</f>
        <v>may-24</v>
      </c>
    </row>
    <row r="507" customFormat="false" ht="15" hidden="false" customHeight="false" outlineLevel="0" collapsed="false">
      <c r="A507" s="8" t="n">
        <f aca="false">A506+1</f>
        <v>45432</v>
      </c>
      <c r="B507" s="7" t="n">
        <f aca="false">YEAR(A507)</f>
        <v>2024</v>
      </c>
      <c r="C507" s="7" t="n">
        <f aca="false">MONTH(A507)</f>
        <v>5</v>
      </c>
      <c r="D507" s="8" t="n">
        <f aca="false">DATE(B507,C507,1)</f>
        <v>45413</v>
      </c>
      <c r="E507" s="7" t="str">
        <f aca="false">CHOOSE(C507,"ene","feb","mar","abr","may","jun","jul","ago","sep","oct","nov","dic")</f>
        <v>may</v>
      </c>
      <c r="F507" s="7" t="str">
        <f aca="false">CHOOSE(C507,"enero","febrero","marzo","abril","mayo","junio","julio","agosto","septiembre","octubre","noviembre","diciembre")</f>
        <v>mayo</v>
      </c>
      <c r="G507" s="7" t="str">
        <f aca="false">E507&amp;"-"&amp;RIGHT(B507,2)</f>
        <v>may-24</v>
      </c>
    </row>
    <row r="508" customFormat="false" ht="15" hidden="false" customHeight="false" outlineLevel="0" collapsed="false">
      <c r="A508" s="8" t="n">
        <f aca="false">A507+1</f>
        <v>45433</v>
      </c>
      <c r="B508" s="7" t="n">
        <f aca="false">YEAR(A508)</f>
        <v>2024</v>
      </c>
      <c r="C508" s="7" t="n">
        <f aca="false">MONTH(A508)</f>
        <v>5</v>
      </c>
      <c r="D508" s="8" t="n">
        <f aca="false">DATE(B508,C508,1)</f>
        <v>45413</v>
      </c>
      <c r="E508" s="7" t="str">
        <f aca="false">CHOOSE(C508,"ene","feb","mar","abr","may","jun","jul","ago","sep","oct","nov","dic")</f>
        <v>may</v>
      </c>
      <c r="F508" s="7" t="str">
        <f aca="false">CHOOSE(C508,"enero","febrero","marzo","abril","mayo","junio","julio","agosto","septiembre","octubre","noviembre","diciembre")</f>
        <v>mayo</v>
      </c>
      <c r="G508" s="7" t="str">
        <f aca="false">E508&amp;"-"&amp;RIGHT(B508,2)</f>
        <v>may-24</v>
      </c>
    </row>
    <row r="509" customFormat="false" ht="15" hidden="false" customHeight="false" outlineLevel="0" collapsed="false">
      <c r="A509" s="8" t="n">
        <f aca="false">A508+1</f>
        <v>45434</v>
      </c>
      <c r="B509" s="7" t="n">
        <f aca="false">YEAR(A509)</f>
        <v>2024</v>
      </c>
      <c r="C509" s="7" t="n">
        <f aca="false">MONTH(A509)</f>
        <v>5</v>
      </c>
      <c r="D509" s="8" t="n">
        <f aca="false">DATE(B509,C509,1)</f>
        <v>45413</v>
      </c>
      <c r="E509" s="7" t="str">
        <f aca="false">CHOOSE(C509,"ene","feb","mar","abr","may","jun","jul","ago","sep","oct","nov","dic")</f>
        <v>may</v>
      </c>
      <c r="F509" s="7" t="str">
        <f aca="false">CHOOSE(C509,"enero","febrero","marzo","abril","mayo","junio","julio","agosto","septiembre","octubre","noviembre","diciembre")</f>
        <v>mayo</v>
      </c>
      <c r="G509" s="7" t="str">
        <f aca="false">E509&amp;"-"&amp;RIGHT(B509,2)</f>
        <v>may-24</v>
      </c>
    </row>
    <row r="510" customFormat="false" ht="15" hidden="false" customHeight="false" outlineLevel="0" collapsed="false">
      <c r="A510" s="8" t="n">
        <f aca="false">A509+1</f>
        <v>45435</v>
      </c>
      <c r="B510" s="7" t="n">
        <f aca="false">YEAR(A510)</f>
        <v>2024</v>
      </c>
      <c r="C510" s="7" t="n">
        <f aca="false">MONTH(A510)</f>
        <v>5</v>
      </c>
      <c r="D510" s="8" t="n">
        <f aca="false">DATE(B510,C510,1)</f>
        <v>45413</v>
      </c>
      <c r="E510" s="7" t="str">
        <f aca="false">CHOOSE(C510,"ene","feb","mar","abr","may","jun","jul","ago","sep","oct","nov","dic")</f>
        <v>may</v>
      </c>
      <c r="F510" s="7" t="str">
        <f aca="false">CHOOSE(C510,"enero","febrero","marzo","abril","mayo","junio","julio","agosto","septiembre","octubre","noviembre","diciembre")</f>
        <v>mayo</v>
      </c>
      <c r="G510" s="7" t="str">
        <f aca="false">E510&amp;"-"&amp;RIGHT(B510,2)</f>
        <v>may-24</v>
      </c>
    </row>
    <row r="511" customFormat="false" ht="15" hidden="false" customHeight="false" outlineLevel="0" collapsed="false">
      <c r="A511" s="8" t="n">
        <f aca="false">A510+1</f>
        <v>45436</v>
      </c>
      <c r="B511" s="7" t="n">
        <f aca="false">YEAR(A511)</f>
        <v>2024</v>
      </c>
      <c r="C511" s="7" t="n">
        <f aca="false">MONTH(A511)</f>
        <v>5</v>
      </c>
      <c r="D511" s="8" t="n">
        <f aca="false">DATE(B511,C511,1)</f>
        <v>45413</v>
      </c>
      <c r="E511" s="7" t="str">
        <f aca="false">CHOOSE(C511,"ene","feb","mar","abr","may","jun","jul","ago","sep","oct","nov","dic")</f>
        <v>may</v>
      </c>
      <c r="F511" s="7" t="str">
        <f aca="false">CHOOSE(C511,"enero","febrero","marzo","abril","mayo","junio","julio","agosto","septiembre","octubre","noviembre","diciembre")</f>
        <v>mayo</v>
      </c>
      <c r="G511" s="7" t="str">
        <f aca="false">E511&amp;"-"&amp;RIGHT(B511,2)</f>
        <v>may-24</v>
      </c>
    </row>
    <row r="512" customFormat="false" ht="15" hidden="false" customHeight="false" outlineLevel="0" collapsed="false">
      <c r="A512" s="8" t="n">
        <f aca="false">A511+1</f>
        <v>45437</v>
      </c>
      <c r="B512" s="7" t="n">
        <f aca="false">YEAR(A512)</f>
        <v>2024</v>
      </c>
      <c r="C512" s="7" t="n">
        <f aca="false">MONTH(A512)</f>
        <v>5</v>
      </c>
      <c r="D512" s="8" t="n">
        <f aca="false">DATE(B512,C512,1)</f>
        <v>45413</v>
      </c>
      <c r="E512" s="7" t="str">
        <f aca="false">CHOOSE(C512,"ene","feb","mar","abr","may","jun","jul","ago","sep","oct","nov","dic")</f>
        <v>may</v>
      </c>
      <c r="F512" s="7" t="str">
        <f aca="false">CHOOSE(C512,"enero","febrero","marzo","abril","mayo","junio","julio","agosto","septiembre","octubre","noviembre","diciembre")</f>
        <v>mayo</v>
      </c>
      <c r="G512" s="7" t="str">
        <f aca="false">E512&amp;"-"&amp;RIGHT(B512,2)</f>
        <v>may-24</v>
      </c>
    </row>
    <row r="513" customFormat="false" ht="15" hidden="false" customHeight="false" outlineLevel="0" collapsed="false">
      <c r="A513" s="8" t="n">
        <f aca="false">A512+1</f>
        <v>45438</v>
      </c>
      <c r="B513" s="7" t="n">
        <f aca="false">YEAR(A513)</f>
        <v>2024</v>
      </c>
      <c r="C513" s="7" t="n">
        <f aca="false">MONTH(A513)</f>
        <v>5</v>
      </c>
      <c r="D513" s="8" t="n">
        <f aca="false">DATE(B513,C513,1)</f>
        <v>45413</v>
      </c>
      <c r="E513" s="7" t="str">
        <f aca="false">CHOOSE(C513,"ene","feb","mar","abr","may","jun","jul","ago","sep","oct","nov","dic")</f>
        <v>may</v>
      </c>
      <c r="F513" s="7" t="str">
        <f aca="false">CHOOSE(C513,"enero","febrero","marzo","abril","mayo","junio","julio","agosto","septiembre","octubre","noviembre","diciembre")</f>
        <v>mayo</v>
      </c>
      <c r="G513" s="7" t="str">
        <f aca="false">E513&amp;"-"&amp;RIGHT(B513,2)</f>
        <v>may-24</v>
      </c>
    </row>
    <row r="514" customFormat="false" ht="15" hidden="false" customHeight="false" outlineLevel="0" collapsed="false">
      <c r="A514" s="8" t="n">
        <f aca="false">A513+1</f>
        <v>45439</v>
      </c>
      <c r="B514" s="7" t="n">
        <f aca="false">YEAR(A514)</f>
        <v>2024</v>
      </c>
      <c r="C514" s="7" t="n">
        <f aca="false">MONTH(A514)</f>
        <v>5</v>
      </c>
      <c r="D514" s="8" t="n">
        <f aca="false">DATE(B514,C514,1)</f>
        <v>45413</v>
      </c>
      <c r="E514" s="7" t="str">
        <f aca="false">CHOOSE(C514,"ene","feb","mar","abr","may","jun","jul","ago","sep","oct","nov","dic")</f>
        <v>may</v>
      </c>
      <c r="F514" s="7" t="str">
        <f aca="false">CHOOSE(C514,"enero","febrero","marzo","abril","mayo","junio","julio","agosto","septiembre","octubre","noviembre","diciembre")</f>
        <v>mayo</v>
      </c>
      <c r="G514" s="7" t="str">
        <f aca="false">E514&amp;"-"&amp;RIGHT(B514,2)</f>
        <v>may-24</v>
      </c>
    </row>
    <row r="515" customFormat="false" ht="15" hidden="false" customHeight="false" outlineLevel="0" collapsed="false">
      <c r="A515" s="8" t="n">
        <f aca="false">A514+1</f>
        <v>45440</v>
      </c>
      <c r="B515" s="7" t="n">
        <f aca="false">YEAR(A515)</f>
        <v>2024</v>
      </c>
      <c r="C515" s="7" t="n">
        <f aca="false">MONTH(A515)</f>
        <v>5</v>
      </c>
      <c r="D515" s="8" t="n">
        <f aca="false">DATE(B515,C515,1)</f>
        <v>45413</v>
      </c>
      <c r="E515" s="7" t="str">
        <f aca="false">CHOOSE(C515,"ene","feb","mar","abr","may","jun","jul","ago","sep","oct","nov","dic")</f>
        <v>may</v>
      </c>
      <c r="F515" s="7" t="str">
        <f aca="false">CHOOSE(C515,"enero","febrero","marzo","abril","mayo","junio","julio","agosto","septiembre","octubre","noviembre","diciembre")</f>
        <v>mayo</v>
      </c>
      <c r="G515" s="7" t="str">
        <f aca="false">E515&amp;"-"&amp;RIGHT(B515,2)</f>
        <v>may-24</v>
      </c>
    </row>
    <row r="516" customFormat="false" ht="15" hidden="false" customHeight="false" outlineLevel="0" collapsed="false">
      <c r="A516" s="8" t="n">
        <f aca="false">A515+1</f>
        <v>45441</v>
      </c>
      <c r="B516" s="7" t="n">
        <f aca="false">YEAR(A516)</f>
        <v>2024</v>
      </c>
      <c r="C516" s="7" t="n">
        <f aca="false">MONTH(A516)</f>
        <v>5</v>
      </c>
      <c r="D516" s="8" t="n">
        <f aca="false">DATE(B516,C516,1)</f>
        <v>45413</v>
      </c>
      <c r="E516" s="7" t="str">
        <f aca="false">CHOOSE(C516,"ene","feb","mar","abr","may","jun","jul","ago","sep","oct","nov","dic")</f>
        <v>may</v>
      </c>
      <c r="F516" s="7" t="str">
        <f aca="false">CHOOSE(C516,"enero","febrero","marzo","abril","mayo","junio","julio","agosto","septiembre","octubre","noviembre","diciembre")</f>
        <v>mayo</v>
      </c>
      <c r="G516" s="7" t="str">
        <f aca="false">E516&amp;"-"&amp;RIGHT(B516,2)</f>
        <v>may-24</v>
      </c>
    </row>
    <row r="517" customFormat="false" ht="15" hidden="false" customHeight="false" outlineLevel="0" collapsed="false">
      <c r="A517" s="8" t="n">
        <f aca="false">A516+1</f>
        <v>45442</v>
      </c>
      <c r="B517" s="7" t="n">
        <f aca="false">YEAR(A517)</f>
        <v>2024</v>
      </c>
      <c r="C517" s="7" t="n">
        <f aca="false">MONTH(A517)</f>
        <v>5</v>
      </c>
      <c r="D517" s="8" t="n">
        <f aca="false">DATE(B517,C517,1)</f>
        <v>45413</v>
      </c>
      <c r="E517" s="7" t="str">
        <f aca="false">CHOOSE(C517,"ene","feb","mar","abr","may","jun","jul","ago","sep","oct","nov","dic")</f>
        <v>may</v>
      </c>
      <c r="F517" s="7" t="str">
        <f aca="false">CHOOSE(C517,"enero","febrero","marzo","abril","mayo","junio","julio","agosto","septiembre","octubre","noviembre","diciembre")</f>
        <v>mayo</v>
      </c>
      <c r="G517" s="7" t="str">
        <f aca="false">E517&amp;"-"&amp;RIGHT(B517,2)</f>
        <v>may-24</v>
      </c>
    </row>
    <row r="518" customFormat="false" ht="15" hidden="false" customHeight="false" outlineLevel="0" collapsed="false">
      <c r="A518" s="8" t="n">
        <f aca="false">A517+1</f>
        <v>45443</v>
      </c>
      <c r="B518" s="7" t="n">
        <f aca="false">YEAR(A518)</f>
        <v>2024</v>
      </c>
      <c r="C518" s="7" t="n">
        <f aca="false">MONTH(A518)</f>
        <v>5</v>
      </c>
      <c r="D518" s="8" t="n">
        <f aca="false">DATE(B518,C518,1)</f>
        <v>45413</v>
      </c>
      <c r="E518" s="7" t="str">
        <f aca="false">CHOOSE(C518,"ene","feb","mar","abr","may","jun","jul","ago","sep","oct","nov","dic")</f>
        <v>may</v>
      </c>
      <c r="F518" s="7" t="str">
        <f aca="false">CHOOSE(C518,"enero","febrero","marzo","abril","mayo","junio","julio","agosto","septiembre","octubre","noviembre","diciembre")</f>
        <v>mayo</v>
      </c>
      <c r="G518" s="7" t="str">
        <f aca="false">E518&amp;"-"&amp;RIGHT(B518,2)</f>
        <v>may-24</v>
      </c>
    </row>
    <row r="519" customFormat="false" ht="15" hidden="false" customHeight="false" outlineLevel="0" collapsed="false">
      <c r="A519" s="8" t="n">
        <f aca="false">A518+1</f>
        <v>45444</v>
      </c>
      <c r="B519" s="7" t="n">
        <f aca="false">YEAR(A519)</f>
        <v>2024</v>
      </c>
      <c r="C519" s="7" t="n">
        <f aca="false">MONTH(A519)</f>
        <v>6</v>
      </c>
      <c r="D519" s="8" t="n">
        <f aca="false">DATE(B519,C519,1)</f>
        <v>45444</v>
      </c>
      <c r="E519" s="7" t="str">
        <f aca="false">CHOOSE(C519,"ene","feb","mar","abr","may","jun","jul","ago","sep","oct","nov","dic")</f>
        <v>jun</v>
      </c>
      <c r="F519" s="7" t="str">
        <f aca="false">CHOOSE(C519,"enero","febrero","marzo","abril","mayo","junio","julio","agosto","septiembre","octubre","noviembre","diciembre")</f>
        <v>junio</v>
      </c>
      <c r="G519" s="7" t="str">
        <f aca="false">E519&amp;"-"&amp;RIGHT(B519,2)</f>
        <v>jun-24</v>
      </c>
    </row>
    <row r="520" customFormat="false" ht="15" hidden="false" customHeight="false" outlineLevel="0" collapsed="false">
      <c r="A520" s="8" t="n">
        <f aca="false">A519+1</f>
        <v>45445</v>
      </c>
      <c r="B520" s="7" t="n">
        <f aca="false">YEAR(A520)</f>
        <v>2024</v>
      </c>
      <c r="C520" s="7" t="n">
        <f aca="false">MONTH(A520)</f>
        <v>6</v>
      </c>
      <c r="D520" s="8" t="n">
        <f aca="false">DATE(B520,C520,1)</f>
        <v>45444</v>
      </c>
      <c r="E520" s="7" t="str">
        <f aca="false">CHOOSE(C520,"ene","feb","mar","abr","may","jun","jul","ago","sep","oct","nov","dic")</f>
        <v>jun</v>
      </c>
      <c r="F520" s="7" t="str">
        <f aca="false">CHOOSE(C520,"enero","febrero","marzo","abril","mayo","junio","julio","agosto","septiembre","octubre","noviembre","diciembre")</f>
        <v>junio</v>
      </c>
      <c r="G520" s="7" t="str">
        <f aca="false">E520&amp;"-"&amp;RIGHT(B520,2)</f>
        <v>jun-24</v>
      </c>
    </row>
    <row r="521" customFormat="false" ht="15" hidden="false" customHeight="false" outlineLevel="0" collapsed="false">
      <c r="A521" s="8" t="n">
        <f aca="false">A520+1</f>
        <v>45446</v>
      </c>
      <c r="B521" s="7" t="n">
        <f aca="false">YEAR(A521)</f>
        <v>2024</v>
      </c>
      <c r="C521" s="7" t="n">
        <f aca="false">MONTH(A521)</f>
        <v>6</v>
      </c>
      <c r="D521" s="8" t="n">
        <f aca="false">DATE(B521,C521,1)</f>
        <v>45444</v>
      </c>
      <c r="E521" s="7" t="str">
        <f aca="false">CHOOSE(C521,"ene","feb","mar","abr","may","jun","jul","ago","sep","oct","nov","dic")</f>
        <v>jun</v>
      </c>
      <c r="F521" s="7" t="str">
        <f aca="false">CHOOSE(C521,"enero","febrero","marzo","abril","mayo","junio","julio","agosto","septiembre","octubre","noviembre","diciembre")</f>
        <v>junio</v>
      </c>
      <c r="G521" s="7" t="str">
        <f aca="false">E521&amp;"-"&amp;RIGHT(B521,2)</f>
        <v>jun-24</v>
      </c>
    </row>
    <row r="522" customFormat="false" ht="15" hidden="false" customHeight="false" outlineLevel="0" collapsed="false">
      <c r="A522" s="8" t="n">
        <f aca="false">A521+1</f>
        <v>45447</v>
      </c>
      <c r="B522" s="7" t="n">
        <f aca="false">YEAR(A522)</f>
        <v>2024</v>
      </c>
      <c r="C522" s="7" t="n">
        <f aca="false">MONTH(A522)</f>
        <v>6</v>
      </c>
      <c r="D522" s="8" t="n">
        <f aca="false">DATE(B522,C522,1)</f>
        <v>45444</v>
      </c>
      <c r="E522" s="7" t="str">
        <f aca="false">CHOOSE(C522,"ene","feb","mar","abr","may","jun","jul","ago","sep","oct","nov","dic")</f>
        <v>jun</v>
      </c>
      <c r="F522" s="7" t="str">
        <f aca="false">CHOOSE(C522,"enero","febrero","marzo","abril","mayo","junio","julio","agosto","septiembre","octubre","noviembre","diciembre")</f>
        <v>junio</v>
      </c>
      <c r="G522" s="7" t="str">
        <f aca="false">E522&amp;"-"&amp;RIGHT(B522,2)</f>
        <v>jun-24</v>
      </c>
    </row>
    <row r="523" customFormat="false" ht="15" hidden="false" customHeight="false" outlineLevel="0" collapsed="false">
      <c r="A523" s="8" t="n">
        <f aca="false">A522+1</f>
        <v>45448</v>
      </c>
      <c r="B523" s="7" t="n">
        <f aca="false">YEAR(A523)</f>
        <v>2024</v>
      </c>
      <c r="C523" s="7" t="n">
        <f aca="false">MONTH(A523)</f>
        <v>6</v>
      </c>
      <c r="D523" s="8" t="n">
        <f aca="false">DATE(B523,C523,1)</f>
        <v>45444</v>
      </c>
      <c r="E523" s="7" t="str">
        <f aca="false">CHOOSE(C523,"ene","feb","mar","abr","may","jun","jul","ago","sep","oct","nov","dic")</f>
        <v>jun</v>
      </c>
      <c r="F523" s="7" t="str">
        <f aca="false">CHOOSE(C523,"enero","febrero","marzo","abril","mayo","junio","julio","agosto","septiembre","octubre","noviembre","diciembre")</f>
        <v>junio</v>
      </c>
      <c r="G523" s="7" t="str">
        <f aca="false">E523&amp;"-"&amp;RIGHT(B523,2)</f>
        <v>jun-24</v>
      </c>
    </row>
    <row r="524" customFormat="false" ht="15" hidden="false" customHeight="false" outlineLevel="0" collapsed="false">
      <c r="A524" s="8" t="n">
        <f aca="false">A523+1</f>
        <v>45449</v>
      </c>
      <c r="B524" s="7" t="n">
        <f aca="false">YEAR(A524)</f>
        <v>2024</v>
      </c>
      <c r="C524" s="7" t="n">
        <f aca="false">MONTH(A524)</f>
        <v>6</v>
      </c>
      <c r="D524" s="8" t="n">
        <f aca="false">DATE(B524,C524,1)</f>
        <v>45444</v>
      </c>
      <c r="E524" s="7" t="str">
        <f aca="false">CHOOSE(C524,"ene","feb","mar","abr","may","jun","jul","ago","sep","oct","nov","dic")</f>
        <v>jun</v>
      </c>
      <c r="F524" s="7" t="str">
        <f aca="false">CHOOSE(C524,"enero","febrero","marzo","abril","mayo","junio","julio","agosto","septiembre","octubre","noviembre","diciembre")</f>
        <v>junio</v>
      </c>
      <c r="G524" s="7" t="str">
        <f aca="false">E524&amp;"-"&amp;RIGHT(B524,2)</f>
        <v>jun-24</v>
      </c>
    </row>
    <row r="525" customFormat="false" ht="15" hidden="false" customHeight="false" outlineLevel="0" collapsed="false">
      <c r="A525" s="8" t="n">
        <f aca="false">A524+1</f>
        <v>45450</v>
      </c>
      <c r="B525" s="7" t="n">
        <f aca="false">YEAR(A525)</f>
        <v>2024</v>
      </c>
      <c r="C525" s="7" t="n">
        <f aca="false">MONTH(A525)</f>
        <v>6</v>
      </c>
      <c r="D525" s="8" t="n">
        <f aca="false">DATE(B525,C525,1)</f>
        <v>45444</v>
      </c>
      <c r="E525" s="7" t="str">
        <f aca="false">CHOOSE(C525,"ene","feb","mar","abr","may","jun","jul","ago","sep","oct","nov","dic")</f>
        <v>jun</v>
      </c>
      <c r="F525" s="7" t="str">
        <f aca="false">CHOOSE(C525,"enero","febrero","marzo","abril","mayo","junio","julio","agosto","septiembre","octubre","noviembre","diciembre")</f>
        <v>junio</v>
      </c>
      <c r="G525" s="7" t="str">
        <f aca="false">E525&amp;"-"&amp;RIGHT(B525,2)</f>
        <v>jun-24</v>
      </c>
    </row>
    <row r="526" customFormat="false" ht="15" hidden="false" customHeight="false" outlineLevel="0" collapsed="false">
      <c r="A526" s="8" t="n">
        <f aca="false">A525+1</f>
        <v>45451</v>
      </c>
      <c r="B526" s="7" t="n">
        <f aca="false">YEAR(A526)</f>
        <v>2024</v>
      </c>
      <c r="C526" s="7" t="n">
        <f aca="false">MONTH(A526)</f>
        <v>6</v>
      </c>
      <c r="D526" s="8" t="n">
        <f aca="false">DATE(B526,C526,1)</f>
        <v>45444</v>
      </c>
      <c r="E526" s="7" t="str">
        <f aca="false">CHOOSE(C526,"ene","feb","mar","abr","may","jun","jul","ago","sep","oct","nov","dic")</f>
        <v>jun</v>
      </c>
      <c r="F526" s="7" t="str">
        <f aca="false">CHOOSE(C526,"enero","febrero","marzo","abril","mayo","junio","julio","agosto","septiembre","octubre","noviembre","diciembre")</f>
        <v>junio</v>
      </c>
      <c r="G526" s="7" t="str">
        <f aca="false">E526&amp;"-"&amp;RIGHT(B526,2)</f>
        <v>jun-24</v>
      </c>
    </row>
    <row r="527" customFormat="false" ht="15" hidden="false" customHeight="false" outlineLevel="0" collapsed="false">
      <c r="A527" s="8" t="n">
        <f aca="false">A526+1</f>
        <v>45452</v>
      </c>
      <c r="B527" s="7" t="n">
        <f aca="false">YEAR(A527)</f>
        <v>2024</v>
      </c>
      <c r="C527" s="7" t="n">
        <f aca="false">MONTH(A527)</f>
        <v>6</v>
      </c>
      <c r="D527" s="8" t="n">
        <f aca="false">DATE(B527,C527,1)</f>
        <v>45444</v>
      </c>
      <c r="E527" s="7" t="str">
        <f aca="false">CHOOSE(C527,"ene","feb","mar","abr","may","jun","jul","ago","sep","oct","nov","dic")</f>
        <v>jun</v>
      </c>
      <c r="F527" s="7" t="str">
        <f aca="false">CHOOSE(C527,"enero","febrero","marzo","abril","mayo","junio","julio","agosto","septiembre","octubre","noviembre","diciembre")</f>
        <v>junio</v>
      </c>
      <c r="G527" s="7" t="str">
        <f aca="false">E527&amp;"-"&amp;RIGHT(B527,2)</f>
        <v>jun-24</v>
      </c>
    </row>
    <row r="528" customFormat="false" ht="15" hidden="false" customHeight="false" outlineLevel="0" collapsed="false">
      <c r="A528" s="8" t="n">
        <f aca="false">A527+1</f>
        <v>45453</v>
      </c>
      <c r="B528" s="7" t="n">
        <f aca="false">YEAR(A528)</f>
        <v>2024</v>
      </c>
      <c r="C528" s="7" t="n">
        <f aca="false">MONTH(A528)</f>
        <v>6</v>
      </c>
      <c r="D528" s="8" t="n">
        <f aca="false">DATE(B528,C528,1)</f>
        <v>45444</v>
      </c>
      <c r="E528" s="7" t="str">
        <f aca="false">CHOOSE(C528,"ene","feb","mar","abr","may","jun","jul","ago","sep","oct","nov","dic")</f>
        <v>jun</v>
      </c>
      <c r="F528" s="7" t="str">
        <f aca="false">CHOOSE(C528,"enero","febrero","marzo","abril","mayo","junio","julio","agosto","septiembre","octubre","noviembre","diciembre")</f>
        <v>junio</v>
      </c>
      <c r="G528" s="7" t="str">
        <f aca="false">E528&amp;"-"&amp;RIGHT(B528,2)</f>
        <v>jun-24</v>
      </c>
    </row>
    <row r="529" customFormat="false" ht="15" hidden="false" customHeight="false" outlineLevel="0" collapsed="false">
      <c r="A529" s="8" t="n">
        <f aca="false">A528+1</f>
        <v>45454</v>
      </c>
      <c r="B529" s="7" t="n">
        <f aca="false">YEAR(A529)</f>
        <v>2024</v>
      </c>
      <c r="C529" s="7" t="n">
        <f aca="false">MONTH(A529)</f>
        <v>6</v>
      </c>
      <c r="D529" s="8" t="n">
        <f aca="false">DATE(B529,C529,1)</f>
        <v>45444</v>
      </c>
      <c r="E529" s="7" t="str">
        <f aca="false">CHOOSE(C529,"ene","feb","mar","abr","may","jun","jul","ago","sep","oct","nov","dic")</f>
        <v>jun</v>
      </c>
      <c r="F529" s="7" t="str">
        <f aca="false">CHOOSE(C529,"enero","febrero","marzo","abril","mayo","junio","julio","agosto","septiembre","octubre","noviembre","diciembre")</f>
        <v>junio</v>
      </c>
      <c r="G529" s="7" t="str">
        <f aca="false">E529&amp;"-"&amp;RIGHT(B529,2)</f>
        <v>jun-24</v>
      </c>
    </row>
    <row r="530" customFormat="false" ht="15" hidden="false" customHeight="false" outlineLevel="0" collapsed="false">
      <c r="A530" s="8" t="n">
        <f aca="false">A529+1</f>
        <v>45455</v>
      </c>
      <c r="B530" s="7" t="n">
        <f aca="false">YEAR(A530)</f>
        <v>2024</v>
      </c>
      <c r="C530" s="7" t="n">
        <f aca="false">MONTH(A530)</f>
        <v>6</v>
      </c>
      <c r="D530" s="8" t="n">
        <f aca="false">DATE(B530,C530,1)</f>
        <v>45444</v>
      </c>
      <c r="E530" s="7" t="str">
        <f aca="false">CHOOSE(C530,"ene","feb","mar","abr","may","jun","jul","ago","sep","oct","nov","dic")</f>
        <v>jun</v>
      </c>
      <c r="F530" s="7" t="str">
        <f aca="false">CHOOSE(C530,"enero","febrero","marzo","abril","mayo","junio","julio","agosto","septiembre","octubre","noviembre","diciembre")</f>
        <v>junio</v>
      </c>
      <c r="G530" s="7" t="str">
        <f aca="false">E530&amp;"-"&amp;RIGHT(B530,2)</f>
        <v>jun-24</v>
      </c>
    </row>
    <row r="531" customFormat="false" ht="15" hidden="false" customHeight="false" outlineLevel="0" collapsed="false">
      <c r="A531" s="8" t="n">
        <f aca="false">A530+1</f>
        <v>45456</v>
      </c>
      <c r="B531" s="7" t="n">
        <f aca="false">YEAR(A531)</f>
        <v>2024</v>
      </c>
      <c r="C531" s="7" t="n">
        <f aca="false">MONTH(A531)</f>
        <v>6</v>
      </c>
      <c r="D531" s="8" t="n">
        <f aca="false">DATE(B531,C531,1)</f>
        <v>45444</v>
      </c>
      <c r="E531" s="7" t="str">
        <f aca="false">CHOOSE(C531,"ene","feb","mar","abr","may","jun","jul","ago","sep","oct","nov","dic")</f>
        <v>jun</v>
      </c>
      <c r="F531" s="7" t="str">
        <f aca="false">CHOOSE(C531,"enero","febrero","marzo","abril","mayo","junio","julio","agosto","septiembre","octubre","noviembre","diciembre")</f>
        <v>junio</v>
      </c>
      <c r="G531" s="7" t="str">
        <f aca="false">E531&amp;"-"&amp;RIGHT(B531,2)</f>
        <v>jun-24</v>
      </c>
    </row>
    <row r="532" customFormat="false" ht="15" hidden="false" customHeight="false" outlineLevel="0" collapsed="false">
      <c r="A532" s="8" t="n">
        <f aca="false">A531+1</f>
        <v>45457</v>
      </c>
      <c r="B532" s="7" t="n">
        <f aca="false">YEAR(A532)</f>
        <v>2024</v>
      </c>
      <c r="C532" s="7" t="n">
        <f aca="false">MONTH(A532)</f>
        <v>6</v>
      </c>
      <c r="D532" s="8" t="n">
        <f aca="false">DATE(B532,C532,1)</f>
        <v>45444</v>
      </c>
      <c r="E532" s="7" t="str">
        <f aca="false">CHOOSE(C532,"ene","feb","mar","abr","may","jun","jul","ago","sep","oct","nov","dic")</f>
        <v>jun</v>
      </c>
      <c r="F532" s="7" t="str">
        <f aca="false">CHOOSE(C532,"enero","febrero","marzo","abril","mayo","junio","julio","agosto","septiembre","octubre","noviembre","diciembre")</f>
        <v>junio</v>
      </c>
      <c r="G532" s="7" t="str">
        <f aca="false">E532&amp;"-"&amp;RIGHT(B532,2)</f>
        <v>jun-24</v>
      </c>
    </row>
    <row r="533" customFormat="false" ht="15" hidden="false" customHeight="false" outlineLevel="0" collapsed="false">
      <c r="A533" s="8" t="n">
        <f aca="false">A532+1</f>
        <v>45458</v>
      </c>
      <c r="B533" s="7" t="n">
        <f aca="false">YEAR(A533)</f>
        <v>2024</v>
      </c>
      <c r="C533" s="7" t="n">
        <f aca="false">MONTH(A533)</f>
        <v>6</v>
      </c>
      <c r="D533" s="8" t="n">
        <f aca="false">DATE(B533,C533,1)</f>
        <v>45444</v>
      </c>
      <c r="E533" s="7" t="str">
        <f aca="false">CHOOSE(C533,"ene","feb","mar","abr","may","jun","jul","ago","sep","oct","nov","dic")</f>
        <v>jun</v>
      </c>
      <c r="F533" s="7" t="str">
        <f aca="false">CHOOSE(C533,"enero","febrero","marzo","abril","mayo","junio","julio","agosto","septiembre","octubre","noviembre","diciembre")</f>
        <v>junio</v>
      </c>
      <c r="G533" s="7" t="str">
        <f aca="false">E533&amp;"-"&amp;RIGHT(B533,2)</f>
        <v>jun-24</v>
      </c>
    </row>
    <row r="534" customFormat="false" ht="15" hidden="false" customHeight="false" outlineLevel="0" collapsed="false">
      <c r="A534" s="8" t="n">
        <f aca="false">A533+1</f>
        <v>45459</v>
      </c>
      <c r="B534" s="7" t="n">
        <f aca="false">YEAR(A534)</f>
        <v>2024</v>
      </c>
      <c r="C534" s="7" t="n">
        <f aca="false">MONTH(A534)</f>
        <v>6</v>
      </c>
      <c r="D534" s="8" t="n">
        <f aca="false">DATE(B534,C534,1)</f>
        <v>45444</v>
      </c>
      <c r="E534" s="7" t="str">
        <f aca="false">CHOOSE(C534,"ene","feb","mar","abr","may","jun","jul","ago","sep","oct","nov","dic")</f>
        <v>jun</v>
      </c>
      <c r="F534" s="7" t="str">
        <f aca="false">CHOOSE(C534,"enero","febrero","marzo","abril","mayo","junio","julio","agosto","septiembre","octubre","noviembre","diciembre")</f>
        <v>junio</v>
      </c>
      <c r="G534" s="7" t="str">
        <f aca="false">E534&amp;"-"&amp;RIGHT(B534,2)</f>
        <v>jun-24</v>
      </c>
    </row>
    <row r="535" customFormat="false" ht="15" hidden="false" customHeight="false" outlineLevel="0" collapsed="false">
      <c r="A535" s="8" t="n">
        <f aca="false">A534+1</f>
        <v>45460</v>
      </c>
      <c r="B535" s="7" t="n">
        <f aca="false">YEAR(A535)</f>
        <v>2024</v>
      </c>
      <c r="C535" s="7" t="n">
        <f aca="false">MONTH(A535)</f>
        <v>6</v>
      </c>
      <c r="D535" s="8" t="n">
        <f aca="false">DATE(B535,C535,1)</f>
        <v>45444</v>
      </c>
      <c r="E535" s="7" t="str">
        <f aca="false">CHOOSE(C535,"ene","feb","mar","abr","may","jun","jul","ago","sep","oct","nov","dic")</f>
        <v>jun</v>
      </c>
      <c r="F535" s="7" t="str">
        <f aca="false">CHOOSE(C535,"enero","febrero","marzo","abril","mayo","junio","julio","agosto","septiembre","octubre","noviembre","diciembre")</f>
        <v>junio</v>
      </c>
      <c r="G535" s="7" t="str">
        <f aca="false">E535&amp;"-"&amp;RIGHT(B535,2)</f>
        <v>jun-24</v>
      </c>
    </row>
    <row r="536" customFormat="false" ht="15" hidden="false" customHeight="false" outlineLevel="0" collapsed="false">
      <c r="A536" s="8" t="n">
        <f aca="false">A535+1</f>
        <v>45461</v>
      </c>
      <c r="B536" s="7" t="n">
        <f aca="false">YEAR(A536)</f>
        <v>2024</v>
      </c>
      <c r="C536" s="7" t="n">
        <f aca="false">MONTH(A536)</f>
        <v>6</v>
      </c>
      <c r="D536" s="8" t="n">
        <f aca="false">DATE(B536,C536,1)</f>
        <v>45444</v>
      </c>
      <c r="E536" s="7" t="str">
        <f aca="false">CHOOSE(C536,"ene","feb","mar","abr","may","jun","jul","ago","sep","oct","nov","dic")</f>
        <v>jun</v>
      </c>
      <c r="F536" s="7" t="str">
        <f aca="false">CHOOSE(C536,"enero","febrero","marzo","abril","mayo","junio","julio","agosto","septiembre","octubre","noviembre","diciembre")</f>
        <v>junio</v>
      </c>
      <c r="G536" s="7" t="str">
        <f aca="false">E536&amp;"-"&amp;RIGHT(B536,2)</f>
        <v>jun-24</v>
      </c>
    </row>
    <row r="537" customFormat="false" ht="15" hidden="false" customHeight="false" outlineLevel="0" collapsed="false">
      <c r="A537" s="8" t="n">
        <f aca="false">A536+1</f>
        <v>45462</v>
      </c>
      <c r="B537" s="7" t="n">
        <f aca="false">YEAR(A537)</f>
        <v>2024</v>
      </c>
      <c r="C537" s="7" t="n">
        <f aca="false">MONTH(A537)</f>
        <v>6</v>
      </c>
      <c r="D537" s="8" t="n">
        <f aca="false">DATE(B537,C537,1)</f>
        <v>45444</v>
      </c>
      <c r="E537" s="7" t="str">
        <f aca="false">CHOOSE(C537,"ene","feb","mar","abr","may","jun","jul","ago","sep","oct","nov","dic")</f>
        <v>jun</v>
      </c>
      <c r="F537" s="7" t="str">
        <f aca="false">CHOOSE(C537,"enero","febrero","marzo","abril","mayo","junio","julio","agosto","septiembre","octubre","noviembre","diciembre")</f>
        <v>junio</v>
      </c>
      <c r="G537" s="7" t="str">
        <f aca="false">E537&amp;"-"&amp;RIGHT(B537,2)</f>
        <v>jun-24</v>
      </c>
    </row>
    <row r="538" customFormat="false" ht="15" hidden="false" customHeight="false" outlineLevel="0" collapsed="false">
      <c r="A538" s="8" t="n">
        <f aca="false">A537+1</f>
        <v>45463</v>
      </c>
      <c r="B538" s="7" t="n">
        <f aca="false">YEAR(A538)</f>
        <v>2024</v>
      </c>
      <c r="C538" s="7" t="n">
        <f aca="false">MONTH(A538)</f>
        <v>6</v>
      </c>
      <c r="D538" s="8" t="n">
        <f aca="false">DATE(B538,C538,1)</f>
        <v>45444</v>
      </c>
      <c r="E538" s="7" t="str">
        <f aca="false">CHOOSE(C538,"ene","feb","mar","abr","may","jun","jul","ago","sep","oct","nov","dic")</f>
        <v>jun</v>
      </c>
      <c r="F538" s="7" t="str">
        <f aca="false">CHOOSE(C538,"enero","febrero","marzo","abril","mayo","junio","julio","agosto","septiembre","octubre","noviembre","diciembre")</f>
        <v>junio</v>
      </c>
      <c r="G538" s="7" t="str">
        <f aca="false">E538&amp;"-"&amp;RIGHT(B538,2)</f>
        <v>jun-24</v>
      </c>
    </row>
    <row r="539" customFormat="false" ht="15" hidden="false" customHeight="false" outlineLevel="0" collapsed="false">
      <c r="A539" s="8" t="n">
        <f aca="false">A538+1</f>
        <v>45464</v>
      </c>
      <c r="B539" s="7" t="n">
        <f aca="false">YEAR(A539)</f>
        <v>2024</v>
      </c>
      <c r="C539" s="7" t="n">
        <f aca="false">MONTH(A539)</f>
        <v>6</v>
      </c>
      <c r="D539" s="8" t="n">
        <f aca="false">DATE(B539,C539,1)</f>
        <v>45444</v>
      </c>
      <c r="E539" s="7" t="str">
        <f aca="false">CHOOSE(C539,"ene","feb","mar","abr","may","jun","jul","ago","sep","oct","nov","dic")</f>
        <v>jun</v>
      </c>
      <c r="F539" s="7" t="str">
        <f aca="false">CHOOSE(C539,"enero","febrero","marzo","abril","mayo","junio","julio","agosto","septiembre","octubre","noviembre","diciembre")</f>
        <v>junio</v>
      </c>
      <c r="G539" s="7" t="str">
        <f aca="false">E539&amp;"-"&amp;RIGHT(B539,2)</f>
        <v>jun-24</v>
      </c>
    </row>
    <row r="540" customFormat="false" ht="15" hidden="false" customHeight="false" outlineLevel="0" collapsed="false">
      <c r="A540" s="8" t="n">
        <f aca="false">A539+1</f>
        <v>45465</v>
      </c>
      <c r="B540" s="7" t="n">
        <f aca="false">YEAR(A540)</f>
        <v>2024</v>
      </c>
      <c r="C540" s="7" t="n">
        <f aca="false">MONTH(A540)</f>
        <v>6</v>
      </c>
      <c r="D540" s="8" t="n">
        <f aca="false">DATE(B540,C540,1)</f>
        <v>45444</v>
      </c>
      <c r="E540" s="7" t="str">
        <f aca="false">CHOOSE(C540,"ene","feb","mar","abr","may","jun","jul","ago","sep","oct","nov","dic")</f>
        <v>jun</v>
      </c>
      <c r="F540" s="7" t="str">
        <f aca="false">CHOOSE(C540,"enero","febrero","marzo","abril","mayo","junio","julio","agosto","septiembre","octubre","noviembre","diciembre")</f>
        <v>junio</v>
      </c>
      <c r="G540" s="7" t="str">
        <f aca="false">E540&amp;"-"&amp;RIGHT(B540,2)</f>
        <v>jun-24</v>
      </c>
    </row>
    <row r="541" customFormat="false" ht="15" hidden="false" customHeight="false" outlineLevel="0" collapsed="false">
      <c r="A541" s="8" t="n">
        <f aca="false">A540+1</f>
        <v>45466</v>
      </c>
      <c r="B541" s="7" t="n">
        <f aca="false">YEAR(A541)</f>
        <v>2024</v>
      </c>
      <c r="C541" s="7" t="n">
        <f aca="false">MONTH(A541)</f>
        <v>6</v>
      </c>
      <c r="D541" s="8" t="n">
        <f aca="false">DATE(B541,C541,1)</f>
        <v>45444</v>
      </c>
      <c r="E541" s="7" t="str">
        <f aca="false">CHOOSE(C541,"ene","feb","mar","abr","may","jun","jul","ago","sep","oct","nov","dic")</f>
        <v>jun</v>
      </c>
      <c r="F541" s="7" t="str">
        <f aca="false">CHOOSE(C541,"enero","febrero","marzo","abril","mayo","junio","julio","agosto","septiembre","octubre","noviembre","diciembre")</f>
        <v>junio</v>
      </c>
      <c r="G541" s="7" t="str">
        <f aca="false">E541&amp;"-"&amp;RIGHT(B541,2)</f>
        <v>jun-24</v>
      </c>
    </row>
    <row r="542" customFormat="false" ht="15" hidden="false" customHeight="false" outlineLevel="0" collapsed="false">
      <c r="A542" s="8" t="n">
        <f aca="false">A541+1</f>
        <v>45467</v>
      </c>
      <c r="B542" s="7" t="n">
        <f aca="false">YEAR(A542)</f>
        <v>2024</v>
      </c>
      <c r="C542" s="7" t="n">
        <f aca="false">MONTH(A542)</f>
        <v>6</v>
      </c>
      <c r="D542" s="8" t="n">
        <f aca="false">DATE(B542,C542,1)</f>
        <v>45444</v>
      </c>
      <c r="E542" s="7" t="str">
        <f aca="false">CHOOSE(C542,"ene","feb","mar","abr","may","jun","jul","ago","sep","oct","nov","dic")</f>
        <v>jun</v>
      </c>
      <c r="F542" s="7" t="str">
        <f aca="false">CHOOSE(C542,"enero","febrero","marzo","abril","mayo","junio","julio","agosto","septiembre","octubre","noviembre","diciembre")</f>
        <v>junio</v>
      </c>
      <c r="G542" s="7" t="str">
        <f aca="false">E542&amp;"-"&amp;RIGHT(B542,2)</f>
        <v>jun-24</v>
      </c>
    </row>
    <row r="543" customFormat="false" ht="15" hidden="false" customHeight="false" outlineLevel="0" collapsed="false">
      <c r="A543" s="8" t="n">
        <f aca="false">A542+1</f>
        <v>45468</v>
      </c>
      <c r="B543" s="7" t="n">
        <f aca="false">YEAR(A543)</f>
        <v>2024</v>
      </c>
      <c r="C543" s="7" t="n">
        <f aca="false">MONTH(A543)</f>
        <v>6</v>
      </c>
      <c r="D543" s="8" t="n">
        <f aca="false">DATE(B543,C543,1)</f>
        <v>45444</v>
      </c>
      <c r="E543" s="7" t="str">
        <f aca="false">CHOOSE(C543,"ene","feb","mar","abr","may","jun","jul","ago","sep","oct","nov","dic")</f>
        <v>jun</v>
      </c>
      <c r="F543" s="7" t="str">
        <f aca="false">CHOOSE(C543,"enero","febrero","marzo","abril","mayo","junio","julio","agosto","septiembre","octubre","noviembre","diciembre")</f>
        <v>junio</v>
      </c>
      <c r="G543" s="7" t="str">
        <f aca="false">E543&amp;"-"&amp;RIGHT(B543,2)</f>
        <v>jun-24</v>
      </c>
    </row>
    <row r="544" customFormat="false" ht="15" hidden="false" customHeight="false" outlineLevel="0" collapsed="false">
      <c r="A544" s="8" t="n">
        <f aca="false">A543+1</f>
        <v>45469</v>
      </c>
      <c r="B544" s="7" t="n">
        <f aca="false">YEAR(A544)</f>
        <v>2024</v>
      </c>
      <c r="C544" s="7" t="n">
        <f aca="false">MONTH(A544)</f>
        <v>6</v>
      </c>
      <c r="D544" s="8" t="n">
        <f aca="false">DATE(B544,C544,1)</f>
        <v>45444</v>
      </c>
      <c r="E544" s="7" t="str">
        <f aca="false">CHOOSE(C544,"ene","feb","mar","abr","may","jun","jul","ago","sep","oct","nov","dic")</f>
        <v>jun</v>
      </c>
      <c r="F544" s="7" t="str">
        <f aca="false">CHOOSE(C544,"enero","febrero","marzo","abril","mayo","junio","julio","agosto","septiembre","octubre","noviembre","diciembre")</f>
        <v>junio</v>
      </c>
      <c r="G544" s="7" t="str">
        <f aca="false">E544&amp;"-"&amp;RIGHT(B544,2)</f>
        <v>jun-24</v>
      </c>
    </row>
    <row r="545" customFormat="false" ht="15" hidden="false" customHeight="false" outlineLevel="0" collapsed="false">
      <c r="A545" s="8" t="n">
        <f aca="false">A544+1</f>
        <v>45470</v>
      </c>
      <c r="B545" s="7" t="n">
        <f aca="false">YEAR(A545)</f>
        <v>2024</v>
      </c>
      <c r="C545" s="7" t="n">
        <f aca="false">MONTH(A545)</f>
        <v>6</v>
      </c>
      <c r="D545" s="8" t="n">
        <f aca="false">DATE(B545,C545,1)</f>
        <v>45444</v>
      </c>
      <c r="E545" s="7" t="str">
        <f aca="false">CHOOSE(C545,"ene","feb","mar","abr","may","jun","jul","ago","sep","oct","nov","dic")</f>
        <v>jun</v>
      </c>
      <c r="F545" s="7" t="str">
        <f aca="false">CHOOSE(C545,"enero","febrero","marzo","abril","mayo","junio","julio","agosto","septiembre","octubre","noviembre","diciembre")</f>
        <v>junio</v>
      </c>
      <c r="G545" s="7" t="str">
        <f aca="false">E545&amp;"-"&amp;RIGHT(B545,2)</f>
        <v>jun-24</v>
      </c>
    </row>
    <row r="546" customFormat="false" ht="15" hidden="false" customHeight="false" outlineLevel="0" collapsed="false">
      <c r="A546" s="8" t="n">
        <f aca="false">A545+1</f>
        <v>45471</v>
      </c>
      <c r="B546" s="7" t="n">
        <f aca="false">YEAR(A546)</f>
        <v>2024</v>
      </c>
      <c r="C546" s="7" t="n">
        <f aca="false">MONTH(A546)</f>
        <v>6</v>
      </c>
      <c r="D546" s="8" t="n">
        <f aca="false">DATE(B546,C546,1)</f>
        <v>45444</v>
      </c>
      <c r="E546" s="7" t="str">
        <f aca="false">CHOOSE(C546,"ene","feb","mar","abr","may","jun","jul","ago","sep","oct","nov","dic")</f>
        <v>jun</v>
      </c>
      <c r="F546" s="7" t="str">
        <f aca="false">CHOOSE(C546,"enero","febrero","marzo","abril","mayo","junio","julio","agosto","septiembre","octubre","noviembre","diciembre")</f>
        <v>junio</v>
      </c>
      <c r="G546" s="7" t="str">
        <f aca="false">E546&amp;"-"&amp;RIGHT(B546,2)</f>
        <v>jun-24</v>
      </c>
    </row>
    <row r="547" customFormat="false" ht="15" hidden="false" customHeight="false" outlineLevel="0" collapsed="false">
      <c r="A547" s="8" t="n">
        <f aca="false">A546+1</f>
        <v>45472</v>
      </c>
      <c r="B547" s="7" t="n">
        <f aca="false">YEAR(A547)</f>
        <v>2024</v>
      </c>
      <c r="C547" s="7" t="n">
        <f aca="false">MONTH(A547)</f>
        <v>6</v>
      </c>
      <c r="D547" s="8" t="n">
        <f aca="false">DATE(B547,C547,1)</f>
        <v>45444</v>
      </c>
      <c r="E547" s="7" t="str">
        <f aca="false">CHOOSE(C547,"ene","feb","mar","abr","may","jun","jul","ago","sep","oct","nov","dic")</f>
        <v>jun</v>
      </c>
      <c r="F547" s="7" t="str">
        <f aca="false">CHOOSE(C547,"enero","febrero","marzo","abril","mayo","junio","julio","agosto","septiembre","octubre","noviembre","diciembre")</f>
        <v>junio</v>
      </c>
      <c r="G547" s="7" t="str">
        <f aca="false">E547&amp;"-"&amp;RIGHT(B547,2)</f>
        <v>jun-24</v>
      </c>
    </row>
    <row r="548" customFormat="false" ht="15" hidden="false" customHeight="false" outlineLevel="0" collapsed="false">
      <c r="A548" s="8" t="n">
        <f aca="false">A547+1</f>
        <v>45473</v>
      </c>
      <c r="B548" s="7" t="n">
        <f aca="false">YEAR(A548)</f>
        <v>2024</v>
      </c>
      <c r="C548" s="7" t="n">
        <f aca="false">MONTH(A548)</f>
        <v>6</v>
      </c>
      <c r="D548" s="8" t="n">
        <f aca="false">DATE(B548,C548,1)</f>
        <v>45444</v>
      </c>
      <c r="E548" s="7" t="str">
        <f aca="false">CHOOSE(C548,"ene","feb","mar","abr","may","jun","jul","ago","sep","oct","nov","dic")</f>
        <v>jun</v>
      </c>
      <c r="F548" s="7" t="str">
        <f aca="false">CHOOSE(C548,"enero","febrero","marzo","abril","mayo","junio","julio","agosto","septiembre","octubre","noviembre","diciembre")</f>
        <v>junio</v>
      </c>
      <c r="G548" s="7" t="str">
        <f aca="false">E548&amp;"-"&amp;RIGHT(B548,2)</f>
        <v>jun-24</v>
      </c>
    </row>
    <row r="549" customFormat="false" ht="15" hidden="false" customHeight="false" outlineLevel="0" collapsed="false">
      <c r="A549" s="8" t="n">
        <f aca="false">A548+1</f>
        <v>45474</v>
      </c>
      <c r="B549" s="7" t="n">
        <f aca="false">YEAR(A549)</f>
        <v>2024</v>
      </c>
      <c r="C549" s="7" t="n">
        <f aca="false">MONTH(A549)</f>
        <v>7</v>
      </c>
      <c r="D549" s="8" t="n">
        <f aca="false">DATE(B549,C549,1)</f>
        <v>45474</v>
      </c>
      <c r="E549" s="7" t="str">
        <f aca="false">CHOOSE(C549,"ene","feb","mar","abr","may","jun","jul","ago","sep","oct","nov","dic")</f>
        <v>jul</v>
      </c>
      <c r="F549" s="7" t="str">
        <f aca="false">CHOOSE(C549,"enero","febrero","marzo","abril","mayo","junio","julio","agosto","septiembre","octubre","noviembre","diciembre")</f>
        <v>julio</v>
      </c>
      <c r="G549" s="7" t="str">
        <f aca="false">E549&amp;"-"&amp;RIGHT(B549,2)</f>
        <v>jul-24</v>
      </c>
    </row>
    <row r="550" customFormat="false" ht="15" hidden="false" customHeight="false" outlineLevel="0" collapsed="false">
      <c r="A550" s="8" t="n">
        <f aca="false">A549+1</f>
        <v>45475</v>
      </c>
      <c r="B550" s="7" t="n">
        <f aca="false">YEAR(A550)</f>
        <v>2024</v>
      </c>
      <c r="C550" s="7" t="n">
        <f aca="false">MONTH(A550)</f>
        <v>7</v>
      </c>
      <c r="D550" s="8" t="n">
        <f aca="false">DATE(B550,C550,1)</f>
        <v>45474</v>
      </c>
      <c r="E550" s="7" t="str">
        <f aca="false">CHOOSE(C550,"ene","feb","mar","abr","may","jun","jul","ago","sep","oct","nov","dic")</f>
        <v>jul</v>
      </c>
      <c r="F550" s="7" t="str">
        <f aca="false">CHOOSE(C550,"enero","febrero","marzo","abril","mayo","junio","julio","agosto","septiembre","octubre","noviembre","diciembre")</f>
        <v>julio</v>
      </c>
      <c r="G550" s="7" t="str">
        <f aca="false">E550&amp;"-"&amp;RIGHT(B550,2)</f>
        <v>jul-24</v>
      </c>
    </row>
    <row r="551" customFormat="false" ht="15" hidden="false" customHeight="false" outlineLevel="0" collapsed="false">
      <c r="A551" s="8" t="n">
        <f aca="false">A550+1</f>
        <v>45476</v>
      </c>
      <c r="B551" s="7" t="n">
        <f aca="false">YEAR(A551)</f>
        <v>2024</v>
      </c>
      <c r="C551" s="7" t="n">
        <f aca="false">MONTH(A551)</f>
        <v>7</v>
      </c>
      <c r="D551" s="8" t="n">
        <f aca="false">DATE(B551,C551,1)</f>
        <v>45474</v>
      </c>
      <c r="E551" s="7" t="str">
        <f aca="false">CHOOSE(C551,"ene","feb","mar","abr","may","jun","jul","ago","sep","oct","nov","dic")</f>
        <v>jul</v>
      </c>
      <c r="F551" s="7" t="str">
        <f aca="false">CHOOSE(C551,"enero","febrero","marzo","abril","mayo","junio","julio","agosto","septiembre","octubre","noviembre","diciembre")</f>
        <v>julio</v>
      </c>
      <c r="G551" s="7" t="str">
        <f aca="false">E551&amp;"-"&amp;RIGHT(B551,2)</f>
        <v>jul-24</v>
      </c>
    </row>
    <row r="552" customFormat="false" ht="15" hidden="false" customHeight="false" outlineLevel="0" collapsed="false">
      <c r="A552" s="8" t="n">
        <f aca="false">A551+1</f>
        <v>45477</v>
      </c>
      <c r="B552" s="7" t="n">
        <f aca="false">YEAR(A552)</f>
        <v>2024</v>
      </c>
      <c r="C552" s="7" t="n">
        <f aca="false">MONTH(A552)</f>
        <v>7</v>
      </c>
      <c r="D552" s="8" t="n">
        <f aca="false">DATE(B552,C552,1)</f>
        <v>45474</v>
      </c>
      <c r="E552" s="7" t="str">
        <f aca="false">CHOOSE(C552,"ene","feb","mar","abr","may","jun","jul","ago","sep","oct","nov","dic")</f>
        <v>jul</v>
      </c>
      <c r="F552" s="7" t="str">
        <f aca="false">CHOOSE(C552,"enero","febrero","marzo","abril","mayo","junio","julio","agosto","septiembre","octubre","noviembre","diciembre")</f>
        <v>julio</v>
      </c>
      <c r="G552" s="7" t="str">
        <f aca="false">E552&amp;"-"&amp;RIGHT(B552,2)</f>
        <v>jul-24</v>
      </c>
    </row>
    <row r="553" customFormat="false" ht="15" hidden="false" customHeight="false" outlineLevel="0" collapsed="false">
      <c r="A553" s="8" t="n">
        <f aca="false">A552+1</f>
        <v>45478</v>
      </c>
      <c r="B553" s="7" t="n">
        <f aca="false">YEAR(A553)</f>
        <v>2024</v>
      </c>
      <c r="C553" s="7" t="n">
        <f aca="false">MONTH(A553)</f>
        <v>7</v>
      </c>
      <c r="D553" s="8" t="n">
        <f aca="false">DATE(B553,C553,1)</f>
        <v>45474</v>
      </c>
      <c r="E553" s="7" t="str">
        <f aca="false">CHOOSE(C553,"ene","feb","mar","abr","may","jun","jul","ago","sep","oct","nov","dic")</f>
        <v>jul</v>
      </c>
      <c r="F553" s="7" t="str">
        <f aca="false">CHOOSE(C553,"enero","febrero","marzo","abril","mayo","junio","julio","agosto","septiembre","octubre","noviembre","diciembre")</f>
        <v>julio</v>
      </c>
      <c r="G553" s="7" t="str">
        <f aca="false">E553&amp;"-"&amp;RIGHT(B553,2)</f>
        <v>jul-24</v>
      </c>
    </row>
    <row r="554" customFormat="false" ht="15" hidden="false" customHeight="false" outlineLevel="0" collapsed="false">
      <c r="A554" s="8" t="n">
        <f aca="false">A553+1</f>
        <v>45479</v>
      </c>
      <c r="B554" s="7" t="n">
        <f aca="false">YEAR(A554)</f>
        <v>2024</v>
      </c>
      <c r="C554" s="7" t="n">
        <f aca="false">MONTH(A554)</f>
        <v>7</v>
      </c>
      <c r="D554" s="8" t="n">
        <f aca="false">DATE(B554,C554,1)</f>
        <v>45474</v>
      </c>
      <c r="E554" s="7" t="str">
        <f aca="false">CHOOSE(C554,"ene","feb","mar","abr","may","jun","jul","ago","sep","oct","nov","dic")</f>
        <v>jul</v>
      </c>
      <c r="F554" s="7" t="str">
        <f aca="false">CHOOSE(C554,"enero","febrero","marzo","abril","mayo","junio","julio","agosto","septiembre","octubre","noviembre","diciembre")</f>
        <v>julio</v>
      </c>
      <c r="G554" s="7" t="str">
        <f aca="false">E554&amp;"-"&amp;RIGHT(B554,2)</f>
        <v>jul-24</v>
      </c>
    </row>
    <row r="555" customFormat="false" ht="15" hidden="false" customHeight="false" outlineLevel="0" collapsed="false">
      <c r="A555" s="8" t="n">
        <f aca="false">A554+1</f>
        <v>45480</v>
      </c>
      <c r="B555" s="7" t="n">
        <f aca="false">YEAR(A555)</f>
        <v>2024</v>
      </c>
      <c r="C555" s="7" t="n">
        <f aca="false">MONTH(A555)</f>
        <v>7</v>
      </c>
      <c r="D555" s="8" t="n">
        <f aca="false">DATE(B555,C555,1)</f>
        <v>45474</v>
      </c>
      <c r="E555" s="7" t="str">
        <f aca="false">CHOOSE(C555,"ene","feb","mar","abr","may","jun","jul","ago","sep","oct","nov","dic")</f>
        <v>jul</v>
      </c>
      <c r="F555" s="7" t="str">
        <f aca="false">CHOOSE(C555,"enero","febrero","marzo","abril","mayo","junio","julio","agosto","septiembre","octubre","noviembre","diciembre")</f>
        <v>julio</v>
      </c>
      <c r="G555" s="7" t="str">
        <f aca="false">E555&amp;"-"&amp;RIGHT(B555,2)</f>
        <v>jul-24</v>
      </c>
    </row>
    <row r="556" customFormat="false" ht="15" hidden="false" customHeight="false" outlineLevel="0" collapsed="false">
      <c r="A556" s="8" t="n">
        <f aca="false">A555+1</f>
        <v>45481</v>
      </c>
      <c r="B556" s="7" t="n">
        <f aca="false">YEAR(A556)</f>
        <v>2024</v>
      </c>
      <c r="C556" s="7" t="n">
        <f aca="false">MONTH(A556)</f>
        <v>7</v>
      </c>
      <c r="D556" s="8" t="n">
        <f aca="false">DATE(B556,C556,1)</f>
        <v>45474</v>
      </c>
      <c r="E556" s="7" t="str">
        <f aca="false">CHOOSE(C556,"ene","feb","mar","abr","may","jun","jul","ago","sep","oct","nov","dic")</f>
        <v>jul</v>
      </c>
      <c r="F556" s="7" t="str">
        <f aca="false">CHOOSE(C556,"enero","febrero","marzo","abril","mayo","junio","julio","agosto","septiembre","octubre","noviembre","diciembre")</f>
        <v>julio</v>
      </c>
      <c r="G556" s="7" t="str">
        <f aca="false">E556&amp;"-"&amp;RIGHT(B556,2)</f>
        <v>jul-24</v>
      </c>
    </row>
    <row r="557" customFormat="false" ht="15" hidden="false" customHeight="false" outlineLevel="0" collapsed="false">
      <c r="A557" s="8" t="n">
        <f aca="false">A556+1</f>
        <v>45482</v>
      </c>
      <c r="B557" s="7" t="n">
        <f aca="false">YEAR(A557)</f>
        <v>2024</v>
      </c>
      <c r="C557" s="7" t="n">
        <f aca="false">MONTH(A557)</f>
        <v>7</v>
      </c>
      <c r="D557" s="8" t="n">
        <f aca="false">DATE(B557,C557,1)</f>
        <v>45474</v>
      </c>
      <c r="E557" s="7" t="str">
        <f aca="false">CHOOSE(C557,"ene","feb","mar","abr","may","jun","jul","ago","sep","oct","nov","dic")</f>
        <v>jul</v>
      </c>
      <c r="F557" s="7" t="str">
        <f aca="false">CHOOSE(C557,"enero","febrero","marzo","abril","mayo","junio","julio","agosto","septiembre","octubre","noviembre","diciembre")</f>
        <v>julio</v>
      </c>
      <c r="G557" s="7" t="str">
        <f aca="false">E557&amp;"-"&amp;RIGHT(B557,2)</f>
        <v>jul-24</v>
      </c>
    </row>
    <row r="558" customFormat="false" ht="15" hidden="false" customHeight="false" outlineLevel="0" collapsed="false">
      <c r="A558" s="8" t="n">
        <f aca="false">A557+1</f>
        <v>45483</v>
      </c>
      <c r="B558" s="7" t="n">
        <f aca="false">YEAR(A558)</f>
        <v>2024</v>
      </c>
      <c r="C558" s="7" t="n">
        <f aca="false">MONTH(A558)</f>
        <v>7</v>
      </c>
      <c r="D558" s="8" t="n">
        <f aca="false">DATE(B558,C558,1)</f>
        <v>45474</v>
      </c>
      <c r="E558" s="7" t="str">
        <f aca="false">CHOOSE(C558,"ene","feb","mar","abr","may","jun","jul","ago","sep","oct","nov","dic")</f>
        <v>jul</v>
      </c>
      <c r="F558" s="7" t="str">
        <f aca="false">CHOOSE(C558,"enero","febrero","marzo","abril","mayo","junio","julio","agosto","septiembre","octubre","noviembre","diciembre")</f>
        <v>julio</v>
      </c>
      <c r="G558" s="7" t="str">
        <f aca="false">E558&amp;"-"&amp;RIGHT(B558,2)</f>
        <v>jul-24</v>
      </c>
    </row>
    <row r="559" customFormat="false" ht="15" hidden="false" customHeight="false" outlineLevel="0" collapsed="false">
      <c r="A559" s="8" t="n">
        <f aca="false">A558+1</f>
        <v>45484</v>
      </c>
      <c r="B559" s="7" t="n">
        <f aca="false">YEAR(A559)</f>
        <v>2024</v>
      </c>
      <c r="C559" s="7" t="n">
        <f aca="false">MONTH(A559)</f>
        <v>7</v>
      </c>
      <c r="D559" s="8" t="n">
        <f aca="false">DATE(B559,C559,1)</f>
        <v>45474</v>
      </c>
      <c r="E559" s="7" t="str">
        <f aca="false">CHOOSE(C559,"ene","feb","mar","abr","may","jun","jul","ago","sep","oct","nov","dic")</f>
        <v>jul</v>
      </c>
      <c r="F559" s="7" t="str">
        <f aca="false">CHOOSE(C559,"enero","febrero","marzo","abril","mayo","junio","julio","agosto","septiembre","octubre","noviembre","diciembre")</f>
        <v>julio</v>
      </c>
      <c r="G559" s="7" t="str">
        <f aca="false">E559&amp;"-"&amp;RIGHT(B559,2)</f>
        <v>jul-24</v>
      </c>
    </row>
    <row r="560" customFormat="false" ht="15" hidden="false" customHeight="false" outlineLevel="0" collapsed="false">
      <c r="A560" s="8" t="n">
        <f aca="false">A559+1</f>
        <v>45485</v>
      </c>
      <c r="B560" s="7" t="n">
        <f aca="false">YEAR(A560)</f>
        <v>2024</v>
      </c>
      <c r="C560" s="7" t="n">
        <f aca="false">MONTH(A560)</f>
        <v>7</v>
      </c>
      <c r="D560" s="8" t="n">
        <f aca="false">DATE(B560,C560,1)</f>
        <v>45474</v>
      </c>
      <c r="E560" s="7" t="str">
        <f aca="false">CHOOSE(C560,"ene","feb","mar","abr","may","jun","jul","ago","sep","oct","nov","dic")</f>
        <v>jul</v>
      </c>
      <c r="F560" s="7" t="str">
        <f aca="false">CHOOSE(C560,"enero","febrero","marzo","abril","mayo","junio","julio","agosto","septiembre","octubre","noviembre","diciembre")</f>
        <v>julio</v>
      </c>
      <c r="G560" s="7" t="str">
        <f aca="false">E560&amp;"-"&amp;RIGHT(B560,2)</f>
        <v>jul-24</v>
      </c>
    </row>
    <row r="561" customFormat="false" ht="15" hidden="false" customHeight="false" outlineLevel="0" collapsed="false">
      <c r="A561" s="8" t="n">
        <f aca="false">A560+1</f>
        <v>45486</v>
      </c>
      <c r="B561" s="7" t="n">
        <f aca="false">YEAR(A561)</f>
        <v>2024</v>
      </c>
      <c r="C561" s="7" t="n">
        <f aca="false">MONTH(A561)</f>
        <v>7</v>
      </c>
      <c r="D561" s="8" t="n">
        <f aca="false">DATE(B561,C561,1)</f>
        <v>45474</v>
      </c>
      <c r="E561" s="7" t="str">
        <f aca="false">CHOOSE(C561,"ene","feb","mar","abr","may","jun","jul","ago","sep","oct","nov","dic")</f>
        <v>jul</v>
      </c>
      <c r="F561" s="7" t="str">
        <f aca="false">CHOOSE(C561,"enero","febrero","marzo","abril","mayo","junio","julio","agosto","septiembre","octubre","noviembre","diciembre")</f>
        <v>julio</v>
      </c>
      <c r="G561" s="7" t="str">
        <f aca="false">E561&amp;"-"&amp;RIGHT(B561,2)</f>
        <v>jul-24</v>
      </c>
    </row>
    <row r="562" customFormat="false" ht="15" hidden="false" customHeight="false" outlineLevel="0" collapsed="false">
      <c r="A562" s="8" t="n">
        <f aca="false">A561+1</f>
        <v>45487</v>
      </c>
      <c r="B562" s="7" t="n">
        <f aca="false">YEAR(A562)</f>
        <v>2024</v>
      </c>
      <c r="C562" s="7" t="n">
        <f aca="false">MONTH(A562)</f>
        <v>7</v>
      </c>
      <c r="D562" s="8" t="n">
        <f aca="false">DATE(B562,C562,1)</f>
        <v>45474</v>
      </c>
      <c r="E562" s="7" t="str">
        <f aca="false">CHOOSE(C562,"ene","feb","mar","abr","may","jun","jul","ago","sep","oct","nov","dic")</f>
        <v>jul</v>
      </c>
      <c r="F562" s="7" t="str">
        <f aca="false">CHOOSE(C562,"enero","febrero","marzo","abril","mayo","junio","julio","agosto","septiembre","octubre","noviembre","diciembre")</f>
        <v>julio</v>
      </c>
      <c r="G562" s="7" t="str">
        <f aca="false">E562&amp;"-"&amp;RIGHT(B562,2)</f>
        <v>jul-24</v>
      </c>
    </row>
    <row r="563" customFormat="false" ht="15" hidden="false" customHeight="false" outlineLevel="0" collapsed="false">
      <c r="A563" s="8" t="n">
        <f aca="false">A562+1</f>
        <v>45488</v>
      </c>
      <c r="B563" s="7" t="n">
        <f aca="false">YEAR(A563)</f>
        <v>2024</v>
      </c>
      <c r="C563" s="7" t="n">
        <f aca="false">MONTH(A563)</f>
        <v>7</v>
      </c>
      <c r="D563" s="8" t="n">
        <f aca="false">DATE(B563,C563,1)</f>
        <v>45474</v>
      </c>
      <c r="E563" s="7" t="str">
        <f aca="false">CHOOSE(C563,"ene","feb","mar","abr","may","jun","jul","ago","sep","oct","nov","dic")</f>
        <v>jul</v>
      </c>
      <c r="F563" s="7" t="str">
        <f aca="false">CHOOSE(C563,"enero","febrero","marzo","abril","mayo","junio","julio","agosto","septiembre","octubre","noviembre","diciembre")</f>
        <v>julio</v>
      </c>
      <c r="G563" s="7" t="str">
        <f aca="false">E563&amp;"-"&amp;RIGHT(B563,2)</f>
        <v>jul-24</v>
      </c>
    </row>
    <row r="564" customFormat="false" ht="15" hidden="false" customHeight="false" outlineLevel="0" collapsed="false">
      <c r="A564" s="8" t="n">
        <f aca="false">A563+1</f>
        <v>45489</v>
      </c>
      <c r="B564" s="7" t="n">
        <f aca="false">YEAR(A564)</f>
        <v>2024</v>
      </c>
      <c r="C564" s="7" t="n">
        <f aca="false">MONTH(A564)</f>
        <v>7</v>
      </c>
      <c r="D564" s="8" t="n">
        <f aca="false">DATE(B564,C564,1)</f>
        <v>45474</v>
      </c>
      <c r="E564" s="7" t="str">
        <f aca="false">CHOOSE(C564,"ene","feb","mar","abr","may","jun","jul","ago","sep","oct","nov","dic")</f>
        <v>jul</v>
      </c>
      <c r="F564" s="7" t="str">
        <f aca="false">CHOOSE(C564,"enero","febrero","marzo","abril","mayo","junio","julio","agosto","septiembre","octubre","noviembre","diciembre")</f>
        <v>julio</v>
      </c>
      <c r="G564" s="7" t="str">
        <f aca="false">E564&amp;"-"&amp;RIGHT(B564,2)</f>
        <v>jul-24</v>
      </c>
    </row>
    <row r="565" customFormat="false" ht="15" hidden="false" customHeight="false" outlineLevel="0" collapsed="false">
      <c r="A565" s="8" t="n">
        <f aca="false">A564+1</f>
        <v>45490</v>
      </c>
      <c r="B565" s="7" t="n">
        <f aca="false">YEAR(A565)</f>
        <v>2024</v>
      </c>
      <c r="C565" s="7" t="n">
        <f aca="false">MONTH(A565)</f>
        <v>7</v>
      </c>
      <c r="D565" s="8" t="n">
        <f aca="false">DATE(B565,C565,1)</f>
        <v>45474</v>
      </c>
      <c r="E565" s="7" t="str">
        <f aca="false">CHOOSE(C565,"ene","feb","mar","abr","may","jun","jul","ago","sep","oct","nov","dic")</f>
        <v>jul</v>
      </c>
      <c r="F565" s="7" t="str">
        <f aca="false">CHOOSE(C565,"enero","febrero","marzo","abril","mayo","junio","julio","agosto","septiembre","octubre","noviembre","diciembre")</f>
        <v>julio</v>
      </c>
      <c r="G565" s="7" t="str">
        <f aca="false">E565&amp;"-"&amp;RIGHT(B565,2)</f>
        <v>jul-24</v>
      </c>
    </row>
    <row r="566" customFormat="false" ht="15" hidden="false" customHeight="false" outlineLevel="0" collapsed="false">
      <c r="A566" s="8" t="n">
        <f aca="false">A565+1</f>
        <v>45491</v>
      </c>
      <c r="B566" s="7" t="n">
        <f aca="false">YEAR(A566)</f>
        <v>2024</v>
      </c>
      <c r="C566" s="7" t="n">
        <f aca="false">MONTH(A566)</f>
        <v>7</v>
      </c>
      <c r="D566" s="8" t="n">
        <f aca="false">DATE(B566,C566,1)</f>
        <v>45474</v>
      </c>
      <c r="E566" s="7" t="str">
        <f aca="false">CHOOSE(C566,"ene","feb","mar","abr","may","jun","jul","ago","sep","oct","nov","dic")</f>
        <v>jul</v>
      </c>
      <c r="F566" s="7" t="str">
        <f aca="false">CHOOSE(C566,"enero","febrero","marzo","abril","mayo","junio","julio","agosto","septiembre","octubre","noviembre","diciembre")</f>
        <v>julio</v>
      </c>
      <c r="G566" s="7" t="str">
        <f aca="false">E566&amp;"-"&amp;RIGHT(B566,2)</f>
        <v>jul-24</v>
      </c>
    </row>
    <row r="567" customFormat="false" ht="15" hidden="false" customHeight="false" outlineLevel="0" collapsed="false">
      <c r="A567" s="8" t="n">
        <f aca="false">A566+1</f>
        <v>45492</v>
      </c>
      <c r="B567" s="7" t="n">
        <f aca="false">YEAR(A567)</f>
        <v>2024</v>
      </c>
      <c r="C567" s="7" t="n">
        <f aca="false">MONTH(A567)</f>
        <v>7</v>
      </c>
      <c r="D567" s="8" t="n">
        <f aca="false">DATE(B567,C567,1)</f>
        <v>45474</v>
      </c>
      <c r="E567" s="7" t="str">
        <f aca="false">CHOOSE(C567,"ene","feb","mar","abr","may","jun","jul","ago","sep","oct","nov","dic")</f>
        <v>jul</v>
      </c>
      <c r="F567" s="7" t="str">
        <f aca="false">CHOOSE(C567,"enero","febrero","marzo","abril","mayo","junio","julio","agosto","septiembre","octubre","noviembre","diciembre")</f>
        <v>julio</v>
      </c>
      <c r="G567" s="7" t="str">
        <f aca="false">E567&amp;"-"&amp;RIGHT(B567,2)</f>
        <v>jul-24</v>
      </c>
    </row>
    <row r="568" customFormat="false" ht="15" hidden="false" customHeight="false" outlineLevel="0" collapsed="false">
      <c r="A568" s="8" t="n">
        <f aca="false">A567+1</f>
        <v>45493</v>
      </c>
      <c r="B568" s="7" t="n">
        <f aca="false">YEAR(A568)</f>
        <v>2024</v>
      </c>
      <c r="C568" s="7" t="n">
        <f aca="false">MONTH(A568)</f>
        <v>7</v>
      </c>
      <c r="D568" s="8" t="n">
        <f aca="false">DATE(B568,C568,1)</f>
        <v>45474</v>
      </c>
      <c r="E568" s="7" t="str">
        <f aca="false">CHOOSE(C568,"ene","feb","mar","abr","may","jun","jul","ago","sep","oct","nov","dic")</f>
        <v>jul</v>
      </c>
      <c r="F568" s="7" t="str">
        <f aca="false">CHOOSE(C568,"enero","febrero","marzo","abril","mayo","junio","julio","agosto","septiembre","octubre","noviembre","diciembre")</f>
        <v>julio</v>
      </c>
      <c r="G568" s="7" t="str">
        <f aca="false">E568&amp;"-"&amp;RIGHT(B568,2)</f>
        <v>jul-24</v>
      </c>
    </row>
    <row r="569" customFormat="false" ht="15" hidden="false" customHeight="false" outlineLevel="0" collapsed="false">
      <c r="A569" s="8" t="n">
        <f aca="false">A568+1</f>
        <v>45494</v>
      </c>
      <c r="B569" s="7" t="n">
        <f aca="false">YEAR(A569)</f>
        <v>2024</v>
      </c>
      <c r="C569" s="7" t="n">
        <f aca="false">MONTH(A569)</f>
        <v>7</v>
      </c>
      <c r="D569" s="8" t="n">
        <f aca="false">DATE(B569,C569,1)</f>
        <v>45474</v>
      </c>
      <c r="E569" s="7" t="str">
        <f aca="false">CHOOSE(C569,"ene","feb","mar","abr","may","jun","jul","ago","sep","oct","nov","dic")</f>
        <v>jul</v>
      </c>
      <c r="F569" s="7" t="str">
        <f aca="false">CHOOSE(C569,"enero","febrero","marzo","abril","mayo","junio","julio","agosto","septiembre","octubre","noviembre","diciembre")</f>
        <v>julio</v>
      </c>
      <c r="G569" s="7" t="str">
        <f aca="false">E569&amp;"-"&amp;RIGHT(B569,2)</f>
        <v>jul-24</v>
      </c>
    </row>
    <row r="570" customFormat="false" ht="15" hidden="false" customHeight="false" outlineLevel="0" collapsed="false">
      <c r="A570" s="8" t="n">
        <f aca="false">A569+1</f>
        <v>45495</v>
      </c>
      <c r="B570" s="7" t="n">
        <f aca="false">YEAR(A570)</f>
        <v>2024</v>
      </c>
      <c r="C570" s="7" t="n">
        <f aca="false">MONTH(A570)</f>
        <v>7</v>
      </c>
      <c r="D570" s="8" t="n">
        <f aca="false">DATE(B570,C570,1)</f>
        <v>45474</v>
      </c>
      <c r="E570" s="7" t="str">
        <f aca="false">CHOOSE(C570,"ene","feb","mar","abr","may","jun","jul","ago","sep","oct","nov","dic")</f>
        <v>jul</v>
      </c>
      <c r="F570" s="7" t="str">
        <f aca="false">CHOOSE(C570,"enero","febrero","marzo","abril","mayo","junio","julio","agosto","septiembre","octubre","noviembre","diciembre")</f>
        <v>julio</v>
      </c>
      <c r="G570" s="7" t="str">
        <f aca="false">E570&amp;"-"&amp;RIGHT(B570,2)</f>
        <v>jul-24</v>
      </c>
    </row>
    <row r="571" customFormat="false" ht="15" hidden="false" customHeight="false" outlineLevel="0" collapsed="false">
      <c r="A571" s="8" t="n">
        <f aca="false">A570+1</f>
        <v>45496</v>
      </c>
      <c r="B571" s="7" t="n">
        <f aca="false">YEAR(A571)</f>
        <v>2024</v>
      </c>
      <c r="C571" s="7" t="n">
        <f aca="false">MONTH(A571)</f>
        <v>7</v>
      </c>
      <c r="D571" s="8" t="n">
        <f aca="false">DATE(B571,C571,1)</f>
        <v>45474</v>
      </c>
      <c r="E571" s="7" t="str">
        <f aca="false">CHOOSE(C571,"ene","feb","mar","abr","may","jun","jul","ago","sep","oct","nov","dic")</f>
        <v>jul</v>
      </c>
      <c r="F571" s="7" t="str">
        <f aca="false">CHOOSE(C571,"enero","febrero","marzo","abril","mayo","junio","julio","agosto","septiembre","octubre","noviembre","diciembre")</f>
        <v>julio</v>
      </c>
      <c r="G571" s="7" t="str">
        <f aca="false">E571&amp;"-"&amp;RIGHT(B571,2)</f>
        <v>jul-24</v>
      </c>
    </row>
    <row r="572" customFormat="false" ht="15" hidden="false" customHeight="false" outlineLevel="0" collapsed="false">
      <c r="A572" s="8" t="n">
        <f aca="false">A571+1</f>
        <v>45497</v>
      </c>
      <c r="B572" s="7" t="n">
        <f aca="false">YEAR(A572)</f>
        <v>2024</v>
      </c>
      <c r="C572" s="7" t="n">
        <f aca="false">MONTH(A572)</f>
        <v>7</v>
      </c>
      <c r="D572" s="8" t="n">
        <f aca="false">DATE(B572,C572,1)</f>
        <v>45474</v>
      </c>
      <c r="E572" s="7" t="str">
        <f aca="false">CHOOSE(C572,"ene","feb","mar","abr","may","jun","jul","ago","sep","oct","nov","dic")</f>
        <v>jul</v>
      </c>
      <c r="F572" s="7" t="str">
        <f aca="false">CHOOSE(C572,"enero","febrero","marzo","abril","mayo","junio","julio","agosto","septiembre","octubre","noviembre","diciembre")</f>
        <v>julio</v>
      </c>
      <c r="G572" s="7" t="str">
        <f aca="false">E572&amp;"-"&amp;RIGHT(B572,2)</f>
        <v>jul-24</v>
      </c>
    </row>
    <row r="573" customFormat="false" ht="15" hidden="false" customHeight="false" outlineLevel="0" collapsed="false">
      <c r="A573" s="8" t="n">
        <f aca="false">A572+1</f>
        <v>45498</v>
      </c>
      <c r="B573" s="7" t="n">
        <f aca="false">YEAR(A573)</f>
        <v>2024</v>
      </c>
      <c r="C573" s="7" t="n">
        <f aca="false">MONTH(A573)</f>
        <v>7</v>
      </c>
      <c r="D573" s="8" t="n">
        <f aca="false">DATE(B573,C573,1)</f>
        <v>45474</v>
      </c>
      <c r="E573" s="7" t="str">
        <f aca="false">CHOOSE(C573,"ene","feb","mar","abr","may","jun","jul","ago","sep","oct","nov","dic")</f>
        <v>jul</v>
      </c>
      <c r="F573" s="7" t="str">
        <f aca="false">CHOOSE(C573,"enero","febrero","marzo","abril","mayo","junio","julio","agosto","septiembre","octubre","noviembre","diciembre")</f>
        <v>julio</v>
      </c>
      <c r="G573" s="7" t="str">
        <f aca="false">E573&amp;"-"&amp;RIGHT(B573,2)</f>
        <v>jul-24</v>
      </c>
    </row>
    <row r="574" customFormat="false" ht="15" hidden="false" customHeight="false" outlineLevel="0" collapsed="false">
      <c r="A574" s="8" t="n">
        <f aca="false">A573+1</f>
        <v>45499</v>
      </c>
      <c r="B574" s="7" t="n">
        <f aca="false">YEAR(A574)</f>
        <v>2024</v>
      </c>
      <c r="C574" s="7" t="n">
        <f aca="false">MONTH(A574)</f>
        <v>7</v>
      </c>
      <c r="D574" s="8" t="n">
        <f aca="false">DATE(B574,C574,1)</f>
        <v>45474</v>
      </c>
      <c r="E574" s="7" t="str">
        <f aca="false">CHOOSE(C574,"ene","feb","mar","abr","may","jun","jul","ago","sep","oct","nov","dic")</f>
        <v>jul</v>
      </c>
      <c r="F574" s="7" t="str">
        <f aca="false">CHOOSE(C574,"enero","febrero","marzo","abril","mayo","junio","julio","agosto","septiembre","octubre","noviembre","diciembre")</f>
        <v>julio</v>
      </c>
      <c r="G574" s="7" t="str">
        <f aca="false">E574&amp;"-"&amp;RIGHT(B574,2)</f>
        <v>jul-24</v>
      </c>
    </row>
    <row r="575" customFormat="false" ht="15" hidden="false" customHeight="false" outlineLevel="0" collapsed="false">
      <c r="A575" s="8" t="n">
        <f aca="false">A574+1</f>
        <v>45500</v>
      </c>
      <c r="B575" s="7" t="n">
        <f aca="false">YEAR(A575)</f>
        <v>2024</v>
      </c>
      <c r="C575" s="7" t="n">
        <f aca="false">MONTH(A575)</f>
        <v>7</v>
      </c>
      <c r="D575" s="8" t="n">
        <f aca="false">DATE(B575,C575,1)</f>
        <v>45474</v>
      </c>
      <c r="E575" s="7" t="str">
        <f aca="false">CHOOSE(C575,"ene","feb","mar","abr","may","jun","jul","ago","sep","oct","nov","dic")</f>
        <v>jul</v>
      </c>
      <c r="F575" s="7" t="str">
        <f aca="false">CHOOSE(C575,"enero","febrero","marzo","abril","mayo","junio","julio","agosto","septiembre","octubre","noviembre","diciembre")</f>
        <v>julio</v>
      </c>
      <c r="G575" s="7" t="str">
        <f aca="false">E575&amp;"-"&amp;RIGHT(B575,2)</f>
        <v>jul-24</v>
      </c>
    </row>
    <row r="576" customFormat="false" ht="15" hidden="false" customHeight="false" outlineLevel="0" collapsed="false">
      <c r="A576" s="8" t="n">
        <f aca="false">A575+1</f>
        <v>45501</v>
      </c>
      <c r="B576" s="7" t="n">
        <f aca="false">YEAR(A576)</f>
        <v>2024</v>
      </c>
      <c r="C576" s="7" t="n">
        <f aca="false">MONTH(A576)</f>
        <v>7</v>
      </c>
      <c r="D576" s="8" t="n">
        <f aca="false">DATE(B576,C576,1)</f>
        <v>45474</v>
      </c>
      <c r="E576" s="7" t="str">
        <f aca="false">CHOOSE(C576,"ene","feb","mar","abr","may","jun","jul","ago","sep","oct","nov","dic")</f>
        <v>jul</v>
      </c>
      <c r="F576" s="7" t="str">
        <f aca="false">CHOOSE(C576,"enero","febrero","marzo","abril","mayo","junio","julio","agosto","septiembre","octubre","noviembre","diciembre")</f>
        <v>julio</v>
      </c>
      <c r="G576" s="7" t="str">
        <f aca="false">E576&amp;"-"&amp;RIGHT(B576,2)</f>
        <v>jul-24</v>
      </c>
    </row>
    <row r="577" customFormat="false" ht="15" hidden="false" customHeight="false" outlineLevel="0" collapsed="false">
      <c r="A577" s="8" t="n">
        <f aca="false">A576+1</f>
        <v>45502</v>
      </c>
      <c r="B577" s="7" t="n">
        <f aca="false">YEAR(A577)</f>
        <v>2024</v>
      </c>
      <c r="C577" s="7" t="n">
        <f aca="false">MONTH(A577)</f>
        <v>7</v>
      </c>
      <c r="D577" s="8" t="n">
        <f aca="false">DATE(B577,C577,1)</f>
        <v>45474</v>
      </c>
      <c r="E577" s="7" t="str">
        <f aca="false">CHOOSE(C577,"ene","feb","mar","abr","may","jun","jul","ago","sep","oct","nov","dic")</f>
        <v>jul</v>
      </c>
      <c r="F577" s="7" t="str">
        <f aca="false">CHOOSE(C577,"enero","febrero","marzo","abril","mayo","junio","julio","agosto","septiembre","octubre","noviembre","diciembre")</f>
        <v>julio</v>
      </c>
      <c r="G577" s="7" t="str">
        <f aca="false">E577&amp;"-"&amp;RIGHT(B577,2)</f>
        <v>jul-24</v>
      </c>
    </row>
    <row r="578" customFormat="false" ht="15" hidden="false" customHeight="false" outlineLevel="0" collapsed="false">
      <c r="A578" s="8" t="n">
        <f aca="false">A577+1</f>
        <v>45503</v>
      </c>
      <c r="B578" s="7" t="n">
        <f aca="false">YEAR(A578)</f>
        <v>2024</v>
      </c>
      <c r="C578" s="7" t="n">
        <f aca="false">MONTH(A578)</f>
        <v>7</v>
      </c>
      <c r="D578" s="8" t="n">
        <f aca="false">DATE(B578,C578,1)</f>
        <v>45474</v>
      </c>
      <c r="E578" s="7" t="str">
        <f aca="false">CHOOSE(C578,"ene","feb","mar","abr","may","jun","jul","ago","sep","oct","nov","dic")</f>
        <v>jul</v>
      </c>
      <c r="F578" s="7" t="str">
        <f aca="false">CHOOSE(C578,"enero","febrero","marzo","abril","mayo","junio","julio","agosto","septiembre","octubre","noviembre","diciembre")</f>
        <v>julio</v>
      </c>
      <c r="G578" s="7" t="str">
        <f aca="false">E578&amp;"-"&amp;RIGHT(B578,2)</f>
        <v>jul-24</v>
      </c>
    </row>
    <row r="579" customFormat="false" ht="15" hidden="false" customHeight="false" outlineLevel="0" collapsed="false">
      <c r="A579" s="8" t="n">
        <f aca="false">A578+1</f>
        <v>45504</v>
      </c>
      <c r="B579" s="7" t="n">
        <f aca="false">YEAR(A579)</f>
        <v>2024</v>
      </c>
      <c r="C579" s="7" t="n">
        <f aca="false">MONTH(A579)</f>
        <v>7</v>
      </c>
      <c r="D579" s="8" t="n">
        <f aca="false">DATE(B579,C579,1)</f>
        <v>45474</v>
      </c>
      <c r="E579" s="7" t="str">
        <f aca="false">CHOOSE(C579,"ene","feb","mar","abr","may","jun","jul","ago","sep","oct","nov","dic")</f>
        <v>jul</v>
      </c>
      <c r="F579" s="7" t="str">
        <f aca="false">CHOOSE(C579,"enero","febrero","marzo","abril","mayo","junio","julio","agosto","septiembre","octubre","noviembre","diciembre")</f>
        <v>julio</v>
      </c>
      <c r="G579" s="7" t="str">
        <f aca="false">E579&amp;"-"&amp;RIGHT(B579,2)</f>
        <v>jul-24</v>
      </c>
    </row>
    <row r="580" customFormat="false" ht="15" hidden="false" customHeight="false" outlineLevel="0" collapsed="false">
      <c r="A580" s="8" t="n">
        <f aca="false">A579+1</f>
        <v>45505</v>
      </c>
      <c r="B580" s="7" t="n">
        <f aca="false">YEAR(A580)</f>
        <v>2024</v>
      </c>
      <c r="C580" s="7" t="n">
        <f aca="false">MONTH(A580)</f>
        <v>8</v>
      </c>
      <c r="D580" s="8" t="n">
        <f aca="false">DATE(B580,C580,1)</f>
        <v>45505</v>
      </c>
      <c r="E580" s="7" t="str">
        <f aca="false">CHOOSE(C580,"ene","feb","mar","abr","may","jun","jul","ago","sep","oct","nov","dic")</f>
        <v>ago</v>
      </c>
      <c r="F580" s="7" t="str">
        <f aca="false">CHOOSE(C580,"enero","febrero","marzo","abril","mayo","junio","julio","agosto","septiembre","octubre","noviembre","diciembre")</f>
        <v>agosto</v>
      </c>
      <c r="G580" s="7" t="str">
        <f aca="false">E580&amp;"-"&amp;RIGHT(B580,2)</f>
        <v>ago-24</v>
      </c>
    </row>
    <row r="581" customFormat="false" ht="15" hidden="false" customHeight="false" outlineLevel="0" collapsed="false">
      <c r="A581" s="8" t="n">
        <f aca="false">A580+1</f>
        <v>45506</v>
      </c>
      <c r="B581" s="7" t="n">
        <f aca="false">YEAR(A581)</f>
        <v>2024</v>
      </c>
      <c r="C581" s="7" t="n">
        <f aca="false">MONTH(A581)</f>
        <v>8</v>
      </c>
      <c r="D581" s="8" t="n">
        <f aca="false">DATE(B581,C581,1)</f>
        <v>45505</v>
      </c>
      <c r="E581" s="7" t="str">
        <f aca="false">CHOOSE(C581,"ene","feb","mar","abr","may","jun","jul","ago","sep","oct","nov","dic")</f>
        <v>ago</v>
      </c>
      <c r="F581" s="7" t="str">
        <f aca="false">CHOOSE(C581,"enero","febrero","marzo","abril","mayo","junio","julio","agosto","septiembre","octubre","noviembre","diciembre")</f>
        <v>agosto</v>
      </c>
      <c r="G581" s="7" t="str">
        <f aca="false">E581&amp;"-"&amp;RIGHT(B581,2)</f>
        <v>ago-24</v>
      </c>
    </row>
    <row r="582" customFormat="false" ht="15" hidden="false" customHeight="false" outlineLevel="0" collapsed="false">
      <c r="A582" s="8" t="n">
        <f aca="false">A581+1</f>
        <v>45507</v>
      </c>
      <c r="B582" s="7" t="n">
        <f aca="false">YEAR(A582)</f>
        <v>2024</v>
      </c>
      <c r="C582" s="7" t="n">
        <f aca="false">MONTH(A582)</f>
        <v>8</v>
      </c>
      <c r="D582" s="8" t="n">
        <f aca="false">DATE(B582,C582,1)</f>
        <v>45505</v>
      </c>
      <c r="E582" s="7" t="str">
        <f aca="false">CHOOSE(C582,"ene","feb","mar","abr","may","jun","jul","ago","sep","oct","nov","dic")</f>
        <v>ago</v>
      </c>
      <c r="F582" s="7" t="str">
        <f aca="false">CHOOSE(C582,"enero","febrero","marzo","abril","mayo","junio","julio","agosto","septiembre","octubre","noviembre","diciembre")</f>
        <v>agosto</v>
      </c>
      <c r="G582" s="7" t="str">
        <f aca="false">E582&amp;"-"&amp;RIGHT(B582,2)</f>
        <v>ago-24</v>
      </c>
    </row>
    <row r="583" customFormat="false" ht="15" hidden="false" customHeight="false" outlineLevel="0" collapsed="false">
      <c r="A583" s="8" t="n">
        <f aca="false">A582+1</f>
        <v>45508</v>
      </c>
      <c r="B583" s="7" t="n">
        <f aca="false">YEAR(A583)</f>
        <v>2024</v>
      </c>
      <c r="C583" s="7" t="n">
        <f aca="false">MONTH(A583)</f>
        <v>8</v>
      </c>
      <c r="D583" s="8" t="n">
        <f aca="false">DATE(B583,C583,1)</f>
        <v>45505</v>
      </c>
      <c r="E583" s="7" t="str">
        <f aca="false">CHOOSE(C583,"ene","feb","mar","abr","may","jun","jul","ago","sep","oct","nov","dic")</f>
        <v>ago</v>
      </c>
      <c r="F583" s="7" t="str">
        <f aca="false">CHOOSE(C583,"enero","febrero","marzo","abril","mayo","junio","julio","agosto","septiembre","octubre","noviembre","diciembre")</f>
        <v>agosto</v>
      </c>
      <c r="G583" s="7" t="str">
        <f aca="false">E583&amp;"-"&amp;RIGHT(B583,2)</f>
        <v>ago-24</v>
      </c>
    </row>
    <row r="584" customFormat="false" ht="15" hidden="false" customHeight="false" outlineLevel="0" collapsed="false">
      <c r="A584" s="8" t="n">
        <f aca="false">A583+1</f>
        <v>45509</v>
      </c>
      <c r="B584" s="7" t="n">
        <f aca="false">YEAR(A584)</f>
        <v>2024</v>
      </c>
      <c r="C584" s="7" t="n">
        <f aca="false">MONTH(A584)</f>
        <v>8</v>
      </c>
      <c r="D584" s="8" t="n">
        <f aca="false">DATE(B584,C584,1)</f>
        <v>45505</v>
      </c>
      <c r="E584" s="7" t="str">
        <f aca="false">CHOOSE(C584,"ene","feb","mar","abr","may","jun","jul","ago","sep","oct","nov","dic")</f>
        <v>ago</v>
      </c>
      <c r="F584" s="7" t="str">
        <f aca="false">CHOOSE(C584,"enero","febrero","marzo","abril","mayo","junio","julio","agosto","septiembre","octubre","noviembre","diciembre")</f>
        <v>agosto</v>
      </c>
      <c r="G584" s="7" t="str">
        <f aca="false">E584&amp;"-"&amp;RIGHT(B584,2)</f>
        <v>ago-24</v>
      </c>
    </row>
    <row r="585" customFormat="false" ht="15" hidden="false" customHeight="false" outlineLevel="0" collapsed="false">
      <c r="A585" s="8" t="n">
        <f aca="false">A584+1</f>
        <v>45510</v>
      </c>
      <c r="B585" s="7" t="n">
        <f aca="false">YEAR(A585)</f>
        <v>2024</v>
      </c>
      <c r="C585" s="7" t="n">
        <f aca="false">MONTH(A585)</f>
        <v>8</v>
      </c>
      <c r="D585" s="8" t="n">
        <f aca="false">DATE(B585,C585,1)</f>
        <v>45505</v>
      </c>
      <c r="E585" s="7" t="str">
        <f aca="false">CHOOSE(C585,"ene","feb","mar","abr","may","jun","jul","ago","sep","oct","nov","dic")</f>
        <v>ago</v>
      </c>
      <c r="F585" s="7" t="str">
        <f aca="false">CHOOSE(C585,"enero","febrero","marzo","abril","mayo","junio","julio","agosto","septiembre","octubre","noviembre","diciembre")</f>
        <v>agosto</v>
      </c>
      <c r="G585" s="7" t="str">
        <f aca="false">E585&amp;"-"&amp;RIGHT(B585,2)</f>
        <v>ago-24</v>
      </c>
    </row>
    <row r="586" customFormat="false" ht="15" hidden="false" customHeight="false" outlineLevel="0" collapsed="false">
      <c r="A586" s="8" t="n">
        <f aca="false">A585+1</f>
        <v>45511</v>
      </c>
      <c r="B586" s="7" t="n">
        <f aca="false">YEAR(A586)</f>
        <v>2024</v>
      </c>
      <c r="C586" s="7" t="n">
        <f aca="false">MONTH(A586)</f>
        <v>8</v>
      </c>
      <c r="D586" s="8" t="n">
        <f aca="false">DATE(B586,C586,1)</f>
        <v>45505</v>
      </c>
      <c r="E586" s="7" t="str">
        <f aca="false">CHOOSE(C586,"ene","feb","mar","abr","may","jun","jul","ago","sep","oct","nov","dic")</f>
        <v>ago</v>
      </c>
      <c r="F586" s="7" t="str">
        <f aca="false">CHOOSE(C586,"enero","febrero","marzo","abril","mayo","junio","julio","agosto","septiembre","octubre","noviembre","diciembre")</f>
        <v>agosto</v>
      </c>
      <c r="G586" s="7" t="str">
        <f aca="false">E586&amp;"-"&amp;RIGHT(B586,2)</f>
        <v>ago-24</v>
      </c>
    </row>
    <row r="587" customFormat="false" ht="15" hidden="false" customHeight="false" outlineLevel="0" collapsed="false">
      <c r="A587" s="8" t="n">
        <f aca="false">A586+1</f>
        <v>45512</v>
      </c>
      <c r="B587" s="7" t="n">
        <f aca="false">YEAR(A587)</f>
        <v>2024</v>
      </c>
      <c r="C587" s="7" t="n">
        <f aca="false">MONTH(A587)</f>
        <v>8</v>
      </c>
      <c r="D587" s="8" t="n">
        <f aca="false">DATE(B587,C587,1)</f>
        <v>45505</v>
      </c>
      <c r="E587" s="7" t="str">
        <f aca="false">CHOOSE(C587,"ene","feb","mar","abr","may","jun","jul","ago","sep","oct","nov","dic")</f>
        <v>ago</v>
      </c>
      <c r="F587" s="7" t="str">
        <f aca="false">CHOOSE(C587,"enero","febrero","marzo","abril","mayo","junio","julio","agosto","septiembre","octubre","noviembre","diciembre")</f>
        <v>agosto</v>
      </c>
      <c r="G587" s="7" t="str">
        <f aca="false">E587&amp;"-"&amp;RIGHT(B587,2)</f>
        <v>ago-24</v>
      </c>
    </row>
    <row r="588" customFormat="false" ht="15" hidden="false" customHeight="false" outlineLevel="0" collapsed="false">
      <c r="A588" s="8" t="n">
        <f aca="false">A587+1</f>
        <v>45513</v>
      </c>
      <c r="B588" s="7" t="n">
        <f aca="false">YEAR(A588)</f>
        <v>2024</v>
      </c>
      <c r="C588" s="7" t="n">
        <f aca="false">MONTH(A588)</f>
        <v>8</v>
      </c>
      <c r="D588" s="8" t="n">
        <f aca="false">DATE(B588,C588,1)</f>
        <v>45505</v>
      </c>
      <c r="E588" s="7" t="str">
        <f aca="false">CHOOSE(C588,"ene","feb","mar","abr","may","jun","jul","ago","sep","oct","nov","dic")</f>
        <v>ago</v>
      </c>
      <c r="F588" s="7" t="str">
        <f aca="false">CHOOSE(C588,"enero","febrero","marzo","abril","mayo","junio","julio","agosto","septiembre","octubre","noviembre","diciembre")</f>
        <v>agosto</v>
      </c>
      <c r="G588" s="7" t="str">
        <f aca="false">E588&amp;"-"&amp;RIGHT(B588,2)</f>
        <v>ago-24</v>
      </c>
    </row>
    <row r="589" customFormat="false" ht="15" hidden="false" customHeight="false" outlineLevel="0" collapsed="false">
      <c r="A589" s="8" t="n">
        <f aca="false">A588+1</f>
        <v>45514</v>
      </c>
      <c r="B589" s="7" t="n">
        <f aca="false">YEAR(A589)</f>
        <v>2024</v>
      </c>
      <c r="C589" s="7" t="n">
        <f aca="false">MONTH(A589)</f>
        <v>8</v>
      </c>
      <c r="D589" s="8" t="n">
        <f aca="false">DATE(B589,C589,1)</f>
        <v>45505</v>
      </c>
      <c r="E589" s="7" t="str">
        <f aca="false">CHOOSE(C589,"ene","feb","mar","abr","may","jun","jul","ago","sep","oct","nov","dic")</f>
        <v>ago</v>
      </c>
      <c r="F589" s="7" t="str">
        <f aca="false">CHOOSE(C589,"enero","febrero","marzo","abril","mayo","junio","julio","agosto","septiembre","octubre","noviembre","diciembre")</f>
        <v>agosto</v>
      </c>
      <c r="G589" s="7" t="str">
        <f aca="false">E589&amp;"-"&amp;RIGHT(B589,2)</f>
        <v>ago-24</v>
      </c>
    </row>
    <row r="590" customFormat="false" ht="15" hidden="false" customHeight="false" outlineLevel="0" collapsed="false">
      <c r="A590" s="8" t="n">
        <f aca="false">A589+1</f>
        <v>45515</v>
      </c>
      <c r="B590" s="7" t="n">
        <f aca="false">YEAR(A590)</f>
        <v>2024</v>
      </c>
      <c r="C590" s="7" t="n">
        <f aca="false">MONTH(A590)</f>
        <v>8</v>
      </c>
      <c r="D590" s="8" t="n">
        <f aca="false">DATE(B590,C590,1)</f>
        <v>45505</v>
      </c>
      <c r="E590" s="7" t="str">
        <f aca="false">CHOOSE(C590,"ene","feb","mar","abr","may","jun","jul","ago","sep","oct","nov","dic")</f>
        <v>ago</v>
      </c>
      <c r="F590" s="7" t="str">
        <f aca="false">CHOOSE(C590,"enero","febrero","marzo","abril","mayo","junio","julio","agosto","septiembre","octubre","noviembre","diciembre")</f>
        <v>agosto</v>
      </c>
      <c r="G590" s="7" t="str">
        <f aca="false">E590&amp;"-"&amp;RIGHT(B590,2)</f>
        <v>ago-24</v>
      </c>
    </row>
    <row r="591" customFormat="false" ht="15" hidden="false" customHeight="false" outlineLevel="0" collapsed="false">
      <c r="A591" s="8" t="n">
        <f aca="false">A590+1</f>
        <v>45516</v>
      </c>
      <c r="B591" s="7" t="n">
        <f aca="false">YEAR(A591)</f>
        <v>2024</v>
      </c>
      <c r="C591" s="7" t="n">
        <f aca="false">MONTH(A591)</f>
        <v>8</v>
      </c>
      <c r="D591" s="8" t="n">
        <f aca="false">DATE(B591,C591,1)</f>
        <v>45505</v>
      </c>
      <c r="E591" s="7" t="str">
        <f aca="false">CHOOSE(C591,"ene","feb","mar","abr","may","jun","jul","ago","sep","oct","nov","dic")</f>
        <v>ago</v>
      </c>
      <c r="F591" s="7" t="str">
        <f aca="false">CHOOSE(C591,"enero","febrero","marzo","abril","mayo","junio","julio","agosto","septiembre","octubre","noviembre","diciembre")</f>
        <v>agosto</v>
      </c>
      <c r="G591" s="7" t="str">
        <f aca="false">E591&amp;"-"&amp;RIGHT(B591,2)</f>
        <v>ago-24</v>
      </c>
    </row>
    <row r="592" customFormat="false" ht="15" hidden="false" customHeight="false" outlineLevel="0" collapsed="false">
      <c r="A592" s="8" t="n">
        <f aca="false">A591+1</f>
        <v>45517</v>
      </c>
      <c r="B592" s="7" t="n">
        <f aca="false">YEAR(A592)</f>
        <v>2024</v>
      </c>
      <c r="C592" s="7" t="n">
        <f aca="false">MONTH(A592)</f>
        <v>8</v>
      </c>
      <c r="D592" s="8" t="n">
        <f aca="false">DATE(B592,C592,1)</f>
        <v>45505</v>
      </c>
      <c r="E592" s="7" t="str">
        <f aca="false">CHOOSE(C592,"ene","feb","mar","abr","may","jun","jul","ago","sep","oct","nov","dic")</f>
        <v>ago</v>
      </c>
      <c r="F592" s="7" t="str">
        <f aca="false">CHOOSE(C592,"enero","febrero","marzo","abril","mayo","junio","julio","agosto","septiembre","octubre","noviembre","diciembre")</f>
        <v>agosto</v>
      </c>
      <c r="G592" s="7" t="str">
        <f aca="false">E592&amp;"-"&amp;RIGHT(B592,2)</f>
        <v>ago-24</v>
      </c>
    </row>
    <row r="593" customFormat="false" ht="15" hidden="false" customHeight="false" outlineLevel="0" collapsed="false">
      <c r="A593" s="8" t="n">
        <f aca="false">A592+1</f>
        <v>45518</v>
      </c>
      <c r="B593" s="7" t="n">
        <f aca="false">YEAR(A593)</f>
        <v>2024</v>
      </c>
      <c r="C593" s="7" t="n">
        <f aca="false">MONTH(A593)</f>
        <v>8</v>
      </c>
      <c r="D593" s="8" t="n">
        <f aca="false">DATE(B593,C593,1)</f>
        <v>45505</v>
      </c>
      <c r="E593" s="7" t="str">
        <f aca="false">CHOOSE(C593,"ene","feb","mar","abr","may","jun","jul","ago","sep","oct","nov","dic")</f>
        <v>ago</v>
      </c>
      <c r="F593" s="7" t="str">
        <f aca="false">CHOOSE(C593,"enero","febrero","marzo","abril","mayo","junio","julio","agosto","septiembre","octubre","noviembre","diciembre")</f>
        <v>agosto</v>
      </c>
      <c r="G593" s="7" t="str">
        <f aca="false">E593&amp;"-"&amp;RIGHT(B593,2)</f>
        <v>ago-24</v>
      </c>
    </row>
    <row r="594" customFormat="false" ht="15" hidden="false" customHeight="false" outlineLevel="0" collapsed="false">
      <c r="A594" s="8" t="n">
        <f aca="false">A593+1</f>
        <v>45519</v>
      </c>
      <c r="B594" s="7" t="n">
        <f aca="false">YEAR(A594)</f>
        <v>2024</v>
      </c>
      <c r="C594" s="7" t="n">
        <f aca="false">MONTH(A594)</f>
        <v>8</v>
      </c>
      <c r="D594" s="8" t="n">
        <f aca="false">DATE(B594,C594,1)</f>
        <v>45505</v>
      </c>
      <c r="E594" s="7" t="str">
        <f aca="false">CHOOSE(C594,"ene","feb","mar","abr","may","jun","jul","ago","sep","oct","nov","dic")</f>
        <v>ago</v>
      </c>
      <c r="F594" s="7" t="str">
        <f aca="false">CHOOSE(C594,"enero","febrero","marzo","abril","mayo","junio","julio","agosto","septiembre","octubre","noviembre","diciembre")</f>
        <v>agosto</v>
      </c>
      <c r="G594" s="7" t="str">
        <f aca="false">E594&amp;"-"&amp;RIGHT(B594,2)</f>
        <v>ago-24</v>
      </c>
    </row>
    <row r="595" customFormat="false" ht="15" hidden="false" customHeight="false" outlineLevel="0" collapsed="false">
      <c r="A595" s="8" t="n">
        <f aca="false">A594+1</f>
        <v>45520</v>
      </c>
      <c r="B595" s="7" t="n">
        <f aca="false">YEAR(A595)</f>
        <v>2024</v>
      </c>
      <c r="C595" s="7" t="n">
        <f aca="false">MONTH(A595)</f>
        <v>8</v>
      </c>
      <c r="D595" s="8" t="n">
        <f aca="false">DATE(B595,C595,1)</f>
        <v>45505</v>
      </c>
      <c r="E595" s="7" t="str">
        <f aca="false">CHOOSE(C595,"ene","feb","mar","abr","may","jun","jul","ago","sep","oct","nov","dic")</f>
        <v>ago</v>
      </c>
      <c r="F595" s="7" t="str">
        <f aca="false">CHOOSE(C595,"enero","febrero","marzo","abril","mayo","junio","julio","agosto","septiembre","octubre","noviembre","diciembre")</f>
        <v>agosto</v>
      </c>
      <c r="G595" s="7" t="str">
        <f aca="false">E595&amp;"-"&amp;RIGHT(B595,2)</f>
        <v>ago-24</v>
      </c>
    </row>
    <row r="596" customFormat="false" ht="15" hidden="false" customHeight="false" outlineLevel="0" collapsed="false">
      <c r="A596" s="8" t="n">
        <f aca="false">A595+1</f>
        <v>45521</v>
      </c>
      <c r="B596" s="7" t="n">
        <f aca="false">YEAR(A596)</f>
        <v>2024</v>
      </c>
      <c r="C596" s="7" t="n">
        <f aca="false">MONTH(A596)</f>
        <v>8</v>
      </c>
      <c r="D596" s="8" t="n">
        <f aca="false">DATE(B596,C596,1)</f>
        <v>45505</v>
      </c>
      <c r="E596" s="7" t="str">
        <f aca="false">CHOOSE(C596,"ene","feb","mar","abr","may","jun","jul","ago","sep","oct","nov","dic")</f>
        <v>ago</v>
      </c>
      <c r="F596" s="7" t="str">
        <f aca="false">CHOOSE(C596,"enero","febrero","marzo","abril","mayo","junio","julio","agosto","septiembre","octubre","noviembre","diciembre")</f>
        <v>agosto</v>
      </c>
      <c r="G596" s="7" t="str">
        <f aca="false">E596&amp;"-"&amp;RIGHT(B596,2)</f>
        <v>ago-24</v>
      </c>
    </row>
    <row r="597" customFormat="false" ht="15" hidden="false" customHeight="false" outlineLevel="0" collapsed="false">
      <c r="A597" s="8" t="n">
        <f aca="false">A596+1</f>
        <v>45522</v>
      </c>
      <c r="B597" s="7" t="n">
        <f aca="false">YEAR(A597)</f>
        <v>2024</v>
      </c>
      <c r="C597" s="7" t="n">
        <f aca="false">MONTH(A597)</f>
        <v>8</v>
      </c>
      <c r="D597" s="8" t="n">
        <f aca="false">DATE(B597,C597,1)</f>
        <v>45505</v>
      </c>
      <c r="E597" s="7" t="str">
        <f aca="false">CHOOSE(C597,"ene","feb","mar","abr","may","jun","jul","ago","sep","oct","nov","dic")</f>
        <v>ago</v>
      </c>
      <c r="F597" s="7" t="str">
        <f aca="false">CHOOSE(C597,"enero","febrero","marzo","abril","mayo","junio","julio","agosto","septiembre","octubre","noviembre","diciembre")</f>
        <v>agosto</v>
      </c>
      <c r="G597" s="7" t="str">
        <f aca="false">E597&amp;"-"&amp;RIGHT(B597,2)</f>
        <v>ago-24</v>
      </c>
    </row>
    <row r="598" customFormat="false" ht="15" hidden="false" customHeight="false" outlineLevel="0" collapsed="false">
      <c r="A598" s="8" t="n">
        <f aca="false">A597+1</f>
        <v>45523</v>
      </c>
      <c r="B598" s="7" t="n">
        <f aca="false">YEAR(A598)</f>
        <v>2024</v>
      </c>
      <c r="C598" s="7" t="n">
        <f aca="false">MONTH(A598)</f>
        <v>8</v>
      </c>
      <c r="D598" s="8" t="n">
        <f aca="false">DATE(B598,C598,1)</f>
        <v>45505</v>
      </c>
      <c r="E598" s="7" t="str">
        <f aca="false">CHOOSE(C598,"ene","feb","mar","abr","may","jun","jul","ago","sep","oct","nov","dic")</f>
        <v>ago</v>
      </c>
      <c r="F598" s="7" t="str">
        <f aca="false">CHOOSE(C598,"enero","febrero","marzo","abril","mayo","junio","julio","agosto","septiembre","octubre","noviembre","diciembre")</f>
        <v>agosto</v>
      </c>
      <c r="G598" s="7" t="str">
        <f aca="false">E598&amp;"-"&amp;RIGHT(B598,2)</f>
        <v>ago-24</v>
      </c>
    </row>
    <row r="599" customFormat="false" ht="15" hidden="false" customHeight="false" outlineLevel="0" collapsed="false">
      <c r="A599" s="8" t="n">
        <f aca="false">A598+1</f>
        <v>45524</v>
      </c>
      <c r="B599" s="7" t="n">
        <f aca="false">YEAR(A599)</f>
        <v>2024</v>
      </c>
      <c r="C599" s="7" t="n">
        <f aca="false">MONTH(A599)</f>
        <v>8</v>
      </c>
      <c r="D599" s="8" t="n">
        <f aca="false">DATE(B599,C599,1)</f>
        <v>45505</v>
      </c>
      <c r="E599" s="7" t="str">
        <f aca="false">CHOOSE(C599,"ene","feb","mar","abr","may","jun","jul","ago","sep","oct","nov","dic")</f>
        <v>ago</v>
      </c>
      <c r="F599" s="7" t="str">
        <f aca="false">CHOOSE(C599,"enero","febrero","marzo","abril","mayo","junio","julio","agosto","septiembre","octubre","noviembre","diciembre")</f>
        <v>agosto</v>
      </c>
      <c r="G599" s="7" t="str">
        <f aca="false">E599&amp;"-"&amp;RIGHT(B599,2)</f>
        <v>ago-24</v>
      </c>
    </row>
    <row r="600" customFormat="false" ht="15" hidden="false" customHeight="false" outlineLevel="0" collapsed="false">
      <c r="A600" s="8" t="n">
        <f aca="false">A599+1</f>
        <v>45525</v>
      </c>
      <c r="B600" s="7" t="n">
        <f aca="false">YEAR(A600)</f>
        <v>2024</v>
      </c>
      <c r="C600" s="7" t="n">
        <f aca="false">MONTH(A600)</f>
        <v>8</v>
      </c>
      <c r="D600" s="8" t="n">
        <f aca="false">DATE(B600,C600,1)</f>
        <v>45505</v>
      </c>
      <c r="E600" s="7" t="str">
        <f aca="false">CHOOSE(C600,"ene","feb","mar","abr","may","jun","jul","ago","sep","oct","nov","dic")</f>
        <v>ago</v>
      </c>
      <c r="F600" s="7" t="str">
        <f aca="false">CHOOSE(C600,"enero","febrero","marzo","abril","mayo","junio","julio","agosto","septiembre","octubre","noviembre","diciembre")</f>
        <v>agosto</v>
      </c>
      <c r="G600" s="7" t="str">
        <f aca="false">E600&amp;"-"&amp;RIGHT(B600,2)</f>
        <v>ago-24</v>
      </c>
    </row>
    <row r="601" customFormat="false" ht="15" hidden="false" customHeight="false" outlineLevel="0" collapsed="false">
      <c r="A601" s="8" t="n">
        <f aca="false">A600+1</f>
        <v>45526</v>
      </c>
      <c r="B601" s="7" t="n">
        <f aca="false">YEAR(A601)</f>
        <v>2024</v>
      </c>
      <c r="C601" s="7" t="n">
        <f aca="false">MONTH(A601)</f>
        <v>8</v>
      </c>
      <c r="D601" s="8" t="n">
        <f aca="false">DATE(B601,C601,1)</f>
        <v>45505</v>
      </c>
      <c r="E601" s="7" t="str">
        <f aca="false">CHOOSE(C601,"ene","feb","mar","abr","may","jun","jul","ago","sep","oct","nov","dic")</f>
        <v>ago</v>
      </c>
      <c r="F601" s="7" t="str">
        <f aca="false">CHOOSE(C601,"enero","febrero","marzo","abril","mayo","junio","julio","agosto","septiembre","octubre","noviembre","diciembre")</f>
        <v>agosto</v>
      </c>
      <c r="G601" s="7" t="str">
        <f aca="false">E601&amp;"-"&amp;RIGHT(B601,2)</f>
        <v>ago-24</v>
      </c>
    </row>
    <row r="602" customFormat="false" ht="15" hidden="false" customHeight="false" outlineLevel="0" collapsed="false">
      <c r="A602" s="8" t="n">
        <f aca="false">A601+1</f>
        <v>45527</v>
      </c>
      <c r="B602" s="7" t="n">
        <f aca="false">YEAR(A602)</f>
        <v>2024</v>
      </c>
      <c r="C602" s="7" t="n">
        <f aca="false">MONTH(A602)</f>
        <v>8</v>
      </c>
      <c r="D602" s="8" t="n">
        <f aca="false">DATE(B602,C602,1)</f>
        <v>45505</v>
      </c>
      <c r="E602" s="7" t="str">
        <f aca="false">CHOOSE(C602,"ene","feb","mar","abr","may","jun","jul","ago","sep","oct","nov","dic")</f>
        <v>ago</v>
      </c>
      <c r="F602" s="7" t="str">
        <f aca="false">CHOOSE(C602,"enero","febrero","marzo","abril","mayo","junio","julio","agosto","septiembre","octubre","noviembre","diciembre")</f>
        <v>agosto</v>
      </c>
      <c r="G602" s="7" t="str">
        <f aca="false">E602&amp;"-"&amp;RIGHT(B602,2)</f>
        <v>ago-24</v>
      </c>
    </row>
    <row r="603" customFormat="false" ht="15" hidden="false" customHeight="false" outlineLevel="0" collapsed="false">
      <c r="A603" s="8" t="n">
        <f aca="false">A602+1</f>
        <v>45528</v>
      </c>
      <c r="B603" s="7" t="n">
        <f aca="false">YEAR(A603)</f>
        <v>2024</v>
      </c>
      <c r="C603" s="7" t="n">
        <f aca="false">MONTH(A603)</f>
        <v>8</v>
      </c>
      <c r="D603" s="8" t="n">
        <f aca="false">DATE(B603,C603,1)</f>
        <v>45505</v>
      </c>
      <c r="E603" s="7" t="str">
        <f aca="false">CHOOSE(C603,"ene","feb","mar","abr","may","jun","jul","ago","sep","oct","nov","dic")</f>
        <v>ago</v>
      </c>
      <c r="F603" s="7" t="str">
        <f aca="false">CHOOSE(C603,"enero","febrero","marzo","abril","mayo","junio","julio","agosto","septiembre","octubre","noviembre","diciembre")</f>
        <v>agosto</v>
      </c>
      <c r="G603" s="7" t="str">
        <f aca="false">E603&amp;"-"&amp;RIGHT(B603,2)</f>
        <v>ago-24</v>
      </c>
    </row>
    <row r="604" customFormat="false" ht="15" hidden="false" customHeight="false" outlineLevel="0" collapsed="false">
      <c r="A604" s="8" t="n">
        <f aca="false">A603+1</f>
        <v>45529</v>
      </c>
      <c r="B604" s="7" t="n">
        <f aca="false">YEAR(A604)</f>
        <v>2024</v>
      </c>
      <c r="C604" s="7" t="n">
        <f aca="false">MONTH(A604)</f>
        <v>8</v>
      </c>
      <c r="D604" s="8" t="n">
        <f aca="false">DATE(B604,C604,1)</f>
        <v>45505</v>
      </c>
      <c r="E604" s="7" t="str">
        <f aca="false">CHOOSE(C604,"ene","feb","mar","abr","may","jun","jul","ago","sep","oct","nov","dic")</f>
        <v>ago</v>
      </c>
      <c r="F604" s="7" t="str">
        <f aca="false">CHOOSE(C604,"enero","febrero","marzo","abril","mayo","junio","julio","agosto","septiembre","octubre","noviembre","diciembre")</f>
        <v>agosto</v>
      </c>
      <c r="G604" s="7" t="str">
        <f aca="false">E604&amp;"-"&amp;RIGHT(B604,2)</f>
        <v>ago-24</v>
      </c>
    </row>
    <row r="605" customFormat="false" ht="15" hidden="false" customHeight="false" outlineLevel="0" collapsed="false">
      <c r="A605" s="8" t="n">
        <f aca="false">A604+1</f>
        <v>45530</v>
      </c>
      <c r="B605" s="7" t="n">
        <f aca="false">YEAR(A605)</f>
        <v>2024</v>
      </c>
      <c r="C605" s="7" t="n">
        <f aca="false">MONTH(A605)</f>
        <v>8</v>
      </c>
      <c r="D605" s="8" t="n">
        <f aca="false">DATE(B605,C605,1)</f>
        <v>45505</v>
      </c>
      <c r="E605" s="7" t="str">
        <f aca="false">CHOOSE(C605,"ene","feb","mar","abr","may","jun","jul","ago","sep","oct","nov","dic")</f>
        <v>ago</v>
      </c>
      <c r="F605" s="7" t="str">
        <f aca="false">CHOOSE(C605,"enero","febrero","marzo","abril","mayo","junio","julio","agosto","septiembre","octubre","noviembre","diciembre")</f>
        <v>agosto</v>
      </c>
      <c r="G605" s="7" t="str">
        <f aca="false">E605&amp;"-"&amp;RIGHT(B605,2)</f>
        <v>ago-24</v>
      </c>
    </row>
    <row r="606" customFormat="false" ht="15" hidden="false" customHeight="false" outlineLevel="0" collapsed="false">
      <c r="A606" s="8" t="n">
        <f aca="false">A605+1</f>
        <v>45531</v>
      </c>
      <c r="B606" s="7" t="n">
        <f aca="false">YEAR(A606)</f>
        <v>2024</v>
      </c>
      <c r="C606" s="7" t="n">
        <f aca="false">MONTH(A606)</f>
        <v>8</v>
      </c>
      <c r="D606" s="8" t="n">
        <f aca="false">DATE(B606,C606,1)</f>
        <v>45505</v>
      </c>
      <c r="E606" s="7" t="str">
        <f aca="false">CHOOSE(C606,"ene","feb","mar","abr","may","jun","jul","ago","sep","oct","nov","dic")</f>
        <v>ago</v>
      </c>
      <c r="F606" s="7" t="str">
        <f aca="false">CHOOSE(C606,"enero","febrero","marzo","abril","mayo","junio","julio","agosto","septiembre","octubre","noviembre","diciembre")</f>
        <v>agosto</v>
      </c>
      <c r="G606" s="7" t="str">
        <f aca="false">E606&amp;"-"&amp;RIGHT(B606,2)</f>
        <v>ago-24</v>
      </c>
    </row>
    <row r="607" customFormat="false" ht="15" hidden="false" customHeight="false" outlineLevel="0" collapsed="false">
      <c r="A607" s="8" t="n">
        <f aca="false">A606+1</f>
        <v>45532</v>
      </c>
      <c r="B607" s="7" t="n">
        <f aca="false">YEAR(A607)</f>
        <v>2024</v>
      </c>
      <c r="C607" s="7" t="n">
        <f aca="false">MONTH(A607)</f>
        <v>8</v>
      </c>
      <c r="D607" s="8" t="n">
        <f aca="false">DATE(B607,C607,1)</f>
        <v>45505</v>
      </c>
      <c r="E607" s="7" t="str">
        <f aca="false">CHOOSE(C607,"ene","feb","mar","abr","may","jun","jul","ago","sep","oct","nov","dic")</f>
        <v>ago</v>
      </c>
      <c r="F607" s="7" t="str">
        <f aca="false">CHOOSE(C607,"enero","febrero","marzo","abril","mayo","junio","julio","agosto","septiembre","octubre","noviembre","diciembre")</f>
        <v>agosto</v>
      </c>
      <c r="G607" s="7" t="str">
        <f aca="false">E607&amp;"-"&amp;RIGHT(B607,2)</f>
        <v>ago-24</v>
      </c>
    </row>
    <row r="608" customFormat="false" ht="15" hidden="false" customHeight="false" outlineLevel="0" collapsed="false">
      <c r="A608" s="8" t="n">
        <f aca="false">A607+1</f>
        <v>45533</v>
      </c>
      <c r="B608" s="7" t="n">
        <f aca="false">YEAR(A608)</f>
        <v>2024</v>
      </c>
      <c r="C608" s="7" t="n">
        <f aca="false">MONTH(A608)</f>
        <v>8</v>
      </c>
      <c r="D608" s="8" t="n">
        <f aca="false">DATE(B608,C608,1)</f>
        <v>45505</v>
      </c>
      <c r="E608" s="7" t="str">
        <f aca="false">CHOOSE(C608,"ene","feb","mar","abr","may","jun","jul","ago","sep","oct","nov","dic")</f>
        <v>ago</v>
      </c>
      <c r="F608" s="7" t="str">
        <f aca="false">CHOOSE(C608,"enero","febrero","marzo","abril","mayo","junio","julio","agosto","septiembre","octubre","noviembre","diciembre")</f>
        <v>agosto</v>
      </c>
      <c r="G608" s="7" t="str">
        <f aca="false">E608&amp;"-"&amp;RIGHT(B608,2)</f>
        <v>ago-24</v>
      </c>
    </row>
    <row r="609" customFormat="false" ht="15" hidden="false" customHeight="false" outlineLevel="0" collapsed="false">
      <c r="A609" s="8" t="n">
        <f aca="false">A608+1</f>
        <v>45534</v>
      </c>
      <c r="B609" s="7" t="n">
        <f aca="false">YEAR(A609)</f>
        <v>2024</v>
      </c>
      <c r="C609" s="7" t="n">
        <f aca="false">MONTH(A609)</f>
        <v>8</v>
      </c>
      <c r="D609" s="8" t="n">
        <f aca="false">DATE(B609,C609,1)</f>
        <v>45505</v>
      </c>
      <c r="E609" s="7" t="str">
        <f aca="false">CHOOSE(C609,"ene","feb","mar","abr","may","jun","jul","ago","sep","oct","nov","dic")</f>
        <v>ago</v>
      </c>
      <c r="F609" s="7" t="str">
        <f aca="false">CHOOSE(C609,"enero","febrero","marzo","abril","mayo","junio","julio","agosto","septiembre","octubre","noviembre","diciembre")</f>
        <v>agosto</v>
      </c>
      <c r="G609" s="7" t="str">
        <f aca="false">E609&amp;"-"&amp;RIGHT(B609,2)</f>
        <v>ago-24</v>
      </c>
    </row>
    <row r="610" customFormat="false" ht="15" hidden="false" customHeight="false" outlineLevel="0" collapsed="false">
      <c r="A610" s="8" t="n">
        <f aca="false">A609+1</f>
        <v>45535</v>
      </c>
      <c r="B610" s="7" t="n">
        <f aca="false">YEAR(A610)</f>
        <v>2024</v>
      </c>
      <c r="C610" s="7" t="n">
        <f aca="false">MONTH(A610)</f>
        <v>8</v>
      </c>
      <c r="D610" s="8" t="n">
        <f aca="false">DATE(B610,C610,1)</f>
        <v>45505</v>
      </c>
      <c r="E610" s="7" t="str">
        <f aca="false">CHOOSE(C610,"ene","feb","mar","abr","may","jun","jul","ago","sep","oct","nov","dic")</f>
        <v>ago</v>
      </c>
      <c r="F610" s="7" t="str">
        <f aca="false">CHOOSE(C610,"enero","febrero","marzo","abril","mayo","junio","julio","agosto","septiembre","octubre","noviembre","diciembre")</f>
        <v>agosto</v>
      </c>
      <c r="G610" s="7" t="str">
        <f aca="false">E610&amp;"-"&amp;RIGHT(B610,2)</f>
        <v>ago-24</v>
      </c>
    </row>
    <row r="611" customFormat="false" ht="15" hidden="false" customHeight="false" outlineLevel="0" collapsed="false">
      <c r="A611" s="8" t="n">
        <f aca="false">A610+1</f>
        <v>45536</v>
      </c>
      <c r="B611" s="7" t="n">
        <f aca="false">YEAR(A611)</f>
        <v>2024</v>
      </c>
      <c r="C611" s="7" t="n">
        <f aca="false">MONTH(A611)</f>
        <v>9</v>
      </c>
      <c r="D611" s="8" t="n">
        <f aca="false">DATE(B611,C611,1)</f>
        <v>45536</v>
      </c>
      <c r="E611" s="7" t="str">
        <f aca="false">CHOOSE(C611,"ene","feb","mar","abr","may","jun","jul","ago","sep","oct","nov","dic")</f>
        <v>sep</v>
      </c>
      <c r="F611" s="7" t="str">
        <f aca="false">CHOOSE(C611,"enero","febrero","marzo","abril","mayo","junio","julio","agosto","septiembre","octubre","noviembre","diciembre")</f>
        <v>septiembre</v>
      </c>
      <c r="G611" s="7" t="str">
        <f aca="false">E611&amp;"-"&amp;RIGHT(B611,2)</f>
        <v>sep-24</v>
      </c>
    </row>
    <row r="612" customFormat="false" ht="15" hidden="false" customHeight="false" outlineLevel="0" collapsed="false">
      <c r="A612" s="8" t="n">
        <f aca="false">A611+1</f>
        <v>45537</v>
      </c>
      <c r="B612" s="7" t="n">
        <f aca="false">YEAR(A612)</f>
        <v>2024</v>
      </c>
      <c r="C612" s="7" t="n">
        <f aca="false">MONTH(A612)</f>
        <v>9</v>
      </c>
      <c r="D612" s="8" t="n">
        <f aca="false">DATE(B612,C612,1)</f>
        <v>45536</v>
      </c>
      <c r="E612" s="7" t="str">
        <f aca="false">CHOOSE(C612,"ene","feb","mar","abr","may","jun","jul","ago","sep","oct","nov","dic")</f>
        <v>sep</v>
      </c>
      <c r="F612" s="7" t="str">
        <f aca="false">CHOOSE(C612,"enero","febrero","marzo","abril","mayo","junio","julio","agosto","septiembre","octubre","noviembre","diciembre")</f>
        <v>septiembre</v>
      </c>
      <c r="G612" s="7" t="str">
        <f aca="false">E612&amp;"-"&amp;RIGHT(B612,2)</f>
        <v>sep-24</v>
      </c>
    </row>
    <row r="613" customFormat="false" ht="15" hidden="false" customHeight="false" outlineLevel="0" collapsed="false">
      <c r="A613" s="8" t="n">
        <f aca="false">A612+1</f>
        <v>45538</v>
      </c>
      <c r="B613" s="7" t="n">
        <f aca="false">YEAR(A613)</f>
        <v>2024</v>
      </c>
      <c r="C613" s="7" t="n">
        <f aca="false">MONTH(A613)</f>
        <v>9</v>
      </c>
      <c r="D613" s="8" t="n">
        <f aca="false">DATE(B613,C613,1)</f>
        <v>45536</v>
      </c>
      <c r="E613" s="7" t="str">
        <f aca="false">CHOOSE(C613,"ene","feb","mar","abr","may","jun","jul","ago","sep","oct","nov","dic")</f>
        <v>sep</v>
      </c>
      <c r="F613" s="7" t="str">
        <f aca="false">CHOOSE(C613,"enero","febrero","marzo","abril","mayo","junio","julio","agosto","septiembre","octubre","noviembre","diciembre")</f>
        <v>septiembre</v>
      </c>
      <c r="G613" s="7" t="str">
        <f aca="false">E613&amp;"-"&amp;RIGHT(B613,2)</f>
        <v>sep-24</v>
      </c>
    </row>
    <row r="614" customFormat="false" ht="15" hidden="false" customHeight="false" outlineLevel="0" collapsed="false">
      <c r="A614" s="8" t="n">
        <f aca="false">A613+1</f>
        <v>45539</v>
      </c>
      <c r="B614" s="7" t="n">
        <f aca="false">YEAR(A614)</f>
        <v>2024</v>
      </c>
      <c r="C614" s="7" t="n">
        <f aca="false">MONTH(A614)</f>
        <v>9</v>
      </c>
      <c r="D614" s="8" t="n">
        <f aca="false">DATE(B614,C614,1)</f>
        <v>45536</v>
      </c>
      <c r="E614" s="7" t="str">
        <f aca="false">CHOOSE(C614,"ene","feb","mar","abr","may","jun","jul","ago","sep","oct","nov","dic")</f>
        <v>sep</v>
      </c>
      <c r="F614" s="7" t="str">
        <f aca="false">CHOOSE(C614,"enero","febrero","marzo","abril","mayo","junio","julio","agosto","septiembre","octubre","noviembre","diciembre")</f>
        <v>septiembre</v>
      </c>
      <c r="G614" s="7" t="str">
        <f aca="false">E614&amp;"-"&amp;RIGHT(B614,2)</f>
        <v>sep-24</v>
      </c>
    </row>
    <row r="615" customFormat="false" ht="15" hidden="false" customHeight="false" outlineLevel="0" collapsed="false">
      <c r="A615" s="8" t="n">
        <f aca="false">A614+1</f>
        <v>45540</v>
      </c>
      <c r="B615" s="7" t="n">
        <f aca="false">YEAR(A615)</f>
        <v>2024</v>
      </c>
      <c r="C615" s="7" t="n">
        <f aca="false">MONTH(A615)</f>
        <v>9</v>
      </c>
      <c r="D615" s="8" t="n">
        <f aca="false">DATE(B615,C615,1)</f>
        <v>45536</v>
      </c>
      <c r="E615" s="7" t="str">
        <f aca="false">CHOOSE(C615,"ene","feb","mar","abr","may","jun","jul","ago","sep","oct","nov","dic")</f>
        <v>sep</v>
      </c>
      <c r="F615" s="7" t="str">
        <f aca="false">CHOOSE(C615,"enero","febrero","marzo","abril","mayo","junio","julio","agosto","septiembre","octubre","noviembre","diciembre")</f>
        <v>septiembre</v>
      </c>
      <c r="G615" s="7" t="str">
        <f aca="false">E615&amp;"-"&amp;RIGHT(B615,2)</f>
        <v>sep-24</v>
      </c>
    </row>
    <row r="616" customFormat="false" ht="15" hidden="false" customHeight="false" outlineLevel="0" collapsed="false">
      <c r="A616" s="8" t="n">
        <f aca="false">A615+1</f>
        <v>45541</v>
      </c>
      <c r="B616" s="7" t="n">
        <f aca="false">YEAR(A616)</f>
        <v>2024</v>
      </c>
      <c r="C616" s="7" t="n">
        <f aca="false">MONTH(A616)</f>
        <v>9</v>
      </c>
      <c r="D616" s="8" t="n">
        <f aca="false">DATE(B616,C616,1)</f>
        <v>45536</v>
      </c>
      <c r="E616" s="7" t="str">
        <f aca="false">CHOOSE(C616,"ene","feb","mar","abr","may","jun","jul","ago","sep","oct","nov","dic")</f>
        <v>sep</v>
      </c>
      <c r="F616" s="7" t="str">
        <f aca="false">CHOOSE(C616,"enero","febrero","marzo","abril","mayo","junio","julio","agosto","septiembre","octubre","noviembre","diciembre")</f>
        <v>septiembre</v>
      </c>
      <c r="G616" s="7" t="str">
        <f aca="false">E616&amp;"-"&amp;RIGHT(B616,2)</f>
        <v>sep-24</v>
      </c>
    </row>
    <row r="617" customFormat="false" ht="15" hidden="false" customHeight="false" outlineLevel="0" collapsed="false">
      <c r="A617" s="8" t="n">
        <f aca="false">A616+1</f>
        <v>45542</v>
      </c>
      <c r="B617" s="7" t="n">
        <f aca="false">YEAR(A617)</f>
        <v>2024</v>
      </c>
      <c r="C617" s="7" t="n">
        <f aca="false">MONTH(A617)</f>
        <v>9</v>
      </c>
      <c r="D617" s="8" t="n">
        <f aca="false">DATE(B617,C617,1)</f>
        <v>45536</v>
      </c>
      <c r="E617" s="7" t="str">
        <f aca="false">CHOOSE(C617,"ene","feb","mar","abr","may","jun","jul","ago","sep","oct","nov","dic")</f>
        <v>sep</v>
      </c>
      <c r="F617" s="7" t="str">
        <f aca="false">CHOOSE(C617,"enero","febrero","marzo","abril","mayo","junio","julio","agosto","septiembre","octubre","noviembre","diciembre")</f>
        <v>septiembre</v>
      </c>
      <c r="G617" s="7" t="str">
        <f aca="false">E617&amp;"-"&amp;RIGHT(B617,2)</f>
        <v>sep-24</v>
      </c>
    </row>
    <row r="618" customFormat="false" ht="15" hidden="false" customHeight="false" outlineLevel="0" collapsed="false">
      <c r="A618" s="8" t="n">
        <f aca="false">A617+1</f>
        <v>45543</v>
      </c>
      <c r="B618" s="7" t="n">
        <f aca="false">YEAR(A618)</f>
        <v>2024</v>
      </c>
      <c r="C618" s="7" t="n">
        <f aca="false">MONTH(A618)</f>
        <v>9</v>
      </c>
      <c r="D618" s="8" t="n">
        <f aca="false">DATE(B618,C618,1)</f>
        <v>45536</v>
      </c>
      <c r="E618" s="7" t="str">
        <f aca="false">CHOOSE(C618,"ene","feb","mar","abr","may","jun","jul","ago","sep","oct","nov","dic")</f>
        <v>sep</v>
      </c>
      <c r="F618" s="7" t="str">
        <f aca="false">CHOOSE(C618,"enero","febrero","marzo","abril","mayo","junio","julio","agosto","septiembre","octubre","noviembre","diciembre")</f>
        <v>septiembre</v>
      </c>
      <c r="G618" s="7" t="str">
        <f aca="false">E618&amp;"-"&amp;RIGHT(B618,2)</f>
        <v>sep-24</v>
      </c>
    </row>
    <row r="619" customFormat="false" ht="15" hidden="false" customHeight="false" outlineLevel="0" collapsed="false">
      <c r="A619" s="8" t="n">
        <f aca="false">A618+1</f>
        <v>45544</v>
      </c>
      <c r="B619" s="7" t="n">
        <f aca="false">YEAR(A619)</f>
        <v>2024</v>
      </c>
      <c r="C619" s="7" t="n">
        <f aca="false">MONTH(A619)</f>
        <v>9</v>
      </c>
      <c r="D619" s="8" t="n">
        <f aca="false">DATE(B619,C619,1)</f>
        <v>45536</v>
      </c>
      <c r="E619" s="7" t="str">
        <f aca="false">CHOOSE(C619,"ene","feb","mar","abr","may","jun","jul","ago","sep","oct","nov","dic")</f>
        <v>sep</v>
      </c>
      <c r="F619" s="7" t="str">
        <f aca="false">CHOOSE(C619,"enero","febrero","marzo","abril","mayo","junio","julio","agosto","septiembre","octubre","noviembre","diciembre")</f>
        <v>septiembre</v>
      </c>
      <c r="G619" s="7" t="str">
        <f aca="false">E619&amp;"-"&amp;RIGHT(B619,2)</f>
        <v>sep-24</v>
      </c>
    </row>
    <row r="620" customFormat="false" ht="15" hidden="false" customHeight="false" outlineLevel="0" collapsed="false">
      <c r="A620" s="8" t="n">
        <f aca="false">A619+1</f>
        <v>45545</v>
      </c>
      <c r="B620" s="7" t="n">
        <f aca="false">YEAR(A620)</f>
        <v>2024</v>
      </c>
      <c r="C620" s="7" t="n">
        <f aca="false">MONTH(A620)</f>
        <v>9</v>
      </c>
      <c r="D620" s="8" t="n">
        <f aca="false">DATE(B620,C620,1)</f>
        <v>45536</v>
      </c>
      <c r="E620" s="7" t="str">
        <f aca="false">CHOOSE(C620,"ene","feb","mar","abr","may","jun","jul","ago","sep","oct","nov","dic")</f>
        <v>sep</v>
      </c>
      <c r="F620" s="7" t="str">
        <f aca="false">CHOOSE(C620,"enero","febrero","marzo","abril","mayo","junio","julio","agosto","septiembre","octubre","noviembre","diciembre")</f>
        <v>septiembre</v>
      </c>
      <c r="G620" s="7" t="str">
        <f aca="false">E620&amp;"-"&amp;RIGHT(B620,2)</f>
        <v>sep-24</v>
      </c>
    </row>
    <row r="621" customFormat="false" ht="15" hidden="false" customHeight="false" outlineLevel="0" collapsed="false">
      <c r="A621" s="8" t="n">
        <f aca="false">A620+1</f>
        <v>45546</v>
      </c>
      <c r="B621" s="7" t="n">
        <f aca="false">YEAR(A621)</f>
        <v>2024</v>
      </c>
      <c r="C621" s="7" t="n">
        <f aca="false">MONTH(A621)</f>
        <v>9</v>
      </c>
      <c r="D621" s="8" t="n">
        <f aca="false">DATE(B621,C621,1)</f>
        <v>45536</v>
      </c>
      <c r="E621" s="7" t="str">
        <f aca="false">CHOOSE(C621,"ene","feb","mar","abr","may","jun","jul","ago","sep","oct","nov","dic")</f>
        <v>sep</v>
      </c>
      <c r="F621" s="7" t="str">
        <f aca="false">CHOOSE(C621,"enero","febrero","marzo","abril","mayo","junio","julio","agosto","septiembre","octubre","noviembre","diciembre")</f>
        <v>septiembre</v>
      </c>
      <c r="G621" s="7" t="str">
        <f aca="false">E621&amp;"-"&amp;RIGHT(B621,2)</f>
        <v>sep-24</v>
      </c>
    </row>
    <row r="622" customFormat="false" ht="15" hidden="false" customHeight="false" outlineLevel="0" collapsed="false">
      <c r="A622" s="8" t="n">
        <f aca="false">A621+1</f>
        <v>45547</v>
      </c>
      <c r="B622" s="7" t="n">
        <f aca="false">YEAR(A622)</f>
        <v>2024</v>
      </c>
      <c r="C622" s="7" t="n">
        <f aca="false">MONTH(A622)</f>
        <v>9</v>
      </c>
      <c r="D622" s="8" t="n">
        <f aca="false">DATE(B622,C622,1)</f>
        <v>45536</v>
      </c>
      <c r="E622" s="7" t="str">
        <f aca="false">CHOOSE(C622,"ene","feb","mar","abr","may","jun","jul","ago","sep","oct","nov","dic")</f>
        <v>sep</v>
      </c>
      <c r="F622" s="7" t="str">
        <f aca="false">CHOOSE(C622,"enero","febrero","marzo","abril","mayo","junio","julio","agosto","septiembre","octubre","noviembre","diciembre")</f>
        <v>septiembre</v>
      </c>
      <c r="G622" s="7" t="str">
        <f aca="false">E622&amp;"-"&amp;RIGHT(B622,2)</f>
        <v>sep-24</v>
      </c>
    </row>
    <row r="623" customFormat="false" ht="15" hidden="false" customHeight="false" outlineLevel="0" collapsed="false">
      <c r="A623" s="8" t="n">
        <f aca="false">A622+1</f>
        <v>45548</v>
      </c>
      <c r="B623" s="7" t="n">
        <f aca="false">YEAR(A623)</f>
        <v>2024</v>
      </c>
      <c r="C623" s="7" t="n">
        <f aca="false">MONTH(A623)</f>
        <v>9</v>
      </c>
      <c r="D623" s="8" t="n">
        <f aca="false">DATE(B623,C623,1)</f>
        <v>45536</v>
      </c>
      <c r="E623" s="7" t="str">
        <f aca="false">CHOOSE(C623,"ene","feb","mar","abr","may","jun","jul","ago","sep","oct","nov","dic")</f>
        <v>sep</v>
      </c>
      <c r="F623" s="7" t="str">
        <f aca="false">CHOOSE(C623,"enero","febrero","marzo","abril","mayo","junio","julio","agosto","septiembre","octubre","noviembre","diciembre")</f>
        <v>septiembre</v>
      </c>
      <c r="G623" s="7" t="str">
        <f aca="false">E623&amp;"-"&amp;RIGHT(B623,2)</f>
        <v>sep-24</v>
      </c>
    </row>
    <row r="624" customFormat="false" ht="15" hidden="false" customHeight="false" outlineLevel="0" collapsed="false">
      <c r="A624" s="8" t="n">
        <f aca="false">A623+1</f>
        <v>45549</v>
      </c>
      <c r="B624" s="7" t="n">
        <f aca="false">YEAR(A624)</f>
        <v>2024</v>
      </c>
      <c r="C624" s="7" t="n">
        <f aca="false">MONTH(A624)</f>
        <v>9</v>
      </c>
      <c r="D624" s="8" t="n">
        <f aca="false">DATE(B624,C624,1)</f>
        <v>45536</v>
      </c>
      <c r="E624" s="7" t="str">
        <f aca="false">CHOOSE(C624,"ene","feb","mar","abr","may","jun","jul","ago","sep","oct","nov","dic")</f>
        <v>sep</v>
      </c>
      <c r="F624" s="7" t="str">
        <f aca="false">CHOOSE(C624,"enero","febrero","marzo","abril","mayo","junio","julio","agosto","septiembre","octubre","noviembre","diciembre")</f>
        <v>septiembre</v>
      </c>
      <c r="G624" s="7" t="str">
        <f aca="false">E624&amp;"-"&amp;RIGHT(B624,2)</f>
        <v>sep-24</v>
      </c>
    </row>
    <row r="625" customFormat="false" ht="15" hidden="false" customHeight="false" outlineLevel="0" collapsed="false">
      <c r="A625" s="8" t="n">
        <f aca="false">A624+1</f>
        <v>45550</v>
      </c>
      <c r="B625" s="7" t="n">
        <f aca="false">YEAR(A625)</f>
        <v>2024</v>
      </c>
      <c r="C625" s="7" t="n">
        <f aca="false">MONTH(A625)</f>
        <v>9</v>
      </c>
      <c r="D625" s="8" t="n">
        <f aca="false">DATE(B625,C625,1)</f>
        <v>45536</v>
      </c>
      <c r="E625" s="7" t="str">
        <f aca="false">CHOOSE(C625,"ene","feb","mar","abr","may","jun","jul","ago","sep","oct","nov","dic")</f>
        <v>sep</v>
      </c>
      <c r="F625" s="7" t="str">
        <f aca="false">CHOOSE(C625,"enero","febrero","marzo","abril","mayo","junio","julio","agosto","septiembre","octubre","noviembre","diciembre")</f>
        <v>septiembre</v>
      </c>
      <c r="G625" s="7" t="str">
        <f aca="false">E625&amp;"-"&amp;RIGHT(B625,2)</f>
        <v>sep-24</v>
      </c>
    </row>
    <row r="626" customFormat="false" ht="15" hidden="false" customHeight="false" outlineLevel="0" collapsed="false">
      <c r="A626" s="8" t="n">
        <f aca="false">A625+1</f>
        <v>45551</v>
      </c>
      <c r="B626" s="7" t="n">
        <f aca="false">YEAR(A626)</f>
        <v>2024</v>
      </c>
      <c r="C626" s="7" t="n">
        <f aca="false">MONTH(A626)</f>
        <v>9</v>
      </c>
      <c r="D626" s="8" t="n">
        <f aca="false">DATE(B626,C626,1)</f>
        <v>45536</v>
      </c>
      <c r="E626" s="7" t="str">
        <f aca="false">CHOOSE(C626,"ene","feb","mar","abr","may","jun","jul","ago","sep","oct","nov","dic")</f>
        <v>sep</v>
      </c>
      <c r="F626" s="7" t="str">
        <f aca="false">CHOOSE(C626,"enero","febrero","marzo","abril","mayo","junio","julio","agosto","septiembre","octubre","noviembre","diciembre")</f>
        <v>septiembre</v>
      </c>
      <c r="G626" s="7" t="str">
        <f aca="false">E626&amp;"-"&amp;RIGHT(B626,2)</f>
        <v>sep-24</v>
      </c>
    </row>
    <row r="627" customFormat="false" ht="15" hidden="false" customHeight="false" outlineLevel="0" collapsed="false">
      <c r="A627" s="8" t="n">
        <f aca="false">A626+1</f>
        <v>45552</v>
      </c>
      <c r="B627" s="7" t="n">
        <f aca="false">YEAR(A627)</f>
        <v>2024</v>
      </c>
      <c r="C627" s="7" t="n">
        <f aca="false">MONTH(A627)</f>
        <v>9</v>
      </c>
      <c r="D627" s="8" t="n">
        <f aca="false">DATE(B627,C627,1)</f>
        <v>45536</v>
      </c>
      <c r="E627" s="7" t="str">
        <f aca="false">CHOOSE(C627,"ene","feb","mar","abr","may","jun","jul","ago","sep","oct","nov","dic")</f>
        <v>sep</v>
      </c>
      <c r="F627" s="7" t="str">
        <f aca="false">CHOOSE(C627,"enero","febrero","marzo","abril","mayo","junio","julio","agosto","septiembre","octubre","noviembre","diciembre")</f>
        <v>septiembre</v>
      </c>
      <c r="G627" s="7" t="str">
        <f aca="false">E627&amp;"-"&amp;RIGHT(B627,2)</f>
        <v>sep-24</v>
      </c>
    </row>
    <row r="628" customFormat="false" ht="15" hidden="false" customHeight="false" outlineLevel="0" collapsed="false">
      <c r="A628" s="8" t="n">
        <f aca="false">A627+1</f>
        <v>45553</v>
      </c>
      <c r="B628" s="7" t="n">
        <f aca="false">YEAR(A628)</f>
        <v>2024</v>
      </c>
      <c r="C628" s="7" t="n">
        <f aca="false">MONTH(A628)</f>
        <v>9</v>
      </c>
      <c r="D628" s="8" t="n">
        <f aca="false">DATE(B628,C628,1)</f>
        <v>45536</v>
      </c>
      <c r="E628" s="7" t="str">
        <f aca="false">CHOOSE(C628,"ene","feb","mar","abr","may","jun","jul","ago","sep","oct","nov","dic")</f>
        <v>sep</v>
      </c>
      <c r="F628" s="7" t="str">
        <f aca="false">CHOOSE(C628,"enero","febrero","marzo","abril","mayo","junio","julio","agosto","septiembre","octubre","noviembre","diciembre")</f>
        <v>septiembre</v>
      </c>
      <c r="G628" s="7" t="str">
        <f aca="false">E628&amp;"-"&amp;RIGHT(B628,2)</f>
        <v>sep-24</v>
      </c>
    </row>
    <row r="629" customFormat="false" ht="15" hidden="false" customHeight="false" outlineLevel="0" collapsed="false">
      <c r="A629" s="8" t="n">
        <f aca="false">A628+1</f>
        <v>45554</v>
      </c>
      <c r="B629" s="7" t="n">
        <f aca="false">YEAR(A629)</f>
        <v>2024</v>
      </c>
      <c r="C629" s="7" t="n">
        <f aca="false">MONTH(A629)</f>
        <v>9</v>
      </c>
      <c r="D629" s="8" t="n">
        <f aca="false">DATE(B629,C629,1)</f>
        <v>45536</v>
      </c>
      <c r="E629" s="7" t="str">
        <f aca="false">CHOOSE(C629,"ene","feb","mar","abr","may","jun","jul","ago","sep","oct","nov","dic")</f>
        <v>sep</v>
      </c>
      <c r="F629" s="7" t="str">
        <f aca="false">CHOOSE(C629,"enero","febrero","marzo","abril","mayo","junio","julio","agosto","septiembre","octubre","noviembre","diciembre")</f>
        <v>septiembre</v>
      </c>
      <c r="G629" s="7" t="str">
        <f aca="false">E629&amp;"-"&amp;RIGHT(B629,2)</f>
        <v>sep-24</v>
      </c>
    </row>
    <row r="630" customFormat="false" ht="15" hidden="false" customHeight="false" outlineLevel="0" collapsed="false">
      <c r="A630" s="8" t="n">
        <f aca="false">A629+1</f>
        <v>45555</v>
      </c>
      <c r="B630" s="7" t="n">
        <f aca="false">YEAR(A630)</f>
        <v>2024</v>
      </c>
      <c r="C630" s="7" t="n">
        <f aca="false">MONTH(A630)</f>
        <v>9</v>
      </c>
      <c r="D630" s="8" t="n">
        <f aca="false">DATE(B630,C630,1)</f>
        <v>45536</v>
      </c>
      <c r="E630" s="7" t="str">
        <f aca="false">CHOOSE(C630,"ene","feb","mar","abr","may","jun","jul","ago","sep","oct","nov","dic")</f>
        <v>sep</v>
      </c>
      <c r="F630" s="7" t="str">
        <f aca="false">CHOOSE(C630,"enero","febrero","marzo","abril","mayo","junio","julio","agosto","septiembre","octubre","noviembre","diciembre")</f>
        <v>septiembre</v>
      </c>
      <c r="G630" s="7" t="str">
        <f aca="false">E630&amp;"-"&amp;RIGHT(B630,2)</f>
        <v>sep-24</v>
      </c>
    </row>
    <row r="631" customFormat="false" ht="15" hidden="false" customHeight="false" outlineLevel="0" collapsed="false">
      <c r="A631" s="8" t="n">
        <f aca="false">A630+1</f>
        <v>45556</v>
      </c>
      <c r="B631" s="7" t="n">
        <f aca="false">YEAR(A631)</f>
        <v>2024</v>
      </c>
      <c r="C631" s="7" t="n">
        <f aca="false">MONTH(A631)</f>
        <v>9</v>
      </c>
      <c r="D631" s="8" t="n">
        <f aca="false">DATE(B631,C631,1)</f>
        <v>45536</v>
      </c>
      <c r="E631" s="7" t="str">
        <f aca="false">CHOOSE(C631,"ene","feb","mar","abr","may","jun","jul","ago","sep","oct","nov","dic")</f>
        <v>sep</v>
      </c>
      <c r="F631" s="7" t="str">
        <f aca="false">CHOOSE(C631,"enero","febrero","marzo","abril","mayo","junio","julio","agosto","septiembre","octubre","noviembre","diciembre")</f>
        <v>septiembre</v>
      </c>
      <c r="G631" s="7" t="str">
        <f aca="false">E631&amp;"-"&amp;RIGHT(B631,2)</f>
        <v>sep-24</v>
      </c>
    </row>
    <row r="632" customFormat="false" ht="15" hidden="false" customHeight="false" outlineLevel="0" collapsed="false">
      <c r="A632" s="8" t="n">
        <f aca="false">A631+1</f>
        <v>45557</v>
      </c>
      <c r="B632" s="7" t="n">
        <f aca="false">YEAR(A632)</f>
        <v>2024</v>
      </c>
      <c r="C632" s="7" t="n">
        <f aca="false">MONTH(A632)</f>
        <v>9</v>
      </c>
      <c r="D632" s="8" t="n">
        <f aca="false">DATE(B632,C632,1)</f>
        <v>45536</v>
      </c>
      <c r="E632" s="7" t="str">
        <f aca="false">CHOOSE(C632,"ene","feb","mar","abr","may","jun","jul","ago","sep","oct","nov","dic")</f>
        <v>sep</v>
      </c>
      <c r="F632" s="7" t="str">
        <f aca="false">CHOOSE(C632,"enero","febrero","marzo","abril","mayo","junio","julio","agosto","septiembre","octubre","noviembre","diciembre")</f>
        <v>septiembre</v>
      </c>
      <c r="G632" s="7" t="str">
        <f aca="false">E632&amp;"-"&amp;RIGHT(B632,2)</f>
        <v>sep-24</v>
      </c>
    </row>
    <row r="633" customFormat="false" ht="15" hidden="false" customHeight="false" outlineLevel="0" collapsed="false">
      <c r="A633" s="8" t="n">
        <f aca="false">A632+1</f>
        <v>45558</v>
      </c>
      <c r="B633" s="7" t="n">
        <f aca="false">YEAR(A633)</f>
        <v>2024</v>
      </c>
      <c r="C633" s="7" t="n">
        <f aca="false">MONTH(A633)</f>
        <v>9</v>
      </c>
      <c r="D633" s="8" t="n">
        <f aca="false">DATE(B633,C633,1)</f>
        <v>45536</v>
      </c>
      <c r="E633" s="7" t="str">
        <f aca="false">CHOOSE(C633,"ene","feb","mar","abr","may","jun","jul","ago","sep","oct","nov","dic")</f>
        <v>sep</v>
      </c>
      <c r="F633" s="7" t="str">
        <f aca="false">CHOOSE(C633,"enero","febrero","marzo","abril","mayo","junio","julio","agosto","septiembre","octubre","noviembre","diciembre")</f>
        <v>septiembre</v>
      </c>
      <c r="G633" s="7" t="str">
        <f aca="false">E633&amp;"-"&amp;RIGHT(B633,2)</f>
        <v>sep-24</v>
      </c>
    </row>
    <row r="634" customFormat="false" ht="15" hidden="false" customHeight="false" outlineLevel="0" collapsed="false">
      <c r="A634" s="8" t="n">
        <f aca="false">A633+1</f>
        <v>45559</v>
      </c>
      <c r="B634" s="7" t="n">
        <f aca="false">YEAR(A634)</f>
        <v>2024</v>
      </c>
      <c r="C634" s="7" t="n">
        <f aca="false">MONTH(A634)</f>
        <v>9</v>
      </c>
      <c r="D634" s="8" t="n">
        <f aca="false">DATE(B634,C634,1)</f>
        <v>45536</v>
      </c>
      <c r="E634" s="7" t="str">
        <f aca="false">CHOOSE(C634,"ene","feb","mar","abr","may","jun","jul","ago","sep","oct","nov","dic")</f>
        <v>sep</v>
      </c>
      <c r="F634" s="7" t="str">
        <f aca="false">CHOOSE(C634,"enero","febrero","marzo","abril","mayo","junio","julio","agosto","septiembre","octubre","noviembre","diciembre")</f>
        <v>septiembre</v>
      </c>
      <c r="G634" s="7" t="str">
        <f aca="false">E634&amp;"-"&amp;RIGHT(B634,2)</f>
        <v>sep-24</v>
      </c>
    </row>
    <row r="635" customFormat="false" ht="15" hidden="false" customHeight="false" outlineLevel="0" collapsed="false">
      <c r="A635" s="8" t="n">
        <f aca="false">A634+1</f>
        <v>45560</v>
      </c>
      <c r="B635" s="7" t="n">
        <f aca="false">YEAR(A635)</f>
        <v>2024</v>
      </c>
      <c r="C635" s="7" t="n">
        <f aca="false">MONTH(A635)</f>
        <v>9</v>
      </c>
      <c r="D635" s="8" t="n">
        <f aca="false">DATE(B635,C635,1)</f>
        <v>45536</v>
      </c>
      <c r="E635" s="7" t="str">
        <f aca="false">CHOOSE(C635,"ene","feb","mar","abr","may","jun","jul","ago","sep","oct","nov","dic")</f>
        <v>sep</v>
      </c>
      <c r="F635" s="7" t="str">
        <f aca="false">CHOOSE(C635,"enero","febrero","marzo","abril","mayo","junio","julio","agosto","septiembre","octubre","noviembre","diciembre")</f>
        <v>septiembre</v>
      </c>
      <c r="G635" s="7" t="str">
        <f aca="false">E635&amp;"-"&amp;RIGHT(B635,2)</f>
        <v>sep-24</v>
      </c>
    </row>
    <row r="636" customFormat="false" ht="15" hidden="false" customHeight="false" outlineLevel="0" collapsed="false">
      <c r="A636" s="8" t="n">
        <f aca="false">A635+1</f>
        <v>45561</v>
      </c>
      <c r="B636" s="7" t="n">
        <f aca="false">YEAR(A636)</f>
        <v>2024</v>
      </c>
      <c r="C636" s="7" t="n">
        <f aca="false">MONTH(A636)</f>
        <v>9</v>
      </c>
      <c r="D636" s="8" t="n">
        <f aca="false">DATE(B636,C636,1)</f>
        <v>45536</v>
      </c>
      <c r="E636" s="7" t="str">
        <f aca="false">CHOOSE(C636,"ene","feb","mar","abr","may","jun","jul","ago","sep","oct","nov","dic")</f>
        <v>sep</v>
      </c>
      <c r="F636" s="7" t="str">
        <f aca="false">CHOOSE(C636,"enero","febrero","marzo","abril","mayo","junio","julio","agosto","septiembre","octubre","noviembre","diciembre")</f>
        <v>septiembre</v>
      </c>
      <c r="G636" s="7" t="str">
        <f aca="false">E636&amp;"-"&amp;RIGHT(B636,2)</f>
        <v>sep-24</v>
      </c>
    </row>
    <row r="637" customFormat="false" ht="15" hidden="false" customHeight="false" outlineLevel="0" collapsed="false">
      <c r="A637" s="8" t="n">
        <f aca="false">A636+1</f>
        <v>45562</v>
      </c>
      <c r="B637" s="7" t="n">
        <f aca="false">YEAR(A637)</f>
        <v>2024</v>
      </c>
      <c r="C637" s="7" t="n">
        <f aca="false">MONTH(A637)</f>
        <v>9</v>
      </c>
      <c r="D637" s="8" t="n">
        <f aca="false">DATE(B637,C637,1)</f>
        <v>45536</v>
      </c>
      <c r="E637" s="7" t="str">
        <f aca="false">CHOOSE(C637,"ene","feb","mar","abr","may","jun","jul","ago","sep","oct","nov","dic")</f>
        <v>sep</v>
      </c>
      <c r="F637" s="7" t="str">
        <f aca="false">CHOOSE(C637,"enero","febrero","marzo","abril","mayo","junio","julio","agosto","septiembre","octubre","noviembre","diciembre")</f>
        <v>septiembre</v>
      </c>
      <c r="G637" s="7" t="str">
        <f aca="false">E637&amp;"-"&amp;RIGHT(B637,2)</f>
        <v>sep-24</v>
      </c>
    </row>
    <row r="638" customFormat="false" ht="15" hidden="false" customHeight="false" outlineLevel="0" collapsed="false">
      <c r="A638" s="8" t="n">
        <f aca="false">A637+1</f>
        <v>45563</v>
      </c>
      <c r="B638" s="7" t="n">
        <f aca="false">YEAR(A638)</f>
        <v>2024</v>
      </c>
      <c r="C638" s="7" t="n">
        <f aca="false">MONTH(A638)</f>
        <v>9</v>
      </c>
      <c r="D638" s="8" t="n">
        <f aca="false">DATE(B638,C638,1)</f>
        <v>45536</v>
      </c>
      <c r="E638" s="7" t="str">
        <f aca="false">CHOOSE(C638,"ene","feb","mar","abr","may","jun","jul","ago","sep","oct","nov","dic")</f>
        <v>sep</v>
      </c>
      <c r="F638" s="7" t="str">
        <f aca="false">CHOOSE(C638,"enero","febrero","marzo","abril","mayo","junio","julio","agosto","septiembre","octubre","noviembre","diciembre")</f>
        <v>septiembre</v>
      </c>
      <c r="G638" s="7" t="str">
        <f aca="false">E638&amp;"-"&amp;RIGHT(B638,2)</f>
        <v>sep-24</v>
      </c>
    </row>
    <row r="639" customFormat="false" ht="15" hidden="false" customHeight="false" outlineLevel="0" collapsed="false">
      <c r="A639" s="8" t="n">
        <f aca="false">A638+1</f>
        <v>45564</v>
      </c>
      <c r="B639" s="7" t="n">
        <f aca="false">YEAR(A639)</f>
        <v>2024</v>
      </c>
      <c r="C639" s="7" t="n">
        <f aca="false">MONTH(A639)</f>
        <v>9</v>
      </c>
      <c r="D639" s="8" t="n">
        <f aca="false">DATE(B639,C639,1)</f>
        <v>45536</v>
      </c>
      <c r="E639" s="7" t="str">
        <f aca="false">CHOOSE(C639,"ene","feb","mar","abr","may","jun","jul","ago","sep","oct","nov","dic")</f>
        <v>sep</v>
      </c>
      <c r="F639" s="7" t="str">
        <f aca="false">CHOOSE(C639,"enero","febrero","marzo","abril","mayo","junio","julio","agosto","septiembre","octubre","noviembre","diciembre")</f>
        <v>septiembre</v>
      </c>
      <c r="G639" s="7" t="str">
        <f aca="false">E639&amp;"-"&amp;RIGHT(B639,2)</f>
        <v>sep-24</v>
      </c>
    </row>
    <row r="640" customFormat="false" ht="15" hidden="false" customHeight="false" outlineLevel="0" collapsed="false">
      <c r="A640" s="8" t="n">
        <f aca="false">A639+1</f>
        <v>45565</v>
      </c>
      <c r="B640" s="7" t="n">
        <f aca="false">YEAR(A640)</f>
        <v>2024</v>
      </c>
      <c r="C640" s="7" t="n">
        <f aca="false">MONTH(A640)</f>
        <v>9</v>
      </c>
      <c r="D640" s="8" t="n">
        <f aca="false">DATE(B640,C640,1)</f>
        <v>45536</v>
      </c>
      <c r="E640" s="7" t="str">
        <f aca="false">CHOOSE(C640,"ene","feb","mar","abr","may","jun","jul","ago","sep","oct","nov","dic")</f>
        <v>sep</v>
      </c>
      <c r="F640" s="7" t="str">
        <f aca="false">CHOOSE(C640,"enero","febrero","marzo","abril","mayo","junio","julio","agosto","septiembre","octubre","noviembre","diciembre")</f>
        <v>septiembre</v>
      </c>
      <c r="G640" s="7" t="str">
        <f aca="false">E640&amp;"-"&amp;RIGHT(B640,2)</f>
        <v>sep-24</v>
      </c>
    </row>
    <row r="641" customFormat="false" ht="15" hidden="false" customHeight="false" outlineLevel="0" collapsed="false">
      <c r="A641" s="8" t="n">
        <f aca="false">A640+1</f>
        <v>45566</v>
      </c>
      <c r="B641" s="7" t="n">
        <f aca="false">YEAR(A641)</f>
        <v>2024</v>
      </c>
      <c r="C641" s="7" t="n">
        <f aca="false">MONTH(A641)</f>
        <v>10</v>
      </c>
      <c r="D641" s="8" t="n">
        <f aca="false">DATE(B641,C641,1)</f>
        <v>45566</v>
      </c>
      <c r="E641" s="7" t="str">
        <f aca="false">CHOOSE(C641,"ene","feb","mar","abr","may","jun","jul","ago","sep","oct","nov","dic")</f>
        <v>oct</v>
      </c>
      <c r="F641" s="7" t="str">
        <f aca="false">CHOOSE(C641,"enero","febrero","marzo","abril","mayo","junio","julio","agosto","septiembre","octubre","noviembre","diciembre")</f>
        <v>octubre</v>
      </c>
      <c r="G641" s="7" t="str">
        <f aca="false">E641&amp;"-"&amp;RIGHT(B641,2)</f>
        <v>oct-24</v>
      </c>
    </row>
    <row r="642" customFormat="false" ht="15" hidden="false" customHeight="false" outlineLevel="0" collapsed="false">
      <c r="A642" s="8" t="n">
        <f aca="false">A641+1</f>
        <v>45567</v>
      </c>
      <c r="B642" s="7" t="n">
        <f aca="false">YEAR(A642)</f>
        <v>2024</v>
      </c>
      <c r="C642" s="7" t="n">
        <f aca="false">MONTH(A642)</f>
        <v>10</v>
      </c>
      <c r="D642" s="8" t="n">
        <f aca="false">DATE(B642,C642,1)</f>
        <v>45566</v>
      </c>
      <c r="E642" s="7" t="str">
        <f aca="false">CHOOSE(C642,"ene","feb","mar","abr","may","jun","jul","ago","sep","oct","nov","dic")</f>
        <v>oct</v>
      </c>
      <c r="F642" s="7" t="str">
        <f aca="false">CHOOSE(C642,"enero","febrero","marzo","abril","mayo","junio","julio","agosto","septiembre","octubre","noviembre","diciembre")</f>
        <v>octubre</v>
      </c>
      <c r="G642" s="7" t="str">
        <f aca="false">E642&amp;"-"&amp;RIGHT(B642,2)</f>
        <v>oct-24</v>
      </c>
    </row>
    <row r="643" customFormat="false" ht="15" hidden="false" customHeight="false" outlineLevel="0" collapsed="false">
      <c r="A643" s="8" t="n">
        <f aca="false">A642+1</f>
        <v>45568</v>
      </c>
      <c r="B643" s="7" t="n">
        <f aca="false">YEAR(A643)</f>
        <v>2024</v>
      </c>
      <c r="C643" s="7" t="n">
        <f aca="false">MONTH(A643)</f>
        <v>10</v>
      </c>
      <c r="D643" s="8" t="n">
        <f aca="false">DATE(B643,C643,1)</f>
        <v>45566</v>
      </c>
      <c r="E643" s="7" t="str">
        <f aca="false">CHOOSE(C643,"ene","feb","mar","abr","may","jun","jul","ago","sep","oct","nov","dic")</f>
        <v>oct</v>
      </c>
      <c r="F643" s="7" t="str">
        <f aca="false">CHOOSE(C643,"enero","febrero","marzo","abril","mayo","junio","julio","agosto","septiembre","octubre","noviembre","diciembre")</f>
        <v>octubre</v>
      </c>
      <c r="G643" s="7" t="str">
        <f aca="false">E643&amp;"-"&amp;RIGHT(B643,2)</f>
        <v>oct-24</v>
      </c>
    </row>
    <row r="644" customFormat="false" ht="15" hidden="false" customHeight="false" outlineLevel="0" collapsed="false">
      <c r="A644" s="8" t="n">
        <f aca="false">A643+1</f>
        <v>45569</v>
      </c>
      <c r="B644" s="7" t="n">
        <f aca="false">YEAR(A644)</f>
        <v>2024</v>
      </c>
      <c r="C644" s="7" t="n">
        <f aca="false">MONTH(A644)</f>
        <v>10</v>
      </c>
      <c r="D644" s="8" t="n">
        <f aca="false">DATE(B644,C644,1)</f>
        <v>45566</v>
      </c>
      <c r="E644" s="7" t="str">
        <f aca="false">CHOOSE(C644,"ene","feb","mar","abr","may","jun","jul","ago","sep","oct","nov","dic")</f>
        <v>oct</v>
      </c>
      <c r="F644" s="7" t="str">
        <f aca="false">CHOOSE(C644,"enero","febrero","marzo","abril","mayo","junio","julio","agosto","septiembre","octubre","noviembre","diciembre")</f>
        <v>octubre</v>
      </c>
      <c r="G644" s="7" t="str">
        <f aca="false">E644&amp;"-"&amp;RIGHT(B644,2)</f>
        <v>oct-24</v>
      </c>
    </row>
    <row r="645" customFormat="false" ht="15" hidden="false" customHeight="false" outlineLevel="0" collapsed="false">
      <c r="A645" s="8" t="n">
        <f aca="false">A644+1</f>
        <v>45570</v>
      </c>
      <c r="B645" s="7" t="n">
        <f aca="false">YEAR(A645)</f>
        <v>2024</v>
      </c>
      <c r="C645" s="7" t="n">
        <f aca="false">MONTH(A645)</f>
        <v>10</v>
      </c>
      <c r="D645" s="8" t="n">
        <f aca="false">DATE(B645,C645,1)</f>
        <v>45566</v>
      </c>
      <c r="E645" s="7" t="str">
        <f aca="false">CHOOSE(C645,"ene","feb","mar","abr","may","jun","jul","ago","sep","oct","nov","dic")</f>
        <v>oct</v>
      </c>
      <c r="F645" s="7" t="str">
        <f aca="false">CHOOSE(C645,"enero","febrero","marzo","abril","mayo","junio","julio","agosto","septiembre","octubre","noviembre","diciembre")</f>
        <v>octubre</v>
      </c>
      <c r="G645" s="7" t="str">
        <f aca="false">E645&amp;"-"&amp;RIGHT(B645,2)</f>
        <v>oct-24</v>
      </c>
    </row>
    <row r="646" customFormat="false" ht="15" hidden="false" customHeight="false" outlineLevel="0" collapsed="false">
      <c r="A646" s="8" t="n">
        <f aca="false">A645+1</f>
        <v>45571</v>
      </c>
      <c r="B646" s="7" t="n">
        <f aca="false">YEAR(A646)</f>
        <v>2024</v>
      </c>
      <c r="C646" s="7" t="n">
        <f aca="false">MONTH(A646)</f>
        <v>10</v>
      </c>
      <c r="D646" s="8" t="n">
        <f aca="false">DATE(B646,C646,1)</f>
        <v>45566</v>
      </c>
      <c r="E646" s="7" t="str">
        <f aca="false">CHOOSE(C646,"ene","feb","mar","abr","may","jun","jul","ago","sep","oct","nov","dic")</f>
        <v>oct</v>
      </c>
      <c r="F646" s="7" t="str">
        <f aca="false">CHOOSE(C646,"enero","febrero","marzo","abril","mayo","junio","julio","agosto","septiembre","octubre","noviembre","diciembre")</f>
        <v>octubre</v>
      </c>
      <c r="G646" s="7" t="str">
        <f aca="false">E646&amp;"-"&amp;RIGHT(B646,2)</f>
        <v>oct-24</v>
      </c>
    </row>
    <row r="647" customFormat="false" ht="15" hidden="false" customHeight="false" outlineLevel="0" collapsed="false">
      <c r="A647" s="8" t="n">
        <f aca="false">A646+1</f>
        <v>45572</v>
      </c>
      <c r="B647" s="7" t="n">
        <f aca="false">YEAR(A647)</f>
        <v>2024</v>
      </c>
      <c r="C647" s="7" t="n">
        <f aca="false">MONTH(A647)</f>
        <v>10</v>
      </c>
      <c r="D647" s="8" t="n">
        <f aca="false">DATE(B647,C647,1)</f>
        <v>45566</v>
      </c>
      <c r="E647" s="7" t="str">
        <f aca="false">CHOOSE(C647,"ene","feb","mar","abr","may","jun","jul","ago","sep","oct","nov","dic")</f>
        <v>oct</v>
      </c>
      <c r="F647" s="7" t="str">
        <f aca="false">CHOOSE(C647,"enero","febrero","marzo","abril","mayo","junio","julio","agosto","septiembre","octubre","noviembre","diciembre")</f>
        <v>octubre</v>
      </c>
      <c r="G647" s="7" t="str">
        <f aca="false">E647&amp;"-"&amp;RIGHT(B647,2)</f>
        <v>oct-24</v>
      </c>
    </row>
    <row r="648" customFormat="false" ht="15" hidden="false" customHeight="false" outlineLevel="0" collapsed="false">
      <c r="A648" s="8" t="n">
        <f aca="false">A647+1</f>
        <v>45573</v>
      </c>
      <c r="B648" s="7" t="n">
        <f aca="false">YEAR(A648)</f>
        <v>2024</v>
      </c>
      <c r="C648" s="7" t="n">
        <f aca="false">MONTH(A648)</f>
        <v>10</v>
      </c>
      <c r="D648" s="8" t="n">
        <f aca="false">DATE(B648,C648,1)</f>
        <v>45566</v>
      </c>
      <c r="E648" s="7" t="str">
        <f aca="false">CHOOSE(C648,"ene","feb","mar","abr","may","jun","jul","ago","sep","oct","nov","dic")</f>
        <v>oct</v>
      </c>
      <c r="F648" s="7" t="str">
        <f aca="false">CHOOSE(C648,"enero","febrero","marzo","abril","mayo","junio","julio","agosto","septiembre","octubre","noviembre","diciembre")</f>
        <v>octubre</v>
      </c>
      <c r="G648" s="7" t="str">
        <f aca="false">E648&amp;"-"&amp;RIGHT(B648,2)</f>
        <v>oct-24</v>
      </c>
    </row>
    <row r="649" customFormat="false" ht="15" hidden="false" customHeight="false" outlineLevel="0" collapsed="false">
      <c r="A649" s="8" t="n">
        <f aca="false">A648+1</f>
        <v>45574</v>
      </c>
      <c r="B649" s="7" t="n">
        <f aca="false">YEAR(A649)</f>
        <v>2024</v>
      </c>
      <c r="C649" s="7" t="n">
        <f aca="false">MONTH(A649)</f>
        <v>10</v>
      </c>
      <c r="D649" s="8" t="n">
        <f aca="false">DATE(B649,C649,1)</f>
        <v>45566</v>
      </c>
      <c r="E649" s="7" t="str">
        <f aca="false">CHOOSE(C649,"ene","feb","mar","abr","may","jun","jul","ago","sep","oct","nov","dic")</f>
        <v>oct</v>
      </c>
      <c r="F649" s="7" t="str">
        <f aca="false">CHOOSE(C649,"enero","febrero","marzo","abril","mayo","junio","julio","agosto","septiembre","octubre","noviembre","diciembre")</f>
        <v>octubre</v>
      </c>
      <c r="G649" s="7" t="str">
        <f aca="false">E649&amp;"-"&amp;RIGHT(B649,2)</f>
        <v>oct-24</v>
      </c>
    </row>
    <row r="650" customFormat="false" ht="15" hidden="false" customHeight="false" outlineLevel="0" collapsed="false">
      <c r="A650" s="8" t="n">
        <f aca="false">A649+1</f>
        <v>45575</v>
      </c>
      <c r="B650" s="7" t="n">
        <f aca="false">YEAR(A650)</f>
        <v>2024</v>
      </c>
      <c r="C650" s="7" t="n">
        <f aca="false">MONTH(A650)</f>
        <v>10</v>
      </c>
      <c r="D650" s="8" t="n">
        <f aca="false">DATE(B650,C650,1)</f>
        <v>45566</v>
      </c>
      <c r="E650" s="7" t="str">
        <f aca="false">CHOOSE(C650,"ene","feb","mar","abr","may","jun","jul","ago","sep","oct","nov","dic")</f>
        <v>oct</v>
      </c>
      <c r="F650" s="7" t="str">
        <f aca="false">CHOOSE(C650,"enero","febrero","marzo","abril","mayo","junio","julio","agosto","septiembre","octubre","noviembre","diciembre")</f>
        <v>octubre</v>
      </c>
      <c r="G650" s="7" t="str">
        <f aca="false">E650&amp;"-"&amp;RIGHT(B650,2)</f>
        <v>oct-24</v>
      </c>
    </row>
    <row r="651" customFormat="false" ht="15" hidden="false" customHeight="false" outlineLevel="0" collapsed="false">
      <c r="A651" s="8" t="n">
        <f aca="false">A650+1</f>
        <v>45576</v>
      </c>
      <c r="B651" s="7" t="n">
        <f aca="false">YEAR(A651)</f>
        <v>2024</v>
      </c>
      <c r="C651" s="7" t="n">
        <f aca="false">MONTH(A651)</f>
        <v>10</v>
      </c>
      <c r="D651" s="8" t="n">
        <f aca="false">DATE(B651,C651,1)</f>
        <v>45566</v>
      </c>
      <c r="E651" s="7" t="str">
        <f aca="false">CHOOSE(C651,"ene","feb","mar","abr","may","jun","jul","ago","sep","oct","nov","dic")</f>
        <v>oct</v>
      </c>
      <c r="F651" s="7" t="str">
        <f aca="false">CHOOSE(C651,"enero","febrero","marzo","abril","mayo","junio","julio","agosto","septiembre","octubre","noviembre","diciembre")</f>
        <v>octubre</v>
      </c>
      <c r="G651" s="7" t="str">
        <f aca="false">E651&amp;"-"&amp;RIGHT(B651,2)</f>
        <v>oct-24</v>
      </c>
    </row>
    <row r="652" customFormat="false" ht="15" hidden="false" customHeight="false" outlineLevel="0" collapsed="false">
      <c r="A652" s="8" t="n">
        <f aca="false">A651+1</f>
        <v>45577</v>
      </c>
      <c r="B652" s="7" t="n">
        <f aca="false">YEAR(A652)</f>
        <v>2024</v>
      </c>
      <c r="C652" s="7" t="n">
        <f aca="false">MONTH(A652)</f>
        <v>10</v>
      </c>
      <c r="D652" s="8" t="n">
        <f aca="false">DATE(B652,C652,1)</f>
        <v>45566</v>
      </c>
      <c r="E652" s="7" t="str">
        <f aca="false">CHOOSE(C652,"ene","feb","mar","abr","may","jun","jul","ago","sep","oct","nov","dic")</f>
        <v>oct</v>
      </c>
      <c r="F652" s="7" t="str">
        <f aca="false">CHOOSE(C652,"enero","febrero","marzo","abril","mayo","junio","julio","agosto","septiembre","octubre","noviembre","diciembre")</f>
        <v>octubre</v>
      </c>
      <c r="G652" s="7" t="str">
        <f aca="false">E652&amp;"-"&amp;RIGHT(B652,2)</f>
        <v>oct-24</v>
      </c>
    </row>
    <row r="653" customFormat="false" ht="15" hidden="false" customHeight="false" outlineLevel="0" collapsed="false">
      <c r="A653" s="8" t="n">
        <f aca="false">A652+1</f>
        <v>45578</v>
      </c>
      <c r="B653" s="7" t="n">
        <f aca="false">YEAR(A653)</f>
        <v>2024</v>
      </c>
      <c r="C653" s="7" t="n">
        <f aca="false">MONTH(A653)</f>
        <v>10</v>
      </c>
      <c r="D653" s="8" t="n">
        <f aca="false">DATE(B653,C653,1)</f>
        <v>45566</v>
      </c>
      <c r="E653" s="7" t="str">
        <f aca="false">CHOOSE(C653,"ene","feb","mar","abr","may","jun","jul","ago","sep","oct","nov","dic")</f>
        <v>oct</v>
      </c>
      <c r="F653" s="7" t="str">
        <f aca="false">CHOOSE(C653,"enero","febrero","marzo","abril","mayo","junio","julio","agosto","septiembre","octubre","noviembre","diciembre")</f>
        <v>octubre</v>
      </c>
      <c r="G653" s="7" t="str">
        <f aca="false">E653&amp;"-"&amp;RIGHT(B653,2)</f>
        <v>oct-24</v>
      </c>
    </row>
    <row r="654" customFormat="false" ht="15" hidden="false" customHeight="false" outlineLevel="0" collapsed="false">
      <c r="A654" s="8" t="n">
        <f aca="false">A653+1</f>
        <v>45579</v>
      </c>
      <c r="B654" s="7" t="n">
        <f aca="false">YEAR(A654)</f>
        <v>2024</v>
      </c>
      <c r="C654" s="7" t="n">
        <f aca="false">MONTH(A654)</f>
        <v>10</v>
      </c>
      <c r="D654" s="8" t="n">
        <f aca="false">DATE(B654,C654,1)</f>
        <v>45566</v>
      </c>
      <c r="E654" s="7" t="str">
        <f aca="false">CHOOSE(C654,"ene","feb","mar","abr","may","jun","jul","ago","sep","oct","nov","dic")</f>
        <v>oct</v>
      </c>
      <c r="F654" s="7" t="str">
        <f aca="false">CHOOSE(C654,"enero","febrero","marzo","abril","mayo","junio","julio","agosto","septiembre","octubre","noviembre","diciembre")</f>
        <v>octubre</v>
      </c>
      <c r="G654" s="7" t="str">
        <f aca="false">E654&amp;"-"&amp;RIGHT(B654,2)</f>
        <v>oct-24</v>
      </c>
    </row>
    <row r="655" customFormat="false" ht="15" hidden="false" customHeight="false" outlineLevel="0" collapsed="false">
      <c r="A655" s="8" t="n">
        <f aca="false">A654+1</f>
        <v>45580</v>
      </c>
      <c r="B655" s="7" t="n">
        <f aca="false">YEAR(A655)</f>
        <v>2024</v>
      </c>
      <c r="C655" s="7" t="n">
        <f aca="false">MONTH(A655)</f>
        <v>10</v>
      </c>
      <c r="D655" s="8" t="n">
        <f aca="false">DATE(B655,C655,1)</f>
        <v>45566</v>
      </c>
      <c r="E655" s="7" t="str">
        <f aca="false">CHOOSE(C655,"ene","feb","mar","abr","may","jun","jul","ago","sep","oct","nov","dic")</f>
        <v>oct</v>
      </c>
      <c r="F655" s="7" t="str">
        <f aca="false">CHOOSE(C655,"enero","febrero","marzo","abril","mayo","junio","julio","agosto","septiembre","octubre","noviembre","diciembre")</f>
        <v>octubre</v>
      </c>
      <c r="G655" s="7" t="str">
        <f aca="false">E655&amp;"-"&amp;RIGHT(B655,2)</f>
        <v>oct-24</v>
      </c>
    </row>
    <row r="656" customFormat="false" ht="15" hidden="false" customHeight="false" outlineLevel="0" collapsed="false">
      <c r="A656" s="8" t="n">
        <f aca="false">A655+1</f>
        <v>45581</v>
      </c>
      <c r="B656" s="7" t="n">
        <f aca="false">YEAR(A656)</f>
        <v>2024</v>
      </c>
      <c r="C656" s="7" t="n">
        <f aca="false">MONTH(A656)</f>
        <v>10</v>
      </c>
      <c r="D656" s="8" t="n">
        <f aca="false">DATE(B656,C656,1)</f>
        <v>45566</v>
      </c>
      <c r="E656" s="7" t="str">
        <f aca="false">CHOOSE(C656,"ene","feb","mar","abr","may","jun","jul","ago","sep","oct","nov","dic")</f>
        <v>oct</v>
      </c>
      <c r="F656" s="7" t="str">
        <f aca="false">CHOOSE(C656,"enero","febrero","marzo","abril","mayo","junio","julio","agosto","septiembre","octubre","noviembre","diciembre")</f>
        <v>octubre</v>
      </c>
      <c r="G656" s="7" t="str">
        <f aca="false">E656&amp;"-"&amp;RIGHT(B656,2)</f>
        <v>oct-24</v>
      </c>
    </row>
    <row r="657" customFormat="false" ht="15" hidden="false" customHeight="false" outlineLevel="0" collapsed="false">
      <c r="A657" s="8" t="n">
        <f aca="false">A656+1</f>
        <v>45582</v>
      </c>
      <c r="B657" s="7" t="n">
        <f aca="false">YEAR(A657)</f>
        <v>2024</v>
      </c>
      <c r="C657" s="7" t="n">
        <f aca="false">MONTH(A657)</f>
        <v>10</v>
      </c>
      <c r="D657" s="8" t="n">
        <f aca="false">DATE(B657,C657,1)</f>
        <v>45566</v>
      </c>
      <c r="E657" s="7" t="str">
        <f aca="false">CHOOSE(C657,"ene","feb","mar","abr","may","jun","jul","ago","sep","oct","nov","dic")</f>
        <v>oct</v>
      </c>
      <c r="F657" s="7" t="str">
        <f aca="false">CHOOSE(C657,"enero","febrero","marzo","abril","mayo","junio","julio","agosto","septiembre","octubre","noviembre","diciembre")</f>
        <v>octubre</v>
      </c>
      <c r="G657" s="7" t="str">
        <f aca="false">E657&amp;"-"&amp;RIGHT(B657,2)</f>
        <v>oct-24</v>
      </c>
    </row>
    <row r="658" customFormat="false" ht="15" hidden="false" customHeight="false" outlineLevel="0" collapsed="false">
      <c r="A658" s="8" t="n">
        <f aca="false">A657+1</f>
        <v>45583</v>
      </c>
      <c r="B658" s="7" t="n">
        <f aca="false">YEAR(A658)</f>
        <v>2024</v>
      </c>
      <c r="C658" s="7" t="n">
        <f aca="false">MONTH(A658)</f>
        <v>10</v>
      </c>
      <c r="D658" s="8" t="n">
        <f aca="false">DATE(B658,C658,1)</f>
        <v>45566</v>
      </c>
      <c r="E658" s="7" t="str">
        <f aca="false">CHOOSE(C658,"ene","feb","mar","abr","may","jun","jul","ago","sep","oct","nov","dic")</f>
        <v>oct</v>
      </c>
      <c r="F658" s="7" t="str">
        <f aca="false">CHOOSE(C658,"enero","febrero","marzo","abril","mayo","junio","julio","agosto","septiembre","octubre","noviembre","diciembre")</f>
        <v>octubre</v>
      </c>
      <c r="G658" s="7" t="str">
        <f aca="false">E658&amp;"-"&amp;RIGHT(B658,2)</f>
        <v>oct-24</v>
      </c>
    </row>
    <row r="659" customFormat="false" ht="15" hidden="false" customHeight="false" outlineLevel="0" collapsed="false">
      <c r="A659" s="8" t="n">
        <f aca="false">A658+1</f>
        <v>45584</v>
      </c>
      <c r="B659" s="7" t="n">
        <f aca="false">YEAR(A659)</f>
        <v>2024</v>
      </c>
      <c r="C659" s="7" t="n">
        <f aca="false">MONTH(A659)</f>
        <v>10</v>
      </c>
      <c r="D659" s="8" t="n">
        <f aca="false">DATE(B659,C659,1)</f>
        <v>45566</v>
      </c>
      <c r="E659" s="7" t="str">
        <f aca="false">CHOOSE(C659,"ene","feb","mar","abr","may","jun","jul","ago","sep","oct","nov","dic")</f>
        <v>oct</v>
      </c>
      <c r="F659" s="7" t="str">
        <f aca="false">CHOOSE(C659,"enero","febrero","marzo","abril","mayo","junio","julio","agosto","septiembre","octubre","noviembre","diciembre")</f>
        <v>octubre</v>
      </c>
      <c r="G659" s="7" t="str">
        <f aca="false">E659&amp;"-"&amp;RIGHT(B659,2)</f>
        <v>oct-24</v>
      </c>
    </row>
    <row r="660" customFormat="false" ht="15" hidden="false" customHeight="false" outlineLevel="0" collapsed="false">
      <c r="A660" s="8" t="n">
        <f aca="false">A659+1</f>
        <v>45585</v>
      </c>
      <c r="B660" s="7" t="n">
        <f aca="false">YEAR(A660)</f>
        <v>2024</v>
      </c>
      <c r="C660" s="7" t="n">
        <f aca="false">MONTH(A660)</f>
        <v>10</v>
      </c>
      <c r="D660" s="8" t="n">
        <f aca="false">DATE(B660,C660,1)</f>
        <v>45566</v>
      </c>
      <c r="E660" s="7" t="str">
        <f aca="false">CHOOSE(C660,"ene","feb","mar","abr","may","jun","jul","ago","sep","oct","nov","dic")</f>
        <v>oct</v>
      </c>
      <c r="F660" s="7" t="str">
        <f aca="false">CHOOSE(C660,"enero","febrero","marzo","abril","mayo","junio","julio","agosto","septiembre","octubre","noviembre","diciembre")</f>
        <v>octubre</v>
      </c>
      <c r="G660" s="7" t="str">
        <f aca="false">E660&amp;"-"&amp;RIGHT(B660,2)</f>
        <v>oct-24</v>
      </c>
    </row>
    <row r="661" customFormat="false" ht="15" hidden="false" customHeight="false" outlineLevel="0" collapsed="false">
      <c r="A661" s="8" t="n">
        <f aca="false">A660+1</f>
        <v>45586</v>
      </c>
      <c r="B661" s="7" t="n">
        <f aca="false">YEAR(A661)</f>
        <v>2024</v>
      </c>
      <c r="C661" s="7" t="n">
        <f aca="false">MONTH(A661)</f>
        <v>10</v>
      </c>
      <c r="D661" s="8" t="n">
        <f aca="false">DATE(B661,C661,1)</f>
        <v>45566</v>
      </c>
      <c r="E661" s="7" t="str">
        <f aca="false">CHOOSE(C661,"ene","feb","mar","abr","may","jun","jul","ago","sep","oct","nov","dic")</f>
        <v>oct</v>
      </c>
      <c r="F661" s="7" t="str">
        <f aca="false">CHOOSE(C661,"enero","febrero","marzo","abril","mayo","junio","julio","agosto","septiembre","octubre","noviembre","diciembre")</f>
        <v>octubre</v>
      </c>
      <c r="G661" s="7" t="str">
        <f aca="false">E661&amp;"-"&amp;RIGHT(B661,2)</f>
        <v>oct-24</v>
      </c>
    </row>
    <row r="662" customFormat="false" ht="15" hidden="false" customHeight="false" outlineLevel="0" collapsed="false">
      <c r="A662" s="8" t="n">
        <f aca="false">A661+1</f>
        <v>45587</v>
      </c>
      <c r="B662" s="7" t="n">
        <f aca="false">YEAR(A662)</f>
        <v>2024</v>
      </c>
      <c r="C662" s="7" t="n">
        <f aca="false">MONTH(A662)</f>
        <v>10</v>
      </c>
      <c r="D662" s="8" t="n">
        <f aca="false">DATE(B662,C662,1)</f>
        <v>45566</v>
      </c>
      <c r="E662" s="7" t="str">
        <f aca="false">CHOOSE(C662,"ene","feb","mar","abr","may","jun","jul","ago","sep","oct","nov","dic")</f>
        <v>oct</v>
      </c>
      <c r="F662" s="7" t="str">
        <f aca="false">CHOOSE(C662,"enero","febrero","marzo","abril","mayo","junio","julio","agosto","septiembre","octubre","noviembre","diciembre")</f>
        <v>octubre</v>
      </c>
      <c r="G662" s="7" t="str">
        <f aca="false">E662&amp;"-"&amp;RIGHT(B662,2)</f>
        <v>oct-24</v>
      </c>
    </row>
    <row r="663" customFormat="false" ht="15" hidden="false" customHeight="false" outlineLevel="0" collapsed="false">
      <c r="A663" s="8" t="n">
        <f aca="false">A662+1</f>
        <v>45588</v>
      </c>
      <c r="B663" s="7" t="n">
        <f aca="false">YEAR(A663)</f>
        <v>2024</v>
      </c>
      <c r="C663" s="7" t="n">
        <f aca="false">MONTH(A663)</f>
        <v>10</v>
      </c>
      <c r="D663" s="8" t="n">
        <f aca="false">DATE(B663,C663,1)</f>
        <v>45566</v>
      </c>
      <c r="E663" s="7" t="str">
        <f aca="false">CHOOSE(C663,"ene","feb","mar","abr","may","jun","jul","ago","sep","oct","nov","dic")</f>
        <v>oct</v>
      </c>
      <c r="F663" s="7" t="str">
        <f aca="false">CHOOSE(C663,"enero","febrero","marzo","abril","mayo","junio","julio","agosto","septiembre","octubre","noviembre","diciembre")</f>
        <v>octubre</v>
      </c>
      <c r="G663" s="7" t="str">
        <f aca="false">E663&amp;"-"&amp;RIGHT(B663,2)</f>
        <v>oct-24</v>
      </c>
    </row>
    <row r="664" customFormat="false" ht="15" hidden="false" customHeight="false" outlineLevel="0" collapsed="false">
      <c r="A664" s="8" t="n">
        <f aca="false">A663+1</f>
        <v>45589</v>
      </c>
      <c r="B664" s="7" t="n">
        <f aca="false">YEAR(A664)</f>
        <v>2024</v>
      </c>
      <c r="C664" s="7" t="n">
        <f aca="false">MONTH(A664)</f>
        <v>10</v>
      </c>
      <c r="D664" s="8" t="n">
        <f aca="false">DATE(B664,C664,1)</f>
        <v>45566</v>
      </c>
      <c r="E664" s="7" t="str">
        <f aca="false">CHOOSE(C664,"ene","feb","mar","abr","may","jun","jul","ago","sep","oct","nov","dic")</f>
        <v>oct</v>
      </c>
      <c r="F664" s="7" t="str">
        <f aca="false">CHOOSE(C664,"enero","febrero","marzo","abril","mayo","junio","julio","agosto","septiembre","octubre","noviembre","diciembre")</f>
        <v>octubre</v>
      </c>
      <c r="G664" s="7" t="str">
        <f aca="false">E664&amp;"-"&amp;RIGHT(B664,2)</f>
        <v>oct-24</v>
      </c>
    </row>
    <row r="665" customFormat="false" ht="15" hidden="false" customHeight="false" outlineLevel="0" collapsed="false">
      <c r="A665" s="8" t="n">
        <f aca="false">A664+1</f>
        <v>45590</v>
      </c>
      <c r="B665" s="7" t="n">
        <f aca="false">YEAR(A665)</f>
        <v>2024</v>
      </c>
      <c r="C665" s="7" t="n">
        <f aca="false">MONTH(A665)</f>
        <v>10</v>
      </c>
      <c r="D665" s="8" t="n">
        <f aca="false">DATE(B665,C665,1)</f>
        <v>45566</v>
      </c>
      <c r="E665" s="7" t="str">
        <f aca="false">CHOOSE(C665,"ene","feb","mar","abr","may","jun","jul","ago","sep","oct","nov","dic")</f>
        <v>oct</v>
      </c>
      <c r="F665" s="7" t="str">
        <f aca="false">CHOOSE(C665,"enero","febrero","marzo","abril","mayo","junio","julio","agosto","septiembre","octubre","noviembre","diciembre")</f>
        <v>octubre</v>
      </c>
      <c r="G665" s="7" t="str">
        <f aca="false">E665&amp;"-"&amp;RIGHT(B665,2)</f>
        <v>oct-24</v>
      </c>
    </row>
    <row r="666" customFormat="false" ht="15" hidden="false" customHeight="false" outlineLevel="0" collapsed="false">
      <c r="A666" s="8" t="n">
        <f aca="false">A665+1</f>
        <v>45591</v>
      </c>
      <c r="B666" s="7" t="n">
        <f aca="false">YEAR(A666)</f>
        <v>2024</v>
      </c>
      <c r="C666" s="7" t="n">
        <f aca="false">MONTH(A666)</f>
        <v>10</v>
      </c>
      <c r="D666" s="8" t="n">
        <f aca="false">DATE(B666,C666,1)</f>
        <v>45566</v>
      </c>
      <c r="E666" s="7" t="str">
        <f aca="false">CHOOSE(C666,"ene","feb","mar","abr","may","jun","jul","ago","sep","oct","nov","dic")</f>
        <v>oct</v>
      </c>
      <c r="F666" s="7" t="str">
        <f aca="false">CHOOSE(C666,"enero","febrero","marzo","abril","mayo","junio","julio","agosto","septiembre","octubre","noviembre","diciembre")</f>
        <v>octubre</v>
      </c>
      <c r="G666" s="7" t="str">
        <f aca="false">E666&amp;"-"&amp;RIGHT(B666,2)</f>
        <v>oct-24</v>
      </c>
    </row>
    <row r="667" customFormat="false" ht="15" hidden="false" customHeight="false" outlineLevel="0" collapsed="false">
      <c r="A667" s="8" t="n">
        <f aca="false">A666+1</f>
        <v>45592</v>
      </c>
      <c r="B667" s="7" t="n">
        <f aca="false">YEAR(A667)</f>
        <v>2024</v>
      </c>
      <c r="C667" s="7" t="n">
        <f aca="false">MONTH(A667)</f>
        <v>10</v>
      </c>
      <c r="D667" s="8" t="n">
        <f aca="false">DATE(B667,C667,1)</f>
        <v>45566</v>
      </c>
      <c r="E667" s="7" t="str">
        <f aca="false">CHOOSE(C667,"ene","feb","mar","abr","may","jun","jul","ago","sep","oct","nov","dic")</f>
        <v>oct</v>
      </c>
      <c r="F667" s="7" t="str">
        <f aca="false">CHOOSE(C667,"enero","febrero","marzo","abril","mayo","junio","julio","agosto","septiembre","octubre","noviembre","diciembre")</f>
        <v>octubre</v>
      </c>
      <c r="G667" s="7" t="str">
        <f aca="false">E667&amp;"-"&amp;RIGHT(B667,2)</f>
        <v>oct-24</v>
      </c>
    </row>
    <row r="668" customFormat="false" ht="15" hidden="false" customHeight="false" outlineLevel="0" collapsed="false">
      <c r="A668" s="8" t="n">
        <f aca="false">A667+1</f>
        <v>45593</v>
      </c>
      <c r="B668" s="7" t="n">
        <f aca="false">YEAR(A668)</f>
        <v>2024</v>
      </c>
      <c r="C668" s="7" t="n">
        <f aca="false">MONTH(A668)</f>
        <v>10</v>
      </c>
      <c r="D668" s="8" t="n">
        <f aca="false">DATE(B668,C668,1)</f>
        <v>45566</v>
      </c>
      <c r="E668" s="7" t="str">
        <f aca="false">CHOOSE(C668,"ene","feb","mar","abr","may","jun","jul","ago","sep","oct","nov","dic")</f>
        <v>oct</v>
      </c>
      <c r="F668" s="7" t="str">
        <f aca="false">CHOOSE(C668,"enero","febrero","marzo","abril","mayo","junio","julio","agosto","septiembre","octubre","noviembre","diciembre")</f>
        <v>octubre</v>
      </c>
      <c r="G668" s="7" t="str">
        <f aca="false">E668&amp;"-"&amp;RIGHT(B668,2)</f>
        <v>oct-24</v>
      </c>
    </row>
    <row r="669" customFormat="false" ht="15" hidden="false" customHeight="false" outlineLevel="0" collapsed="false">
      <c r="A669" s="8" t="n">
        <f aca="false">A668+1</f>
        <v>45594</v>
      </c>
      <c r="B669" s="7" t="n">
        <f aca="false">YEAR(A669)</f>
        <v>2024</v>
      </c>
      <c r="C669" s="7" t="n">
        <f aca="false">MONTH(A669)</f>
        <v>10</v>
      </c>
      <c r="D669" s="8" t="n">
        <f aca="false">DATE(B669,C669,1)</f>
        <v>45566</v>
      </c>
      <c r="E669" s="7" t="str">
        <f aca="false">CHOOSE(C669,"ene","feb","mar","abr","may","jun","jul","ago","sep","oct","nov","dic")</f>
        <v>oct</v>
      </c>
      <c r="F669" s="7" t="str">
        <f aca="false">CHOOSE(C669,"enero","febrero","marzo","abril","mayo","junio","julio","agosto","septiembre","octubre","noviembre","diciembre")</f>
        <v>octubre</v>
      </c>
      <c r="G669" s="7" t="str">
        <f aca="false">E669&amp;"-"&amp;RIGHT(B669,2)</f>
        <v>oct-24</v>
      </c>
    </row>
    <row r="670" customFormat="false" ht="15" hidden="false" customHeight="false" outlineLevel="0" collapsed="false">
      <c r="A670" s="8" t="n">
        <f aca="false">A669+1</f>
        <v>45595</v>
      </c>
      <c r="B670" s="7" t="n">
        <f aca="false">YEAR(A670)</f>
        <v>2024</v>
      </c>
      <c r="C670" s="7" t="n">
        <f aca="false">MONTH(A670)</f>
        <v>10</v>
      </c>
      <c r="D670" s="8" t="n">
        <f aca="false">DATE(B670,C670,1)</f>
        <v>45566</v>
      </c>
      <c r="E670" s="7" t="str">
        <f aca="false">CHOOSE(C670,"ene","feb","mar","abr","may","jun","jul","ago","sep","oct","nov","dic")</f>
        <v>oct</v>
      </c>
      <c r="F670" s="7" t="str">
        <f aca="false">CHOOSE(C670,"enero","febrero","marzo","abril","mayo","junio","julio","agosto","septiembre","octubre","noviembre","diciembre")</f>
        <v>octubre</v>
      </c>
      <c r="G670" s="7" t="str">
        <f aca="false">E670&amp;"-"&amp;RIGHT(B670,2)</f>
        <v>oct-24</v>
      </c>
    </row>
    <row r="671" customFormat="false" ht="15" hidden="false" customHeight="false" outlineLevel="0" collapsed="false">
      <c r="A671" s="8" t="n">
        <f aca="false">A670+1</f>
        <v>45596</v>
      </c>
      <c r="B671" s="7" t="n">
        <f aca="false">YEAR(A671)</f>
        <v>2024</v>
      </c>
      <c r="C671" s="7" t="n">
        <f aca="false">MONTH(A671)</f>
        <v>10</v>
      </c>
      <c r="D671" s="8" t="n">
        <f aca="false">DATE(B671,C671,1)</f>
        <v>45566</v>
      </c>
      <c r="E671" s="7" t="str">
        <f aca="false">CHOOSE(C671,"ene","feb","mar","abr","may","jun","jul","ago","sep","oct","nov","dic")</f>
        <v>oct</v>
      </c>
      <c r="F671" s="7" t="str">
        <f aca="false">CHOOSE(C671,"enero","febrero","marzo","abril","mayo","junio","julio","agosto","septiembre","octubre","noviembre","diciembre")</f>
        <v>octubre</v>
      </c>
      <c r="G671" s="7" t="str">
        <f aca="false">E671&amp;"-"&amp;RIGHT(B671,2)</f>
        <v>oct-24</v>
      </c>
    </row>
    <row r="672" customFormat="false" ht="15" hidden="false" customHeight="false" outlineLevel="0" collapsed="false">
      <c r="A672" s="8" t="n">
        <f aca="false">A671+1</f>
        <v>45597</v>
      </c>
      <c r="B672" s="7" t="n">
        <f aca="false">YEAR(A672)</f>
        <v>2024</v>
      </c>
      <c r="C672" s="7" t="n">
        <f aca="false">MONTH(A672)</f>
        <v>11</v>
      </c>
      <c r="D672" s="8" t="n">
        <f aca="false">DATE(B672,C672,1)</f>
        <v>45597</v>
      </c>
      <c r="E672" s="7" t="str">
        <f aca="false">CHOOSE(C672,"ene","feb","mar","abr","may","jun","jul","ago","sep","oct","nov","dic")</f>
        <v>nov</v>
      </c>
      <c r="F672" s="7" t="str">
        <f aca="false">CHOOSE(C672,"enero","febrero","marzo","abril","mayo","junio","julio","agosto","septiembre","octubre","noviembre","diciembre")</f>
        <v>noviembre</v>
      </c>
      <c r="G672" s="7" t="str">
        <f aca="false">E672&amp;"-"&amp;RIGHT(B672,2)</f>
        <v>nov-24</v>
      </c>
    </row>
    <row r="673" customFormat="false" ht="15" hidden="false" customHeight="false" outlineLevel="0" collapsed="false">
      <c r="A673" s="8" t="n">
        <f aca="false">A672+1</f>
        <v>45598</v>
      </c>
      <c r="B673" s="7" t="n">
        <f aca="false">YEAR(A673)</f>
        <v>2024</v>
      </c>
      <c r="C673" s="7" t="n">
        <f aca="false">MONTH(A673)</f>
        <v>11</v>
      </c>
      <c r="D673" s="8" t="n">
        <f aca="false">DATE(B673,C673,1)</f>
        <v>45597</v>
      </c>
      <c r="E673" s="7" t="str">
        <f aca="false">CHOOSE(C673,"ene","feb","mar","abr","may","jun","jul","ago","sep","oct","nov","dic")</f>
        <v>nov</v>
      </c>
      <c r="F673" s="7" t="str">
        <f aca="false">CHOOSE(C673,"enero","febrero","marzo","abril","mayo","junio","julio","agosto","septiembre","octubre","noviembre","diciembre")</f>
        <v>noviembre</v>
      </c>
      <c r="G673" s="7" t="str">
        <f aca="false">E673&amp;"-"&amp;RIGHT(B673,2)</f>
        <v>nov-24</v>
      </c>
    </row>
    <row r="674" customFormat="false" ht="15" hidden="false" customHeight="false" outlineLevel="0" collapsed="false">
      <c r="A674" s="8" t="n">
        <f aca="false">A673+1</f>
        <v>45599</v>
      </c>
      <c r="B674" s="7" t="n">
        <f aca="false">YEAR(A674)</f>
        <v>2024</v>
      </c>
      <c r="C674" s="7" t="n">
        <f aca="false">MONTH(A674)</f>
        <v>11</v>
      </c>
      <c r="D674" s="8" t="n">
        <f aca="false">DATE(B674,C674,1)</f>
        <v>45597</v>
      </c>
      <c r="E674" s="7" t="str">
        <f aca="false">CHOOSE(C674,"ene","feb","mar","abr","may","jun","jul","ago","sep","oct","nov","dic")</f>
        <v>nov</v>
      </c>
      <c r="F674" s="7" t="str">
        <f aca="false">CHOOSE(C674,"enero","febrero","marzo","abril","mayo","junio","julio","agosto","septiembre","octubre","noviembre","diciembre")</f>
        <v>noviembre</v>
      </c>
      <c r="G674" s="7" t="str">
        <f aca="false">E674&amp;"-"&amp;RIGHT(B674,2)</f>
        <v>nov-24</v>
      </c>
    </row>
    <row r="675" customFormat="false" ht="15" hidden="false" customHeight="false" outlineLevel="0" collapsed="false">
      <c r="A675" s="8" t="n">
        <f aca="false">A674+1</f>
        <v>45600</v>
      </c>
      <c r="B675" s="7" t="n">
        <f aca="false">YEAR(A675)</f>
        <v>2024</v>
      </c>
      <c r="C675" s="7" t="n">
        <f aca="false">MONTH(A675)</f>
        <v>11</v>
      </c>
      <c r="D675" s="8" t="n">
        <f aca="false">DATE(B675,C675,1)</f>
        <v>45597</v>
      </c>
      <c r="E675" s="7" t="str">
        <f aca="false">CHOOSE(C675,"ene","feb","mar","abr","may","jun","jul","ago","sep","oct","nov","dic")</f>
        <v>nov</v>
      </c>
      <c r="F675" s="7" t="str">
        <f aca="false">CHOOSE(C675,"enero","febrero","marzo","abril","mayo","junio","julio","agosto","septiembre","octubre","noviembre","diciembre")</f>
        <v>noviembre</v>
      </c>
      <c r="G675" s="7" t="str">
        <f aca="false">E675&amp;"-"&amp;RIGHT(B675,2)</f>
        <v>nov-24</v>
      </c>
    </row>
    <row r="676" customFormat="false" ht="15" hidden="false" customHeight="false" outlineLevel="0" collapsed="false">
      <c r="A676" s="8" t="n">
        <f aca="false">A675+1</f>
        <v>45601</v>
      </c>
      <c r="B676" s="7" t="n">
        <f aca="false">YEAR(A676)</f>
        <v>2024</v>
      </c>
      <c r="C676" s="7" t="n">
        <f aca="false">MONTH(A676)</f>
        <v>11</v>
      </c>
      <c r="D676" s="8" t="n">
        <f aca="false">DATE(B676,C676,1)</f>
        <v>45597</v>
      </c>
      <c r="E676" s="7" t="str">
        <f aca="false">CHOOSE(C676,"ene","feb","mar","abr","may","jun","jul","ago","sep","oct","nov","dic")</f>
        <v>nov</v>
      </c>
      <c r="F676" s="7" t="str">
        <f aca="false">CHOOSE(C676,"enero","febrero","marzo","abril","mayo","junio","julio","agosto","septiembre","octubre","noviembre","diciembre")</f>
        <v>noviembre</v>
      </c>
      <c r="G676" s="7" t="str">
        <f aca="false">E676&amp;"-"&amp;RIGHT(B676,2)</f>
        <v>nov-24</v>
      </c>
    </row>
    <row r="677" customFormat="false" ht="15" hidden="false" customHeight="false" outlineLevel="0" collapsed="false">
      <c r="A677" s="8" t="n">
        <f aca="false">A676+1</f>
        <v>45602</v>
      </c>
      <c r="B677" s="7" t="n">
        <f aca="false">YEAR(A677)</f>
        <v>2024</v>
      </c>
      <c r="C677" s="7" t="n">
        <f aca="false">MONTH(A677)</f>
        <v>11</v>
      </c>
      <c r="D677" s="8" t="n">
        <f aca="false">DATE(B677,C677,1)</f>
        <v>45597</v>
      </c>
      <c r="E677" s="7" t="str">
        <f aca="false">CHOOSE(C677,"ene","feb","mar","abr","may","jun","jul","ago","sep","oct","nov","dic")</f>
        <v>nov</v>
      </c>
      <c r="F677" s="7" t="str">
        <f aca="false">CHOOSE(C677,"enero","febrero","marzo","abril","mayo","junio","julio","agosto","septiembre","octubre","noviembre","diciembre")</f>
        <v>noviembre</v>
      </c>
      <c r="G677" s="7" t="str">
        <f aca="false">E677&amp;"-"&amp;RIGHT(B677,2)</f>
        <v>nov-24</v>
      </c>
    </row>
    <row r="678" customFormat="false" ht="15" hidden="false" customHeight="false" outlineLevel="0" collapsed="false">
      <c r="A678" s="8" t="n">
        <f aca="false">A677+1</f>
        <v>45603</v>
      </c>
      <c r="B678" s="7" t="n">
        <f aca="false">YEAR(A678)</f>
        <v>2024</v>
      </c>
      <c r="C678" s="7" t="n">
        <f aca="false">MONTH(A678)</f>
        <v>11</v>
      </c>
      <c r="D678" s="8" t="n">
        <f aca="false">DATE(B678,C678,1)</f>
        <v>45597</v>
      </c>
      <c r="E678" s="7" t="str">
        <f aca="false">CHOOSE(C678,"ene","feb","mar","abr","may","jun","jul","ago","sep","oct","nov","dic")</f>
        <v>nov</v>
      </c>
      <c r="F678" s="7" t="str">
        <f aca="false">CHOOSE(C678,"enero","febrero","marzo","abril","mayo","junio","julio","agosto","septiembre","octubre","noviembre","diciembre")</f>
        <v>noviembre</v>
      </c>
      <c r="G678" s="7" t="str">
        <f aca="false">E678&amp;"-"&amp;RIGHT(B678,2)</f>
        <v>nov-24</v>
      </c>
    </row>
    <row r="679" customFormat="false" ht="15" hidden="false" customHeight="false" outlineLevel="0" collapsed="false">
      <c r="A679" s="8" t="n">
        <f aca="false">A678+1</f>
        <v>45604</v>
      </c>
      <c r="B679" s="7" t="n">
        <f aca="false">YEAR(A679)</f>
        <v>2024</v>
      </c>
      <c r="C679" s="7" t="n">
        <f aca="false">MONTH(A679)</f>
        <v>11</v>
      </c>
      <c r="D679" s="8" t="n">
        <f aca="false">DATE(B679,C679,1)</f>
        <v>45597</v>
      </c>
      <c r="E679" s="7" t="str">
        <f aca="false">CHOOSE(C679,"ene","feb","mar","abr","may","jun","jul","ago","sep","oct","nov","dic")</f>
        <v>nov</v>
      </c>
      <c r="F679" s="7" t="str">
        <f aca="false">CHOOSE(C679,"enero","febrero","marzo","abril","mayo","junio","julio","agosto","septiembre","octubre","noviembre","diciembre")</f>
        <v>noviembre</v>
      </c>
      <c r="G679" s="7" t="str">
        <f aca="false">E679&amp;"-"&amp;RIGHT(B679,2)</f>
        <v>nov-24</v>
      </c>
    </row>
    <row r="680" customFormat="false" ht="15" hidden="false" customHeight="false" outlineLevel="0" collapsed="false">
      <c r="A680" s="8" t="n">
        <f aca="false">A679+1</f>
        <v>45605</v>
      </c>
      <c r="B680" s="7" t="n">
        <f aca="false">YEAR(A680)</f>
        <v>2024</v>
      </c>
      <c r="C680" s="7" t="n">
        <f aca="false">MONTH(A680)</f>
        <v>11</v>
      </c>
      <c r="D680" s="8" t="n">
        <f aca="false">DATE(B680,C680,1)</f>
        <v>45597</v>
      </c>
      <c r="E680" s="7" t="str">
        <f aca="false">CHOOSE(C680,"ene","feb","mar","abr","may","jun","jul","ago","sep","oct","nov","dic")</f>
        <v>nov</v>
      </c>
      <c r="F680" s="7" t="str">
        <f aca="false">CHOOSE(C680,"enero","febrero","marzo","abril","mayo","junio","julio","agosto","septiembre","octubre","noviembre","diciembre")</f>
        <v>noviembre</v>
      </c>
      <c r="G680" s="7" t="str">
        <f aca="false">E680&amp;"-"&amp;RIGHT(B680,2)</f>
        <v>nov-24</v>
      </c>
    </row>
    <row r="681" customFormat="false" ht="15" hidden="false" customHeight="false" outlineLevel="0" collapsed="false">
      <c r="A681" s="8" t="n">
        <f aca="false">A680+1</f>
        <v>45606</v>
      </c>
      <c r="B681" s="7" t="n">
        <f aca="false">YEAR(A681)</f>
        <v>2024</v>
      </c>
      <c r="C681" s="7" t="n">
        <f aca="false">MONTH(A681)</f>
        <v>11</v>
      </c>
      <c r="D681" s="8" t="n">
        <f aca="false">DATE(B681,C681,1)</f>
        <v>45597</v>
      </c>
      <c r="E681" s="7" t="str">
        <f aca="false">CHOOSE(C681,"ene","feb","mar","abr","may","jun","jul","ago","sep","oct","nov","dic")</f>
        <v>nov</v>
      </c>
      <c r="F681" s="7" t="str">
        <f aca="false">CHOOSE(C681,"enero","febrero","marzo","abril","mayo","junio","julio","agosto","septiembre","octubre","noviembre","diciembre")</f>
        <v>noviembre</v>
      </c>
      <c r="G681" s="7" t="str">
        <f aca="false">E681&amp;"-"&amp;RIGHT(B681,2)</f>
        <v>nov-24</v>
      </c>
    </row>
    <row r="682" customFormat="false" ht="15" hidden="false" customHeight="false" outlineLevel="0" collapsed="false">
      <c r="A682" s="8" t="n">
        <f aca="false">A681+1</f>
        <v>45607</v>
      </c>
      <c r="B682" s="7" t="n">
        <f aca="false">YEAR(A682)</f>
        <v>2024</v>
      </c>
      <c r="C682" s="7" t="n">
        <f aca="false">MONTH(A682)</f>
        <v>11</v>
      </c>
      <c r="D682" s="8" t="n">
        <f aca="false">DATE(B682,C682,1)</f>
        <v>45597</v>
      </c>
      <c r="E682" s="7" t="str">
        <f aca="false">CHOOSE(C682,"ene","feb","mar","abr","may","jun","jul","ago","sep","oct","nov","dic")</f>
        <v>nov</v>
      </c>
      <c r="F682" s="7" t="str">
        <f aca="false">CHOOSE(C682,"enero","febrero","marzo","abril","mayo","junio","julio","agosto","septiembre","octubre","noviembre","diciembre")</f>
        <v>noviembre</v>
      </c>
      <c r="G682" s="7" t="str">
        <f aca="false">E682&amp;"-"&amp;RIGHT(B682,2)</f>
        <v>nov-24</v>
      </c>
    </row>
    <row r="683" customFormat="false" ht="15" hidden="false" customHeight="false" outlineLevel="0" collapsed="false">
      <c r="A683" s="8" t="n">
        <f aca="false">A682+1</f>
        <v>45608</v>
      </c>
      <c r="B683" s="7" t="n">
        <f aca="false">YEAR(A683)</f>
        <v>2024</v>
      </c>
      <c r="C683" s="7" t="n">
        <f aca="false">MONTH(A683)</f>
        <v>11</v>
      </c>
      <c r="D683" s="8" t="n">
        <f aca="false">DATE(B683,C683,1)</f>
        <v>45597</v>
      </c>
      <c r="E683" s="7" t="str">
        <f aca="false">CHOOSE(C683,"ene","feb","mar","abr","may","jun","jul","ago","sep","oct","nov","dic")</f>
        <v>nov</v>
      </c>
      <c r="F683" s="7" t="str">
        <f aca="false">CHOOSE(C683,"enero","febrero","marzo","abril","mayo","junio","julio","agosto","septiembre","octubre","noviembre","diciembre")</f>
        <v>noviembre</v>
      </c>
      <c r="G683" s="7" t="str">
        <f aca="false">E683&amp;"-"&amp;RIGHT(B683,2)</f>
        <v>nov-24</v>
      </c>
    </row>
    <row r="684" customFormat="false" ht="15" hidden="false" customHeight="false" outlineLevel="0" collapsed="false">
      <c r="A684" s="8" t="n">
        <f aca="false">A683+1</f>
        <v>45609</v>
      </c>
      <c r="B684" s="7" t="n">
        <f aca="false">YEAR(A684)</f>
        <v>2024</v>
      </c>
      <c r="C684" s="7" t="n">
        <f aca="false">MONTH(A684)</f>
        <v>11</v>
      </c>
      <c r="D684" s="8" t="n">
        <f aca="false">DATE(B684,C684,1)</f>
        <v>45597</v>
      </c>
      <c r="E684" s="7" t="str">
        <f aca="false">CHOOSE(C684,"ene","feb","mar","abr","may","jun","jul","ago","sep","oct","nov","dic")</f>
        <v>nov</v>
      </c>
      <c r="F684" s="7" t="str">
        <f aca="false">CHOOSE(C684,"enero","febrero","marzo","abril","mayo","junio","julio","agosto","septiembre","octubre","noviembre","diciembre")</f>
        <v>noviembre</v>
      </c>
      <c r="G684" s="7" t="str">
        <f aca="false">E684&amp;"-"&amp;RIGHT(B684,2)</f>
        <v>nov-24</v>
      </c>
    </row>
    <row r="685" customFormat="false" ht="15" hidden="false" customHeight="false" outlineLevel="0" collapsed="false">
      <c r="A685" s="8" t="n">
        <f aca="false">A684+1</f>
        <v>45610</v>
      </c>
      <c r="B685" s="7" t="n">
        <f aca="false">YEAR(A685)</f>
        <v>2024</v>
      </c>
      <c r="C685" s="7" t="n">
        <f aca="false">MONTH(A685)</f>
        <v>11</v>
      </c>
      <c r="D685" s="8" t="n">
        <f aca="false">DATE(B685,C685,1)</f>
        <v>45597</v>
      </c>
      <c r="E685" s="7" t="str">
        <f aca="false">CHOOSE(C685,"ene","feb","mar","abr","may","jun","jul","ago","sep","oct","nov","dic")</f>
        <v>nov</v>
      </c>
      <c r="F685" s="7" t="str">
        <f aca="false">CHOOSE(C685,"enero","febrero","marzo","abril","mayo","junio","julio","agosto","septiembre","octubre","noviembre","diciembre")</f>
        <v>noviembre</v>
      </c>
      <c r="G685" s="7" t="str">
        <f aca="false">E685&amp;"-"&amp;RIGHT(B685,2)</f>
        <v>nov-24</v>
      </c>
    </row>
    <row r="686" customFormat="false" ht="15" hidden="false" customHeight="false" outlineLevel="0" collapsed="false">
      <c r="A686" s="8" t="n">
        <f aca="false">A685+1</f>
        <v>45611</v>
      </c>
      <c r="B686" s="7" t="n">
        <f aca="false">YEAR(A686)</f>
        <v>2024</v>
      </c>
      <c r="C686" s="7" t="n">
        <f aca="false">MONTH(A686)</f>
        <v>11</v>
      </c>
      <c r="D686" s="8" t="n">
        <f aca="false">DATE(B686,C686,1)</f>
        <v>45597</v>
      </c>
      <c r="E686" s="7" t="str">
        <f aca="false">CHOOSE(C686,"ene","feb","mar","abr","may","jun","jul","ago","sep","oct","nov","dic")</f>
        <v>nov</v>
      </c>
      <c r="F686" s="7" t="str">
        <f aca="false">CHOOSE(C686,"enero","febrero","marzo","abril","mayo","junio","julio","agosto","septiembre","octubre","noviembre","diciembre")</f>
        <v>noviembre</v>
      </c>
      <c r="G686" s="7" t="str">
        <f aca="false">E686&amp;"-"&amp;RIGHT(B686,2)</f>
        <v>nov-24</v>
      </c>
    </row>
    <row r="687" customFormat="false" ht="15" hidden="false" customHeight="false" outlineLevel="0" collapsed="false">
      <c r="A687" s="8" t="n">
        <f aca="false">A686+1</f>
        <v>45612</v>
      </c>
      <c r="B687" s="7" t="n">
        <f aca="false">YEAR(A687)</f>
        <v>2024</v>
      </c>
      <c r="C687" s="7" t="n">
        <f aca="false">MONTH(A687)</f>
        <v>11</v>
      </c>
      <c r="D687" s="8" t="n">
        <f aca="false">DATE(B687,C687,1)</f>
        <v>45597</v>
      </c>
      <c r="E687" s="7" t="str">
        <f aca="false">CHOOSE(C687,"ene","feb","mar","abr","may","jun","jul","ago","sep","oct","nov","dic")</f>
        <v>nov</v>
      </c>
      <c r="F687" s="7" t="str">
        <f aca="false">CHOOSE(C687,"enero","febrero","marzo","abril","mayo","junio","julio","agosto","septiembre","octubre","noviembre","diciembre")</f>
        <v>noviembre</v>
      </c>
      <c r="G687" s="7" t="str">
        <f aca="false">E687&amp;"-"&amp;RIGHT(B687,2)</f>
        <v>nov-24</v>
      </c>
    </row>
    <row r="688" customFormat="false" ht="15" hidden="false" customHeight="false" outlineLevel="0" collapsed="false">
      <c r="A688" s="8" t="n">
        <f aca="false">A687+1</f>
        <v>45613</v>
      </c>
      <c r="B688" s="7" t="n">
        <f aca="false">YEAR(A688)</f>
        <v>2024</v>
      </c>
      <c r="C688" s="7" t="n">
        <f aca="false">MONTH(A688)</f>
        <v>11</v>
      </c>
      <c r="D688" s="8" t="n">
        <f aca="false">DATE(B688,C688,1)</f>
        <v>45597</v>
      </c>
      <c r="E688" s="7" t="str">
        <f aca="false">CHOOSE(C688,"ene","feb","mar","abr","may","jun","jul","ago","sep","oct","nov","dic")</f>
        <v>nov</v>
      </c>
      <c r="F688" s="7" t="str">
        <f aca="false">CHOOSE(C688,"enero","febrero","marzo","abril","mayo","junio","julio","agosto","septiembre","octubre","noviembre","diciembre")</f>
        <v>noviembre</v>
      </c>
      <c r="G688" s="7" t="str">
        <f aca="false">E688&amp;"-"&amp;RIGHT(B688,2)</f>
        <v>nov-24</v>
      </c>
    </row>
    <row r="689" customFormat="false" ht="15" hidden="false" customHeight="false" outlineLevel="0" collapsed="false">
      <c r="A689" s="8" t="n">
        <f aca="false">A688+1</f>
        <v>45614</v>
      </c>
      <c r="B689" s="7" t="n">
        <f aca="false">YEAR(A689)</f>
        <v>2024</v>
      </c>
      <c r="C689" s="7" t="n">
        <f aca="false">MONTH(A689)</f>
        <v>11</v>
      </c>
      <c r="D689" s="8" t="n">
        <f aca="false">DATE(B689,C689,1)</f>
        <v>45597</v>
      </c>
      <c r="E689" s="7" t="str">
        <f aca="false">CHOOSE(C689,"ene","feb","mar","abr","may","jun","jul","ago","sep","oct","nov","dic")</f>
        <v>nov</v>
      </c>
      <c r="F689" s="7" t="str">
        <f aca="false">CHOOSE(C689,"enero","febrero","marzo","abril","mayo","junio","julio","agosto","septiembre","octubre","noviembre","diciembre")</f>
        <v>noviembre</v>
      </c>
      <c r="G689" s="7" t="str">
        <f aca="false">E689&amp;"-"&amp;RIGHT(B689,2)</f>
        <v>nov-24</v>
      </c>
    </row>
    <row r="690" customFormat="false" ht="15" hidden="false" customHeight="false" outlineLevel="0" collapsed="false">
      <c r="A690" s="8" t="n">
        <f aca="false">A689+1</f>
        <v>45615</v>
      </c>
      <c r="B690" s="7" t="n">
        <f aca="false">YEAR(A690)</f>
        <v>2024</v>
      </c>
      <c r="C690" s="7" t="n">
        <f aca="false">MONTH(A690)</f>
        <v>11</v>
      </c>
      <c r="D690" s="8" t="n">
        <f aca="false">DATE(B690,C690,1)</f>
        <v>45597</v>
      </c>
      <c r="E690" s="7" t="str">
        <f aca="false">CHOOSE(C690,"ene","feb","mar","abr","may","jun","jul","ago","sep","oct","nov","dic")</f>
        <v>nov</v>
      </c>
      <c r="F690" s="7" t="str">
        <f aca="false">CHOOSE(C690,"enero","febrero","marzo","abril","mayo","junio","julio","agosto","septiembre","octubre","noviembre","diciembre")</f>
        <v>noviembre</v>
      </c>
      <c r="G690" s="7" t="str">
        <f aca="false">E690&amp;"-"&amp;RIGHT(B690,2)</f>
        <v>nov-24</v>
      </c>
    </row>
    <row r="691" customFormat="false" ht="15" hidden="false" customHeight="false" outlineLevel="0" collapsed="false">
      <c r="A691" s="8" t="n">
        <f aca="false">A690+1</f>
        <v>45616</v>
      </c>
      <c r="B691" s="7" t="n">
        <f aca="false">YEAR(A691)</f>
        <v>2024</v>
      </c>
      <c r="C691" s="7" t="n">
        <f aca="false">MONTH(A691)</f>
        <v>11</v>
      </c>
      <c r="D691" s="8" t="n">
        <f aca="false">DATE(B691,C691,1)</f>
        <v>45597</v>
      </c>
      <c r="E691" s="7" t="str">
        <f aca="false">CHOOSE(C691,"ene","feb","mar","abr","may","jun","jul","ago","sep","oct","nov","dic")</f>
        <v>nov</v>
      </c>
      <c r="F691" s="7" t="str">
        <f aca="false">CHOOSE(C691,"enero","febrero","marzo","abril","mayo","junio","julio","agosto","septiembre","octubre","noviembre","diciembre")</f>
        <v>noviembre</v>
      </c>
      <c r="G691" s="7" t="str">
        <f aca="false">E691&amp;"-"&amp;RIGHT(B691,2)</f>
        <v>nov-24</v>
      </c>
    </row>
    <row r="692" customFormat="false" ht="15" hidden="false" customHeight="false" outlineLevel="0" collapsed="false">
      <c r="A692" s="8" t="n">
        <f aca="false">A691+1</f>
        <v>45617</v>
      </c>
      <c r="B692" s="7" t="n">
        <f aca="false">YEAR(A692)</f>
        <v>2024</v>
      </c>
      <c r="C692" s="7" t="n">
        <f aca="false">MONTH(A692)</f>
        <v>11</v>
      </c>
      <c r="D692" s="8" t="n">
        <f aca="false">DATE(B692,C692,1)</f>
        <v>45597</v>
      </c>
      <c r="E692" s="7" t="str">
        <f aca="false">CHOOSE(C692,"ene","feb","mar","abr","may","jun","jul","ago","sep","oct","nov","dic")</f>
        <v>nov</v>
      </c>
      <c r="F692" s="7" t="str">
        <f aca="false">CHOOSE(C692,"enero","febrero","marzo","abril","mayo","junio","julio","agosto","septiembre","octubre","noviembre","diciembre")</f>
        <v>noviembre</v>
      </c>
      <c r="G692" s="7" t="str">
        <f aca="false">E692&amp;"-"&amp;RIGHT(B692,2)</f>
        <v>nov-24</v>
      </c>
    </row>
    <row r="693" customFormat="false" ht="15" hidden="false" customHeight="false" outlineLevel="0" collapsed="false">
      <c r="A693" s="8" t="n">
        <f aca="false">A692+1</f>
        <v>45618</v>
      </c>
      <c r="B693" s="7" t="n">
        <f aca="false">YEAR(A693)</f>
        <v>2024</v>
      </c>
      <c r="C693" s="7" t="n">
        <f aca="false">MONTH(A693)</f>
        <v>11</v>
      </c>
      <c r="D693" s="8" t="n">
        <f aca="false">DATE(B693,C693,1)</f>
        <v>45597</v>
      </c>
      <c r="E693" s="7" t="str">
        <f aca="false">CHOOSE(C693,"ene","feb","mar","abr","may","jun","jul","ago","sep","oct","nov","dic")</f>
        <v>nov</v>
      </c>
      <c r="F693" s="7" t="str">
        <f aca="false">CHOOSE(C693,"enero","febrero","marzo","abril","mayo","junio","julio","agosto","septiembre","octubre","noviembre","diciembre")</f>
        <v>noviembre</v>
      </c>
      <c r="G693" s="7" t="str">
        <f aca="false">E693&amp;"-"&amp;RIGHT(B693,2)</f>
        <v>nov-24</v>
      </c>
    </row>
    <row r="694" customFormat="false" ht="15" hidden="false" customHeight="false" outlineLevel="0" collapsed="false">
      <c r="A694" s="8" t="n">
        <f aca="false">A693+1</f>
        <v>45619</v>
      </c>
      <c r="B694" s="7" t="n">
        <f aca="false">YEAR(A694)</f>
        <v>2024</v>
      </c>
      <c r="C694" s="7" t="n">
        <f aca="false">MONTH(A694)</f>
        <v>11</v>
      </c>
      <c r="D694" s="8" t="n">
        <f aca="false">DATE(B694,C694,1)</f>
        <v>45597</v>
      </c>
      <c r="E694" s="7" t="str">
        <f aca="false">CHOOSE(C694,"ene","feb","mar","abr","may","jun","jul","ago","sep","oct","nov","dic")</f>
        <v>nov</v>
      </c>
      <c r="F694" s="7" t="str">
        <f aca="false">CHOOSE(C694,"enero","febrero","marzo","abril","mayo","junio","julio","agosto","septiembre","octubre","noviembre","diciembre")</f>
        <v>noviembre</v>
      </c>
      <c r="G694" s="7" t="str">
        <f aca="false">E694&amp;"-"&amp;RIGHT(B694,2)</f>
        <v>nov-24</v>
      </c>
    </row>
    <row r="695" customFormat="false" ht="15" hidden="false" customHeight="false" outlineLevel="0" collapsed="false">
      <c r="A695" s="8" t="n">
        <f aca="false">A694+1</f>
        <v>45620</v>
      </c>
      <c r="B695" s="7" t="n">
        <f aca="false">YEAR(A695)</f>
        <v>2024</v>
      </c>
      <c r="C695" s="7" t="n">
        <f aca="false">MONTH(A695)</f>
        <v>11</v>
      </c>
      <c r="D695" s="8" t="n">
        <f aca="false">DATE(B695,C695,1)</f>
        <v>45597</v>
      </c>
      <c r="E695" s="7" t="str">
        <f aca="false">CHOOSE(C695,"ene","feb","mar","abr","may","jun","jul","ago","sep","oct","nov","dic")</f>
        <v>nov</v>
      </c>
      <c r="F695" s="7" t="str">
        <f aca="false">CHOOSE(C695,"enero","febrero","marzo","abril","mayo","junio","julio","agosto","septiembre","octubre","noviembre","diciembre")</f>
        <v>noviembre</v>
      </c>
      <c r="G695" s="7" t="str">
        <f aca="false">E695&amp;"-"&amp;RIGHT(B695,2)</f>
        <v>nov-24</v>
      </c>
    </row>
    <row r="696" customFormat="false" ht="15" hidden="false" customHeight="false" outlineLevel="0" collapsed="false">
      <c r="A696" s="8" t="n">
        <f aca="false">A695+1</f>
        <v>45621</v>
      </c>
      <c r="B696" s="7" t="n">
        <f aca="false">YEAR(A696)</f>
        <v>2024</v>
      </c>
      <c r="C696" s="7" t="n">
        <f aca="false">MONTH(A696)</f>
        <v>11</v>
      </c>
      <c r="D696" s="8" t="n">
        <f aca="false">DATE(B696,C696,1)</f>
        <v>45597</v>
      </c>
      <c r="E696" s="7" t="str">
        <f aca="false">CHOOSE(C696,"ene","feb","mar","abr","may","jun","jul","ago","sep","oct","nov","dic")</f>
        <v>nov</v>
      </c>
      <c r="F696" s="7" t="str">
        <f aca="false">CHOOSE(C696,"enero","febrero","marzo","abril","mayo","junio","julio","agosto","septiembre","octubre","noviembre","diciembre")</f>
        <v>noviembre</v>
      </c>
      <c r="G696" s="7" t="str">
        <f aca="false">E696&amp;"-"&amp;RIGHT(B696,2)</f>
        <v>nov-24</v>
      </c>
    </row>
    <row r="697" customFormat="false" ht="15" hidden="false" customHeight="false" outlineLevel="0" collapsed="false">
      <c r="A697" s="8" t="n">
        <f aca="false">A696+1</f>
        <v>45622</v>
      </c>
      <c r="B697" s="7" t="n">
        <f aca="false">YEAR(A697)</f>
        <v>2024</v>
      </c>
      <c r="C697" s="7" t="n">
        <f aca="false">MONTH(A697)</f>
        <v>11</v>
      </c>
      <c r="D697" s="8" t="n">
        <f aca="false">DATE(B697,C697,1)</f>
        <v>45597</v>
      </c>
      <c r="E697" s="7" t="str">
        <f aca="false">CHOOSE(C697,"ene","feb","mar","abr","may","jun","jul","ago","sep","oct","nov","dic")</f>
        <v>nov</v>
      </c>
      <c r="F697" s="7" t="str">
        <f aca="false">CHOOSE(C697,"enero","febrero","marzo","abril","mayo","junio","julio","agosto","septiembre","octubre","noviembre","diciembre")</f>
        <v>noviembre</v>
      </c>
      <c r="G697" s="7" t="str">
        <f aca="false">E697&amp;"-"&amp;RIGHT(B697,2)</f>
        <v>nov-24</v>
      </c>
    </row>
    <row r="698" customFormat="false" ht="15" hidden="false" customHeight="false" outlineLevel="0" collapsed="false">
      <c r="A698" s="8" t="n">
        <f aca="false">A697+1</f>
        <v>45623</v>
      </c>
      <c r="B698" s="7" t="n">
        <f aca="false">YEAR(A698)</f>
        <v>2024</v>
      </c>
      <c r="C698" s="7" t="n">
        <f aca="false">MONTH(A698)</f>
        <v>11</v>
      </c>
      <c r="D698" s="8" t="n">
        <f aca="false">DATE(B698,C698,1)</f>
        <v>45597</v>
      </c>
      <c r="E698" s="7" t="str">
        <f aca="false">CHOOSE(C698,"ene","feb","mar","abr","may","jun","jul","ago","sep","oct","nov","dic")</f>
        <v>nov</v>
      </c>
      <c r="F698" s="7" t="str">
        <f aca="false">CHOOSE(C698,"enero","febrero","marzo","abril","mayo","junio","julio","agosto","septiembre","octubre","noviembre","diciembre")</f>
        <v>noviembre</v>
      </c>
      <c r="G698" s="7" t="str">
        <f aca="false">E698&amp;"-"&amp;RIGHT(B698,2)</f>
        <v>nov-24</v>
      </c>
    </row>
    <row r="699" customFormat="false" ht="15" hidden="false" customHeight="false" outlineLevel="0" collapsed="false">
      <c r="A699" s="8" t="n">
        <f aca="false">A698+1</f>
        <v>45624</v>
      </c>
      <c r="B699" s="7" t="n">
        <f aca="false">YEAR(A699)</f>
        <v>2024</v>
      </c>
      <c r="C699" s="7" t="n">
        <f aca="false">MONTH(A699)</f>
        <v>11</v>
      </c>
      <c r="D699" s="8" t="n">
        <f aca="false">DATE(B699,C699,1)</f>
        <v>45597</v>
      </c>
      <c r="E699" s="7" t="str">
        <f aca="false">CHOOSE(C699,"ene","feb","mar","abr","may","jun","jul","ago","sep","oct","nov","dic")</f>
        <v>nov</v>
      </c>
      <c r="F699" s="7" t="str">
        <f aca="false">CHOOSE(C699,"enero","febrero","marzo","abril","mayo","junio","julio","agosto","septiembre","octubre","noviembre","diciembre")</f>
        <v>noviembre</v>
      </c>
      <c r="G699" s="7" t="str">
        <f aca="false">E699&amp;"-"&amp;RIGHT(B699,2)</f>
        <v>nov-24</v>
      </c>
    </row>
    <row r="700" customFormat="false" ht="15" hidden="false" customHeight="false" outlineLevel="0" collapsed="false">
      <c r="A700" s="8" t="n">
        <f aca="false">A699+1</f>
        <v>45625</v>
      </c>
      <c r="B700" s="7" t="n">
        <f aca="false">YEAR(A700)</f>
        <v>2024</v>
      </c>
      <c r="C700" s="7" t="n">
        <f aca="false">MONTH(A700)</f>
        <v>11</v>
      </c>
      <c r="D700" s="8" t="n">
        <f aca="false">DATE(B700,C700,1)</f>
        <v>45597</v>
      </c>
      <c r="E700" s="7" t="str">
        <f aca="false">CHOOSE(C700,"ene","feb","mar","abr","may","jun","jul","ago","sep","oct","nov","dic")</f>
        <v>nov</v>
      </c>
      <c r="F700" s="7" t="str">
        <f aca="false">CHOOSE(C700,"enero","febrero","marzo","abril","mayo","junio","julio","agosto","septiembre","octubre","noviembre","diciembre")</f>
        <v>noviembre</v>
      </c>
      <c r="G700" s="7" t="str">
        <f aca="false">E700&amp;"-"&amp;RIGHT(B700,2)</f>
        <v>nov-24</v>
      </c>
    </row>
    <row r="701" customFormat="false" ht="15" hidden="false" customHeight="false" outlineLevel="0" collapsed="false">
      <c r="A701" s="8" t="n">
        <f aca="false">A700+1</f>
        <v>45626</v>
      </c>
      <c r="B701" s="7" t="n">
        <f aca="false">YEAR(A701)</f>
        <v>2024</v>
      </c>
      <c r="C701" s="7" t="n">
        <f aca="false">MONTH(A701)</f>
        <v>11</v>
      </c>
      <c r="D701" s="8" t="n">
        <f aca="false">DATE(B701,C701,1)</f>
        <v>45597</v>
      </c>
      <c r="E701" s="7" t="str">
        <f aca="false">CHOOSE(C701,"ene","feb","mar","abr","may","jun","jul","ago","sep","oct","nov","dic")</f>
        <v>nov</v>
      </c>
      <c r="F701" s="7" t="str">
        <f aca="false">CHOOSE(C701,"enero","febrero","marzo","abril","mayo","junio","julio","agosto","septiembre","octubre","noviembre","diciembre")</f>
        <v>noviembre</v>
      </c>
      <c r="G701" s="7" t="str">
        <f aca="false">E701&amp;"-"&amp;RIGHT(B701,2)</f>
        <v>nov-24</v>
      </c>
    </row>
    <row r="702" customFormat="false" ht="15" hidden="false" customHeight="false" outlineLevel="0" collapsed="false">
      <c r="A702" s="8" t="n">
        <f aca="false">A701+1</f>
        <v>45627</v>
      </c>
      <c r="B702" s="7" t="n">
        <f aca="false">YEAR(A702)</f>
        <v>2024</v>
      </c>
      <c r="C702" s="7" t="n">
        <f aca="false">MONTH(A702)</f>
        <v>12</v>
      </c>
      <c r="D702" s="8" t="n">
        <f aca="false">DATE(B702,C702,1)</f>
        <v>45627</v>
      </c>
      <c r="E702" s="7" t="str">
        <f aca="false">CHOOSE(C702,"ene","feb","mar","abr","may","jun","jul","ago","sep","oct","nov","dic")</f>
        <v>dic</v>
      </c>
      <c r="F702" s="7" t="str">
        <f aca="false">CHOOSE(C702,"enero","febrero","marzo","abril","mayo","junio","julio","agosto","septiembre","octubre","noviembre","diciembre")</f>
        <v>diciembre</v>
      </c>
      <c r="G702" s="7" t="str">
        <f aca="false">E702&amp;"-"&amp;RIGHT(B702,2)</f>
        <v>dic-24</v>
      </c>
    </row>
    <row r="703" customFormat="false" ht="15" hidden="false" customHeight="false" outlineLevel="0" collapsed="false">
      <c r="A703" s="8" t="n">
        <f aca="false">A702+1</f>
        <v>45628</v>
      </c>
      <c r="B703" s="7" t="n">
        <f aca="false">YEAR(A703)</f>
        <v>2024</v>
      </c>
      <c r="C703" s="7" t="n">
        <f aca="false">MONTH(A703)</f>
        <v>12</v>
      </c>
      <c r="D703" s="8" t="n">
        <f aca="false">DATE(B703,C703,1)</f>
        <v>45627</v>
      </c>
      <c r="E703" s="7" t="str">
        <f aca="false">CHOOSE(C703,"ene","feb","mar","abr","may","jun","jul","ago","sep","oct","nov","dic")</f>
        <v>dic</v>
      </c>
      <c r="F703" s="7" t="str">
        <f aca="false">CHOOSE(C703,"enero","febrero","marzo","abril","mayo","junio","julio","agosto","septiembre","octubre","noviembre","diciembre")</f>
        <v>diciembre</v>
      </c>
      <c r="G703" s="7" t="str">
        <f aca="false">E703&amp;"-"&amp;RIGHT(B703,2)</f>
        <v>dic-24</v>
      </c>
    </row>
    <row r="704" customFormat="false" ht="15" hidden="false" customHeight="false" outlineLevel="0" collapsed="false">
      <c r="A704" s="8" t="n">
        <f aca="false">A703+1</f>
        <v>45629</v>
      </c>
      <c r="B704" s="7" t="n">
        <f aca="false">YEAR(A704)</f>
        <v>2024</v>
      </c>
      <c r="C704" s="7" t="n">
        <f aca="false">MONTH(A704)</f>
        <v>12</v>
      </c>
      <c r="D704" s="8" t="n">
        <f aca="false">DATE(B704,C704,1)</f>
        <v>45627</v>
      </c>
      <c r="E704" s="7" t="str">
        <f aca="false">CHOOSE(C704,"ene","feb","mar","abr","may","jun","jul","ago","sep","oct","nov","dic")</f>
        <v>dic</v>
      </c>
      <c r="F704" s="7" t="str">
        <f aca="false">CHOOSE(C704,"enero","febrero","marzo","abril","mayo","junio","julio","agosto","septiembre","octubre","noviembre","diciembre")</f>
        <v>diciembre</v>
      </c>
      <c r="G704" s="7" t="str">
        <f aca="false">E704&amp;"-"&amp;RIGHT(B704,2)</f>
        <v>dic-24</v>
      </c>
    </row>
    <row r="705" customFormat="false" ht="15" hidden="false" customHeight="false" outlineLevel="0" collapsed="false">
      <c r="A705" s="8" t="n">
        <f aca="false">A704+1</f>
        <v>45630</v>
      </c>
      <c r="B705" s="7" t="n">
        <f aca="false">YEAR(A705)</f>
        <v>2024</v>
      </c>
      <c r="C705" s="7" t="n">
        <f aca="false">MONTH(A705)</f>
        <v>12</v>
      </c>
      <c r="D705" s="8" t="n">
        <f aca="false">DATE(B705,C705,1)</f>
        <v>45627</v>
      </c>
      <c r="E705" s="7" t="str">
        <f aca="false">CHOOSE(C705,"ene","feb","mar","abr","may","jun","jul","ago","sep","oct","nov","dic")</f>
        <v>dic</v>
      </c>
      <c r="F705" s="7" t="str">
        <f aca="false">CHOOSE(C705,"enero","febrero","marzo","abril","mayo","junio","julio","agosto","septiembre","octubre","noviembre","diciembre")</f>
        <v>diciembre</v>
      </c>
      <c r="G705" s="7" t="str">
        <f aca="false">E705&amp;"-"&amp;RIGHT(B705,2)</f>
        <v>dic-24</v>
      </c>
    </row>
    <row r="706" customFormat="false" ht="15" hidden="false" customHeight="false" outlineLevel="0" collapsed="false">
      <c r="A706" s="8" t="n">
        <f aca="false">A705+1</f>
        <v>45631</v>
      </c>
      <c r="B706" s="7" t="n">
        <f aca="false">YEAR(A706)</f>
        <v>2024</v>
      </c>
      <c r="C706" s="7" t="n">
        <f aca="false">MONTH(A706)</f>
        <v>12</v>
      </c>
      <c r="D706" s="8" t="n">
        <f aca="false">DATE(B706,C706,1)</f>
        <v>45627</v>
      </c>
      <c r="E706" s="7" t="str">
        <f aca="false">CHOOSE(C706,"ene","feb","mar","abr","may","jun","jul","ago","sep","oct","nov","dic")</f>
        <v>dic</v>
      </c>
      <c r="F706" s="7" t="str">
        <f aca="false">CHOOSE(C706,"enero","febrero","marzo","abril","mayo","junio","julio","agosto","septiembre","octubre","noviembre","diciembre")</f>
        <v>diciembre</v>
      </c>
      <c r="G706" s="7" t="str">
        <f aca="false">E706&amp;"-"&amp;RIGHT(B706,2)</f>
        <v>dic-24</v>
      </c>
    </row>
    <row r="707" customFormat="false" ht="15" hidden="false" customHeight="false" outlineLevel="0" collapsed="false">
      <c r="A707" s="8" t="n">
        <f aca="false">A706+1</f>
        <v>45632</v>
      </c>
      <c r="B707" s="7" t="n">
        <f aca="false">YEAR(A707)</f>
        <v>2024</v>
      </c>
      <c r="C707" s="7" t="n">
        <f aca="false">MONTH(A707)</f>
        <v>12</v>
      </c>
      <c r="D707" s="8" t="n">
        <f aca="false">DATE(B707,C707,1)</f>
        <v>45627</v>
      </c>
      <c r="E707" s="7" t="str">
        <f aca="false">CHOOSE(C707,"ene","feb","mar","abr","may","jun","jul","ago","sep","oct","nov","dic")</f>
        <v>dic</v>
      </c>
      <c r="F707" s="7" t="str">
        <f aca="false">CHOOSE(C707,"enero","febrero","marzo","abril","mayo","junio","julio","agosto","septiembre","octubre","noviembre","diciembre")</f>
        <v>diciembre</v>
      </c>
      <c r="G707" s="7" t="str">
        <f aca="false">E707&amp;"-"&amp;RIGHT(B707,2)</f>
        <v>dic-24</v>
      </c>
    </row>
    <row r="708" customFormat="false" ht="15" hidden="false" customHeight="false" outlineLevel="0" collapsed="false">
      <c r="A708" s="8" t="n">
        <f aca="false">A707+1</f>
        <v>45633</v>
      </c>
      <c r="B708" s="7" t="n">
        <f aca="false">YEAR(A708)</f>
        <v>2024</v>
      </c>
      <c r="C708" s="7" t="n">
        <f aca="false">MONTH(A708)</f>
        <v>12</v>
      </c>
      <c r="D708" s="8" t="n">
        <f aca="false">DATE(B708,C708,1)</f>
        <v>45627</v>
      </c>
      <c r="E708" s="7" t="str">
        <f aca="false">CHOOSE(C708,"ene","feb","mar","abr","may","jun","jul","ago","sep","oct","nov","dic")</f>
        <v>dic</v>
      </c>
      <c r="F708" s="7" t="str">
        <f aca="false">CHOOSE(C708,"enero","febrero","marzo","abril","mayo","junio","julio","agosto","septiembre","octubre","noviembre","diciembre")</f>
        <v>diciembre</v>
      </c>
      <c r="G708" s="7" t="str">
        <f aca="false">E708&amp;"-"&amp;RIGHT(B708,2)</f>
        <v>dic-24</v>
      </c>
    </row>
    <row r="709" customFormat="false" ht="15" hidden="false" customHeight="false" outlineLevel="0" collapsed="false">
      <c r="A709" s="8" t="n">
        <f aca="false">A708+1</f>
        <v>45634</v>
      </c>
      <c r="B709" s="7" t="n">
        <f aca="false">YEAR(A709)</f>
        <v>2024</v>
      </c>
      <c r="C709" s="7" t="n">
        <f aca="false">MONTH(A709)</f>
        <v>12</v>
      </c>
      <c r="D709" s="8" t="n">
        <f aca="false">DATE(B709,C709,1)</f>
        <v>45627</v>
      </c>
      <c r="E709" s="7" t="str">
        <f aca="false">CHOOSE(C709,"ene","feb","mar","abr","may","jun","jul","ago","sep","oct","nov","dic")</f>
        <v>dic</v>
      </c>
      <c r="F709" s="7" t="str">
        <f aca="false">CHOOSE(C709,"enero","febrero","marzo","abril","mayo","junio","julio","agosto","septiembre","octubre","noviembre","diciembre")</f>
        <v>diciembre</v>
      </c>
      <c r="G709" s="7" t="str">
        <f aca="false">E709&amp;"-"&amp;RIGHT(B709,2)</f>
        <v>dic-24</v>
      </c>
    </row>
    <row r="710" customFormat="false" ht="15" hidden="false" customHeight="false" outlineLevel="0" collapsed="false">
      <c r="A710" s="8" t="n">
        <f aca="false">A709+1</f>
        <v>45635</v>
      </c>
      <c r="B710" s="7" t="n">
        <f aca="false">YEAR(A710)</f>
        <v>2024</v>
      </c>
      <c r="C710" s="7" t="n">
        <f aca="false">MONTH(A710)</f>
        <v>12</v>
      </c>
      <c r="D710" s="8" t="n">
        <f aca="false">DATE(B710,C710,1)</f>
        <v>45627</v>
      </c>
      <c r="E710" s="7" t="str">
        <f aca="false">CHOOSE(C710,"ene","feb","mar","abr","may","jun","jul","ago","sep","oct","nov","dic")</f>
        <v>dic</v>
      </c>
      <c r="F710" s="7" t="str">
        <f aca="false">CHOOSE(C710,"enero","febrero","marzo","abril","mayo","junio","julio","agosto","septiembre","octubre","noviembre","diciembre")</f>
        <v>diciembre</v>
      </c>
      <c r="G710" s="7" t="str">
        <f aca="false">E710&amp;"-"&amp;RIGHT(B710,2)</f>
        <v>dic-24</v>
      </c>
    </row>
    <row r="711" customFormat="false" ht="15" hidden="false" customHeight="false" outlineLevel="0" collapsed="false">
      <c r="A711" s="8" t="n">
        <f aca="false">A710+1</f>
        <v>45636</v>
      </c>
      <c r="B711" s="7" t="n">
        <f aca="false">YEAR(A711)</f>
        <v>2024</v>
      </c>
      <c r="C711" s="7" t="n">
        <f aca="false">MONTH(A711)</f>
        <v>12</v>
      </c>
      <c r="D711" s="8" t="n">
        <f aca="false">DATE(B711,C711,1)</f>
        <v>45627</v>
      </c>
      <c r="E711" s="7" t="str">
        <f aca="false">CHOOSE(C711,"ene","feb","mar","abr","may","jun","jul","ago","sep","oct","nov","dic")</f>
        <v>dic</v>
      </c>
      <c r="F711" s="7" t="str">
        <f aca="false">CHOOSE(C711,"enero","febrero","marzo","abril","mayo","junio","julio","agosto","septiembre","octubre","noviembre","diciembre")</f>
        <v>diciembre</v>
      </c>
      <c r="G711" s="7" t="str">
        <f aca="false">E711&amp;"-"&amp;RIGHT(B711,2)</f>
        <v>dic-24</v>
      </c>
    </row>
    <row r="712" customFormat="false" ht="15" hidden="false" customHeight="false" outlineLevel="0" collapsed="false">
      <c r="A712" s="8" t="n">
        <f aca="false">A711+1</f>
        <v>45637</v>
      </c>
      <c r="B712" s="7" t="n">
        <f aca="false">YEAR(A712)</f>
        <v>2024</v>
      </c>
      <c r="C712" s="7" t="n">
        <f aca="false">MONTH(A712)</f>
        <v>12</v>
      </c>
      <c r="D712" s="8" t="n">
        <f aca="false">DATE(B712,C712,1)</f>
        <v>45627</v>
      </c>
      <c r="E712" s="7" t="str">
        <f aca="false">CHOOSE(C712,"ene","feb","mar","abr","may","jun","jul","ago","sep","oct","nov","dic")</f>
        <v>dic</v>
      </c>
      <c r="F712" s="7" t="str">
        <f aca="false">CHOOSE(C712,"enero","febrero","marzo","abril","mayo","junio","julio","agosto","septiembre","octubre","noviembre","diciembre")</f>
        <v>diciembre</v>
      </c>
      <c r="G712" s="7" t="str">
        <f aca="false">E712&amp;"-"&amp;RIGHT(B712,2)</f>
        <v>dic-24</v>
      </c>
    </row>
    <row r="713" customFormat="false" ht="15" hidden="false" customHeight="false" outlineLevel="0" collapsed="false">
      <c r="A713" s="8" t="n">
        <f aca="false">A712+1</f>
        <v>45638</v>
      </c>
      <c r="B713" s="7" t="n">
        <f aca="false">YEAR(A713)</f>
        <v>2024</v>
      </c>
      <c r="C713" s="7" t="n">
        <f aca="false">MONTH(A713)</f>
        <v>12</v>
      </c>
      <c r="D713" s="8" t="n">
        <f aca="false">DATE(B713,C713,1)</f>
        <v>45627</v>
      </c>
      <c r="E713" s="7" t="str">
        <f aca="false">CHOOSE(C713,"ene","feb","mar","abr","may","jun","jul","ago","sep","oct","nov","dic")</f>
        <v>dic</v>
      </c>
      <c r="F713" s="7" t="str">
        <f aca="false">CHOOSE(C713,"enero","febrero","marzo","abril","mayo","junio","julio","agosto","septiembre","octubre","noviembre","diciembre")</f>
        <v>diciembre</v>
      </c>
      <c r="G713" s="7" t="str">
        <f aca="false">E713&amp;"-"&amp;RIGHT(B713,2)</f>
        <v>dic-24</v>
      </c>
    </row>
    <row r="714" customFormat="false" ht="15" hidden="false" customHeight="false" outlineLevel="0" collapsed="false">
      <c r="A714" s="8" t="n">
        <f aca="false">A713+1</f>
        <v>45639</v>
      </c>
      <c r="B714" s="7" t="n">
        <f aca="false">YEAR(A714)</f>
        <v>2024</v>
      </c>
      <c r="C714" s="7" t="n">
        <f aca="false">MONTH(A714)</f>
        <v>12</v>
      </c>
      <c r="D714" s="8" t="n">
        <f aca="false">DATE(B714,C714,1)</f>
        <v>45627</v>
      </c>
      <c r="E714" s="7" t="str">
        <f aca="false">CHOOSE(C714,"ene","feb","mar","abr","may","jun","jul","ago","sep","oct","nov","dic")</f>
        <v>dic</v>
      </c>
      <c r="F714" s="7" t="str">
        <f aca="false">CHOOSE(C714,"enero","febrero","marzo","abril","mayo","junio","julio","agosto","septiembre","octubre","noviembre","diciembre")</f>
        <v>diciembre</v>
      </c>
      <c r="G714" s="7" t="str">
        <f aca="false">E714&amp;"-"&amp;RIGHT(B714,2)</f>
        <v>dic-24</v>
      </c>
    </row>
    <row r="715" customFormat="false" ht="15" hidden="false" customHeight="false" outlineLevel="0" collapsed="false">
      <c r="A715" s="8" t="n">
        <f aca="false">A714+1</f>
        <v>45640</v>
      </c>
      <c r="B715" s="7" t="n">
        <f aca="false">YEAR(A715)</f>
        <v>2024</v>
      </c>
      <c r="C715" s="7" t="n">
        <f aca="false">MONTH(A715)</f>
        <v>12</v>
      </c>
      <c r="D715" s="8" t="n">
        <f aca="false">DATE(B715,C715,1)</f>
        <v>45627</v>
      </c>
      <c r="E715" s="7" t="str">
        <f aca="false">CHOOSE(C715,"ene","feb","mar","abr","may","jun","jul","ago","sep","oct","nov","dic")</f>
        <v>dic</v>
      </c>
      <c r="F715" s="7" t="str">
        <f aca="false">CHOOSE(C715,"enero","febrero","marzo","abril","mayo","junio","julio","agosto","septiembre","octubre","noviembre","diciembre")</f>
        <v>diciembre</v>
      </c>
      <c r="G715" s="7" t="str">
        <f aca="false">E715&amp;"-"&amp;RIGHT(B715,2)</f>
        <v>dic-24</v>
      </c>
    </row>
    <row r="716" customFormat="false" ht="15" hidden="false" customHeight="false" outlineLevel="0" collapsed="false">
      <c r="A716" s="8" t="n">
        <f aca="false">A715+1</f>
        <v>45641</v>
      </c>
      <c r="B716" s="7" t="n">
        <f aca="false">YEAR(A716)</f>
        <v>2024</v>
      </c>
      <c r="C716" s="7" t="n">
        <f aca="false">MONTH(A716)</f>
        <v>12</v>
      </c>
      <c r="D716" s="8" t="n">
        <f aca="false">DATE(B716,C716,1)</f>
        <v>45627</v>
      </c>
      <c r="E716" s="7" t="str">
        <f aca="false">CHOOSE(C716,"ene","feb","mar","abr","may","jun","jul","ago","sep","oct","nov","dic")</f>
        <v>dic</v>
      </c>
      <c r="F716" s="7" t="str">
        <f aca="false">CHOOSE(C716,"enero","febrero","marzo","abril","mayo","junio","julio","agosto","septiembre","octubre","noviembre","diciembre")</f>
        <v>diciembre</v>
      </c>
      <c r="G716" s="7" t="str">
        <f aca="false">E716&amp;"-"&amp;RIGHT(B716,2)</f>
        <v>dic-24</v>
      </c>
    </row>
    <row r="717" customFormat="false" ht="15" hidden="false" customHeight="false" outlineLevel="0" collapsed="false">
      <c r="A717" s="8" t="n">
        <f aca="false">A716+1</f>
        <v>45642</v>
      </c>
      <c r="B717" s="7" t="n">
        <f aca="false">YEAR(A717)</f>
        <v>2024</v>
      </c>
      <c r="C717" s="7" t="n">
        <f aca="false">MONTH(A717)</f>
        <v>12</v>
      </c>
      <c r="D717" s="8" t="n">
        <f aca="false">DATE(B717,C717,1)</f>
        <v>45627</v>
      </c>
      <c r="E717" s="7" t="str">
        <f aca="false">CHOOSE(C717,"ene","feb","mar","abr","may","jun","jul","ago","sep","oct","nov","dic")</f>
        <v>dic</v>
      </c>
      <c r="F717" s="7" t="str">
        <f aca="false">CHOOSE(C717,"enero","febrero","marzo","abril","mayo","junio","julio","agosto","septiembre","octubre","noviembre","diciembre")</f>
        <v>diciembre</v>
      </c>
      <c r="G717" s="7" t="str">
        <f aca="false">E717&amp;"-"&amp;RIGHT(B717,2)</f>
        <v>dic-24</v>
      </c>
    </row>
    <row r="718" customFormat="false" ht="15" hidden="false" customHeight="false" outlineLevel="0" collapsed="false">
      <c r="A718" s="8" t="n">
        <f aca="false">A717+1</f>
        <v>45643</v>
      </c>
      <c r="B718" s="7" t="n">
        <f aca="false">YEAR(A718)</f>
        <v>2024</v>
      </c>
      <c r="C718" s="7" t="n">
        <f aca="false">MONTH(A718)</f>
        <v>12</v>
      </c>
      <c r="D718" s="8" t="n">
        <f aca="false">DATE(B718,C718,1)</f>
        <v>45627</v>
      </c>
      <c r="E718" s="7" t="str">
        <f aca="false">CHOOSE(C718,"ene","feb","mar","abr","may","jun","jul","ago","sep","oct","nov","dic")</f>
        <v>dic</v>
      </c>
      <c r="F718" s="7" t="str">
        <f aca="false">CHOOSE(C718,"enero","febrero","marzo","abril","mayo","junio","julio","agosto","septiembre","octubre","noviembre","diciembre")</f>
        <v>diciembre</v>
      </c>
      <c r="G718" s="7" t="str">
        <f aca="false">E718&amp;"-"&amp;RIGHT(B718,2)</f>
        <v>dic-24</v>
      </c>
    </row>
    <row r="719" customFormat="false" ht="15" hidden="false" customHeight="false" outlineLevel="0" collapsed="false">
      <c r="A719" s="8" t="n">
        <f aca="false">A718+1</f>
        <v>45644</v>
      </c>
      <c r="B719" s="7" t="n">
        <f aca="false">YEAR(A719)</f>
        <v>2024</v>
      </c>
      <c r="C719" s="7" t="n">
        <f aca="false">MONTH(A719)</f>
        <v>12</v>
      </c>
      <c r="D719" s="8" t="n">
        <f aca="false">DATE(B719,C719,1)</f>
        <v>45627</v>
      </c>
      <c r="E719" s="7" t="str">
        <f aca="false">CHOOSE(C719,"ene","feb","mar","abr","may","jun","jul","ago","sep","oct","nov","dic")</f>
        <v>dic</v>
      </c>
      <c r="F719" s="7" t="str">
        <f aca="false">CHOOSE(C719,"enero","febrero","marzo","abril","mayo","junio","julio","agosto","septiembre","octubre","noviembre","diciembre")</f>
        <v>diciembre</v>
      </c>
      <c r="G719" s="7" t="str">
        <f aca="false">E719&amp;"-"&amp;RIGHT(B719,2)</f>
        <v>dic-24</v>
      </c>
    </row>
    <row r="720" customFormat="false" ht="15" hidden="false" customHeight="false" outlineLevel="0" collapsed="false">
      <c r="A720" s="8" t="n">
        <f aca="false">A719+1</f>
        <v>45645</v>
      </c>
      <c r="B720" s="7" t="n">
        <f aca="false">YEAR(A720)</f>
        <v>2024</v>
      </c>
      <c r="C720" s="7" t="n">
        <f aca="false">MONTH(A720)</f>
        <v>12</v>
      </c>
      <c r="D720" s="8" t="n">
        <f aca="false">DATE(B720,C720,1)</f>
        <v>45627</v>
      </c>
      <c r="E720" s="7" t="str">
        <f aca="false">CHOOSE(C720,"ene","feb","mar","abr","may","jun","jul","ago","sep","oct","nov","dic")</f>
        <v>dic</v>
      </c>
      <c r="F720" s="7" t="str">
        <f aca="false">CHOOSE(C720,"enero","febrero","marzo","abril","mayo","junio","julio","agosto","septiembre","octubre","noviembre","diciembre")</f>
        <v>diciembre</v>
      </c>
      <c r="G720" s="7" t="str">
        <f aca="false">E720&amp;"-"&amp;RIGHT(B720,2)</f>
        <v>dic-24</v>
      </c>
    </row>
    <row r="721" customFormat="false" ht="15" hidden="false" customHeight="false" outlineLevel="0" collapsed="false">
      <c r="A721" s="8" t="n">
        <f aca="false">A720+1</f>
        <v>45646</v>
      </c>
      <c r="B721" s="7" t="n">
        <f aca="false">YEAR(A721)</f>
        <v>2024</v>
      </c>
      <c r="C721" s="7" t="n">
        <f aca="false">MONTH(A721)</f>
        <v>12</v>
      </c>
      <c r="D721" s="8" t="n">
        <f aca="false">DATE(B721,C721,1)</f>
        <v>45627</v>
      </c>
      <c r="E721" s="7" t="str">
        <f aca="false">CHOOSE(C721,"ene","feb","mar","abr","may","jun","jul","ago","sep","oct","nov","dic")</f>
        <v>dic</v>
      </c>
      <c r="F721" s="7" t="str">
        <f aca="false">CHOOSE(C721,"enero","febrero","marzo","abril","mayo","junio","julio","agosto","septiembre","octubre","noviembre","diciembre")</f>
        <v>diciembre</v>
      </c>
      <c r="G721" s="7" t="str">
        <f aca="false">E721&amp;"-"&amp;RIGHT(B721,2)</f>
        <v>dic-24</v>
      </c>
    </row>
    <row r="722" customFormat="false" ht="15" hidden="false" customHeight="false" outlineLevel="0" collapsed="false">
      <c r="A722" s="8" t="n">
        <f aca="false">A721+1</f>
        <v>45647</v>
      </c>
      <c r="B722" s="7" t="n">
        <f aca="false">YEAR(A722)</f>
        <v>2024</v>
      </c>
      <c r="C722" s="7" t="n">
        <f aca="false">MONTH(A722)</f>
        <v>12</v>
      </c>
      <c r="D722" s="8" t="n">
        <f aca="false">DATE(B722,C722,1)</f>
        <v>45627</v>
      </c>
      <c r="E722" s="7" t="str">
        <f aca="false">CHOOSE(C722,"ene","feb","mar","abr","may","jun","jul","ago","sep","oct","nov","dic")</f>
        <v>dic</v>
      </c>
      <c r="F722" s="7" t="str">
        <f aca="false">CHOOSE(C722,"enero","febrero","marzo","abril","mayo","junio","julio","agosto","septiembre","octubre","noviembre","diciembre")</f>
        <v>diciembre</v>
      </c>
      <c r="G722" s="7" t="str">
        <f aca="false">E722&amp;"-"&amp;RIGHT(B722,2)</f>
        <v>dic-24</v>
      </c>
    </row>
    <row r="723" customFormat="false" ht="15" hidden="false" customHeight="false" outlineLevel="0" collapsed="false">
      <c r="A723" s="8" t="n">
        <f aca="false">A722+1</f>
        <v>45648</v>
      </c>
      <c r="B723" s="7" t="n">
        <f aca="false">YEAR(A723)</f>
        <v>2024</v>
      </c>
      <c r="C723" s="7" t="n">
        <f aca="false">MONTH(A723)</f>
        <v>12</v>
      </c>
      <c r="D723" s="8" t="n">
        <f aca="false">DATE(B723,C723,1)</f>
        <v>45627</v>
      </c>
      <c r="E723" s="7" t="str">
        <f aca="false">CHOOSE(C723,"ene","feb","mar","abr","may","jun","jul","ago","sep","oct","nov","dic")</f>
        <v>dic</v>
      </c>
      <c r="F723" s="7" t="str">
        <f aca="false">CHOOSE(C723,"enero","febrero","marzo","abril","mayo","junio","julio","agosto","septiembre","octubre","noviembre","diciembre")</f>
        <v>diciembre</v>
      </c>
      <c r="G723" s="7" t="str">
        <f aca="false">E723&amp;"-"&amp;RIGHT(B723,2)</f>
        <v>dic-24</v>
      </c>
    </row>
    <row r="724" customFormat="false" ht="15" hidden="false" customHeight="false" outlineLevel="0" collapsed="false">
      <c r="A724" s="8" t="n">
        <f aca="false">A723+1</f>
        <v>45649</v>
      </c>
      <c r="B724" s="7" t="n">
        <f aca="false">YEAR(A724)</f>
        <v>2024</v>
      </c>
      <c r="C724" s="7" t="n">
        <f aca="false">MONTH(A724)</f>
        <v>12</v>
      </c>
      <c r="D724" s="8" t="n">
        <f aca="false">DATE(B724,C724,1)</f>
        <v>45627</v>
      </c>
      <c r="E724" s="7" t="str">
        <f aca="false">CHOOSE(C724,"ene","feb","mar","abr","may","jun","jul","ago","sep","oct","nov","dic")</f>
        <v>dic</v>
      </c>
      <c r="F724" s="7" t="str">
        <f aca="false">CHOOSE(C724,"enero","febrero","marzo","abril","mayo","junio","julio","agosto","septiembre","octubre","noviembre","diciembre")</f>
        <v>diciembre</v>
      </c>
      <c r="G724" s="7" t="str">
        <f aca="false">E724&amp;"-"&amp;RIGHT(B724,2)</f>
        <v>dic-24</v>
      </c>
    </row>
    <row r="725" customFormat="false" ht="15" hidden="false" customHeight="false" outlineLevel="0" collapsed="false">
      <c r="A725" s="8" t="n">
        <f aca="false">A724+1</f>
        <v>45650</v>
      </c>
      <c r="B725" s="7" t="n">
        <f aca="false">YEAR(A725)</f>
        <v>2024</v>
      </c>
      <c r="C725" s="7" t="n">
        <f aca="false">MONTH(A725)</f>
        <v>12</v>
      </c>
      <c r="D725" s="8" t="n">
        <f aca="false">DATE(B725,C725,1)</f>
        <v>45627</v>
      </c>
      <c r="E725" s="7" t="str">
        <f aca="false">CHOOSE(C725,"ene","feb","mar","abr","may","jun","jul","ago","sep","oct","nov","dic")</f>
        <v>dic</v>
      </c>
      <c r="F725" s="7" t="str">
        <f aca="false">CHOOSE(C725,"enero","febrero","marzo","abril","mayo","junio","julio","agosto","septiembre","octubre","noviembre","diciembre")</f>
        <v>diciembre</v>
      </c>
      <c r="G725" s="7" t="str">
        <f aca="false">E725&amp;"-"&amp;RIGHT(B725,2)</f>
        <v>dic-24</v>
      </c>
    </row>
    <row r="726" customFormat="false" ht="15" hidden="false" customHeight="false" outlineLevel="0" collapsed="false">
      <c r="A726" s="8" t="n">
        <f aca="false">A725+1</f>
        <v>45651</v>
      </c>
      <c r="B726" s="7" t="n">
        <f aca="false">YEAR(A726)</f>
        <v>2024</v>
      </c>
      <c r="C726" s="7" t="n">
        <f aca="false">MONTH(A726)</f>
        <v>12</v>
      </c>
      <c r="D726" s="8" t="n">
        <f aca="false">DATE(B726,C726,1)</f>
        <v>45627</v>
      </c>
      <c r="E726" s="7" t="str">
        <f aca="false">CHOOSE(C726,"ene","feb","mar","abr","may","jun","jul","ago","sep","oct","nov","dic")</f>
        <v>dic</v>
      </c>
      <c r="F726" s="7" t="str">
        <f aca="false">CHOOSE(C726,"enero","febrero","marzo","abril","mayo","junio","julio","agosto","septiembre","octubre","noviembre","diciembre")</f>
        <v>diciembre</v>
      </c>
      <c r="G726" s="7" t="str">
        <f aca="false">E726&amp;"-"&amp;RIGHT(B726,2)</f>
        <v>dic-24</v>
      </c>
    </row>
    <row r="727" customFormat="false" ht="15" hidden="false" customHeight="false" outlineLevel="0" collapsed="false">
      <c r="A727" s="8" t="n">
        <f aca="false">A726+1</f>
        <v>45652</v>
      </c>
      <c r="B727" s="7" t="n">
        <f aca="false">YEAR(A727)</f>
        <v>2024</v>
      </c>
      <c r="C727" s="7" t="n">
        <f aca="false">MONTH(A727)</f>
        <v>12</v>
      </c>
      <c r="D727" s="8" t="n">
        <f aca="false">DATE(B727,C727,1)</f>
        <v>45627</v>
      </c>
      <c r="E727" s="7" t="str">
        <f aca="false">CHOOSE(C727,"ene","feb","mar","abr","may","jun","jul","ago","sep","oct","nov","dic")</f>
        <v>dic</v>
      </c>
      <c r="F727" s="7" t="str">
        <f aca="false">CHOOSE(C727,"enero","febrero","marzo","abril","mayo","junio","julio","agosto","septiembre","octubre","noviembre","diciembre")</f>
        <v>diciembre</v>
      </c>
      <c r="G727" s="7" t="str">
        <f aca="false">E727&amp;"-"&amp;RIGHT(B727,2)</f>
        <v>dic-24</v>
      </c>
    </row>
    <row r="728" customFormat="false" ht="15" hidden="false" customHeight="false" outlineLevel="0" collapsed="false">
      <c r="A728" s="8" t="n">
        <f aca="false">A727+1</f>
        <v>45653</v>
      </c>
      <c r="B728" s="7" t="n">
        <f aca="false">YEAR(A728)</f>
        <v>2024</v>
      </c>
      <c r="C728" s="7" t="n">
        <f aca="false">MONTH(A728)</f>
        <v>12</v>
      </c>
      <c r="D728" s="8" t="n">
        <f aca="false">DATE(B728,C728,1)</f>
        <v>45627</v>
      </c>
      <c r="E728" s="7" t="str">
        <f aca="false">CHOOSE(C728,"ene","feb","mar","abr","may","jun","jul","ago","sep","oct","nov","dic")</f>
        <v>dic</v>
      </c>
      <c r="F728" s="7" t="str">
        <f aca="false">CHOOSE(C728,"enero","febrero","marzo","abril","mayo","junio","julio","agosto","septiembre","octubre","noviembre","diciembre")</f>
        <v>diciembre</v>
      </c>
      <c r="G728" s="7" t="str">
        <f aca="false">E728&amp;"-"&amp;RIGHT(B728,2)</f>
        <v>dic-24</v>
      </c>
    </row>
    <row r="729" customFormat="false" ht="15" hidden="false" customHeight="false" outlineLevel="0" collapsed="false">
      <c r="A729" s="8" t="n">
        <f aca="false">A728+1</f>
        <v>45654</v>
      </c>
      <c r="B729" s="7" t="n">
        <f aca="false">YEAR(A729)</f>
        <v>2024</v>
      </c>
      <c r="C729" s="7" t="n">
        <f aca="false">MONTH(A729)</f>
        <v>12</v>
      </c>
      <c r="D729" s="8" t="n">
        <f aca="false">DATE(B729,C729,1)</f>
        <v>45627</v>
      </c>
      <c r="E729" s="7" t="str">
        <f aca="false">CHOOSE(C729,"ene","feb","mar","abr","may","jun","jul","ago","sep","oct","nov","dic")</f>
        <v>dic</v>
      </c>
      <c r="F729" s="7" t="str">
        <f aca="false">CHOOSE(C729,"enero","febrero","marzo","abril","mayo","junio","julio","agosto","septiembre","octubre","noviembre","diciembre")</f>
        <v>diciembre</v>
      </c>
      <c r="G729" s="7" t="str">
        <f aca="false">E729&amp;"-"&amp;RIGHT(B729,2)</f>
        <v>dic-24</v>
      </c>
    </row>
    <row r="730" customFormat="false" ht="15" hidden="false" customHeight="false" outlineLevel="0" collapsed="false">
      <c r="A730" s="8" t="n">
        <f aca="false">A729+1</f>
        <v>45655</v>
      </c>
      <c r="B730" s="7" t="n">
        <f aca="false">YEAR(A730)</f>
        <v>2024</v>
      </c>
      <c r="C730" s="7" t="n">
        <f aca="false">MONTH(A730)</f>
        <v>12</v>
      </c>
      <c r="D730" s="8" t="n">
        <f aca="false">DATE(B730,C730,1)</f>
        <v>45627</v>
      </c>
      <c r="E730" s="7" t="str">
        <f aca="false">CHOOSE(C730,"ene","feb","mar","abr","may","jun","jul","ago","sep","oct","nov","dic")</f>
        <v>dic</v>
      </c>
      <c r="F730" s="7" t="str">
        <f aca="false">CHOOSE(C730,"enero","febrero","marzo","abril","mayo","junio","julio","agosto","septiembre","octubre","noviembre","diciembre")</f>
        <v>diciembre</v>
      </c>
      <c r="G730" s="7" t="str">
        <f aca="false">E730&amp;"-"&amp;RIGHT(B730,2)</f>
        <v>dic-24</v>
      </c>
    </row>
    <row r="731" customFormat="false" ht="15" hidden="false" customHeight="false" outlineLevel="0" collapsed="false">
      <c r="A731" s="8" t="n">
        <f aca="false">A730+1</f>
        <v>45656</v>
      </c>
      <c r="B731" s="7" t="n">
        <f aca="false">YEAR(A731)</f>
        <v>2024</v>
      </c>
      <c r="C731" s="7" t="n">
        <f aca="false">MONTH(A731)</f>
        <v>12</v>
      </c>
      <c r="D731" s="8" t="n">
        <f aca="false">DATE(B731,C731,1)</f>
        <v>45627</v>
      </c>
      <c r="E731" s="7" t="str">
        <f aca="false">CHOOSE(C731,"ene","feb","mar","abr","may","jun","jul","ago","sep","oct","nov","dic")</f>
        <v>dic</v>
      </c>
      <c r="F731" s="7" t="str">
        <f aca="false">CHOOSE(C731,"enero","febrero","marzo","abril","mayo","junio","julio","agosto","septiembre","octubre","noviembre","diciembre")</f>
        <v>diciembre</v>
      </c>
      <c r="G731" s="7" t="str">
        <f aca="false">E731&amp;"-"&amp;RIGHT(B731,2)</f>
        <v>dic-24</v>
      </c>
    </row>
    <row r="732" customFormat="false" ht="15" hidden="false" customHeight="false" outlineLevel="0" collapsed="false">
      <c r="A732" s="8" t="n">
        <f aca="false">A731+1</f>
        <v>45657</v>
      </c>
      <c r="B732" s="7" t="n">
        <f aca="false">YEAR(A732)</f>
        <v>2024</v>
      </c>
      <c r="C732" s="7" t="n">
        <f aca="false">MONTH(A732)</f>
        <v>12</v>
      </c>
      <c r="D732" s="8" t="n">
        <f aca="false">DATE(B732,C732,1)</f>
        <v>45627</v>
      </c>
      <c r="E732" s="7" t="str">
        <f aca="false">CHOOSE(C732,"ene","feb","mar","abr","may","jun","jul","ago","sep","oct","nov","dic")</f>
        <v>dic</v>
      </c>
      <c r="F732" s="7" t="str">
        <f aca="false">CHOOSE(C732,"enero","febrero","marzo","abril","mayo","junio","julio","agosto","septiembre","octubre","noviembre","diciembre")</f>
        <v>diciembre</v>
      </c>
      <c r="G732" s="7" t="str">
        <f aca="false">E732&amp;"-"&amp;RIGHT(B732,2)</f>
        <v>dic-24</v>
      </c>
    </row>
    <row r="733" customFormat="false" ht="15" hidden="false" customHeight="false" outlineLevel="0" collapsed="false">
      <c r="A733" s="8" t="n">
        <f aca="false">A732+1</f>
        <v>45658</v>
      </c>
      <c r="B733" s="7" t="n">
        <f aca="false">YEAR(A733)</f>
        <v>2025</v>
      </c>
      <c r="C733" s="7" t="n">
        <f aca="false">MONTH(A733)</f>
        <v>1</v>
      </c>
      <c r="D733" s="8" t="n">
        <f aca="false">DATE(B733,C733,1)</f>
        <v>45658</v>
      </c>
      <c r="E733" s="7" t="str">
        <f aca="false">CHOOSE(C733,"ene","feb","mar","abr","may","jun","jul","ago","sep","oct","nov","dic")</f>
        <v>ene</v>
      </c>
      <c r="F733" s="7" t="str">
        <f aca="false">CHOOSE(C733,"enero","febrero","marzo","abril","mayo","junio","julio","agosto","septiembre","octubre","noviembre","diciembre")</f>
        <v>enero</v>
      </c>
      <c r="G733" s="7" t="str">
        <f aca="false">E733&amp;"-"&amp;RIGHT(B733,2)</f>
        <v>ene-25</v>
      </c>
    </row>
    <row r="734" customFormat="false" ht="15" hidden="false" customHeight="false" outlineLevel="0" collapsed="false">
      <c r="A734" s="8" t="n">
        <f aca="false">A733+1</f>
        <v>45659</v>
      </c>
      <c r="B734" s="7" t="n">
        <f aca="false">YEAR(A734)</f>
        <v>2025</v>
      </c>
      <c r="C734" s="7" t="n">
        <f aca="false">MONTH(A734)</f>
        <v>1</v>
      </c>
      <c r="D734" s="8" t="n">
        <f aca="false">DATE(B734,C734,1)</f>
        <v>45658</v>
      </c>
      <c r="E734" s="7" t="str">
        <f aca="false">CHOOSE(C734,"ene","feb","mar","abr","may","jun","jul","ago","sep","oct","nov","dic")</f>
        <v>ene</v>
      </c>
      <c r="F734" s="7" t="str">
        <f aca="false">CHOOSE(C734,"enero","febrero","marzo","abril","mayo","junio","julio","agosto","septiembre","octubre","noviembre","diciembre")</f>
        <v>enero</v>
      </c>
      <c r="G734" s="7" t="str">
        <f aca="false">E734&amp;"-"&amp;RIGHT(B734,2)</f>
        <v>ene-25</v>
      </c>
    </row>
    <row r="735" customFormat="false" ht="15" hidden="false" customHeight="false" outlineLevel="0" collapsed="false">
      <c r="A735" s="8" t="n">
        <f aca="false">A734+1</f>
        <v>45660</v>
      </c>
      <c r="B735" s="7" t="n">
        <f aca="false">YEAR(A735)</f>
        <v>2025</v>
      </c>
      <c r="C735" s="7" t="n">
        <f aca="false">MONTH(A735)</f>
        <v>1</v>
      </c>
      <c r="D735" s="8" t="n">
        <f aca="false">DATE(B735,C735,1)</f>
        <v>45658</v>
      </c>
      <c r="E735" s="7" t="str">
        <f aca="false">CHOOSE(C735,"ene","feb","mar","abr","may","jun","jul","ago","sep","oct","nov","dic")</f>
        <v>ene</v>
      </c>
      <c r="F735" s="7" t="str">
        <f aca="false">CHOOSE(C735,"enero","febrero","marzo","abril","mayo","junio","julio","agosto","septiembre","octubre","noviembre","diciembre")</f>
        <v>enero</v>
      </c>
      <c r="G735" s="7" t="str">
        <f aca="false">E735&amp;"-"&amp;RIGHT(B735,2)</f>
        <v>ene-25</v>
      </c>
    </row>
    <row r="736" customFormat="false" ht="15" hidden="false" customHeight="false" outlineLevel="0" collapsed="false">
      <c r="A736" s="8" t="n">
        <f aca="false">A735+1</f>
        <v>45661</v>
      </c>
      <c r="B736" s="7" t="n">
        <f aca="false">YEAR(A736)</f>
        <v>2025</v>
      </c>
      <c r="C736" s="7" t="n">
        <f aca="false">MONTH(A736)</f>
        <v>1</v>
      </c>
      <c r="D736" s="8" t="n">
        <f aca="false">DATE(B736,C736,1)</f>
        <v>45658</v>
      </c>
      <c r="E736" s="7" t="str">
        <f aca="false">CHOOSE(C736,"ene","feb","mar","abr","may","jun","jul","ago","sep","oct","nov","dic")</f>
        <v>ene</v>
      </c>
      <c r="F736" s="7" t="str">
        <f aca="false">CHOOSE(C736,"enero","febrero","marzo","abril","mayo","junio","julio","agosto","septiembre","octubre","noviembre","diciembre")</f>
        <v>enero</v>
      </c>
      <c r="G736" s="7" t="str">
        <f aca="false">E736&amp;"-"&amp;RIGHT(B736,2)</f>
        <v>ene-25</v>
      </c>
    </row>
    <row r="737" customFormat="false" ht="15" hidden="false" customHeight="false" outlineLevel="0" collapsed="false">
      <c r="A737" s="8" t="n">
        <f aca="false">A736+1</f>
        <v>45662</v>
      </c>
      <c r="B737" s="7" t="n">
        <f aca="false">YEAR(A737)</f>
        <v>2025</v>
      </c>
      <c r="C737" s="7" t="n">
        <f aca="false">MONTH(A737)</f>
        <v>1</v>
      </c>
      <c r="D737" s="8" t="n">
        <f aca="false">DATE(B737,C737,1)</f>
        <v>45658</v>
      </c>
      <c r="E737" s="7" t="str">
        <f aca="false">CHOOSE(C737,"ene","feb","mar","abr","may","jun","jul","ago","sep","oct","nov","dic")</f>
        <v>ene</v>
      </c>
      <c r="F737" s="7" t="str">
        <f aca="false">CHOOSE(C737,"enero","febrero","marzo","abril","mayo","junio","julio","agosto","septiembre","octubre","noviembre","diciembre")</f>
        <v>enero</v>
      </c>
      <c r="G737" s="7" t="str">
        <f aca="false">E737&amp;"-"&amp;RIGHT(B737,2)</f>
        <v>ene-25</v>
      </c>
    </row>
    <row r="738" customFormat="false" ht="15" hidden="false" customHeight="false" outlineLevel="0" collapsed="false">
      <c r="A738" s="8" t="n">
        <f aca="false">A737+1</f>
        <v>45663</v>
      </c>
      <c r="B738" s="7" t="n">
        <f aca="false">YEAR(A738)</f>
        <v>2025</v>
      </c>
      <c r="C738" s="7" t="n">
        <f aca="false">MONTH(A738)</f>
        <v>1</v>
      </c>
      <c r="D738" s="8" t="n">
        <f aca="false">DATE(B738,C738,1)</f>
        <v>45658</v>
      </c>
      <c r="E738" s="7" t="str">
        <f aca="false">CHOOSE(C738,"ene","feb","mar","abr","may","jun","jul","ago","sep","oct","nov","dic")</f>
        <v>ene</v>
      </c>
      <c r="F738" s="7" t="str">
        <f aca="false">CHOOSE(C738,"enero","febrero","marzo","abril","mayo","junio","julio","agosto","septiembre","octubre","noviembre","diciembre")</f>
        <v>enero</v>
      </c>
      <c r="G738" s="7" t="str">
        <f aca="false">E738&amp;"-"&amp;RIGHT(B738,2)</f>
        <v>ene-25</v>
      </c>
    </row>
    <row r="739" customFormat="false" ht="15" hidden="false" customHeight="false" outlineLevel="0" collapsed="false">
      <c r="A739" s="8" t="n">
        <f aca="false">A738+1</f>
        <v>45664</v>
      </c>
      <c r="B739" s="7" t="n">
        <f aca="false">YEAR(A739)</f>
        <v>2025</v>
      </c>
      <c r="C739" s="7" t="n">
        <f aca="false">MONTH(A739)</f>
        <v>1</v>
      </c>
      <c r="D739" s="8" t="n">
        <f aca="false">DATE(B739,C739,1)</f>
        <v>45658</v>
      </c>
      <c r="E739" s="7" t="str">
        <f aca="false">CHOOSE(C739,"ene","feb","mar","abr","may","jun","jul","ago","sep","oct","nov","dic")</f>
        <v>ene</v>
      </c>
      <c r="F739" s="7" t="str">
        <f aca="false">CHOOSE(C739,"enero","febrero","marzo","abril","mayo","junio","julio","agosto","septiembre","octubre","noviembre","diciembre")</f>
        <v>enero</v>
      </c>
      <c r="G739" s="7" t="str">
        <f aca="false">E739&amp;"-"&amp;RIGHT(B739,2)</f>
        <v>ene-25</v>
      </c>
    </row>
    <row r="740" customFormat="false" ht="15" hidden="false" customHeight="false" outlineLevel="0" collapsed="false">
      <c r="A740" s="8" t="n">
        <f aca="false">A739+1</f>
        <v>45665</v>
      </c>
      <c r="B740" s="7" t="n">
        <f aca="false">YEAR(A740)</f>
        <v>2025</v>
      </c>
      <c r="C740" s="7" t="n">
        <f aca="false">MONTH(A740)</f>
        <v>1</v>
      </c>
      <c r="D740" s="8" t="n">
        <f aca="false">DATE(B740,C740,1)</f>
        <v>45658</v>
      </c>
      <c r="E740" s="7" t="str">
        <f aca="false">CHOOSE(C740,"ene","feb","mar","abr","may","jun","jul","ago","sep","oct","nov","dic")</f>
        <v>ene</v>
      </c>
      <c r="F740" s="7" t="str">
        <f aca="false">CHOOSE(C740,"enero","febrero","marzo","abril","mayo","junio","julio","agosto","septiembre","octubre","noviembre","diciembre")</f>
        <v>enero</v>
      </c>
      <c r="G740" s="7" t="str">
        <f aca="false">E740&amp;"-"&amp;RIGHT(B740,2)</f>
        <v>ene-25</v>
      </c>
    </row>
    <row r="741" customFormat="false" ht="15" hidden="false" customHeight="false" outlineLevel="0" collapsed="false">
      <c r="A741" s="8" t="n">
        <f aca="false">A740+1</f>
        <v>45666</v>
      </c>
      <c r="B741" s="7" t="n">
        <f aca="false">YEAR(A741)</f>
        <v>2025</v>
      </c>
      <c r="C741" s="7" t="n">
        <f aca="false">MONTH(A741)</f>
        <v>1</v>
      </c>
      <c r="D741" s="8" t="n">
        <f aca="false">DATE(B741,C741,1)</f>
        <v>45658</v>
      </c>
      <c r="E741" s="7" t="str">
        <f aca="false">CHOOSE(C741,"ene","feb","mar","abr","may","jun","jul","ago","sep","oct","nov","dic")</f>
        <v>ene</v>
      </c>
      <c r="F741" s="7" t="str">
        <f aca="false">CHOOSE(C741,"enero","febrero","marzo","abril","mayo","junio","julio","agosto","septiembre","octubre","noviembre","diciembre")</f>
        <v>enero</v>
      </c>
      <c r="G741" s="7" t="str">
        <f aca="false">E741&amp;"-"&amp;RIGHT(B741,2)</f>
        <v>ene-25</v>
      </c>
    </row>
    <row r="742" customFormat="false" ht="15" hidden="false" customHeight="false" outlineLevel="0" collapsed="false">
      <c r="A742" s="8" t="n">
        <f aca="false">A741+1</f>
        <v>45667</v>
      </c>
      <c r="B742" s="7" t="n">
        <f aca="false">YEAR(A742)</f>
        <v>2025</v>
      </c>
      <c r="C742" s="7" t="n">
        <f aca="false">MONTH(A742)</f>
        <v>1</v>
      </c>
      <c r="D742" s="8" t="n">
        <f aca="false">DATE(B742,C742,1)</f>
        <v>45658</v>
      </c>
      <c r="E742" s="7" t="str">
        <f aca="false">CHOOSE(C742,"ene","feb","mar","abr","may","jun","jul","ago","sep","oct","nov","dic")</f>
        <v>ene</v>
      </c>
      <c r="F742" s="7" t="str">
        <f aca="false">CHOOSE(C742,"enero","febrero","marzo","abril","mayo","junio","julio","agosto","septiembre","octubre","noviembre","diciembre")</f>
        <v>enero</v>
      </c>
      <c r="G742" s="7" t="str">
        <f aca="false">E742&amp;"-"&amp;RIGHT(B742,2)</f>
        <v>ene-25</v>
      </c>
    </row>
    <row r="743" customFormat="false" ht="15" hidden="false" customHeight="false" outlineLevel="0" collapsed="false">
      <c r="A743" s="8" t="n">
        <f aca="false">A742+1</f>
        <v>45668</v>
      </c>
      <c r="B743" s="7" t="n">
        <f aca="false">YEAR(A743)</f>
        <v>2025</v>
      </c>
      <c r="C743" s="7" t="n">
        <f aca="false">MONTH(A743)</f>
        <v>1</v>
      </c>
      <c r="D743" s="8" t="n">
        <f aca="false">DATE(B743,C743,1)</f>
        <v>45658</v>
      </c>
      <c r="E743" s="7" t="str">
        <f aca="false">CHOOSE(C743,"ene","feb","mar","abr","may","jun","jul","ago","sep","oct","nov","dic")</f>
        <v>ene</v>
      </c>
      <c r="F743" s="7" t="str">
        <f aca="false">CHOOSE(C743,"enero","febrero","marzo","abril","mayo","junio","julio","agosto","septiembre","octubre","noviembre","diciembre")</f>
        <v>enero</v>
      </c>
      <c r="G743" s="7" t="str">
        <f aca="false">E743&amp;"-"&amp;RIGHT(B743,2)</f>
        <v>ene-25</v>
      </c>
    </row>
    <row r="744" customFormat="false" ht="15" hidden="false" customHeight="false" outlineLevel="0" collapsed="false">
      <c r="A744" s="8" t="n">
        <f aca="false">A743+1</f>
        <v>45669</v>
      </c>
      <c r="B744" s="7" t="n">
        <f aca="false">YEAR(A744)</f>
        <v>2025</v>
      </c>
      <c r="C744" s="7" t="n">
        <f aca="false">MONTH(A744)</f>
        <v>1</v>
      </c>
      <c r="D744" s="8" t="n">
        <f aca="false">DATE(B744,C744,1)</f>
        <v>45658</v>
      </c>
      <c r="E744" s="7" t="str">
        <f aca="false">CHOOSE(C744,"ene","feb","mar","abr","may","jun","jul","ago","sep","oct","nov","dic")</f>
        <v>ene</v>
      </c>
      <c r="F744" s="7" t="str">
        <f aca="false">CHOOSE(C744,"enero","febrero","marzo","abril","mayo","junio","julio","agosto","septiembre","octubre","noviembre","diciembre")</f>
        <v>enero</v>
      </c>
      <c r="G744" s="7" t="str">
        <f aca="false">E744&amp;"-"&amp;RIGHT(B744,2)</f>
        <v>ene-25</v>
      </c>
    </row>
    <row r="745" customFormat="false" ht="15" hidden="false" customHeight="false" outlineLevel="0" collapsed="false">
      <c r="A745" s="8" t="n">
        <f aca="false">A744+1</f>
        <v>45670</v>
      </c>
      <c r="B745" s="7" t="n">
        <f aca="false">YEAR(A745)</f>
        <v>2025</v>
      </c>
      <c r="C745" s="7" t="n">
        <f aca="false">MONTH(A745)</f>
        <v>1</v>
      </c>
      <c r="D745" s="8" t="n">
        <f aca="false">DATE(B745,C745,1)</f>
        <v>45658</v>
      </c>
      <c r="E745" s="7" t="str">
        <f aca="false">CHOOSE(C745,"ene","feb","mar","abr","may","jun","jul","ago","sep","oct","nov","dic")</f>
        <v>ene</v>
      </c>
      <c r="F745" s="7" t="str">
        <f aca="false">CHOOSE(C745,"enero","febrero","marzo","abril","mayo","junio","julio","agosto","septiembre","octubre","noviembre","diciembre")</f>
        <v>enero</v>
      </c>
      <c r="G745" s="7" t="str">
        <f aca="false">E745&amp;"-"&amp;RIGHT(B745,2)</f>
        <v>ene-25</v>
      </c>
    </row>
    <row r="746" customFormat="false" ht="15" hidden="false" customHeight="false" outlineLevel="0" collapsed="false">
      <c r="A746" s="8" t="n">
        <f aca="false">A745+1</f>
        <v>45671</v>
      </c>
      <c r="B746" s="7" t="n">
        <f aca="false">YEAR(A746)</f>
        <v>2025</v>
      </c>
      <c r="C746" s="7" t="n">
        <f aca="false">MONTH(A746)</f>
        <v>1</v>
      </c>
      <c r="D746" s="8" t="n">
        <f aca="false">DATE(B746,C746,1)</f>
        <v>45658</v>
      </c>
      <c r="E746" s="7" t="str">
        <f aca="false">CHOOSE(C746,"ene","feb","mar","abr","may","jun","jul","ago","sep","oct","nov","dic")</f>
        <v>ene</v>
      </c>
      <c r="F746" s="7" t="str">
        <f aca="false">CHOOSE(C746,"enero","febrero","marzo","abril","mayo","junio","julio","agosto","septiembre","octubre","noviembre","diciembre")</f>
        <v>enero</v>
      </c>
      <c r="G746" s="7" t="str">
        <f aca="false">E746&amp;"-"&amp;RIGHT(B746,2)</f>
        <v>ene-25</v>
      </c>
    </row>
    <row r="747" customFormat="false" ht="15" hidden="false" customHeight="false" outlineLevel="0" collapsed="false">
      <c r="A747" s="8" t="n">
        <f aca="false">A746+1</f>
        <v>45672</v>
      </c>
      <c r="B747" s="7" t="n">
        <f aca="false">YEAR(A747)</f>
        <v>2025</v>
      </c>
      <c r="C747" s="7" t="n">
        <f aca="false">MONTH(A747)</f>
        <v>1</v>
      </c>
      <c r="D747" s="8" t="n">
        <f aca="false">DATE(B747,C747,1)</f>
        <v>45658</v>
      </c>
      <c r="E747" s="7" t="str">
        <f aca="false">CHOOSE(C747,"ene","feb","mar","abr","may","jun","jul","ago","sep","oct","nov","dic")</f>
        <v>ene</v>
      </c>
      <c r="F747" s="7" t="str">
        <f aca="false">CHOOSE(C747,"enero","febrero","marzo","abril","mayo","junio","julio","agosto","septiembre","octubre","noviembre","diciembre")</f>
        <v>enero</v>
      </c>
      <c r="G747" s="7" t="str">
        <f aca="false">E747&amp;"-"&amp;RIGHT(B747,2)</f>
        <v>ene-25</v>
      </c>
    </row>
    <row r="748" customFormat="false" ht="15" hidden="false" customHeight="false" outlineLevel="0" collapsed="false">
      <c r="A748" s="8" t="n">
        <f aca="false">A747+1</f>
        <v>45673</v>
      </c>
      <c r="B748" s="7" t="n">
        <f aca="false">YEAR(A748)</f>
        <v>2025</v>
      </c>
      <c r="C748" s="7" t="n">
        <f aca="false">MONTH(A748)</f>
        <v>1</v>
      </c>
      <c r="D748" s="8" t="n">
        <f aca="false">DATE(B748,C748,1)</f>
        <v>45658</v>
      </c>
      <c r="E748" s="7" t="str">
        <f aca="false">CHOOSE(C748,"ene","feb","mar","abr","may","jun","jul","ago","sep","oct","nov","dic")</f>
        <v>ene</v>
      </c>
      <c r="F748" s="7" t="str">
        <f aca="false">CHOOSE(C748,"enero","febrero","marzo","abril","mayo","junio","julio","agosto","septiembre","octubre","noviembre","diciembre")</f>
        <v>enero</v>
      </c>
      <c r="G748" s="7" t="str">
        <f aca="false">E748&amp;"-"&amp;RIGHT(B748,2)</f>
        <v>ene-25</v>
      </c>
    </row>
    <row r="749" customFormat="false" ht="15" hidden="false" customHeight="false" outlineLevel="0" collapsed="false">
      <c r="A749" s="8" t="n">
        <f aca="false">A748+1</f>
        <v>45674</v>
      </c>
      <c r="B749" s="7" t="n">
        <f aca="false">YEAR(A749)</f>
        <v>2025</v>
      </c>
      <c r="C749" s="7" t="n">
        <f aca="false">MONTH(A749)</f>
        <v>1</v>
      </c>
      <c r="D749" s="8" t="n">
        <f aca="false">DATE(B749,C749,1)</f>
        <v>45658</v>
      </c>
      <c r="E749" s="7" t="str">
        <f aca="false">CHOOSE(C749,"ene","feb","mar","abr","may","jun","jul","ago","sep","oct","nov","dic")</f>
        <v>ene</v>
      </c>
      <c r="F749" s="7" t="str">
        <f aca="false">CHOOSE(C749,"enero","febrero","marzo","abril","mayo","junio","julio","agosto","septiembre","octubre","noviembre","diciembre")</f>
        <v>enero</v>
      </c>
      <c r="G749" s="7" t="str">
        <f aca="false">E749&amp;"-"&amp;RIGHT(B749,2)</f>
        <v>ene-25</v>
      </c>
    </row>
    <row r="750" customFormat="false" ht="15" hidden="false" customHeight="false" outlineLevel="0" collapsed="false">
      <c r="A750" s="8" t="n">
        <f aca="false">A749+1</f>
        <v>45675</v>
      </c>
      <c r="B750" s="7" t="n">
        <f aca="false">YEAR(A750)</f>
        <v>2025</v>
      </c>
      <c r="C750" s="7" t="n">
        <f aca="false">MONTH(A750)</f>
        <v>1</v>
      </c>
      <c r="D750" s="8" t="n">
        <f aca="false">DATE(B750,C750,1)</f>
        <v>45658</v>
      </c>
      <c r="E750" s="7" t="str">
        <f aca="false">CHOOSE(C750,"ene","feb","mar","abr","may","jun","jul","ago","sep","oct","nov","dic")</f>
        <v>ene</v>
      </c>
      <c r="F750" s="7" t="str">
        <f aca="false">CHOOSE(C750,"enero","febrero","marzo","abril","mayo","junio","julio","agosto","septiembre","octubre","noviembre","diciembre")</f>
        <v>enero</v>
      </c>
      <c r="G750" s="7" t="str">
        <f aca="false">E750&amp;"-"&amp;RIGHT(B750,2)</f>
        <v>ene-25</v>
      </c>
    </row>
    <row r="751" customFormat="false" ht="15" hidden="false" customHeight="false" outlineLevel="0" collapsed="false">
      <c r="A751" s="8" t="n">
        <f aca="false">A750+1</f>
        <v>45676</v>
      </c>
      <c r="B751" s="7" t="n">
        <f aca="false">YEAR(A751)</f>
        <v>2025</v>
      </c>
      <c r="C751" s="7" t="n">
        <f aca="false">MONTH(A751)</f>
        <v>1</v>
      </c>
      <c r="D751" s="8" t="n">
        <f aca="false">DATE(B751,C751,1)</f>
        <v>45658</v>
      </c>
      <c r="E751" s="7" t="str">
        <f aca="false">CHOOSE(C751,"ene","feb","mar","abr","may","jun","jul","ago","sep","oct","nov","dic")</f>
        <v>ene</v>
      </c>
      <c r="F751" s="7" t="str">
        <f aca="false">CHOOSE(C751,"enero","febrero","marzo","abril","mayo","junio","julio","agosto","septiembre","octubre","noviembre","diciembre")</f>
        <v>enero</v>
      </c>
      <c r="G751" s="7" t="str">
        <f aca="false">E751&amp;"-"&amp;RIGHT(B751,2)</f>
        <v>ene-25</v>
      </c>
    </row>
    <row r="752" customFormat="false" ht="15" hidden="false" customHeight="false" outlineLevel="0" collapsed="false">
      <c r="A752" s="8" t="n">
        <f aca="false">A751+1</f>
        <v>45677</v>
      </c>
      <c r="B752" s="7" t="n">
        <f aca="false">YEAR(A752)</f>
        <v>2025</v>
      </c>
      <c r="C752" s="7" t="n">
        <f aca="false">MONTH(A752)</f>
        <v>1</v>
      </c>
      <c r="D752" s="8" t="n">
        <f aca="false">DATE(B752,C752,1)</f>
        <v>45658</v>
      </c>
      <c r="E752" s="7" t="str">
        <f aca="false">CHOOSE(C752,"ene","feb","mar","abr","may","jun","jul","ago","sep","oct","nov","dic")</f>
        <v>ene</v>
      </c>
      <c r="F752" s="7" t="str">
        <f aca="false">CHOOSE(C752,"enero","febrero","marzo","abril","mayo","junio","julio","agosto","septiembre","octubre","noviembre","diciembre")</f>
        <v>enero</v>
      </c>
      <c r="G752" s="7" t="str">
        <f aca="false">E752&amp;"-"&amp;RIGHT(B752,2)</f>
        <v>ene-25</v>
      </c>
    </row>
    <row r="753" customFormat="false" ht="15" hidden="false" customHeight="false" outlineLevel="0" collapsed="false">
      <c r="A753" s="8" t="n">
        <f aca="false">A752+1</f>
        <v>45678</v>
      </c>
      <c r="B753" s="7" t="n">
        <f aca="false">YEAR(A753)</f>
        <v>2025</v>
      </c>
      <c r="C753" s="7" t="n">
        <f aca="false">MONTH(A753)</f>
        <v>1</v>
      </c>
      <c r="D753" s="8" t="n">
        <f aca="false">DATE(B753,C753,1)</f>
        <v>45658</v>
      </c>
      <c r="E753" s="7" t="str">
        <f aca="false">CHOOSE(C753,"ene","feb","mar","abr","may","jun","jul","ago","sep","oct","nov","dic")</f>
        <v>ene</v>
      </c>
      <c r="F753" s="7" t="str">
        <f aca="false">CHOOSE(C753,"enero","febrero","marzo","abril","mayo","junio","julio","agosto","septiembre","octubre","noviembre","diciembre")</f>
        <v>enero</v>
      </c>
      <c r="G753" s="7" t="str">
        <f aca="false">E753&amp;"-"&amp;RIGHT(B753,2)</f>
        <v>ene-25</v>
      </c>
    </row>
    <row r="754" customFormat="false" ht="15" hidden="false" customHeight="false" outlineLevel="0" collapsed="false">
      <c r="A754" s="8" t="n">
        <f aca="false">A753+1</f>
        <v>45679</v>
      </c>
      <c r="B754" s="7" t="n">
        <f aca="false">YEAR(A754)</f>
        <v>2025</v>
      </c>
      <c r="C754" s="7" t="n">
        <f aca="false">MONTH(A754)</f>
        <v>1</v>
      </c>
      <c r="D754" s="8" t="n">
        <f aca="false">DATE(B754,C754,1)</f>
        <v>45658</v>
      </c>
      <c r="E754" s="7" t="str">
        <f aca="false">CHOOSE(C754,"ene","feb","mar","abr","may","jun","jul","ago","sep","oct","nov","dic")</f>
        <v>ene</v>
      </c>
      <c r="F754" s="7" t="str">
        <f aca="false">CHOOSE(C754,"enero","febrero","marzo","abril","mayo","junio","julio","agosto","septiembre","octubre","noviembre","diciembre")</f>
        <v>enero</v>
      </c>
      <c r="G754" s="7" t="str">
        <f aca="false">E754&amp;"-"&amp;RIGHT(B754,2)</f>
        <v>ene-25</v>
      </c>
    </row>
    <row r="755" customFormat="false" ht="15" hidden="false" customHeight="false" outlineLevel="0" collapsed="false">
      <c r="A755" s="8" t="n">
        <f aca="false">A754+1</f>
        <v>45680</v>
      </c>
      <c r="B755" s="7" t="n">
        <f aca="false">YEAR(A755)</f>
        <v>2025</v>
      </c>
      <c r="C755" s="7" t="n">
        <f aca="false">MONTH(A755)</f>
        <v>1</v>
      </c>
      <c r="D755" s="8" t="n">
        <f aca="false">DATE(B755,C755,1)</f>
        <v>45658</v>
      </c>
      <c r="E755" s="7" t="str">
        <f aca="false">CHOOSE(C755,"ene","feb","mar","abr","may","jun","jul","ago","sep","oct","nov","dic")</f>
        <v>ene</v>
      </c>
      <c r="F755" s="7" t="str">
        <f aca="false">CHOOSE(C755,"enero","febrero","marzo","abril","mayo","junio","julio","agosto","septiembre","octubre","noviembre","diciembre")</f>
        <v>enero</v>
      </c>
      <c r="G755" s="7" t="str">
        <f aca="false">E755&amp;"-"&amp;RIGHT(B755,2)</f>
        <v>ene-25</v>
      </c>
    </row>
    <row r="756" customFormat="false" ht="15" hidden="false" customHeight="false" outlineLevel="0" collapsed="false">
      <c r="A756" s="8" t="n">
        <f aca="false">A755+1</f>
        <v>45681</v>
      </c>
      <c r="B756" s="7" t="n">
        <f aca="false">YEAR(A756)</f>
        <v>2025</v>
      </c>
      <c r="C756" s="7" t="n">
        <f aca="false">MONTH(A756)</f>
        <v>1</v>
      </c>
      <c r="D756" s="8" t="n">
        <f aca="false">DATE(B756,C756,1)</f>
        <v>45658</v>
      </c>
      <c r="E756" s="7" t="str">
        <f aca="false">CHOOSE(C756,"ene","feb","mar","abr","may","jun","jul","ago","sep","oct","nov","dic")</f>
        <v>ene</v>
      </c>
      <c r="F756" s="7" t="str">
        <f aca="false">CHOOSE(C756,"enero","febrero","marzo","abril","mayo","junio","julio","agosto","septiembre","octubre","noviembre","diciembre")</f>
        <v>enero</v>
      </c>
      <c r="G756" s="7" t="str">
        <f aca="false">E756&amp;"-"&amp;RIGHT(B756,2)</f>
        <v>ene-25</v>
      </c>
    </row>
    <row r="757" customFormat="false" ht="15" hidden="false" customHeight="false" outlineLevel="0" collapsed="false">
      <c r="A757" s="8" t="n">
        <f aca="false">A756+1</f>
        <v>45682</v>
      </c>
      <c r="B757" s="7" t="n">
        <f aca="false">YEAR(A757)</f>
        <v>2025</v>
      </c>
      <c r="C757" s="7" t="n">
        <f aca="false">MONTH(A757)</f>
        <v>1</v>
      </c>
      <c r="D757" s="8" t="n">
        <f aca="false">DATE(B757,C757,1)</f>
        <v>45658</v>
      </c>
      <c r="E757" s="7" t="str">
        <f aca="false">CHOOSE(C757,"ene","feb","mar","abr","may","jun","jul","ago","sep","oct","nov","dic")</f>
        <v>ene</v>
      </c>
      <c r="F757" s="7" t="str">
        <f aca="false">CHOOSE(C757,"enero","febrero","marzo","abril","mayo","junio","julio","agosto","septiembre","octubre","noviembre","diciembre")</f>
        <v>enero</v>
      </c>
      <c r="G757" s="7" t="str">
        <f aca="false">E757&amp;"-"&amp;RIGHT(B757,2)</f>
        <v>ene-25</v>
      </c>
    </row>
    <row r="758" customFormat="false" ht="15" hidden="false" customHeight="false" outlineLevel="0" collapsed="false">
      <c r="A758" s="8" t="n">
        <f aca="false">A757+1</f>
        <v>45683</v>
      </c>
      <c r="B758" s="7" t="n">
        <f aca="false">YEAR(A758)</f>
        <v>2025</v>
      </c>
      <c r="C758" s="7" t="n">
        <f aca="false">MONTH(A758)</f>
        <v>1</v>
      </c>
      <c r="D758" s="8" t="n">
        <f aca="false">DATE(B758,C758,1)</f>
        <v>45658</v>
      </c>
      <c r="E758" s="7" t="str">
        <f aca="false">CHOOSE(C758,"ene","feb","mar","abr","may","jun","jul","ago","sep","oct","nov","dic")</f>
        <v>ene</v>
      </c>
      <c r="F758" s="7" t="str">
        <f aca="false">CHOOSE(C758,"enero","febrero","marzo","abril","mayo","junio","julio","agosto","septiembre","octubre","noviembre","diciembre")</f>
        <v>enero</v>
      </c>
      <c r="G758" s="7" t="str">
        <f aca="false">E758&amp;"-"&amp;RIGHT(B758,2)</f>
        <v>ene-25</v>
      </c>
    </row>
    <row r="759" customFormat="false" ht="15" hidden="false" customHeight="false" outlineLevel="0" collapsed="false">
      <c r="A759" s="8" t="n">
        <f aca="false">A758+1</f>
        <v>45684</v>
      </c>
      <c r="B759" s="7" t="n">
        <f aca="false">YEAR(A759)</f>
        <v>2025</v>
      </c>
      <c r="C759" s="7" t="n">
        <f aca="false">MONTH(A759)</f>
        <v>1</v>
      </c>
      <c r="D759" s="8" t="n">
        <f aca="false">DATE(B759,C759,1)</f>
        <v>45658</v>
      </c>
      <c r="E759" s="7" t="str">
        <f aca="false">CHOOSE(C759,"ene","feb","mar","abr","may","jun","jul","ago","sep","oct","nov","dic")</f>
        <v>ene</v>
      </c>
      <c r="F759" s="7" t="str">
        <f aca="false">CHOOSE(C759,"enero","febrero","marzo","abril","mayo","junio","julio","agosto","septiembre","octubre","noviembre","diciembre")</f>
        <v>enero</v>
      </c>
      <c r="G759" s="7" t="str">
        <f aca="false">E759&amp;"-"&amp;RIGHT(B759,2)</f>
        <v>ene-25</v>
      </c>
    </row>
    <row r="760" customFormat="false" ht="15" hidden="false" customHeight="false" outlineLevel="0" collapsed="false">
      <c r="A760" s="8" t="n">
        <f aca="false">A759+1</f>
        <v>45685</v>
      </c>
      <c r="B760" s="7" t="n">
        <f aca="false">YEAR(A760)</f>
        <v>2025</v>
      </c>
      <c r="C760" s="7" t="n">
        <f aca="false">MONTH(A760)</f>
        <v>1</v>
      </c>
      <c r="D760" s="8" t="n">
        <f aca="false">DATE(B760,C760,1)</f>
        <v>45658</v>
      </c>
      <c r="E760" s="7" t="str">
        <f aca="false">CHOOSE(C760,"ene","feb","mar","abr","may","jun","jul","ago","sep","oct","nov","dic")</f>
        <v>ene</v>
      </c>
      <c r="F760" s="7" t="str">
        <f aca="false">CHOOSE(C760,"enero","febrero","marzo","abril","mayo","junio","julio","agosto","septiembre","octubre","noviembre","diciembre")</f>
        <v>enero</v>
      </c>
      <c r="G760" s="7" t="str">
        <f aca="false">E760&amp;"-"&amp;RIGHT(B760,2)</f>
        <v>ene-25</v>
      </c>
    </row>
    <row r="761" customFormat="false" ht="15" hidden="false" customHeight="false" outlineLevel="0" collapsed="false">
      <c r="A761" s="8" t="n">
        <f aca="false">A760+1</f>
        <v>45686</v>
      </c>
      <c r="B761" s="7" t="n">
        <f aca="false">YEAR(A761)</f>
        <v>2025</v>
      </c>
      <c r="C761" s="7" t="n">
        <f aca="false">MONTH(A761)</f>
        <v>1</v>
      </c>
      <c r="D761" s="8" t="n">
        <f aca="false">DATE(B761,C761,1)</f>
        <v>45658</v>
      </c>
      <c r="E761" s="7" t="str">
        <f aca="false">CHOOSE(C761,"ene","feb","mar","abr","may","jun","jul","ago","sep","oct","nov","dic")</f>
        <v>ene</v>
      </c>
      <c r="F761" s="7" t="str">
        <f aca="false">CHOOSE(C761,"enero","febrero","marzo","abril","mayo","junio","julio","agosto","septiembre","octubre","noviembre","diciembre")</f>
        <v>enero</v>
      </c>
      <c r="G761" s="7" t="str">
        <f aca="false">E761&amp;"-"&amp;RIGHT(B761,2)</f>
        <v>ene-25</v>
      </c>
    </row>
    <row r="762" customFormat="false" ht="15" hidden="false" customHeight="false" outlineLevel="0" collapsed="false">
      <c r="A762" s="8" t="n">
        <f aca="false">A761+1</f>
        <v>45687</v>
      </c>
      <c r="B762" s="7" t="n">
        <f aca="false">YEAR(A762)</f>
        <v>2025</v>
      </c>
      <c r="C762" s="7" t="n">
        <f aca="false">MONTH(A762)</f>
        <v>1</v>
      </c>
      <c r="D762" s="8" t="n">
        <f aca="false">DATE(B762,C762,1)</f>
        <v>45658</v>
      </c>
      <c r="E762" s="7" t="str">
        <f aca="false">CHOOSE(C762,"ene","feb","mar","abr","may","jun","jul","ago","sep","oct","nov","dic")</f>
        <v>ene</v>
      </c>
      <c r="F762" s="7" t="str">
        <f aca="false">CHOOSE(C762,"enero","febrero","marzo","abril","mayo","junio","julio","agosto","septiembre","octubre","noviembre","diciembre")</f>
        <v>enero</v>
      </c>
      <c r="G762" s="7" t="str">
        <f aca="false">E762&amp;"-"&amp;RIGHT(B762,2)</f>
        <v>ene-25</v>
      </c>
    </row>
    <row r="763" customFormat="false" ht="15" hidden="false" customHeight="false" outlineLevel="0" collapsed="false">
      <c r="A763" s="8" t="n">
        <f aca="false">A762+1</f>
        <v>45688</v>
      </c>
      <c r="B763" s="7" t="n">
        <f aca="false">YEAR(A763)</f>
        <v>2025</v>
      </c>
      <c r="C763" s="7" t="n">
        <f aca="false">MONTH(A763)</f>
        <v>1</v>
      </c>
      <c r="D763" s="8" t="n">
        <f aca="false">DATE(B763,C763,1)</f>
        <v>45658</v>
      </c>
      <c r="E763" s="7" t="str">
        <f aca="false">CHOOSE(C763,"ene","feb","mar","abr","may","jun","jul","ago","sep","oct","nov","dic")</f>
        <v>ene</v>
      </c>
      <c r="F763" s="7" t="str">
        <f aca="false">CHOOSE(C763,"enero","febrero","marzo","abril","mayo","junio","julio","agosto","septiembre","octubre","noviembre","diciembre")</f>
        <v>enero</v>
      </c>
      <c r="G763" s="7" t="str">
        <f aca="false">E763&amp;"-"&amp;RIGHT(B763,2)</f>
        <v>ene-25</v>
      </c>
    </row>
    <row r="764" customFormat="false" ht="15" hidden="false" customHeight="false" outlineLevel="0" collapsed="false">
      <c r="A764" s="8" t="n">
        <f aca="false">A763+1</f>
        <v>45689</v>
      </c>
      <c r="B764" s="7" t="n">
        <f aca="false">YEAR(A764)</f>
        <v>2025</v>
      </c>
      <c r="C764" s="7" t="n">
        <f aca="false">MONTH(A764)</f>
        <v>2</v>
      </c>
      <c r="D764" s="8" t="n">
        <f aca="false">DATE(B764,C764,1)</f>
        <v>45689</v>
      </c>
      <c r="E764" s="7" t="str">
        <f aca="false">CHOOSE(C764,"ene","feb","mar","abr","may","jun","jul","ago","sep","oct","nov","dic")</f>
        <v>feb</v>
      </c>
      <c r="F764" s="7" t="str">
        <f aca="false">CHOOSE(C764,"enero","febrero","marzo","abril","mayo","junio","julio","agosto","septiembre","octubre","noviembre","diciembre")</f>
        <v>febrero</v>
      </c>
      <c r="G764" s="7" t="str">
        <f aca="false">E764&amp;"-"&amp;RIGHT(B764,2)</f>
        <v>feb-25</v>
      </c>
    </row>
    <row r="765" customFormat="false" ht="15" hidden="false" customHeight="false" outlineLevel="0" collapsed="false">
      <c r="A765" s="8" t="n">
        <f aca="false">A764+1</f>
        <v>45690</v>
      </c>
      <c r="B765" s="7" t="n">
        <f aca="false">YEAR(A765)</f>
        <v>2025</v>
      </c>
      <c r="C765" s="7" t="n">
        <f aca="false">MONTH(A765)</f>
        <v>2</v>
      </c>
      <c r="D765" s="8" t="n">
        <f aca="false">DATE(B765,C765,1)</f>
        <v>45689</v>
      </c>
      <c r="E765" s="7" t="str">
        <f aca="false">CHOOSE(C765,"ene","feb","mar","abr","may","jun","jul","ago","sep","oct","nov","dic")</f>
        <v>feb</v>
      </c>
      <c r="F765" s="7" t="str">
        <f aca="false">CHOOSE(C765,"enero","febrero","marzo","abril","mayo","junio","julio","agosto","septiembre","octubre","noviembre","diciembre")</f>
        <v>febrero</v>
      </c>
      <c r="G765" s="7" t="str">
        <f aca="false">E765&amp;"-"&amp;RIGHT(B765,2)</f>
        <v>feb-25</v>
      </c>
    </row>
    <row r="766" customFormat="false" ht="15" hidden="false" customHeight="false" outlineLevel="0" collapsed="false">
      <c r="A766" s="8" t="n">
        <f aca="false">A765+1</f>
        <v>45691</v>
      </c>
      <c r="B766" s="7" t="n">
        <f aca="false">YEAR(A766)</f>
        <v>2025</v>
      </c>
      <c r="C766" s="7" t="n">
        <f aca="false">MONTH(A766)</f>
        <v>2</v>
      </c>
      <c r="D766" s="8" t="n">
        <f aca="false">DATE(B766,C766,1)</f>
        <v>45689</v>
      </c>
      <c r="E766" s="7" t="str">
        <f aca="false">CHOOSE(C766,"ene","feb","mar","abr","may","jun","jul","ago","sep","oct","nov","dic")</f>
        <v>feb</v>
      </c>
      <c r="F766" s="7" t="str">
        <f aca="false">CHOOSE(C766,"enero","febrero","marzo","abril","mayo","junio","julio","agosto","septiembre","octubre","noviembre","diciembre")</f>
        <v>febrero</v>
      </c>
      <c r="G766" s="7" t="str">
        <f aca="false">E766&amp;"-"&amp;RIGHT(B766,2)</f>
        <v>feb-25</v>
      </c>
    </row>
    <row r="767" customFormat="false" ht="15" hidden="false" customHeight="false" outlineLevel="0" collapsed="false">
      <c r="A767" s="8" t="n">
        <f aca="false">A766+1</f>
        <v>45692</v>
      </c>
      <c r="B767" s="7" t="n">
        <f aca="false">YEAR(A767)</f>
        <v>2025</v>
      </c>
      <c r="C767" s="7" t="n">
        <f aca="false">MONTH(A767)</f>
        <v>2</v>
      </c>
      <c r="D767" s="8" t="n">
        <f aca="false">DATE(B767,C767,1)</f>
        <v>45689</v>
      </c>
      <c r="E767" s="7" t="str">
        <f aca="false">CHOOSE(C767,"ene","feb","mar","abr","may","jun","jul","ago","sep","oct","nov","dic")</f>
        <v>feb</v>
      </c>
      <c r="F767" s="7" t="str">
        <f aca="false">CHOOSE(C767,"enero","febrero","marzo","abril","mayo","junio","julio","agosto","septiembre","octubre","noviembre","diciembre")</f>
        <v>febrero</v>
      </c>
      <c r="G767" s="7" t="str">
        <f aca="false">E767&amp;"-"&amp;RIGHT(B767,2)</f>
        <v>feb-25</v>
      </c>
    </row>
    <row r="768" customFormat="false" ht="15" hidden="false" customHeight="false" outlineLevel="0" collapsed="false">
      <c r="A768" s="8" t="n">
        <f aca="false">A767+1</f>
        <v>45693</v>
      </c>
      <c r="B768" s="7" t="n">
        <f aca="false">YEAR(A768)</f>
        <v>2025</v>
      </c>
      <c r="C768" s="7" t="n">
        <f aca="false">MONTH(A768)</f>
        <v>2</v>
      </c>
      <c r="D768" s="8" t="n">
        <f aca="false">DATE(B768,C768,1)</f>
        <v>45689</v>
      </c>
      <c r="E768" s="7" t="str">
        <f aca="false">CHOOSE(C768,"ene","feb","mar","abr","may","jun","jul","ago","sep","oct","nov","dic")</f>
        <v>feb</v>
      </c>
      <c r="F768" s="7" t="str">
        <f aca="false">CHOOSE(C768,"enero","febrero","marzo","abril","mayo","junio","julio","agosto","septiembre","octubre","noviembre","diciembre")</f>
        <v>febrero</v>
      </c>
      <c r="G768" s="7" t="str">
        <f aca="false">E768&amp;"-"&amp;RIGHT(B768,2)</f>
        <v>feb-25</v>
      </c>
    </row>
    <row r="769" customFormat="false" ht="15" hidden="false" customHeight="false" outlineLevel="0" collapsed="false">
      <c r="A769" s="8" t="n">
        <f aca="false">A768+1</f>
        <v>45694</v>
      </c>
      <c r="B769" s="7" t="n">
        <f aca="false">YEAR(A769)</f>
        <v>2025</v>
      </c>
      <c r="C769" s="7" t="n">
        <f aca="false">MONTH(A769)</f>
        <v>2</v>
      </c>
      <c r="D769" s="8" t="n">
        <f aca="false">DATE(B769,C769,1)</f>
        <v>45689</v>
      </c>
      <c r="E769" s="7" t="str">
        <f aca="false">CHOOSE(C769,"ene","feb","mar","abr","may","jun","jul","ago","sep","oct","nov","dic")</f>
        <v>feb</v>
      </c>
      <c r="F769" s="7" t="str">
        <f aca="false">CHOOSE(C769,"enero","febrero","marzo","abril","mayo","junio","julio","agosto","septiembre","octubre","noviembre","diciembre")</f>
        <v>febrero</v>
      </c>
      <c r="G769" s="7" t="str">
        <f aca="false">E769&amp;"-"&amp;RIGHT(B769,2)</f>
        <v>feb-25</v>
      </c>
    </row>
    <row r="770" customFormat="false" ht="15" hidden="false" customHeight="false" outlineLevel="0" collapsed="false">
      <c r="A770" s="8" t="n">
        <f aca="false">A769+1</f>
        <v>45695</v>
      </c>
      <c r="B770" s="7" t="n">
        <f aca="false">YEAR(A770)</f>
        <v>2025</v>
      </c>
      <c r="C770" s="7" t="n">
        <f aca="false">MONTH(A770)</f>
        <v>2</v>
      </c>
      <c r="D770" s="8" t="n">
        <f aca="false">DATE(B770,C770,1)</f>
        <v>45689</v>
      </c>
      <c r="E770" s="7" t="str">
        <f aca="false">CHOOSE(C770,"ene","feb","mar","abr","may","jun","jul","ago","sep","oct","nov","dic")</f>
        <v>feb</v>
      </c>
      <c r="F770" s="7" t="str">
        <f aca="false">CHOOSE(C770,"enero","febrero","marzo","abril","mayo","junio","julio","agosto","septiembre","octubre","noviembre","diciembre")</f>
        <v>febrero</v>
      </c>
      <c r="G770" s="7" t="str">
        <f aca="false">E770&amp;"-"&amp;RIGHT(B770,2)</f>
        <v>feb-25</v>
      </c>
    </row>
    <row r="771" customFormat="false" ht="15" hidden="false" customHeight="false" outlineLevel="0" collapsed="false">
      <c r="A771" s="8" t="n">
        <f aca="false">A770+1</f>
        <v>45696</v>
      </c>
      <c r="B771" s="7" t="n">
        <f aca="false">YEAR(A771)</f>
        <v>2025</v>
      </c>
      <c r="C771" s="7" t="n">
        <f aca="false">MONTH(A771)</f>
        <v>2</v>
      </c>
      <c r="D771" s="8" t="n">
        <f aca="false">DATE(B771,C771,1)</f>
        <v>45689</v>
      </c>
      <c r="E771" s="7" t="str">
        <f aca="false">CHOOSE(C771,"ene","feb","mar","abr","may","jun","jul","ago","sep","oct","nov","dic")</f>
        <v>feb</v>
      </c>
      <c r="F771" s="7" t="str">
        <f aca="false">CHOOSE(C771,"enero","febrero","marzo","abril","mayo","junio","julio","agosto","septiembre","octubre","noviembre","diciembre")</f>
        <v>febrero</v>
      </c>
      <c r="G771" s="7" t="str">
        <f aca="false">E771&amp;"-"&amp;RIGHT(B771,2)</f>
        <v>feb-25</v>
      </c>
    </row>
    <row r="772" customFormat="false" ht="15" hidden="false" customHeight="false" outlineLevel="0" collapsed="false">
      <c r="A772" s="8" t="n">
        <f aca="false">A771+1</f>
        <v>45697</v>
      </c>
      <c r="B772" s="7" t="n">
        <f aca="false">YEAR(A772)</f>
        <v>2025</v>
      </c>
      <c r="C772" s="7" t="n">
        <f aca="false">MONTH(A772)</f>
        <v>2</v>
      </c>
      <c r="D772" s="8" t="n">
        <f aca="false">DATE(B772,C772,1)</f>
        <v>45689</v>
      </c>
      <c r="E772" s="7" t="str">
        <f aca="false">CHOOSE(C772,"ene","feb","mar","abr","may","jun","jul","ago","sep","oct","nov","dic")</f>
        <v>feb</v>
      </c>
      <c r="F772" s="7" t="str">
        <f aca="false">CHOOSE(C772,"enero","febrero","marzo","abril","mayo","junio","julio","agosto","septiembre","octubre","noviembre","diciembre")</f>
        <v>febrero</v>
      </c>
      <c r="G772" s="7" t="str">
        <f aca="false">E772&amp;"-"&amp;RIGHT(B772,2)</f>
        <v>feb-25</v>
      </c>
    </row>
    <row r="773" customFormat="false" ht="15" hidden="false" customHeight="false" outlineLevel="0" collapsed="false">
      <c r="A773" s="8" t="n">
        <f aca="false">A772+1</f>
        <v>45698</v>
      </c>
      <c r="B773" s="7" t="n">
        <f aca="false">YEAR(A773)</f>
        <v>2025</v>
      </c>
      <c r="C773" s="7" t="n">
        <f aca="false">MONTH(A773)</f>
        <v>2</v>
      </c>
      <c r="D773" s="8" t="n">
        <f aca="false">DATE(B773,C773,1)</f>
        <v>45689</v>
      </c>
      <c r="E773" s="7" t="str">
        <f aca="false">CHOOSE(C773,"ene","feb","mar","abr","may","jun","jul","ago","sep","oct","nov","dic")</f>
        <v>feb</v>
      </c>
      <c r="F773" s="7" t="str">
        <f aca="false">CHOOSE(C773,"enero","febrero","marzo","abril","mayo","junio","julio","agosto","septiembre","octubre","noviembre","diciembre")</f>
        <v>febrero</v>
      </c>
      <c r="G773" s="7" t="str">
        <f aca="false">E773&amp;"-"&amp;RIGHT(B773,2)</f>
        <v>feb-25</v>
      </c>
    </row>
    <row r="774" customFormat="false" ht="15" hidden="false" customHeight="false" outlineLevel="0" collapsed="false">
      <c r="A774" s="8" t="n">
        <f aca="false">A773+1</f>
        <v>45699</v>
      </c>
      <c r="B774" s="7" t="n">
        <f aca="false">YEAR(A774)</f>
        <v>2025</v>
      </c>
      <c r="C774" s="7" t="n">
        <f aca="false">MONTH(A774)</f>
        <v>2</v>
      </c>
      <c r="D774" s="8" t="n">
        <f aca="false">DATE(B774,C774,1)</f>
        <v>45689</v>
      </c>
      <c r="E774" s="7" t="str">
        <f aca="false">CHOOSE(C774,"ene","feb","mar","abr","may","jun","jul","ago","sep","oct","nov","dic")</f>
        <v>feb</v>
      </c>
      <c r="F774" s="7" t="str">
        <f aca="false">CHOOSE(C774,"enero","febrero","marzo","abril","mayo","junio","julio","agosto","septiembre","octubre","noviembre","diciembre")</f>
        <v>febrero</v>
      </c>
      <c r="G774" s="7" t="str">
        <f aca="false">E774&amp;"-"&amp;RIGHT(B774,2)</f>
        <v>feb-25</v>
      </c>
    </row>
    <row r="775" customFormat="false" ht="15" hidden="false" customHeight="false" outlineLevel="0" collapsed="false">
      <c r="A775" s="8" t="n">
        <f aca="false">A774+1</f>
        <v>45700</v>
      </c>
      <c r="B775" s="7" t="n">
        <f aca="false">YEAR(A775)</f>
        <v>2025</v>
      </c>
      <c r="C775" s="7" t="n">
        <f aca="false">MONTH(A775)</f>
        <v>2</v>
      </c>
      <c r="D775" s="8" t="n">
        <f aca="false">DATE(B775,C775,1)</f>
        <v>45689</v>
      </c>
      <c r="E775" s="7" t="str">
        <f aca="false">CHOOSE(C775,"ene","feb","mar","abr","may","jun","jul","ago","sep","oct","nov","dic")</f>
        <v>feb</v>
      </c>
      <c r="F775" s="7" t="str">
        <f aca="false">CHOOSE(C775,"enero","febrero","marzo","abril","mayo","junio","julio","agosto","septiembre","octubre","noviembre","diciembre")</f>
        <v>febrero</v>
      </c>
      <c r="G775" s="7" t="str">
        <f aca="false">E775&amp;"-"&amp;RIGHT(B775,2)</f>
        <v>feb-25</v>
      </c>
    </row>
    <row r="776" customFormat="false" ht="15" hidden="false" customHeight="false" outlineLevel="0" collapsed="false">
      <c r="A776" s="8" t="n">
        <f aca="false">A775+1</f>
        <v>45701</v>
      </c>
      <c r="B776" s="7" t="n">
        <f aca="false">YEAR(A776)</f>
        <v>2025</v>
      </c>
      <c r="C776" s="7" t="n">
        <f aca="false">MONTH(A776)</f>
        <v>2</v>
      </c>
      <c r="D776" s="8" t="n">
        <f aca="false">DATE(B776,C776,1)</f>
        <v>45689</v>
      </c>
      <c r="E776" s="7" t="str">
        <f aca="false">CHOOSE(C776,"ene","feb","mar","abr","may","jun","jul","ago","sep","oct","nov","dic")</f>
        <v>feb</v>
      </c>
      <c r="F776" s="7" t="str">
        <f aca="false">CHOOSE(C776,"enero","febrero","marzo","abril","mayo","junio","julio","agosto","septiembre","octubre","noviembre","diciembre")</f>
        <v>febrero</v>
      </c>
      <c r="G776" s="7" t="str">
        <f aca="false">E776&amp;"-"&amp;RIGHT(B776,2)</f>
        <v>feb-25</v>
      </c>
    </row>
    <row r="777" customFormat="false" ht="15" hidden="false" customHeight="false" outlineLevel="0" collapsed="false">
      <c r="A777" s="8" t="n">
        <f aca="false">A776+1</f>
        <v>45702</v>
      </c>
      <c r="B777" s="7" t="n">
        <f aca="false">YEAR(A777)</f>
        <v>2025</v>
      </c>
      <c r="C777" s="7" t="n">
        <f aca="false">MONTH(A777)</f>
        <v>2</v>
      </c>
      <c r="D777" s="8" t="n">
        <f aca="false">DATE(B777,C777,1)</f>
        <v>45689</v>
      </c>
      <c r="E777" s="7" t="str">
        <f aca="false">CHOOSE(C777,"ene","feb","mar","abr","may","jun","jul","ago","sep","oct","nov","dic")</f>
        <v>feb</v>
      </c>
      <c r="F777" s="7" t="str">
        <f aca="false">CHOOSE(C777,"enero","febrero","marzo","abril","mayo","junio","julio","agosto","septiembre","octubre","noviembre","diciembre")</f>
        <v>febrero</v>
      </c>
      <c r="G777" s="7" t="str">
        <f aca="false">E777&amp;"-"&amp;RIGHT(B777,2)</f>
        <v>feb-25</v>
      </c>
    </row>
    <row r="778" customFormat="false" ht="15" hidden="false" customHeight="false" outlineLevel="0" collapsed="false">
      <c r="A778" s="8" t="n">
        <f aca="false">A777+1</f>
        <v>45703</v>
      </c>
      <c r="B778" s="7" t="n">
        <f aca="false">YEAR(A778)</f>
        <v>2025</v>
      </c>
      <c r="C778" s="7" t="n">
        <f aca="false">MONTH(A778)</f>
        <v>2</v>
      </c>
      <c r="D778" s="8" t="n">
        <f aca="false">DATE(B778,C778,1)</f>
        <v>45689</v>
      </c>
      <c r="E778" s="7" t="str">
        <f aca="false">CHOOSE(C778,"ene","feb","mar","abr","may","jun","jul","ago","sep","oct","nov","dic")</f>
        <v>feb</v>
      </c>
      <c r="F778" s="7" t="str">
        <f aca="false">CHOOSE(C778,"enero","febrero","marzo","abril","mayo","junio","julio","agosto","septiembre","octubre","noviembre","diciembre")</f>
        <v>febrero</v>
      </c>
      <c r="G778" s="7" t="str">
        <f aca="false">E778&amp;"-"&amp;RIGHT(B778,2)</f>
        <v>feb-25</v>
      </c>
    </row>
    <row r="779" customFormat="false" ht="15" hidden="false" customHeight="false" outlineLevel="0" collapsed="false">
      <c r="A779" s="8" t="n">
        <f aca="false">A778+1</f>
        <v>45704</v>
      </c>
      <c r="B779" s="7" t="n">
        <f aca="false">YEAR(A779)</f>
        <v>2025</v>
      </c>
      <c r="C779" s="7" t="n">
        <f aca="false">MONTH(A779)</f>
        <v>2</v>
      </c>
      <c r="D779" s="8" t="n">
        <f aca="false">DATE(B779,C779,1)</f>
        <v>45689</v>
      </c>
      <c r="E779" s="7" t="str">
        <f aca="false">CHOOSE(C779,"ene","feb","mar","abr","may","jun","jul","ago","sep","oct","nov","dic")</f>
        <v>feb</v>
      </c>
      <c r="F779" s="7" t="str">
        <f aca="false">CHOOSE(C779,"enero","febrero","marzo","abril","mayo","junio","julio","agosto","septiembre","octubre","noviembre","diciembre")</f>
        <v>febrero</v>
      </c>
      <c r="G779" s="7" t="str">
        <f aca="false">E779&amp;"-"&amp;RIGHT(B779,2)</f>
        <v>feb-25</v>
      </c>
    </row>
    <row r="780" customFormat="false" ht="15" hidden="false" customHeight="false" outlineLevel="0" collapsed="false">
      <c r="A780" s="8" t="n">
        <f aca="false">A779+1</f>
        <v>45705</v>
      </c>
      <c r="B780" s="7" t="n">
        <f aca="false">YEAR(A780)</f>
        <v>2025</v>
      </c>
      <c r="C780" s="7" t="n">
        <f aca="false">MONTH(A780)</f>
        <v>2</v>
      </c>
      <c r="D780" s="8" t="n">
        <f aca="false">DATE(B780,C780,1)</f>
        <v>45689</v>
      </c>
      <c r="E780" s="7" t="str">
        <f aca="false">CHOOSE(C780,"ene","feb","mar","abr","may","jun","jul","ago","sep","oct","nov","dic")</f>
        <v>feb</v>
      </c>
      <c r="F780" s="7" t="str">
        <f aca="false">CHOOSE(C780,"enero","febrero","marzo","abril","mayo","junio","julio","agosto","septiembre","octubre","noviembre","diciembre")</f>
        <v>febrero</v>
      </c>
      <c r="G780" s="7" t="str">
        <f aca="false">E780&amp;"-"&amp;RIGHT(B780,2)</f>
        <v>feb-25</v>
      </c>
    </row>
    <row r="781" customFormat="false" ht="15" hidden="false" customHeight="false" outlineLevel="0" collapsed="false">
      <c r="A781" s="8" t="n">
        <f aca="false">A780+1</f>
        <v>45706</v>
      </c>
      <c r="B781" s="7" t="n">
        <f aca="false">YEAR(A781)</f>
        <v>2025</v>
      </c>
      <c r="C781" s="7" t="n">
        <f aca="false">MONTH(A781)</f>
        <v>2</v>
      </c>
      <c r="D781" s="8" t="n">
        <f aca="false">DATE(B781,C781,1)</f>
        <v>45689</v>
      </c>
      <c r="E781" s="7" t="str">
        <f aca="false">CHOOSE(C781,"ene","feb","mar","abr","may","jun","jul","ago","sep","oct","nov","dic")</f>
        <v>feb</v>
      </c>
      <c r="F781" s="7" t="str">
        <f aca="false">CHOOSE(C781,"enero","febrero","marzo","abril","mayo","junio","julio","agosto","septiembre","octubre","noviembre","diciembre")</f>
        <v>febrero</v>
      </c>
      <c r="G781" s="7" t="str">
        <f aca="false">E781&amp;"-"&amp;RIGHT(B781,2)</f>
        <v>feb-25</v>
      </c>
    </row>
    <row r="782" customFormat="false" ht="15" hidden="false" customHeight="false" outlineLevel="0" collapsed="false">
      <c r="A782" s="8" t="n">
        <f aca="false">A781+1</f>
        <v>45707</v>
      </c>
      <c r="B782" s="7" t="n">
        <f aca="false">YEAR(A782)</f>
        <v>2025</v>
      </c>
      <c r="C782" s="7" t="n">
        <f aca="false">MONTH(A782)</f>
        <v>2</v>
      </c>
      <c r="D782" s="8" t="n">
        <f aca="false">DATE(B782,C782,1)</f>
        <v>45689</v>
      </c>
      <c r="E782" s="7" t="str">
        <f aca="false">CHOOSE(C782,"ene","feb","mar","abr","may","jun","jul","ago","sep","oct","nov","dic")</f>
        <v>feb</v>
      </c>
      <c r="F782" s="7" t="str">
        <f aca="false">CHOOSE(C782,"enero","febrero","marzo","abril","mayo","junio","julio","agosto","septiembre","octubre","noviembre","diciembre")</f>
        <v>febrero</v>
      </c>
      <c r="G782" s="7" t="str">
        <f aca="false">E782&amp;"-"&amp;RIGHT(B782,2)</f>
        <v>feb-25</v>
      </c>
    </row>
    <row r="783" customFormat="false" ht="15" hidden="false" customHeight="false" outlineLevel="0" collapsed="false">
      <c r="A783" s="8" t="n">
        <f aca="false">A782+1</f>
        <v>45708</v>
      </c>
      <c r="B783" s="7" t="n">
        <f aca="false">YEAR(A783)</f>
        <v>2025</v>
      </c>
      <c r="C783" s="7" t="n">
        <f aca="false">MONTH(A783)</f>
        <v>2</v>
      </c>
      <c r="D783" s="8" t="n">
        <f aca="false">DATE(B783,C783,1)</f>
        <v>45689</v>
      </c>
      <c r="E783" s="7" t="str">
        <f aca="false">CHOOSE(C783,"ene","feb","mar","abr","may","jun","jul","ago","sep","oct","nov","dic")</f>
        <v>feb</v>
      </c>
      <c r="F783" s="7" t="str">
        <f aca="false">CHOOSE(C783,"enero","febrero","marzo","abril","mayo","junio","julio","agosto","septiembre","octubre","noviembre","diciembre")</f>
        <v>febrero</v>
      </c>
      <c r="G783" s="7" t="str">
        <f aca="false">E783&amp;"-"&amp;RIGHT(B783,2)</f>
        <v>feb-25</v>
      </c>
    </row>
    <row r="784" customFormat="false" ht="15" hidden="false" customHeight="false" outlineLevel="0" collapsed="false">
      <c r="A784" s="8" t="n">
        <f aca="false">A783+1</f>
        <v>45709</v>
      </c>
      <c r="B784" s="7" t="n">
        <f aca="false">YEAR(A784)</f>
        <v>2025</v>
      </c>
      <c r="C784" s="7" t="n">
        <f aca="false">MONTH(A784)</f>
        <v>2</v>
      </c>
      <c r="D784" s="8" t="n">
        <f aca="false">DATE(B784,C784,1)</f>
        <v>45689</v>
      </c>
      <c r="E784" s="7" t="str">
        <f aca="false">CHOOSE(C784,"ene","feb","mar","abr","may","jun","jul","ago","sep","oct","nov","dic")</f>
        <v>feb</v>
      </c>
      <c r="F784" s="7" t="str">
        <f aca="false">CHOOSE(C784,"enero","febrero","marzo","abril","mayo","junio","julio","agosto","septiembre","octubre","noviembre","diciembre")</f>
        <v>febrero</v>
      </c>
      <c r="G784" s="7" t="str">
        <f aca="false">E784&amp;"-"&amp;RIGHT(B784,2)</f>
        <v>feb-25</v>
      </c>
    </row>
    <row r="785" customFormat="false" ht="15" hidden="false" customHeight="false" outlineLevel="0" collapsed="false">
      <c r="A785" s="8" t="n">
        <f aca="false">A784+1</f>
        <v>45710</v>
      </c>
      <c r="B785" s="7" t="n">
        <f aca="false">YEAR(A785)</f>
        <v>2025</v>
      </c>
      <c r="C785" s="7" t="n">
        <f aca="false">MONTH(A785)</f>
        <v>2</v>
      </c>
      <c r="D785" s="8" t="n">
        <f aca="false">DATE(B785,C785,1)</f>
        <v>45689</v>
      </c>
      <c r="E785" s="7" t="str">
        <f aca="false">CHOOSE(C785,"ene","feb","mar","abr","may","jun","jul","ago","sep","oct","nov","dic")</f>
        <v>feb</v>
      </c>
      <c r="F785" s="7" t="str">
        <f aca="false">CHOOSE(C785,"enero","febrero","marzo","abril","mayo","junio","julio","agosto","septiembre","octubre","noviembre","diciembre")</f>
        <v>febrero</v>
      </c>
      <c r="G785" s="7" t="str">
        <f aca="false">E785&amp;"-"&amp;RIGHT(B785,2)</f>
        <v>feb-25</v>
      </c>
    </row>
    <row r="786" customFormat="false" ht="15" hidden="false" customHeight="false" outlineLevel="0" collapsed="false">
      <c r="A786" s="8" t="n">
        <f aca="false">A785+1</f>
        <v>45711</v>
      </c>
      <c r="B786" s="7" t="n">
        <f aca="false">YEAR(A786)</f>
        <v>2025</v>
      </c>
      <c r="C786" s="7" t="n">
        <f aca="false">MONTH(A786)</f>
        <v>2</v>
      </c>
      <c r="D786" s="8" t="n">
        <f aca="false">DATE(B786,C786,1)</f>
        <v>45689</v>
      </c>
      <c r="E786" s="7" t="str">
        <f aca="false">CHOOSE(C786,"ene","feb","mar","abr","may","jun","jul","ago","sep","oct","nov","dic")</f>
        <v>feb</v>
      </c>
      <c r="F786" s="7" t="str">
        <f aca="false">CHOOSE(C786,"enero","febrero","marzo","abril","mayo","junio","julio","agosto","septiembre","octubre","noviembre","diciembre")</f>
        <v>febrero</v>
      </c>
      <c r="G786" s="7" t="str">
        <f aca="false">E786&amp;"-"&amp;RIGHT(B786,2)</f>
        <v>feb-25</v>
      </c>
    </row>
    <row r="787" customFormat="false" ht="15" hidden="false" customHeight="false" outlineLevel="0" collapsed="false">
      <c r="A787" s="8" t="n">
        <f aca="false">A786+1</f>
        <v>45712</v>
      </c>
      <c r="B787" s="7" t="n">
        <f aca="false">YEAR(A787)</f>
        <v>2025</v>
      </c>
      <c r="C787" s="7" t="n">
        <f aca="false">MONTH(A787)</f>
        <v>2</v>
      </c>
      <c r="D787" s="8" t="n">
        <f aca="false">DATE(B787,C787,1)</f>
        <v>45689</v>
      </c>
      <c r="E787" s="7" t="str">
        <f aca="false">CHOOSE(C787,"ene","feb","mar","abr","may","jun","jul","ago","sep","oct","nov","dic")</f>
        <v>feb</v>
      </c>
      <c r="F787" s="7" t="str">
        <f aca="false">CHOOSE(C787,"enero","febrero","marzo","abril","mayo","junio","julio","agosto","septiembre","octubre","noviembre","diciembre")</f>
        <v>febrero</v>
      </c>
      <c r="G787" s="7" t="str">
        <f aca="false">E787&amp;"-"&amp;RIGHT(B787,2)</f>
        <v>feb-25</v>
      </c>
    </row>
    <row r="788" customFormat="false" ht="15" hidden="false" customHeight="false" outlineLevel="0" collapsed="false">
      <c r="A788" s="8" t="n">
        <f aca="false">A787+1</f>
        <v>45713</v>
      </c>
      <c r="B788" s="7" t="n">
        <f aca="false">YEAR(A788)</f>
        <v>2025</v>
      </c>
      <c r="C788" s="7" t="n">
        <f aca="false">MONTH(A788)</f>
        <v>2</v>
      </c>
      <c r="D788" s="8" t="n">
        <f aca="false">DATE(B788,C788,1)</f>
        <v>45689</v>
      </c>
      <c r="E788" s="7" t="str">
        <f aca="false">CHOOSE(C788,"ene","feb","mar","abr","may","jun","jul","ago","sep","oct","nov","dic")</f>
        <v>feb</v>
      </c>
      <c r="F788" s="7" t="str">
        <f aca="false">CHOOSE(C788,"enero","febrero","marzo","abril","mayo","junio","julio","agosto","septiembre","octubre","noviembre","diciembre")</f>
        <v>febrero</v>
      </c>
      <c r="G788" s="7" t="str">
        <f aca="false">E788&amp;"-"&amp;RIGHT(B788,2)</f>
        <v>feb-25</v>
      </c>
    </row>
    <row r="789" customFormat="false" ht="15" hidden="false" customHeight="false" outlineLevel="0" collapsed="false">
      <c r="A789" s="8" t="n">
        <f aca="false">A788+1</f>
        <v>45714</v>
      </c>
      <c r="B789" s="7" t="n">
        <f aca="false">YEAR(A789)</f>
        <v>2025</v>
      </c>
      <c r="C789" s="7" t="n">
        <f aca="false">MONTH(A789)</f>
        <v>2</v>
      </c>
      <c r="D789" s="8" t="n">
        <f aca="false">DATE(B789,C789,1)</f>
        <v>45689</v>
      </c>
      <c r="E789" s="7" t="str">
        <f aca="false">CHOOSE(C789,"ene","feb","mar","abr","may","jun","jul","ago","sep","oct","nov","dic")</f>
        <v>feb</v>
      </c>
      <c r="F789" s="7" t="str">
        <f aca="false">CHOOSE(C789,"enero","febrero","marzo","abril","mayo","junio","julio","agosto","septiembre","octubre","noviembre","diciembre")</f>
        <v>febrero</v>
      </c>
      <c r="G789" s="7" t="str">
        <f aca="false">E789&amp;"-"&amp;RIGHT(B789,2)</f>
        <v>feb-25</v>
      </c>
    </row>
    <row r="790" customFormat="false" ht="15" hidden="false" customHeight="false" outlineLevel="0" collapsed="false">
      <c r="A790" s="8" t="n">
        <f aca="false">A789+1</f>
        <v>45715</v>
      </c>
      <c r="B790" s="7" t="n">
        <f aca="false">YEAR(A790)</f>
        <v>2025</v>
      </c>
      <c r="C790" s="7" t="n">
        <f aca="false">MONTH(A790)</f>
        <v>2</v>
      </c>
      <c r="D790" s="8" t="n">
        <f aca="false">DATE(B790,C790,1)</f>
        <v>45689</v>
      </c>
      <c r="E790" s="7" t="str">
        <f aca="false">CHOOSE(C790,"ene","feb","mar","abr","may","jun","jul","ago","sep","oct","nov","dic")</f>
        <v>feb</v>
      </c>
      <c r="F790" s="7" t="str">
        <f aca="false">CHOOSE(C790,"enero","febrero","marzo","abril","mayo","junio","julio","agosto","septiembre","octubre","noviembre","diciembre")</f>
        <v>febrero</v>
      </c>
      <c r="G790" s="7" t="str">
        <f aca="false">E790&amp;"-"&amp;RIGHT(B790,2)</f>
        <v>feb-25</v>
      </c>
    </row>
    <row r="791" customFormat="false" ht="15" hidden="false" customHeight="false" outlineLevel="0" collapsed="false">
      <c r="A791" s="8" t="n">
        <f aca="false">A790+1</f>
        <v>45716</v>
      </c>
      <c r="B791" s="7" t="n">
        <f aca="false">YEAR(A791)</f>
        <v>2025</v>
      </c>
      <c r="C791" s="7" t="n">
        <f aca="false">MONTH(A791)</f>
        <v>2</v>
      </c>
      <c r="D791" s="8" t="n">
        <f aca="false">DATE(B791,C791,1)</f>
        <v>45689</v>
      </c>
      <c r="E791" s="7" t="str">
        <f aca="false">CHOOSE(C791,"ene","feb","mar","abr","may","jun","jul","ago","sep","oct","nov","dic")</f>
        <v>feb</v>
      </c>
      <c r="F791" s="7" t="str">
        <f aca="false">CHOOSE(C791,"enero","febrero","marzo","abril","mayo","junio","julio","agosto","septiembre","octubre","noviembre","diciembre")</f>
        <v>febrero</v>
      </c>
      <c r="G791" s="7" t="str">
        <f aca="false">E791&amp;"-"&amp;RIGHT(B791,2)</f>
        <v>feb-25</v>
      </c>
    </row>
    <row r="792" customFormat="false" ht="15" hidden="false" customHeight="false" outlineLevel="0" collapsed="false">
      <c r="A792" s="8" t="n">
        <f aca="false">A791+1</f>
        <v>45717</v>
      </c>
      <c r="B792" s="7" t="n">
        <f aca="false">YEAR(A792)</f>
        <v>2025</v>
      </c>
      <c r="C792" s="7" t="n">
        <f aca="false">MONTH(A792)</f>
        <v>3</v>
      </c>
      <c r="D792" s="8" t="n">
        <f aca="false">DATE(B792,C792,1)</f>
        <v>45717</v>
      </c>
      <c r="E792" s="7" t="str">
        <f aca="false">CHOOSE(C792,"ene","feb","mar","abr","may","jun","jul","ago","sep","oct","nov","dic")</f>
        <v>mar</v>
      </c>
      <c r="F792" s="7" t="str">
        <f aca="false">CHOOSE(C792,"enero","febrero","marzo","abril","mayo","junio","julio","agosto","septiembre","octubre","noviembre","diciembre")</f>
        <v>marzo</v>
      </c>
      <c r="G792" s="7" t="str">
        <f aca="false">E792&amp;"-"&amp;RIGHT(B792,2)</f>
        <v>mar-25</v>
      </c>
    </row>
    <row r="793" customFormat="false" ht="15" hidden="false" customHeight="false" outlineLevel="0" collapsed="false">
      <c r="A793" s="8" t="n">
        <f aca="false">A792+1</f>
        <v>45718</v>
      </c>
      <c r="B793" s="7" t="n">
        <f aca="false">YEAR(A793)</f>
        <v>2025</v>
      </c>
      <c r="C793" s="7" t="n">
        <f aca="false">MONTH(A793)</f>
        <v>3</v>
      </c>
      <c r="D793" s="8" t="n">
        <f aca="false">DATE(B793,C793,1)</f>
        <v>45717</v>
      </c>
      <c r="E793" s="7" t="str">
        <f aca="false">CHOOSE(C793,"ene","feb","mar","abr","may","jun","jul","ago","sep","oct","nov","dic")</f>
        <v>mar</v>
      </c>
      <c r="F793" s="7" t="str">
        <f aca="false">CHOOSE(C793,"enero","febrero","marzo","abril","mayo","junio","julio","agosto","septiembre","octubre","noviembre","diciembre")</f>
        <v>marzo</v>
      </c>
      <c r="G793" s="7" t="str">
        <f aca="false">E793&amp;"-"&amp;RIGHT(B793,2)</f>
        <v>mar-25</v>
      </c>
    </row>
    <row r="794" customFormat="false" ht="15" hidden="false" customHeight="false" outlineLevel="0" collapsed="false">
      <c r="A794" s="8" t="n">
        <f aca="false">A793+1</f>
        <v>45719</v>
      </c>
      <c r="B794" s="7" t="n">
        <f aca="false">YEAR(A794)</f>
        <v>2025</v>
      </c>
      <c r="C794" s="7" t="n">
        <f aca="false">MONTH(A794)</f>
        <v>3</v>
      </c>
      <c r="D794" s="8" t="n">
        <f aca="false">DATE(B794,C794,1)</f>
        <v>45717</v>
      </c>
      <c r="E794" s="7" t="str">
        <f aca="false">CHOOSE(C794,"ene","feb","mar","abr","may","jun","jul","ago","sep","oct","nov","dic")</f>
        <v>mar</v>
      </c>
      <c r="F794" s="7" t="str">
        <f aca="false">CHOOSE(C794,"enero","febrero","marzo","abril","mayo","junio","julio","agosto","septiembre","octubre","noviembre","diciembre")</f>
        <v>marzo</v>
      </c>
      <c r="G794" s="7" t="str">
        <f aca="false">E794&amp;"-"&amp;RIGHT(B794,2)</f>
        <v>mar-25</v>
      </c>
    </row>
    <row r="795" customFormat="false" ht="15" hidden="false" customHeight="false" outlineLevel="0" collapsed="false">
      <c r="A795" s="8" t="n">
        <f aca="false">A794+1</f>
        <v>45720</v>
      </c>
      <c r="B795" s="7" t="n">
        <f aca="false">YEAR(A795)</f>
        <v>2025</v>
      </c>
      <c r="C795" s="7" t="n">
        <f aca="false">MONTH(A795)</f>
        <v>3</v>
      </c>
      <c r="D795" s="8" t="n">
        <f aca="false">DATE(B795,C795,1)</f>
        <v>45717</v>
      </c>
      <c r="E795" s="7" t="str">
        <f aca="false">CHOOSE(C795,"ene","feb","mar","abr","may","jun","jul","ago","sep","oct","nov","dic")</f>
        <v>mar</v>
      </c>
      <c r="F795" s="7" t="str">
        <f aca="false">CHOOSE(C795,"enero","febrero","marzo","abril","mayo","junio","julio","agosto","septiembre","octubre","noviembre","diciembre")</f>
        <v>marzo</v>
      </c>
      <c r="G795" s="7" t="str">
        <f aca="false">E795&amp;"-"&amp;RIGHT(B795,2)</f>
        <v>mar-25</v>
      </c>
    </row>
    <row r="796" customFormat="false" ht="15" hidden="false" customHeight="false" outlineLevel="0" collapsed="false">
      <c r="A796" s="8" t="n">
        <f aca="false">A795+1</f>
        <v>45721</v>
      </c>
      <c r="B796" s="7" t="n">
        <f aca="false">YEAR(A796)</f>
        <v>2025</v>
      </c>
      <c r="C796" s="7" t="n">
        <f aca="false">MONTH(A796)</f>
        <v>3</v>
      </c>
      <c r="D796" s="8" t="n">
        <f aca="false">DATE(B796,C796,1)</f>
        <v>45717</v>
      </c>
      <c r="E796" s="7" t="str">
        <f aca="false">CHOOSE(C796,"ene","feb","mar","abr","may","jun","jul","ago","sep","oct","nov","dic")</f>
        <v>mar</v>
      </c>
      <c r="F796" s="7" t="str">
        <f aca="false">CHOOSE(C796,"enero","febrero","marzo","abril","mayo","junio","julio","agosto","septiembre","octubre","noviembre","diciembre")</f>
        <v>marzo</v>
      </c>
      <c r="G796" s="7" t="str">
        <f aca="false">E796&amp;"-"&amp;RIGHT(B796,2)</f>
        <v>mar-25</v>
      </c>
    </row>
    <row r="797" customFormat="false" ht="15" hidden="false" customHeight="false" outlineLevel="0" collapsed="false">
      <c r="A797" s="8" t="n">
        <f aca="false">A796+1</f>
        <v>45722</v>
      </c>
      <c r="B797" s="7" t="n">
        <f aca="false">YEAR(A797)</f>
        <v>2025</v>
      </c>
      <c r="C797" s="7" t="n">
        <f aca="false">MONTH(A797)</f>
        <v>3</v>
      </c>
      <c r="D797" s="8" t="n">
        <f aca="false">DATE(B797,C797,1)</f>
        <v>45717</v>
      </c>
      <c r="E797" s="7" t="str">
        <f aca="false">CHOOSE(C797,"ene","feb","mar","abr","may","jun","jul","ago","sep","oct","nov","dic")</f>
        <v>mar</v>
      </c>
      <c r="F797" s="7" t="str">
        <f aca="false">CHOOSE(C797,"enero","febrero","marzo","abril","mayo","junio","julio","agosto","septiembre","octubre","noviembre","diciembre")</f>
        <v>marzo</v>
      </c>
      <c r="G797" s="7" t="str">
        <f aca="false">E797&amp;"-"&amp;RIGHT(B797,2)</f>
        <v>mar-25</v>
      </c>
    </row>
    <row r="798" customFormat="false" ht="15" hidden="false" customHeight="false" outlineLevel="0" collapsed="false">
      <c r="A798" s="8" t="n">
        <f aca="false">A797+1</f>
        <v>45723</v>
      </c>
      <c r="B798" s="7" t="n">
        <f aca="false">YEAR(A798)</f>
        <v>2025</v>
      </c>
      <c r="C798" s="7" t="n">
        <f aca="false">MONTH(A798)</f>
        <v>3</v>
      </c>
      <c r="D798" s="8" t="n">
        <f aca="false">DATE(B798,C798,1)</f>
        <v>45717</v>
      </c>
      <c r="E798" s="7" t="str">
        <f aca="false">CHOOSE(C798,"ene","feb","mar","abr","may","jun","jul","ago","sep","oct","nov","dic")</f>
        <v>mar</v>
      </c>
      <c r="F798" s="7" t="str">
        <f aca="false">CHOOSE(C798,"enero","febrero","marzo","abril","mayo","junio","julio","agosto","septiembre","octubre","noviembre","diciembre")</f>
        <v>marzo</v>
      </c>
      <c r="G798" s="7" t="str">
        <f aca="false">E798&amp;"-"&amp;RIGHT(B798,2)</f>
        <v>mar-25</v>
      </c>
    </row>
    <row r="799" customFormat="false" ht="15" hidden="false" customHeight="false" outlineLevel="0" collapsed="false">
      <c r="A799" s="8" t="n">
        <f aca="false">A798+1</f>
        <v>45724</v>
      </c>
      <c r="B799" s="7" t="n">
        <f aca="false">YEAR(A799)</f>
        <v>2025</v>
      </c>
      <c r="C799" s="7" t="n">
        <f aca="false">MONTH(A799)</f>
        <v>3</v>
      </c>
      <c r="D799" s="8" t="n">
        <f aca="false">DATE(B799,C799,1)</f>
        <v>45717</v>
      </c>
      <c r="E799" s="7" t="str">
        <f aca="false">CHOOSE(C799,"ene","feb","mar","abr","may","jun","jul","ago","sep","oct","nov","dic")</f>
        <v>mar</v>
      </c>
      <c r="F799" s="7" t="str">
        <f aca="false">CHOOSE(C799,"enero","febrero","marzo","abril","mayo","junio","julio","agosto","septiembre","octubre","noviembre","diciembre")</f>
        <v>marzo</v>
      </c>
      <c r="G799" s="7" t="str">
        <f aca="false">E799&amp;"-"&amp;RIGHT(B799,2)</f>
        <v>mar-25</v>
      </c>
    </row>
    <row r="800" customFormat="false" ht="15" hidden="false" customHeight="false" outlineLevel="0" collapsed="false">
      <c r="A800" s="8" t="n">
        <f aca="false">A799+1</f>
        <v>45725</v>
      </c>
      <c r="B800" s="7" t="n">
        <f aca="false">YEAR(A800)</f>
        <v>2025</v>
      </c>
      <c r="C800" s="7" t="n">
        <f aca="false">MONTH(A800)</f>
        <v>3</v>
      </c>
      <c r="D800" s="8" t="n">
        <f aca="false">DATE(B800,C800,1)</f>
        <v>45717</v>
      </c>
      <c r="E800" s="7" t="str">
        <f aca="false">CHOOSE(C800,"ene","feb","mar","abr","may","jun","jul","ago","sep","oct","nov","dic")</f>
        <v>mar</v>
      </c>
      <c r="F800" s="7" t="str">
        <f aca="false">CHOOSE(C800,"enero","febrero","marzo","abril","mayo","junio","julio","agosto","septiembre","octubre","noviembre","diciembre")</f>
        <v>marzo</v>
      </c>
      <c r="G800" s="7" t="str">
        <f aca="false">E800&amp;"-"&amp;RIGHT(B800,2)</f>
        <v>mar-25</v>
      </c>
    </row>
    <row r="801" customFormat="false" ht="15" hidden="false" customHeight="false" outlineLevel="0" collapsed="false">
      <c r="A801" s="8" t="n">
        <f aca="false">A800+1</f>
        <v>45726</v>
      </c>
      <c r="B801" s="7" t="n">
        <f aca="false">YEAR(A801)</f>
        <v>2025</v>
      </c>
      <c r="C801" s="7" t="n">
        <f aca="false">MONTH(A801)</f>
        <v>3</v>
      </c>
      <c r="D801" s="8" t="n">
        <f aca="false">DATE(B801,C801,1)</f>
        <v>45717</v>
      </c>
      <c r="E801" s="7" t="str">
        <f aca="false">CHOOSE(C801,"ene","feb","mar","abr","may","jun","jul","ago","sep","oct","nov","dic")</f>
        <v>mar</v>
      </c>
      <c r="F801" s="7" t="str">
        <f aca="false">CHOOSE(C801,"enero","febrero","marzo","abril","mayo","junio","julio","agosto","septiembre","octubre","noviembre","diciembre")</f>
        <v>marzo</v>
      </c>
      <c r="G801" s="7" t="str">
        <f aca="false">E801&amp;"-"&amp;RIGHT(B801,2)</f>
        <v>mar-25</v>
      </c>
    </row>
    <row r="802" customFormat="false" ht="15" hidden="false" customHeight="false" outlineLevel="0" collapsed="false">
      <c r="A802" s="8" t="n">
        <f aca="false">A801+1</f>
        <v>45727</v>
      </c>
      <c r="B802" s="7" t="n">
        <f aca="false">YEAR(A802)</f>
        <v>2025</v>
      </c>
      <c r="C802" s="7" t="n">
        <f aca="false">MONTH(A802)</f>
        <v>3</v>
      </c>
      <c r="D802" s="8" t="n">
        <f aca="false">DATE(B802,C802,1)</f>
        <v>45717</v>
      </c>
      <c r="E802" s="7" t="str">
        <f aca="false">CHOOSE(C802,"ene","feb","mar","abr","may","jun","jul","ago","sep","oct","nov","dic")</f>
        <v>mar</v>
      </c>
      <c r="F802" s="7" t="str">
        <f aca="false">CHOOSE(C802,"enero","febrero","marzo","abril","mayo","junio","julio","agosto","septiembre","octubre","noviembre","diciembre")</f>
        <v>marzo</v>
      </c>
      <c r="G802" s="7" t="str">
        <f aca="false">E802&amp;"-"&amp;RIGHT(B802,2)</f>
        <v>mar-25</v>
      </c>
    </row>
    <row r="803" customFormat="false" ht="15" hidden="false" customHeight="false" outlineLevel="0" collapsed="false">
      <c r="A803" s="8" t="n">
        <f aca="false">A802+1</f>
        <v>45728</v>
      </c>
      <c r="B803" s="7" t="n">
        <f aca="false">YEAR(A803)</f>
        <v>2025</v>
      </c>
      <c r="C803" s="7" t="n">
        <f aca="false">MONTH(A803)</f>
        <v>3</v>
      </c>
      <c r="D803" s="8" t="n">
        <f aca="false">DATE(B803,C803,1)</f>
        <v>45717</v>
      </c>
      <c r="E803" s="7" t="str">
        <f aca="false">CHOOSE(C803,"ene","feb","mar","abr","may","jun","jul","ago","sep","oct","nov","dic")</f>
        <v>mar</v>
      </c>
      <c r="F803" s="7" t="str">
        <f aca="false">CHOOSE(C803,"enero","febrero","marzo","abril","mayo","junio","julio","agosto","septiembre","octubre","noviembre","diciembre")</f>
        <v>marzo</v>
      </c>
      <c r="G803" s="7" t="str">
        <f aca="false">E803&amp;"-"&amp;RIGHT(B803,2)</f>
        <v>mar-25</v>
      </c>
    </row>
    <row r="804" customFormat="false" ht="15" hidden="false" customHeight="false" outlineLevel="0" collapsed="false">
      <c r="A804" s="8" t="n">
        <f aca="false">A803+1</f>
        <v>45729</v>
      </c>
      <c r="B804" s="7" t="n">
        <f aca="false">YEAR(A804)</f>
        <v>2025</v>
      </c>
      <c r="C804" s="7" t="n">
        <f aca="false">MONTH(A804)</f>
        <v>3</v>
      </c>
      <c r="D804" s="8" t="n">
        <f aca="false">DATE(B804,C804,1)</f>
        <v>45717</v>
      </c>
      <c r="E804" s="7" t="str">
        <f aca="false">CHOOSE(C804,"ene","feb","mar","abr","may","jun","jul","ago","sep","oct","nov","dic")</f>
        <v>mar</v>
      </c>
      <c r="F804" s="7" t="str">
        <f aca="false">CHOOSE(C804,"enero","febrero","marzo","abril","mayo","junio","julio","agosto","septiembre","octubre","noviembre","diciembre")</f>
        <v>marzo</v>
      </c>
      <c r="G804" s="7" t="str">
        <f aca="false">E804&amp;"-"&amp;RIGHT(B804,2)</f>
        <v>mar-25</v>
      </c>
    </row>
    <row r="805" customFormat="false" ht="15" hidden="false" customHeight="false" outlineLevel="0" collapsed="false">
      <c r="A805" s="8" t="n">
        <f aca="false">A804+1</f>
        <v>45730</v>
      </c>
      <c r="B805" s="7" t="n">
        <f aca="false">YEAR(A805)</f>
        <v>2025</v>
      </c>
      <c r="C805" s="7" t="n">
        <f aca="false">MONTH(A805)</f>
        <v>3</v>
      </c>
      <c r="D805" s="8" t="n">
        <f aca="false">DATE(B805,C805,1)</f>
        <v>45717</v>
      </c>
      <c r="E805" s="7" t="str">
        <f aca="false">CHOOSE(C805,"ene","feb","mar","abr","may","jun","jul","ago","sep","oct","nov","dic")</f>
        <v>mar</v>
      </c>
      <c r="F805" s="7" t="str">
        <f aca="false">CHOOSE(C805,"enero","febrero","marzo","abril","mayo","junio","julio","agosto","septiembre","octubre","noviembre","diciembre")</f>
        <v>marzo</v>
      </c>
      <c r="G805" s="7" t="str">
        <f aca="false">E805&amp;"-"&amp;RIGHT(B805,2)</f>
        <v>mar-25</v>
      </c>
    </row>
    <row r="806" customFormat="false" ht="15" hidden="false" customHeight="false" outlineLevel="0" collapsed="false">
      <c r="A806" s="8" t="n">
        <f aca="false">A805+1</f>
        <v>45731</v>
      </c>
      <c r="B806" s="7" t="n">
        <f aca="false">YEAR(A806)</f>
        <v>2025</v>
      </c>
      <c r="C806" s="7" t="n">
        <f aca="false">MONTH(A806)</f>
        <v>3</v>
      </c>
      <c r="D806" s="8" t="n">
        <f aca="false">DATE(B806,C806,1)</f>
        <v>45717</v>
      </c>
      <c r="E806" s="7" t="str">
        <f aca="false">CHOOSE(C806,"ene","feb","mar","abr","may","jun","jul","ago","sep","oct","nov","dic")</f>
        <v>mar</v>
      </c>
      <c r="F806" s="7" t="str">
        <f aca="false">CHOOSE(C806,"enero","febrero","marzo","abril","mayo","junio","julio","agosto","septiembre","octubre","noviembre","diciembre")</f>
        <v>marzo</v>
      </c>
      <c r="G806" s="7" t="str">
        <f aca="false">E806&amp;"-"&amp;RIGHT(B806,2)</f>
        <v>mar-25</v>
      </c>
    </row>
    <row r="807" customFormat="false" ht="15" hidden="false" customHeight="false" outlineLevel="0" collapsed="false">
      <c r="A807" s="8" t="n">
        <f aca="false">A806+1</f>
        <v>45732</v>
      </c>
      <c r="B807" s="7" t="n">
        <f aca="false">YEAR(A807)</f>
        <v>2025</v>
      </c>
      <c r="C807" s="7" t="n">
        <f aca="false">MONTH(A807)</f>
        <v>3</v>
      </c>
      <c r="D807" s="8" t="n">
        <f aca="false">DATE(B807,C807,1)</f>
        <v>45717</v>
      </c>
      <c r="E807" s="7" t="str">
        <f aca="false">CHOOSE(C807,"ene","feb","mar","abr","may","jun","jul","ago","sep","oct","nov","dic")</f>
        <v>mar</v>
      </c>
      <c r="F807" s="7" t="str">
        <f aca="false">CHOOSE(C807,"enero","febrero","marzo","abril","mayo","junio","julio","agosto","septiembre","octubre","noviembre","diciembre")</f>
        <v>marzo</v>
      </c>
      <c r="G807" s="7" t="str">
        <f aca="false">E807&amp;"-"&amp;RIGHT(B807,2)</f>
        <v>mar-25</v>
      </c>
    </row>
    <row r="808" customFormat="false" ht="15" hidden="false" customHeight="false" outlineLevel="0" collapsed="false">
      <c r="A808" s="8" t="n">
        <f aca="false">A807+1</f>
        <v>45733</v>
      </c>
      <c r="B808" s="7" t="n">
        <f aca="false">YEAR(A808)</f>
        <v>2025</v>
      </c>
      <c r="C808" s="7" t="n">
        <f aca="false">MONTH(A808)</f>
        <v>3</v>
      </c>
      <c r="D808" s="8" t="n">
        <f aca="false">DATE(B808,C808,1)</f>
        <v>45717</v>
      </c>
      <c r="E808" s="7" t="str">
        <f aca="false">CHOOSE(C808,"ene","feb","mar","abr","may","jun","jul","ago","sep","oct","nov","dic")</f>
        <v>mar</v>
      </c>
      <c r="F808" s="7" t="str">
        <f aca="false">CHOOSE(C808,"enero","febrero","marzo","abril","mayo","junio","julio","agosto","septiembre","octubre","noviembre","diciembre")</f>
        <v>marzo</v>
      </c>
      <c r="G808" s="7" t="str">
        <f aca="false">E808&amp;"-"&amp;RIGHT(B808,2)</f>
        <v>mar-25</v>
      </c>
    </row>
    <row r="809" customFormat="false" ht="15" hidden="false" customHeight="false" outlineLevel="0" collapsed="false">
      <c r="A809" s="8" t="n">
        <f aca="false">A808+1</f>
        <v>45734</v>
      </c>
      <c r="B809" s="7" t="n">
        <f aca="false">YEAR(A809)</f>
        <v>2025</v>
      </c>
      <c r="C809" s="7" t="n">
        <f aca="false">MONTH(A809)</f>
        <v>3</v>
      </c>
      <c r="D809" s="8" t="n">
        <f aca="false">DATE(B809,C809,1)</f>
        <v>45717</v>
      </c>
      <c r="E809" s="7" t="str">
        <f aca="false">CHOOSE(C809,"ene","feb","mar","abr","may","jun","jul","ago","sep","oct","nov","dic")</f>
        <v>mar</v>
      </c>
      <c r="F809" s="7" t="str">
        <f aca="false">CHOOSE(C809,"enero","febrero","marzo","abril","mayo","junio","julio","agosto","septiembre","octubre","noviembre","diciembre")</f>
        <v>marzo</v>
      </c>
      <c r="G809" s="7" t="str">
        <f aca="false">E809&amp;"-"&amp;RIGHT(B809,2)</f>
        <v>mar-25</v>
      </c>
    </row>
    <row r="810" customFormat="false" ht="15" hidden="false" customHeight="false" outlineLevel="0" collapsed="false">
      <c r="A810" s="8" t="n">
        <f aca="false">A809+1</f>
        <v>45735</v>
      </c>
      <c r="B810" s="7" t="n">
        <f aca="false">YEAR(A810)</f>
        <v>2025</v>
      </c>
      <c r="C810" s="7" t="n">
        <f aca="false">MONTH(A810)</f>
        <v>3</v>
      </c>
      <c r="D810" s="8" t="n">
        <f aca="false">DATE(B810,C810,1)</f>
        <v>45717</v>
      </c>
      <c r="E810" s="7" t="str">
        <f aca="false">CHOOSE(C810,"ene","feb","mar","abr","may","jun","jul","ago","sep","oct","nov","dic")</f>
        <v>mar</v>
      </c>
      <c r="F810" s="7" t="str">
        <f aca="false">CHOOSE(C810,"enero","febrero","marzo","abril","mayo","junio","julio","agosto","septiembre","octubre","noviembre","diciembre")</f>
        <v>marzo</v>
      </c>
      <c r="G810" s="7" t="str">
        <f aca="false">E810&amp;"-"&amp;RIGHT(B810,2)</f>
        <v>mar-25</v>
      </c>
    </row>
    <row r="811" customFormat="false" ht="15" hidden="false" customHeight="false" outlineLevel="0" collapsed="false">
      <c r="A811" s="8" t="n">
        <f aca="false">A810+1</f>
        <v>45736</v>
      </c>
      <c r="B811" s="7" t="n">
        <f aca="false">YEAR(A811)</f>
        <v>2025</v>
      </c>
      <c r="C811" s="7" t="n">
        <f aca="false">MONTH(A811)</f>
        <v>3</v>
      </c>
      <c r="D811" s="8" t="n">
        <f aca="false">DATE(B811,C811,1)</f>
        <v>45717</v>
      </c>
      <c r="E811" s="7" t="str">
        <f aca="false">CHOOSE(C811,"ene","feb","mar","abr","may","jun","jul","ago","sep","oct","nov","dic")</f>
        <v>mar</v>
      </c>
      <c r="F811" s="7" t="str">
        <f aca="false">CHOOSE(C811,"enero","febrero","marzo","abril","mayo","junio","julio","agosto","septiembre","octubre","noviembre","diciembre")</f>
        <v>marzo</v>
      </c>
      <c r="G811" s="7" t="str">
        <f aca="false">E811&amp;"-"&amp;RIGHT(B811,2)</f>
        <v>mar-25</v>
      </c>
    </row>
    <row r="812" customFormat="false" ht="15" hidden="false" customHeight="false" outlineLevel="0" collapsed="false">
      <c r="A812" s="8" t="n">
        <f aca="false">A811+1</f>
        <v>45737</v>
      </c>
      <c r="B812" s="7" t="n">
        <f aca="false">YEAR(A812)</f>
        <v>2025</v>
      </c>
      <c r="C812" s="7" t="n">
        <f aca="false">MONTH(A812)</f>
        <v>3</v>
      </c>
      <c r="D812" s="8" t="n">
        <f aca="false">DATE(B812,C812,1)</f>
        <v>45717</v>
      </c>
      <c r="E812" s="7" t="str">
        <f aca="false">CHOOSE(C812,"ene","feb","mar","abr","may","jun","jul","ago","sep","oct","nov","dic")</f>
        <v>mar</v>
      </c>
      <c r="F812" s="7" t="str">
        <f aca="false">CHOOSE(C812,"enero","febrero","marzo","abril","mayo","junio","julio","agosto","septiembre","octubre","noviembre","diciembre")</f>
        <v>marzo</v>
      </c>
      <c r="G812" s="7" t="str">
        <f aca="false">E812&amp;"-"&amp;RIGHT(B812,2)</f>
        <v>mar-25</v>
      </c>
    </row>
    <row r="813" customFormat="false" ht="15" hidden="false" customHeight="false" outlineLevel="0" collapsed="false">
      <c r="A813" s="8" t="n">
        <f aca="false">A812+1</f>
        <v>45738</v>
      </c>
      <c r="B813" s="7" t="n">
        <f aca="false">YEAR(A813)</f>
        <v>2025</v>
      </c>
      <c r="C813" s="7" t="n">
        <f aca="false">MONTH(A813)</f>
        <v>3</v>
      </c>
      <c r="D813" s="8" t="n">
        <f aca="false">DATE(B813,C813,1)</f>
        <v>45717</v>
      </c>
      <c r="E813" s="7" t="str">
        <f aca="false">CHOOSE(C813,"ene","feb","mar","abr","may","jun","jul","ago","sep","oct","nov","dic")</f>
        <v>mar</v>
      </c>
      <c r="F813" s="7" t="str">
        <f aca="false">CHOOSE(C813,"enero","febrero","marzo","abril","mayo","junio","julio","agosto","septiembre","octubre","noviembre","diciembre")</f>
        <v>marzo</v>
      </c>
      <c r="G813" s="7" t="str">
        <f aca="false">E813&amp;"-"&amp;RIGHT(B813,2)</f>
        <v>mar-25</v>
      </c>
    </row>
    <row r="814" customFormat="false" ht="15" hidden="false" customHeight="false" outlineLevel="0" collapsed="false">
      <c r="A814" s="8" t="n">
        <f aca="false">A813+1</f>
        <v>45739</v>
      </c>
      <c r="B814" s="7" t="n">
        <f aca="false">YEAR(A814)</f>
        <v>2025</v>
      </c>
      <c r="C814" s="7" t="n">
        <f aca="false">MONTH(A814)</f>
        <v>3</v>
      </c>
      <c r="D814" s="8" t="n">
        <f aca="false">DATE(B814,C814,1)</f>
        <v>45717</v>
      </c>
      <c r="E814" s="7" t="str">
        <f aca="false">CHOOSE(C814,"ene","feb","mar","abr","may","jun","jul","ago","sep","oct","nov","dic")</f>
        <v>mar</v>
      </c>
      <c r="F814" s="7" t="str">
        <f aca="false">CHOOSE(C814,"enero","febrero","marzo","abril","mayo","junio","julio","agosto","septiembre","octubre","noviembre","diciembre")</f>
        <v>marzo</v>
      </c>
      <c r="G814" s="7" t="str">
        <f aca="false">E814&amp;"-"&amp;RIGHT(B814,2)</f>
        <v>mar-25</v>
      </c>
    </row>
    <row r="815" customFormat="false" ht="15" hidden="false" customHeight="false" outlineLevel="0" collapsed="false">
      <c r="A815" s="8" t="n">
        <f aca="false">A814+1</f>
        <v>45740</v>
      </c>
      <c r="B815" s="7" t="n">
        <f aca="false">YEAR(A815)</f>
        <v>2025</v>
      </c>
      <c r="C815" s="7" t="n">
        <f aca="false">MONTH(A815)</f>
        <v>3</v>
      </c>
      <c r="D815" s="8" t="n">
        <f aca="false">DATE(B815,C815,1)</f>
        <v>45717</v>
      </c>
      <c r="E815" s="7" t="str">
        <f aca="false">CHOOSE(C815,"ene","feb","mar","abr","may","jun","jul","ago","sep","oct","nov","dic")</f>
        <v>mar</v>
      </c>
      <c r="F815" s="7" t="str">
        <f aca="false">CHOOSE(C815,"enero","febrero","marzo","abril","mayo","junio","julio","agosto","septiembre","octubre","noviembre","diciembre")</f>
        <v>marzo</v>
      </c>
      <c r="G815" s="7" t="str">
        <f aca="false">E815&amp;"-"&amp;RIGHT(B815,2)</f>
        <v>mar-25</v>
      </c>
    </row>
    <row r="816" customFormat="false" ht="15" hidden="false" customHeight="false" outlineLevel="0" collapsed="false">
      <c r="A816" s="8" t="n">
        <f aca="false">A815+1</f>
        <v>45741</v>
      </c>
      <c r="B816" s="7" t="n">
        <f aca="false">YEAR(A816)</f>
        <v>2025</v>
      </c>
      <c r="C816" s="7" t="n">
        <f aca="false">MONTH(A816)</f>
        <v>3</v>
      </c>
      <c r="D816" s="8" t="n">
        <f aca="false">DATE(B816,C816,1)</f>
        <v>45717</v>
      </c>
      <c r="E816" s="7" t="str">
        <f aca="false">CHOOSE(C816,"ene","feb","mar","abr","may","jun","jul","ago","sep","oct","nov","dic")</f>
        <v>mar</v>
      </c>
      <c r="F816" s="7" t="str">
        <f aca="false">CHOOSE(C816,"enero","febrero","marzo","abril","mayo","junio","julio","agosto","septiembre","octubre","noviembre","diciembre")</f>
        <v>marzo</v>
      </c>
      <c r="G816" s="7" t="str">
        <f aca="false">E816&amp;"-"&amp;RIGHT(B816,2)</f>
        <v>mar-25</v>
      </c>
    </row>
    <row r="817" customFormat="false" ht="15" hidden="false" customHeight="false" outlineLevel="0" collapsed="false">
      <c r="A817" s="8" t="n">
        <f aca="false">A816+1</f>
        <v>45742</v>
      </c>
      <c r="B817" s="7" t="n">
        <f aca="false">YEAR(A817)</f>
        <v>2025</v>
      </c>
      <c r="C817" s="7" t="n">
        <f aca="false">MONTH(A817)</f>
        <v>3</v>
      </c>
      <c r="D817" s="8" t="n">
        <f aca="false">DATE(B817,C817,1)</f>
        <v>45717</v>
      </c>
      <c r="E817" s="7" t="str">
        <f aca="false">CHOOSE(C817,"ene","feb","mar","abr","may","jun","jul","ago","sep","oct","nov","dic")</f>
        <v>mar</v>
      </c>
      <c r="F817" s="7" t="str">
        <f aca="false">CHOOSE(C817,"enero","febrero","marzo","abril","mayo","junio","julio","agosto","septiembre","octubre","noviembre","diciembre")</f>
        <v>marzo</v>
      </c>
      <c r="G817" s="7" t="str">
        <f aca="false">E817&amp;"-"&amp;RIGHT(B817,2)</f>
        <v>mar-25</v>
      </c>
    </row>
    <row r="818" customFormat="false" ht="15" hidden="false" customHeight="false" outlineLevel="0" collapsed="false">
      <c r="A818" s="8" t="n">
        <f aca="false">A817+1</f>
        <v>45743</v>
      </c>
      <c r="B818" s="7" t="n">
        <f aca="false">YEAR(A818)</f>
        <v>2025</v>
      </c>
      <c r="C818" s="7" t="n">
        <f aca="false">MONTH(A818)</f>
        <v>3</v>
      </c>
      <c r="D818" s="8" t="n">
        <f aca="false">DATE(B818,C818,1)</f>
        <v>45717</v>
      </c>
      <c r="E818" s="7" t="str">
        <f aca="false">CHOOSE(C818,"ene","feb","mar","abr","may","jun","jul","ago","sep","oct","nov","dic")</f>
        <v>mar</v>
      </c>
      <c r="F818" s="7" t="str">
        <f aca="false">CHOOSE(C818,"enero","febrero","marzo","abril","mayo","junio","julio","agosto","septiembre","octubre","noviembre","diciembre")</f>
        <v>marzo</v>
      </c>
      <c r="G818" s="7" t="str">
        <f aca="false">E818&amp;"-"&amp;RIGHT(B818,2)</f>
        <v>mar-25</v>
      </c>
    </row>
    <row r="819" customFormat="false" ht="15" hidden="false" customHeight="false" outlineLevel="0" collapsed="false">
      <c r="A819" s="8" t="n">
        <f aca="false">A818+1</f>
        <v>45744</v>
      </c>
      <c r="B819" s="7" t="n">
        <f aca="false">YEAR(A819)</f>
        <v>2025</v>
      </c>
      <c r="C819" s="7" t="n">
        <f aca="false">MONTH(A819)</f>
        <v>3</v>
      </c>
      <c r="D819" s="8" t="n">
        <f aca="false">DATE(B819,C819,1)</f>
        <v>45717</v>
      </c>
      <c r="E819" s="7" t="str">
        <f aca="false">CHOOSE(C819,"ene","feb","mar","abr","may","jun","jul","ago","sep","oct","nov","dic")</f>
        <v>mar</v>
      </c>
      <c r="F819" s="7" t="str">
        <f aca="false">CHOOSE(C819,"enero","febrero","marzo","abril","mayo","junio","julio","agosto","septiembre","octubre","noviembre","diciembre")</f>
        <v>marzo</v>
      </c>
      <c r="G819" s="7" t="str">
        <f aca="false">E819&amp;"-"&amp;RIGHT(B819,2)</f>
        <v>mar-25</v>
      </c>
    </row>
    <row r="820" customFormat="false" ht="15" hidden="false" customHeight="false" outlineLevel="0" collapsed="false">
      <c r="A820" s="8" t="n">
        <f aca="false">A819+1</f>
        <v>45745</v>
      </c>
      <c r="B820" s="7" t="n">
        <f aca="false">YEAR(A820)</f>
        <v>2025</v>
      </c>
      <c r="C820" s="7" t="n">
        <f aca="false">MONTH(A820)</f>
        <v>3</v>
      </c>
      <c r="D820" s="8" t="n">
        <f aca="false">DATE(B820,C820,1)</f>
        <v>45717</v>
      </c>
      <c r="E820" s="7" t="str">
        <f aca="false">CHOOSE(C820,"ene","feb","mar","abr","may","jun","jul","ago","sep","oct","nov","dic")</f>
        <v>mar</v>
      </c>
      <c r="F820" s="7" t="str">
        <f aca="false">CHOOSE(C820,"enero","febrero","marzo","abril","mayo","junio","julio","agosto","septiembre","octubre","noviembre","diciembre")</f>
        <v>marzo</v>
      </c>
      <c r="G820" s="7" t="str">
        <f aca="false">E820&amp;"-"&amp;RIGHT(B820,2)</f>
        <v>mar-25</v>
      </c>
    </row>
    <row r="821" customFormat="false" ht="15" hidden="false" customHeight="false" outlineLevel="0" collapsed="false">
      <c r="A821" s="8" t="n">
        <f aca="false">A820+1</f>
        <v>45746</v>
      </c>
      <c r="B821" s="7" t="n">
        <f aca="false">YEAR(A821)</f>
        <v>2025</v>
      </c>
      <c r="C821" s="7" t="n">
        <f aca="false">MONTH(A821)</f>
        <v>3</v>
      </c>
      <c r="D821" s="8" t="n">
        <f aca="false">DATE(B821,C821,1)</f>
        <v>45717</v>
      </c>
      <c r="E821" s="7" t="str">
        <f aca="false">CHOOSE(C821,"ene","feb","mar","abr","may","jun","jul","ago","sep","oct","nov","dic")</f>
        <v>mar</v>
      </c>
      <c r="F821" s="7" t="str">
        <f aca="false">CHOOSE(C821,"enero","febrero","marzo","abril","mayo","junio","julio","agosto","septiembre","octubre","noviembre","diciembre")</f>
        <v>marzo</v>
      </c>
      <c r="G821" s="7" t="str">
        <f aca="false">E821&amp;"-"&amp;RIGHT(B821,2)</f>
        <v>mar-25</v>
      </c>
    </row>
    <row r="822" customFormat="false" ht="15" hidden="false" customHeight="false" outlineLevel="0" collapsed="false">
      <c r="A822" s="8" t="n">
        <f aca="false">A821+1</f>
        <v>45747</v>
      </c>
      <c r="B822" s="7" t="n">
        <f aca="false">YEAR(A822)</f>
        <v>2025</v>
      </c>
      <c r="C822" s="7" t="n">
        <f aca="false">MONTH(A822)</f>
        <v>3</v>
      </c>
      <c r="D822" s="8" t="n">
        <f aca="false">DATE(B822,C822,1)</f>
        <v>45717</v>
      </c>
      <c r="E822" s="7" t="str">
        <f aca="false">CHOOSE(C822,"ene","feb","mar","abr","may","jun","jul","ago","sep","oct","nov","dic")</f>
        <v>mar</v>
      </c>
      <c r="F822" s="7" t="str">
        <f aca="false">CHOOSE(C822,"enero","febrero","marzo","abril","mayo","junio","julio","agosto","septiembre","octubre","noviembre","diciembre")</f>
        <v>marzo</v>
      </c>
      <c r="G822" s="7" t="str">
        <f aca="false">E822&amp;"-"&amp;RIGHT(B822,2)</f>
        <v>mar-25</v>
      </c>
    </row>
    <row r="823" customFormat="false" ht="15" hidden="false" customHeight="false" outlineLevel="0" collapsed="false">
      <c r="A823" s="8" t="n">
        <f aca="false">A822+1</f>
        <v>45748</v>
      </c>
      <c r="B823" s="7" t="n">
        <f aca="false">YEAR(A823)</f>
        <v>2025</v>
      </c>
      <c r="C823" s="7" t="n">
        <f aca="false">MONTH(A823)</f>
        <v>4</v>
      </c>
      <c r="D823" s="8" t="n">
        <f aca="false">DATE(B823,C823,1)</f>
        <v>45748</v>
      </c>
      <c r="E823" s="7" t="str">
        <f aca="false">CHOOSE(C823,"ene","feb","mar","abr","may","jun","jul","ago","sep","oct","nov","dic")</f>
        <v>abr</v>
      </c>
      <c r="F823" s="7" t="str">
        <f aca="false">CHOOSE(C823,"enero","febrero","marzo","abril","mayo","junio","julio","agosto","septiembre","octubre","noviembre","diciembre")</f>
        <v>abril</v>
      </c>
      <c r="G823" s="7" t="str">
        <f aca="false">E823&amp;"-"&amp;RIGHT(B823,2)</f>
        <v>abr-25</v>
      </c>
    </row>
    <row r="824" customFormat="false" ht="15" hidden="false" customHeight="false" outlineLevel="0" collapsed="false">
      <c r="A824" s="8" t="n">
        <f aca="false">A823+1</f>
        <v>45749</v>
      </c>
      <c r="B824" s="7" t="n">
        <f aca="false">YEAR(A824)</f>
        <v>2025</v>
      </c>
      <c r="C824" s="7" t="n">
        <f aca="false">MONTH(A824)</f>
        <v>4</v>
      </c>
      <c r="D824" s="8" t="n">
        <f aca="false">DATE(B824,C824,1)</f>
        <v>45748</v>
      </c>
      <c r="E824" s="7" t="str">
        <f aca="false">CHOOSE(C824,"ene","feb","mar","abr","may","jun","jul","ago","sep","oct","nov","dic")</f>
        <v>abr</v>
      </c>
      <c r="F824" s="7" t="str">
        <f aca="false">CHOOSE(C824,"enero","febrero","marzo","abril","mayo","junio","julio","agosto","septiembre","octubre","noviembre","diciembre")</f>
        <v>abril</v>
      </c>
      <c r="G824" s="7" t="str">
        <f aca="false">E824&amp;"-"&amp;RIGHT(B824,2)</f>
        <v>abr-25</v>
      </c>
    </row>
    <row r="825" customFormat="false" ht="15" hidden="false" customHeight="false" outlineLevel="0" collapsed="false">
      <c r="A825" s="8" t="n">
        <f aca="false">A824+1</f>
        <v>45750</v>
      </c>
      <c r="B825" s="7" t="n">
        <f aca="false">YEAR(A825)</f>
        <v>2025</v>
      </c>
      <c r="C825" s="7" t="n">
        <f aca="false">MONTH(A825)</f>
        <v>4</v>
      </c>
      <c r="D825" s="8" t="n">
        <f aca="false">DATE(B825,C825,1)</f>
        <v>45748</v>
      </c>
      <c r="E825" s="7" t="str">
        <f aca="false">CHOOSE(C825,"ene","feb","mar","abr","may","jun","jul","ago","sep","oct","nov","dic")</f>
        <v>abr</v>
      </c>
      <c r="F825" s="7" t="str">
        <f aca="false">CHOOSE(C825,"enero","febrero","marzo","abril","mayo","junio","julio","agosto","septiembre","octubre","noviembre","diciembre")</f>
        <v>abril</v>
      </c>
      <c r="G825" s="7" t="str">
        <f aca="false">E825&amp;"-"&amp;RIGHT(B825,2)</f>
        <v>abr-25</v>
      </c>
    </row>
    <row r="826" customFormat="false" ht="15" hidden="false" customHeight="false" outlineLevel="0" collapsed="false">
      <c r="A826" s="8" t="n">
        <f aca="false">A825+1</f>
        <v>45751</v>
      </c>
      <c r="B826" s="7" t="n">
        <f aca="false">YEAR(A826)</f>
        <v>2025</v>
      </c>
      <c r="C826" s="7" t="n">
        <f aca="false">MONTH(A826)</f>
        <v>4</v>
      </c>
      <c r="D826" s="8" t="n">
        <f aca="false">DATE(B826,C826,1)</f>
        <v>45748</v>
      </c>
      <c r="E826" s="7" t="str">
        <f aca="false">CHOOSE(C826,"ene","feb","mar","abr","may","jun","jul","ago","sep","oct","nov","dic")</f>
        <v>abr</v>
      </c>
      <c r="F826" s="7" t="str">
        <f aca="false">CHOOSE(C826,"enero","febrero","marzo","abril","mayo","junio","julio","agosto","septiembre","octubre","noviembre","diciembre")</f>
        <v>abril</v>
      </c>
      <c r="G826" s="7" t="str">
        <f aca="false">E826&amp;"-"&amp;RIGHT(B826,2)</f>
        <v>abr-25</v>
      </c>
    </row>
    <row r="827" customFormat="false" ht="15" hidden="false" customHeight="false" outlineLevel="0" collapsed="false">
      <c r="A827" s="8" t="n">
        <f aca="false">A826+1</f>
        <v>45752</v>
      </c>
      <c r="B827" s="7" t="n">
        <f aca="false">YEAR(A827)</f>
        <v>2025</v>
      </c>
      <c r="C827" s="7" t="n">
        <f aca="false">MONTH(A827)</f>
        <v>4</v>
      </c>
      <c r="D827" s="8" t="n">
        <f aca="false">DATE(B827,C827,1)</f>
        <v>45748</v>
      </c>
      <c r="E827" s="7" t="str">
        <f aca="false">CHOOSE(C827,"ene","feb","mar","abr","may","jun","jul","ago","sep","oct","nov","dic")</f>
        <v>abr</v>
      </c>
      <c r="F827" s="7" t="str">
        <f aca="false">CHOOSE(C827,"enero","febrero","marzo","abril","mayo","junio","julio","agosto","septiembre","octubre","noviembre","diciembre")</f>
        <v>abril</v>
      </c>
      <c r="G827" s="7" t="str">
        <f aca="false">E827&amp;"-"&amp;RIGHT(B827,2)</f>
        <v>abr-25</v>
      </c>
    </row>
    <row r="828" customFormat="false" ht="15" hidden="false" customHeight="false" outlineLevel="0" collapsed="false">
      <c r="A828" s="8" t="n">
        <f aca="false">A827+1</f>
        <v>45753</v>
      </c>
      <c r="B828" s="7" t="n">
        <f aca="false">YEAR(A828)</f>
        <v>2025</v>
      </c>
      <c r="C828" s="7" t="n">
        <f aca="false">MONTH(A828)</f>
        <v>4</v>
      </c>
      <c r="D828" s="8" t="n">
        <f aca="false">DATE(B828,C828,1)</f>
        <v>45748</v>
      </c>
      <c r="E828" s="7" t="str">
        <f aca="false">CHOOSE(C828,"ene","feb","mar","abr","may","jun","jul","ago","sep","oct","nov","dic")</f>
        <v>abr</v>
      </c>
      <c r="F828" s="7" t="str">
        <f aca="false">CHOOSE(C828,"enero","febrero","marzo","abril","mayo","junio","julio","agosto","septiembre","octubre","noviembre","diciembre")</f>
        <v>abril</v>
      </c>
      <c r="G828" s="7" t="str">
        <f aca="false">E828&amp;"-"&amp;RIGHT(B828,2)</f>
        <v>abr-25</v>
      </c>
    </row>
    <row r="829" customFormat="false" ht="15" hidden="false" customHeight="false" outlineLevel="0" collapsed="false">
      <c r="A829" s="8" t="n">
        <f aca="false">A828+1</f>
        <v>45754</v>
      </c>
      <c r="B829" s="7" t="n">
        <f aca="false">YEAR(A829)</f>
        <v>2025</v>
      </c>
      <c r="C829" s="7" t="n">
        <f aca="false">MONTH(A829)</f>
        <v>4</v>
      </c>
      <c r="D829" s="8" t="n">
        <f aca="false">DATE(B829,C829,1)</f>
        <v>45748</v>
      </c>
      <c r="E829" s="7" t="str">
        <f aca="false">CHOOSE(C829,"ene","feb","mar","abr","may","jun","jul","ago","sep","oct","nov","dic")</f>
        <v>abr</v>
      </c>
      <c r="F829" s="7" t="str">
        <f aca="false">CHOOSE(C829,"enero","febrero","marzo","abril","mayo","junio","julio","agosto","septiembre","octubre","noviembre","diciembre")</f>
        <v>abril</v>
      </c>
      <c r="G829" s="7" t="str">
        <f aca="false">E829&amp;"-"&amp;RIGHT(B829,2)</f>
        <v>abr-25</v>
      </c>
    </row>
    <row r="830" customFormat="false" ht="15" hidden="false" customHeight="false" outlineLevel="0" collapsed="false">
      <c r="A830" s="8" t="n">
        <f aca="false">A829+1</f>
        <v>45755</v>
      </c>
      <c r="B830" s="7" t="n">
        <f aca="false">YEAR(A830)</f>
        <v>2025</v>
      </c>
      <c r="C830" s="7" t="n">
        <f aca="false">MONTH(A830)</f>
        <v>4</v>
      </c>
      <c r="D830" s="8" t="n">
        <f aca="false">DATE(B830,C830,1)</f>
        <v>45748</v>
      </c>
      <c r="E830" s="7" t="str">
        <f aca="false">CHOOSE(C830,"ene","feb","mar","abr","may","jun","jul","ago","sep","oct","nov","dic")</f>
        <v>abr</v>
      </c>
      <c r="F830" s="7" t="str">
        <f aca="false">CHOOSE(C830,"enero","febrero","marzo","abril","mayo","junio","julio","agosto","septiembre","octubre","noviembre","diciembre")</f>
        <v>abril</v>
      </c>
      <c r="G830" s="7" t="str">
        <f aca="false">E830&amp;"-"&amp;RIGHT(B830,2)</f>
        <v>abr-25</v>
      </c>
    </row>
    <row r="831" customFormat="false" ht="15" hidden="false" customHeight="false" outlineLevel="0" collapsed="false">
      <c r="A831" s="8" t="n">
        <f aca="false">A830+1</f>
        <v>45756</v>
      </c>
      <c r="B831" s="7" t="n">
        <f aca="false">YEAR(A831)</f>
        <v>2025</v>
      </c>
      <c r="C831" s="7" t="n">
        <f aca="false">MONTH(A831)</f>
        <v>4</v>
      </c>
      <c r="D831" s="8" t="n">
        <f aca="false">DATE(B831,C831,1)</f>
        <v>45748</v>
      </c>
      <c r="E831" s="7" t="str">
        <f aca="false">CHOOSE(C831,"ene","feb","mar","abr","may","jun","jul","ago","sep","oct","nov","dic")</f>
        <v>abr</v>
      </c>
      <c r="F831" s="7" t="str">
        <f aca="false">CHOOSE(C831,"enero","febrero","marzo","abril","mayo","junio","julio","agosto","septiembre","octubre","noviembre","diciembre")</f>
        <v>abril</v>
      </c>
      <c r="G831" s="7" t="str">
        <f aca="false">E831&amp;"-"&amp;RIGHT(B831,2)</f>
        <v>abr-25</v>
      </c>
    </row>
    <row r="832" customFormat="false" ht="15" hidden="false" customHeight="false" outlineLevel="0" collapsed="false">
      <c r="A832" s="8" t="n">
        <f aca="false">A831+1</f>
        <v>45757</v>
      </c>
      <c r="B832" s="7" t="n">
        <f aca="false">YEAR(A832)</f>
        <v>2025</v>
      </c>
      <c r="C832" s="7" t="n">
        <f aca="false">MONTH(A832)</f>
        <v>4</v>
      </c>
      <c r="D832" s="8" t="n">
        <f aca="false">DATE(B832,C832,1)</f>
        <v>45748</v>
      </c>
      <c r="E832" s="7" t="str">
        <f aca="false">CHOOSE(C832,"ene","feb","mar","abr","may","jun","jul","ago","sep","oct","nov","dic")</f>
        <v>abr</v>
      </c>
      <c r="F832" s="7" t="str">
        <f aca="false">CHOOSE(C832,"enero","febrero","marzo","abril","mayo","junio","julio","agosto","septiembre","octubre","noviembre","diciembre")</f>
        <v>abril</v>
      </c>
      <c r="G832" s="7" t="str">
        <f aca="false">E832&amp;"-"&amp;RIGHT(B832,2)</f>
        <v>abr-25</v>
      </c>
    </row>
    <row r="833" customFormat="false" ht="15" hidden="false" customHeight="false" outlineLevel="0" collapsed="false">
      <c r="A833" s="8" t="n">
        <f aca="false">A832+1</f>
        <v>45758</v>
      </c>
      <c r="B833" s="7" t="n">
        <f aca="false">YEAR(A833)</f>
        <v>2025</v>
      </c>
      <c r="C833" s="7" t="n">
        <f aca="false">MONTH(A833)</f>
        <v>4</v>
      </c>
      <c r="D833" s="8" t="n">
        <f aca="false">DATE(B833,C833,1)</f>
        <v>45748</v>
      </c>
      <c r="E833" s="7" t="str">
        <f aca="false">CHOOSE(C833,"ene","feb","mar","abr","may","jun","jul","ago","sep","oct","nov","dic")</f>
        <v>abr</v>
      </c>
      <c r="F833" s="7" t="str">
        <f aca="false">CHOOSE(C833,"enero","febrero","marzo","abril","mayo","junio","julio","agosto","septiembre","octubre","noviembre","diciembre")</f>
        <v>abril</v>
      </c>
      <c r="G833" s="7" t="str">
        <f aca="false">E833&amp;"-"&amp;RIGHT(B833,2)</f>
        <v>abr-25</v>
      </c>
    </row>
    <row r="834" customFormat="false" ht="15" hidden="false" customHeight="false" outlineLevel="0" collapsed="false">
      <c r="A834" s="8" t="n">
        <f aca="false">A833+1</f>
        <v>45759</v>
      </c>
      <c r="B834" s="7" t="n">
        <f aca="false">YEAR(A834)</f>
        <v>2025</v>
      </c>
      <c r="C834" s="7" t="n">
        <f aca="false">MONTH(A834)</f>
        <v>4</v>
      </c>
      <c r="D834" s="8" t="n">
        <f aca="false">DATE(B834,C834,1)</f>
        <v>45748</v>
      </c>
      <c r="E834" s="7" t="str">
        <f aca="false">CHOOSE(C834,"ene","feb","mar","abr","may","jun","jul","ago","sep","oct","nov","dic")</f>
        <v>abr</v>
      </c>
      <c r="F834" s="7" t="str">
        <f aca="false">CHOOSE(C834,"enero","febrero","marzo","abril","mayo","junio","julio","agosto","septiembre","octubre","noviembre","diciembre")</f>
        <v>abril</v>
      </c>
      <c r="G834" s="7" t="str">
        <f aca="false">E834&amp;"-"&amp;RIGHT(B834,2)</f>
        <v>abr-25</v>
      </c>
    </row>
    <row r="835" customFormat="false" ht="15" hidden="false" customHeight="false" outlineLevel="0" collapsed="false">
      <c r="A835" s="8" t="n">
        <f aca="false">A834+1</f>
        <v>45760</v>
      </c>
      <c r="B835" s="7" t="n">
        <f aca="false">YEAR(A835)</f>
        <v>2025</v>
      </c>
      <c r="C835" s="7" t="n">
        <f aca="false">MONTH(A835)</f>
        <v>4</v>
      </c>
      <c r="D835" s="8" t="n">
        <f aca="false">DATE(B835,C835,1)</f>
        <v>45748</v>
      </c>
      <c r="E835" s="7" t="str">
        <f aca="false">CHOOSE(C835,"ene","feb","mar","abr","may","jun","jul","ago","sep","oct","nov","dic")</f>
        <v>abr</v>
      </c>
      <c r="F835" s="7" t="str">
        <f aca="false">CHOOSE(C835,"enero","febrero","marzo","abril","mayo","junio","julio","agosto","septiembre","octubre","noviembre","diciembre")</f>
        <v>abril</v>
      </c>
      <c r="G835" s="7" t="str">
        <f aca="false">E835&amp;"-"&amp;RIGHT(B835,2)</f>
        <v>abr-25</v>
      </c>
    </row>
    <row r="836" customFormat="false" ht="15" hidden="false" customHeight="false" outlineLevel="0" collapsed="false">
      <c r="A836" s="8" t="n">
        <f aca="false">A835+1</f>
        <v>45761</v>
      </c>
      <c r="B836" s="7" t="n">
        <f aca="false">YEAR(A836)</f>
        <v>2025</v>
      </c>
      <c r="C836" s="7" t="n">
        <f aca="false">MONTH(A836)</f>
        <v>4</v>
      </c>
      <c r="D836" s="8" t="n">
        <f aca="false">DATE(B836,C836,1)</f>
        <v>45748</v>
      </c>
      <c r="E836" s="7" t="str">
        <f aca="false">CHOOSE(C836,"ene","feb","mar","abr","may","jun","jul","ago","sep","oct","nov","dic")</f>
        <v>abr</v>
      </c>
      <c r="F836" s="7" t="str">
        <f aca="false">CHOOSE(C836,"enero","febrero","marzo","abril","mayo","junio","julio","agosto","septiembre","octubre","noviembre","diciembre")</f>
        <v>abril</v>
      </c>
      <c r="G836" s="7" t="str">
        <f aca="false">E836&amp;"-"&amp;RIGHT(B836,2)</f>
        <v>abr-25</v>
      </c>
    </row>
    <row r="837" customFormat="false" ht="15" hidden="false" customHeight="false" outlineLevel="0" collapsed="false">
      <c r="A837" s="8" t="n">
        <f aca="false">A836+1</f>
        <v>45762</v>
      </c>
      <c r="B837" s="7" t="n">
        <f aca="false">YEAR(A837)</f>
        <v>2025</v>
      </c>
      <c r="C837" s="7" t="n">
        <f aca="false">MONTH(A837)</f>
        <v>4</v>
      </c>
      <c r="D837" s="8" t="n">
        <f aca="false">DATE(B837,C837,1)</f>
        <v>45748</v>
      </c>
      <c r="E837" s="7" t="str">
        <f aca="false">CHOOSE(C837,"ene","feb","mar","abr","may","jun","jul","ago","sep","oct","nov","dic")</f>
        <v>abr</v>
      </c>
      <c r="F837" s="7" t="str">
        <f aca="false">CHOOSE(C837,"enero","febrero","marzo","abril","mayo","junio","julio","agosto","septiembre","octubre","noviembre","diciembre")</f>
        <v>abril</v>
      </c>
      <c r="G837" s="7" t="str">
        <f aca="false">E837&amp;"-"&amp;RIGHT(B837,2)</f>
        <v>abr-25</v>
      </c>
    </row>
    <row r="838" customFormat="false" ht="15" hidden="false" customHeight="false" outlineLevel="0" collapsed="false">
      <c r="A838" s="8" t="n">
        <f aca="false">A837+1</f>
        <v>45763</v>
      </c>
      <c r="B838" s="7" t="n">
        <f aca="false">YEAR(A838)</f>
        <v>2025</v>
      </c>
      <c r="C838" s="7" t="n">
        <f aca="false">MONTH(A838)</f>
        <v>4</v>
      </c>
      <c r="D838" s="8" t="n">
        <f aca="false">DATE(B838,C838,1)</f>
        <v>45748</v>
      </c>
      <c r="E838" s="7" t="str">
        <f aca="false">CHOOSE(C838,"ene","feb","mar","abr","may","jun","jul","ago","sep","oct","nov","dic")</f>
        <v>abr</v>
      </c>
      <c r="F838" s="7" t="str">
        <f aca="false">CHOOSE(C838,"enero","febrero","marzo","abril","mayo","junio","julio","agosto","septiembre","octubre","noviembre","diciembre")</f>
        <v>abril</v>
      </c>
      <c r="G838" s="7" t="str">
        <f aca="false">E838&amp;"-"&amp;RIGHT(B838,2)</f>
        <v>abr-25</v>
      </c>
    </row>
    <row r="839" customFormat="false" ht="15" hidden="false" customHeight="false" outlineLevel="0" collapsed="false">
      <c r="A839" s="8" t="n">
        <f aca="false">A838+1</f>
        <v>45764</v>
      </c>
      <c r="B839" s="7" t="n">
        <f aca="false">YEAR(A839)</f>
        <v>2025</v>
      </c>
      <c r="C839" s="7" t="n">
        <f aca="false">MONTH(A839)</f>
        <v>4</v>
      </c>
      <c r="D839" s="8" t="n">
        <f aca="false">DATE(B839,C839,1)</f>
        <v>45748</v>
      </c>
      <c r="E839" s="7" t="str">
        <f aca="false">CHOOSE(C839,"ene","feb","mar","abr","may","jun","jul","ago","sep","oct","nov","dic")</f>
        <v>abr</v>
      </c>
      <c r="F839" s="7" t="str">
        <f aca="false">CHOOSE(C839,"enero","febrero","marzo","abril","mayo","junio","julio","agosto","septiembre","octubre","noviembre","diciembre")</f>
        <v>abril</v>
      </c>
      <c r="G839" s="7" t="str">
        <f aca="false">E839&amp;"-"&amp;RIGHT(B839,2)</f>
        <v>abr-25</v>
      </c>
    </row>
    <row r="840" customFormat="false" ht="15" hidden="false" customHeight="false" outlineLevel="0" collapsed="false">
      <c r="A840" s="8" t="n">
        <f aca="false">A839+1</f>
        <v>45765</v>
      </c>
      <c r="B840" s="7" t="n">
        <f aca="false">YEAR(A840)</f>
        <v>2025</v>
      </c>
      <c r="C840" s="7" t="n">
        <f aca="false">MONTH(A840)</f>
        <v>4</v>
      </c>
      <c r="D840" s="8" t="n">
        <f aca="false">DATE(B840,C840,1)</f>
        <v>45748</v>
      </c>
      <c r="E840" s="7" t="str">
        <f aca="false">CHOOSE(C840,"ene","feb","mar","abr","may","jun","jul","ago","sep","oct","nov","dic")</f>
        <v>abr</v>
      </c>
      <c r="F840" s="7" t="str">
        <f aca="false">CHOOSE(C840,"enero","febrero","marzo","abril","mayo","junio","julio","agosto","septiembre","octubre","noviembre","diciembre")</f>
        <v>abril</v>
      </c>
      <c r="G840" s="7" t="str">
        <f aca="false">E840&amp;"-"&amp;RIGHT(B840,2)</f>
        <v>abr-25</v>
      </c>
    </row>
    <row r="841" customFormat="false" ht="15" hidden="false" customHeight="false" outlineLevel="0" collapsed="false">
      <c r="A841" s="8" t="n">
        <f aca="false">A840+1</f>
        <v>45766</v>
      </c>
      <c r="B841" s="7" t="n">
        <f aca="false">YEAR(A841)</f>
        <v>2025</v>
      </c>
      <c r="C841" s="7" t="n">
        <f aca="false">MONTH(A841)</f>
        <v>4</v>
      </c>
      <c r="D841" s="8" t="n">
        <f aca="false">DATE(B841,C841,1)</f>
        <v>45748</v>
      </c>
      <c r="E841" s="7" t="str">
        <f aca="false">CHOOSE(C841,"ene","feb","mar","abr","may","jun","jul","ago","sep","oct","nov","dic")</f>
        <v>abr</v>
      </c>
      <c r="F841" s="7" t="str">
        <f aca="false">CHOOSE(C841,"enero","febrero","marzo","abril","mayo","junio","julio","agosto","septiembre","octubre","noviembre","diciembre")</f>
        <v>abril</v>
      </c>
      <c r="G841" s="7" t="str">
        <f aca="false">E841&amp;"-"&amp;RIGHT(B841,2)</f>
        <v>abr-25</v>
      </c>
    </row>
    <row r="842" customFormat="false" ht="15" hidden="false" customHeight="false" outlineLevel="0" collapsed="false">
      <c r="A842" s="8" t="n">
        <f aca="false">A841+1</f>
        <v>45767</v>
      </c>
      <c r="B842" s="7" t="n">
        <f aca="false">YEAR(A842)</f>
        <v>2025</v>
      </c>
      <c r="C842" s="7" t="n">
        <f aca="false">MONTH(A842)</f>
        <v>4</v>
      </c>
      <c r="D842" s="8" t="n">
        <f aca="false">DATE(B842,C842,1)</f>
        <v>45748</v>
      </c>
      <c r="E842" s="7" t="str">
        <f aca="false">CHOOSE(C842,"ene","feb","mar","abr","may","jun","jul","ago","sep","oct","nov","dic")</f>
        <v>abr</v>
      </c>
      <c r="F842" s="7" t="str">
        <f aca="false">CHOOSE(C842,"enero","febrero","marzo","abril","mayo","junio","julio","agosto","septiembre","octubre","noviembre","diciembre")</f>
        <v>abril</v>
      </c>
      <c r="G842" s="7" t="str">
        <f aca="false">E842&amp;"-"&amp;RIGHT(B842,2)</f>
        <v>abr-25</v>
      </c>
    </row>
    <row r="843" customFormat="false" ht="15" hidden="false" customHeight="false" outlineLevel="0" collapsed="false">
      <c r="A843" s="8" t="n">
        <f aca="false">A842+1</f>
        <v>45768</v>
      </c>
      <c r="B843" s="7" t="n">
        <f aca="false">YEAR(A843)</f>
        <v>2025</v>
      </c>
      <c r="C843" s="7" t="n">
        <f aca="false">MONTH(A843)</f>
        <v>4</v>
      </c>
      <c r="D843" s="8" t="n">
        <f aca="false">DATE(B843,C843,1)</f>
        <v>45748</v>
      </c>
      <c r="E843" s="7" t="str">
        <f aca="false">CHOOSE(C843,"ene","feb","mar","abr","may","jun","jul","ago","sep","oct","nov","dic")</f>
        <v>abr</v>
      </c>
      <c r="F843" s="7" t="str">
        <f aca="false">CHOOSE(C843,"enero","febrero","marzo","abril","mayo","junio","julio","agosto","septiembre","octubre","noviembre","diciembre")</f>
        <v>abril</v>
      </c>
      <c r="G843" s="7" t="str">
        <f aca="false">E843&amp;"-"&amp;RIGHT(B843,2)</f>
        <v>abr-25</v>
      </c>
    </row>
    <row r="844" customFormat="false" ht="15" hidden="false" customHeight="false" outlineLevel="0" collapsed="false">
      <c r="A844" s="8" t="n">
        <f aca="false">A843+1</f>
        <v>45769</v>
      </c>
      <c r="B844" s="7" t="n">
        <f aca="false">YEAR(A844)</f>
        <v>2025</v>
      </c>
      <c r="C844" s="7" t="n">
        <f aca="false">MONTH(A844)</f>
        <v>4</v>
      </c>
      <c r="D844" s="8" t="n">
        <f aca="false">DATE(B844,C844,1)</f>
        <v>45748</v>
      </c>
      <c r="E844" s="7" t="str">
        <f aca="false">CHOOSE(C844,"ene","feb","mar","abr","may","jun","jul","ago","sep","oct","nov","dic")</f>
        <v>abr</v>
      </c>
      <c r="F844" s="7" t="str">
        <f aca="false">CHOOSE(C844,"enero","febrero","marzo","abril","mayo","junio","julio","agosto","septiembre","octubre","noviembre","diciembre")</f>
        <v>abril</v>
      </c>
      <c r="G844" s="7" t="str">
        <f aca="false">E844&amp;"-"&amp;RIGHT(B844,2)</f>
        <v>abr-25</v>
      </c>
    </row>
    <row r="845" customFormat="false" ht="15" hidden="false" customHeight="false" outlineLevel="0" collapsed="false">
      <c r="A845" s="8" t="n">
        <f aca="false">A844+1</f>
        <v>45770</v>
      </c>
      <c r="B845" s="7" t="n">
        <f aca="false">YEAR(A845)</f>
        <v>2025</v>
      </c>
      <c r="C845" s="7" t="n">
        <f aca="false">MONTH(A845)</f>
        <v>4</v>
      </c>
      <c r="D845" s="8" t="n">
        <f aca="false">DATE(B845,C845,1)</f>
        <v>45748</v>
      </c>
      <c r="E845" s="7" t="str">
        <f aca="false">CHOOSE(C845,"ene","feb","mar","abr","may","jun","jul","ago","sep","oct","nov","dic")</f>
        <v>abr</v>
      </c>
      <c r="F845" s="7" t="str">
        <f aca="false">CHOOSE(C845,"enero","febrero","marzo","abril","mayo","junio","julio","agosto","septiembre","octubre","noviembre","diciembre")</f>
        <v>abril</v>
      </c>
      <c r="G845" s="7" t="str">
        <f aca="false">E845&amp;"-"&amp;RIGHT(B845,2)</f>
        <v>abr-25</v>
      </c>
    </row>
    <row r="846" customFormat="false" ht="15" hidden="false" customHeight="false" outlineLevel="0" collapsed="false">
      <c r="A846" s="8" t="n">
        <f aca="false">A845+1</f>
        <v>45771</v>
      </c>
      <c r="B846" s="7" t="n">
        <f aca="false">YEAR(A846)</f>
        <v>2025</v>
      </c>
      <c r="C846" s="7" t="n">
        <f aca="false">MONTH(A846)</f>
        <v>4</v>
      </c>
      <c r="D846" s="8" t="n">
        <f aca="false">DATE(B846,C846,1)</f>
        <v>45748</v>
      </c>
      <c r="E846" s="7" t="str">
        <f aca="false">CHOOSE(C846,"ene","feb","mar","abr","may","jun","jul","ago","sep","oct","nov","dic")</f>
        <v>abr</v>
      </c>
      <c r="F846" s="7" t="str">
        <f aca="false">CHOOSE(C846,"enero","febrero","marzo","abril","mayo","junio","julio","agosto","septiembre","octubre","noviembre","diciembre")</f>
        <v>abril</v>
      </c>
      <c r="G846" s="7" t="str">
        <f aca="false">E846&amp;"-"&amp;RIGHT(B846,2)</f>
        <v>abr-25</v>
      </c>
    </row>
    <row r="847" customFormat="false" ht="15" hidden="false" customHeight="false" outlineLevel="0" collapsed="false">
      <c r="A847" s="8" t="n">
        <f aca="false">A846+1</f>
        <v>45772</v>
      </c>
      <c r="B847" s="7" t="n">
        <f aca="false">YEAR(A847)</f>
        <v>2025</v>
      </c>
      <c r="C847" s="7" t="n">
        <f aca="false">MONTH(A847)</f>
        <v>4</v>
      </c>
      <c r="D847" s="8" t="n">
        <f aca="false">DATE(B847,C847,1)</f>
        <v>45748</v>
      </c>
      <c r="E847" s="7" t="str">
        <f aca="false">CHOOSE(C847,"ene","feb","mar","abr","may","jun","jul","ago","sep","oct","nov","dic")</f>
        <v>abr</v>
      </c>
      <c r="F847" s="7" t="str">
        <f aca="false">CHOOSE(C847,"enero","febrero","marzo","abril","mayo","junio","julio","agosto","septiembre","octubre","noviembre","diciembre")</f>
        <v>abril</v>
      </c>
      <c r="G847" s="7" t="str">
        <f aca="false">E847&amp;"-"&amp;RIGHT(B847,2)</f>
        <v>abr-25</v>
      </c>
    </row>
    <row r="848" customFormat="false" ht="15" hidden="false" customHeight="false" outlineLevel="0" collapsed="false">
      <c r="A848" s="8" t="n">
        <f aca="false">A847+1</f>
        <v>45773</v>
      </c>
      <c r="B848" s="7" t="n">
        <f aca="false">YEAR(A848)</f>
        <v>2025</v>
      </c>
      <c r="C848" s="7" t="n">
        <f aca="false">MONTH(A848)</f>
        <v>4</v>
      </c>
      <c r="D848" s="8" t="n">
        <f aca="false">DATE(B848,C848,1)</f>
        <v>45748</v>
      </c>
      <c r="E848" s="7" t="str">
        <f aca="false">CHOOSE(C848,"ene","feb","mar","abr","may","jun","jul","ago","sep","oct","nov","dic")</f>
        <v>abr</v>
      </c>
      <c r="F848" s="7" t="str">
        <f aca="false">CHOOSE(C848,"enero","febrero","marzo","abril","mayo","junio","julio","agosto","septiembre","octubre","noviembre","diciembre")</f>
        <v>abril</v>
      </c>
      <c r="G848" s="7" t="str">
        <f aca="false">E848&amp;"-"&amp;RIGHT(B848,2)</f>
        <v>abr-25</v>
      </c>
    </row>
    <row r="849" customFormat="false" ht="15" hidden="false" customHeight="false" outlineLevel="0" collapsed="false">
      <c r="A849" s="8" t="n">
        <f aca="false">A848+1</f>
        <v>45774</v>
      </c>
      <c r="B849" s="7" t="n">
        <f aca="false">YEAR(A849)</f>
        <v>2025</v>
      </c>
      <c r="C849" s="7" t="n">
        <f aca="false">MONTH(A849)</f>
        <v>4</v>
      </c>
      <c r="D849" s="8" t="n">
        <f aca="false">DATE(B849,C849,1)</f>
        <v>45748</v>
      </c>
      <c r="E849" s="7" t="str">
        <f aca="false">CHOOSE(C849,"ene","feb","mar","abr","may","jun","jul","ago","sep","oct","nov","dic")</f>
        <v>abr</v>
      </c>
      <c r="F849" s="7" t="str">
        <f aca="false">CHOOSE(C849,"enero","febrero","marzo","abril","mayo","junio","julio","agosto","septiembre","octubre","noviembre","diciembre")</f>
        <v>abril</v>
      </c>
      <c r="G849" s="7" t="str">
        <f aca="false">E849&amp;"-"&amp;RIGHT(B849,2)</f>
        <v>abr-25</v>
      </c>
    </row>
    <row r="850" customFormat="false" ht="15" hidden="false" customHeight="false" outlineLevel="0" collapsed="false">
      <c r="A850" s="8" t="n">
        <f aca="false">A849+1</f>
        <v>45775</v>
      </c>
      <c r="B850" s="7" t="n">
        <f aca="false">YEAR(A850)</f>
        <v>2025</v>
      </c>
      <c r="C850" s="7" t="n">
        <f aca="false">MONTH(A850)</f>
        <v>4</v>
      </c>
      <c r="D850" s="8" t="n">
        <f aca="false">DATE(B850,C850,1)</f>
        <v>45748</v>
      </c>
      <c r="E850" s="7" t="str">
        <f aca="false">CHOOSE(C850,"ene","feb","mar","abr","may","jun","jul","ago","sep","oct","nov","dic")</f>
        <v>abr</v>
      </c>
      <c r="F850" s="7" t="str">
        <f aca="false">CHOOSE(C850,"enero","febrero","marzo","abril","mayo","junio","julio","agosto","septiembre","octubre","noviembre","diciembre")</f>
        <v>abril</v>
      </c>
      <c r="G850" s="7" t="str">
        <f aca="false">E850&amp;"-"&amp;RIGHT(B850,2)</f>
        <v>abr-25</v>
      </c>
    </row>
    <row r="851" customFormat="false" ht="15" hidden="false" customHeight="false" outlineLevel="0" collapsed="false">
      <c r="A851" s="8" t="n">
        <f aca="false">A850+1</f>
        <v>45776</v>
      </c>
      <c r="B851" s="7" t="n">
        <f aca="false">YEAR(A851)</f>
        <v>2025</v>
      </c>
      <c r="C851" s="7" t="n">
        <f aca="false">MONTH(A851)</f>
        <v>4</v>
      </c>
      <c r="D851" s="8" t="n">
        <f aca="false">DATE(B851,C851,1)</f>
        <v>45748</v>
      </c>
      <c r="E851" s="7" t="str">
        <f aca="false">CHOOSE(C851,"ene","feb","mar","abr","may","jun","jul","ago","sep","oct","nov","dic")</f>
        <v>abr</v>
      </c>
      <c r="F851" s="7" t="str">
        <f aca="false">CHOOSE(C851,"enero","febrero","marzo","abril","mayo","junio","julio","agosto","septiembre","octubre","noviembre","diciembre")</f>
        <v>abril</v>
      </c>
      <c r="G851" s="7" t="str">
        <f aca="false">E851&amp;"-"&amp;RIGHT(B851,2)</f>
        <v>abr-25</v>
      </c>
    </row>
    <row r="852" customFormat="false" ht="15" hidden="false" customHeight="false" outlineLevel="0" collapsed="false">
      <c r="A852" s="8" t="n">
        <f aca="false">A851+1</f>
        <v>45777</v>
      </c>
      <c r="B852" s="7" t="n">
        <f aca="false">YEAR(A852)</f>
        <v>2025</v>
      </c>
      <c r="C852" s="7" t="n">
        <f aca="false">MONTH(A852)</f>
        <v>4</v>
      </c>
      <c r="D852" s="8" t="n">
        <f aca="false">DATE(B852,C852,1)</f>
        <v>45748</v>
      </c>
      <c r="E852" s="7" t="str">
        <f aca="false">CHOOSE(C852,"ene","feb","mar","abr","may","jun","jul","ago","sep","oct","nov","dic")</f>
        <v>abr</v>
      </c>
      <c r="F852" s="7" t="str">
        <f aca="false">CHOOSE(C852,"enero","febrero","marzo","abril","mayo","junio","julio","agosto","septiembre","octubre","noviembre","diciembre")</f>
        <v>abril</v>
      </c>
      <c r="G852" s="7" t="str">
        <f aca="false">E852&amp;"-"&amp;RIGHT(B852,2)</f>
        <v>abr-25</v>
      </c>
    </row>
    <row r="853" customFormat="false" ht="15" hidden="false" customHeight="false" outlineLevel="0" collapsed="false">
      <c r="A853" s="8" t="n">
        <f aca="false">A852+1</f>
        <v>45778</v>
      </c>
      <c r="B853" s="7" t="n">
        <f aca="false">YEAR(A853)</f>
        <v>2025</v>
      </c>
      <c r="C853" s="7" t="n">
        <f aca="false">MONTH(A853)</f>
        <v>5</v>
      </c>
      <c r="D853" s="8" t="n">
        <f aca="false">DATE(B853,C853,1)</f>
        <v>45778</v>
      </c>
      <c r="E853" s="7" t="str">
        <f aca="false">CHOOSE(C853,"ene","feb","mar","abr","may","jun","jul","ago","sep","oct","nov","dic")</f>
        <v>may</v>
      </c>
      <c r="F853" s="7" t="str">
        <f aca="false">CHOOSE(C853,"enero","febrero","marzo","abril","mayo","junio","julio","agosto","septiembre","octubre","noviembre","diciembre")</f>
        <v>mayo</v>
      </c>
      <c r="G853" s="7" t="str">
        <f aca="false">E853&amp;"-"&amp;RIGHT(B853,2)</f>
        <v>may-25</v>
      </c>
    </row>
    <row r="854" customFormat="false" ht="15" hidden="false" customHeight="false" outlineLevel="0" collapsed="false">
      <c r="A854" s="8" t="n">
        <f aca="false">A853+1</f>
        <v>45779</v>
      </c>
      <c r="B854" s="7" t="n">
        <f aca="false">YEAR(A854)</f>
        <v>2025</v>
      </c>
      <c r="C854" s="7" t="n">
        <f aca="false">MONTH(A854)</f>
        <v>5</v>
      </c>
      <c r="D854" s="8" t="n">
        <f aca="false">DATE(B854,C854,1)</f>
        <v>45778</v>
      </c>
      <c r="E854" s="7" t="str">
        <f aca="false">CHOOSE(C854,"ene","feb","mar","abr","may","jun","jul","ago","sep","oct","nov","dic")</f>
        <v>may</v>
      </c>
      <c r="F854" s="7" t="str">
        <f aca="false">CHOOSE(C854,"enero","febrero","marzo","abril","mayo","junio","julio","agosto","septiembre","octubre","noviembre","diciembre")</f>
        <v>mayo</v>
      </c>
      <c r="G854" s="7" t="str">
        <f aca="false">E854&amp;"-"&amp;RIGHT(B854,2)</f>
        <v>may-25</v>
      </c>
    </row>
    <row r="855" customFormat="false" ht="15" hidden="false" customHeight="false" outlineLevel="0" collapsed="false">
      <c r="A855" s="8" t="n">
        <f aca="false">A854+1</f>
        <v>45780</v>
      </c>
      <c r="B855" s="7" t="n">
        <f aca="false">YEAR(A855)</f>
        <v>2025</v>
      </c>
      <c r="C855" s="7" t="n">
        <f aca="false">MONTH(A855)</f>
        <v>5</v>
      </c>
      <c r="D855" s="8" t="n">
        <f aca="false">DATE(B855,C855,1)</f>
        <v>45778</v>
      </c>
      <c r="E855" s="7" t="str">
        <f aca="false">CHOOSE(C855,"ene","feb","mar","abr","may","jun","jul","ago","sep","oct","nov","dic")</f>
        <v>may</v>
      </c>
      <c r="F855" s="7" t="str">
        <f aca="false">CHOOSE(C855,"enero","febrero","marzo","abril","mayo","junio","julio","agosto","septiembre","octubre","noviembre","diciembre")</f>
        <v>mayo</v>
      </c>
      <c r="G855" s="7" t="str">
        <f aca="false">E855&amp;"-"&amp;RIGHT(B855,2)</f>
        <v>may-25</v>
      </c>
    </row>
    <row r="856" customFormat="false" ht="15" hidden="false" customHeight="false" outlineLevel="0" collapsed="false">
      <c r="A856" s="8" t="n">
        <f aca="false">A855+1</f>
        <v>45781</v>
      </c>
      <c r="B856" s="7" t="n">
        <f aca="false">YEAR(A856)</f>
        <v>2025</v>
      </c>
      <c r="C856" s="7" t="n">
        <f aca="false">MONTH(A856)</f>
        <v>5</v>
      </c>
      <c r="D856" s="8" t="n">
        <f aca="false">DATE(B856,C856,1)</f>
        <v>45778</v>
      </c>
      <c r="E856" s="7" t="str">
        <f aca="false">CHOOSE(C856,"ene","feb","mar","abr","may","jun","jul","ago","sep","oct","nov","dic")</f>
        <v>may</v>
      </c>
      <c r="F856" s="7" t="str">
        <f aca="false">CHOOSE(C856,"enero","febrero","marzo","abril","mayo","junio","julio","agosto","septiembre","octubre","noviembre","diciembre")</f>
        <v>mayo</v>
      </c>
      <c r="G856" s="7" t="str">
        <f aca="false">E856&amp;"-"&amp;RIGHT(B856,2)</f>
        <v>may-25</v>
      </c>
    </row>
    <row r="857" customFormat="false" ht="15" hidden="false" customHeight="false" outlineLevel="0" collapsed="false">
      <c r="A857" s="8" t="n">
        <f aca="false">A856+1</f>
        <v>45782</v>
      </c>
      <c r="B857" s="7" t="n">
        <f aca="false">YEAR(A857)</f>
        <v>2025</v>
      </c>
      <c r="C857" s="7" t="n">
        <f aca="false">MONTH(A857)</f>
        <v>5</v>
      </c>
      <c r="D857" s="8" t="n">
        <f aca="false">DATE(B857,C857,1)</f>
        <v>45778</v>
      </c>
      <c r="E857" s="7" t="str">
        <f aca="false">CHOOSE(C857,"ene","feb","mar","abr","may","jun","jul","ago","sep","oct","nov","dic")</f>
        <v>may</v>
      </c>
      <c r="F857" s="7" t="str">
        <f aca="false">CHOOSE(C857,"enero","febrero","marzo","abril","mayo","junio","julio","agosto","septiembre","octubre","noviembre","diciembre")</f>
        <v>mayo</v>
      </c>
      <c r="G857" s="7" t="str">
        <f aca="false">E857&amp;"-"&amp;RIGHT(B857,2)</f>
        <v>may-25</v>
      </c>
    </row>
    <row r="858" customFormat="false" ht="15" hidden="false" customHeight="false" outlineLevel="0" collapsed="false">
      <c r="A858" s="8" t="n">
        <f aca="false">A857+1</f>
        <v>45783</v>
      </c>
      <c r="B858" s="7" t="n">
        <f aca="false">YEAR(A858)</f>
        <v>2025</v>
      </c>
      <c r="C858" s="7" t="n">
        <f aca="false">MONTH(A858)</f>
        <v>5</v>
      </c>
      <c r="D858" s="8" t="n">
        <f aca="false">DATE(B858,C858,1)</f>
        <v>45778</v>
      </c>
      <c r="E858" s="7" t="str">
        <f aca="false">CHOOSE(C858,"ene","feb","mar","abr","may","jun","jul","ago","sep","oct","nov","dic")</f>
        <v>may</v>
      </c>
      <c r="F858" s="7" t="str">
        <f aca="false">CHOOSE(C858,"enero","febrero","marzo","abril","mayo","junio","julio","agosto","septiembre","octubre","noviembre","diciembre")</f>
        <v>mayo</v>
      </c>
      <c r="G858" s="7" t="str">
        <f aca="false">E858&amp;"-"&amp;RIGHT(B858,2)</f>
        <v>may-25</v>
      </c>
    </row>
    <row r="859" customFormat="false" ht="15" hidden="false" customHeight="false" outlineLevel="0" collapsed="false">
      <c r="A859" s="8" t="n">
        <f aca="false">A858+1</f>
        <v>45784</v>
      </c>
      <c r="B859" s="7" t="n">
        <f aca="false">YEAR(A859)</f>
        <v>2025</v>
      </c>
      <c r="C859" s="7" t="n">
        <f aca="false">MONTH(A859)</f>
        <v>5</v>
      </c>
      <c r="D859" s="8" t="n">
        <f aca="false">DATE(B859,C859,1)</f>
        <v>45778</v>
      </c>
      <c r="E859" s="7" t="str">
        <f aca="false">CHOOSE(C859,"ene","feb","mar","abr","may","jun","jul","ago","sep","oct","nov","dic")</f>
        <v>may</v>
      </c>
      <c r="F859" s="7" t="str">
        <f aca="false">CHOOSE(C859,"enero","febrero","marzo","abril","mayo","junio","julio","agosto","septiembre","octubre","noviembre","diciembre")</f>
        <v>mayo</v>
      </c>
      <c r="G859" s="7" t="str">
        <f aca="false">E859&amp;"-"&amp;RIGHT(B859,2)</f>
        <v>may-25</v>
      </c>
    </row>
    <row r="860" customFormat="false" ht="15" hidden="false" customHeight="false" outlineLevel="0" collapsed="false">
      <c r="A860" s="8" t="n">
        <f aca="false">A859+1</f>
        <v>45785</v>
      </c>
      <c r="B860" s="7" t="n">
        <f aca="false">YEAR(A860)</f>
        <v>2025</v>
      </c>
      <c r="C860" s="7" t="n">
        <f aca="false">MONTH(A860)</f>
        <v>5</v>
      </c>
      <c r="D860" s="8" t="n">
        <f aca="false">DATE(B860,C860,1)</f>
        <v>45778</v>
      </c>
      <c r="E860" s="7" t="str">
        <f aca="false">CHOOSE(C860,"ene","feb","mar","abr","may","jun","jul","ago","sep","oct","nov","dic")</f>
        <v>may</v>
      </c>
      <c r="F860" s="7" t="str">
        <f aca="false">CHOOSE(C860,"enero","febrero","marzo","abril","mayo","junio","julio","agosto","septiembre","octubre","noviembre","diciembre")</f>
        <v>mayo</v>
      </c>
      <c r="G860" s="7" t="str">
        <f aca="false">E860&amp;"-"&amp;RIGHT(B860,2)</f>
        <v>may-25</v>
      </c>
    </row>
    <row r="861" customFormat="false" ht="15" hidden="false" customHeight="false" outlineLevel="0" collapsed="false">
      <c r="A861" s="8" t="n">
        <f aca="false">A860+1</f>
        <v>45786</v>
      </c>
      <c r="B861" s="7" t="n">
        <f aca="false">YEAR(A861)</f>
        <v>2025</v>
      </c>
      <c r="C861" s="7" t="n">
        <f aca="false">MONTH(A861)</f>
        <v>5</v>
      </c>
      <c r="D861" s="8" t="n">
        <f aca="false">DATE(B861,C861,1)</f>
        <v>45778</v>
      </c>
      <c r="E861" s="7" t="str">
        <f aca="false">CHOOSE(C861,"ene","feb","mar","abr","may","jun","jul","ago","sep","oct","nov","dic")</f>
        <v>may</v>
      </c>
      <c r="F861" s="7" t="str">
        <f aca="false">CHOOSE(C861,"enero","febrero","marzo","abril","mayo","junio","julio","agosto","septiembre","octubre","noviembre","diciembre")</f>
        <v>mayo</v>
      </c>
      <c r="G861" s="7" t="str">
        <f aca="false">E861&amp;"-"&amp;RIGHT(B861,2)</f>
        <v>may-25</v>
      </c>
    </row>
    <row r="862" customFormat="false" ht="15" hidden="false" customHeight="false" outlineLevel="0" collapsed="false">
      <c r="A862" s="8" t="n">
        <f aca="false">A861+1</f>
        <v>45787</v>
      </c>
      <c r="B862" s="7" t="n">
        <f aca="false">YEAR(A862)</f>
        <v>2025</v>
      </c>
      <c r="C862" s="7" t="n">
        <f aca="false">MONTH(A862)</f>
        <v>5</v>
      </c>
      <c r="D862" s="8" t="n">
        <f aca="false">DATE(B862,C862,1)</f>
        <v>45778</v>
      </c>
      <c r="E862" s="7" t="str">
        <f aca="false">CHOOSE(C862,"ene","feb","mar","abr","may","jun","jul","ago","sep","oct","nov","dic")</f>
        <v>may</v>
      </c>
      <c r="F862" s="7" t="str">
        <f aca="false">CHOOSE(C862,"enero","febrero","marzo","abril","mayo","junio","julio","agosto","septiembre","octubre","noviembre","diciembre")</f>
        <v>mayo</v>
      </c>
      <c r="G862" s="7" t="str">
        <f aca="false">E862&amp;"-"&amp;RIGHT(B862,2)</f>
        <v>may-25</v>
      </c>
    </row>
    <row r="863" customFormat="false" ht="15" hidden="false" customHeight="false" outlineLevel="0" collapsed="false">
      <c r="A863" s="8" t="n">
        <f aca="false">A862+1</f>
        <v>45788</v>
      </c>
      <c r="B863" s="7" t="n">
        <f aca="false">YEAR(A863)</f>
        <v>2025</v>
      </c>
      <c r="C863" s="7" t="n">
        <f aca="false">MONTH(A863)</f>
        <v>5</v>
      </c>
      <c r="D863" s="8" t="n">
        <f aca="false">DATE(B863,C863,1)</f>
        <v>45778</v>
      </c>
      <c r="E863" s="7" t="str">
        <f aca="false">CHOOSE(C863,"ene","feb","mar","abr","may","jun","jul","ago","sep","oct","nov","dic")</f>
        <v>may</v>
      </c>
      <c r="F863" s="7" t="str">
        <f aca="false">CHOOSE(C863,"enero","febrero","marzo","abril","mayo","junio","julio","agosto","septiembre","octubre","noviembre","diciembre")</f>
        <v>mayo</v>
      </c>
      <c r="G863" s="7" t="str">
        <f aca="false">E863&amp;"-"&amp;RIGHT(B863,2)</f>
        <v>may-25</v>
      </c>
    </row>
    <row r="864" customFormat="false" ht="15" hidden="false" customHeight="false" outlineLevel="0" collapsed="false">
      <c r="A864" s="8" t="n">
        <f aca="false">A863+1</f>
        <v>45789</v>
      </c>
      <c r="B864" s="7" t="n">
        <f aca="false">YEAR(A864)</f>
        <v>2025</v>
      </c>
      <c r="C864" s="7" t="n">
        <f aca="false">MONTH(A864)</f>
        <v>5</v>
      </c>
      <c r="D864" s="8" t="n">
        <f aca="false">DATE(B864,C864,1)</f>
        <v>45778</v>
      </c>
      <c r="E864" s="7" t="str">
        <f aca="false">CHOOSE(C864,"ene","feb","mar","abr","may","jun","jul","ago","sep","oct","nov","dic")</f>
        <v>may</v>
      </c>
      <c r="F864" s="7" t="str">
        <f aca="false">CHOOSE(C864,"enero","febrero","marzo","abril","mayo","junio","julio","agosto","septiembre","octubre","noviembre","diciembre")</f>
        <v>mayo</v>
      </c>
      <c r="G864" s="7" t="str">
        <f aca="false">E864&amp;"-"&amp;RIGHT(B864,2)</f>
        <v>may-25</v>
      </c>
    </row>
    <row r="865" customFormat="false" ht="15" hidden="false" customHeight="false" outlineLevel="0" collapsed="false">
      <c r="A865" s="8" t="n">
        <f aca="false">A864+1</f>
        <v>45790</v>
      </c>
      <c r="B865" s="7" t="n">
        <f aca="false">YEAR(A865)</f>
        <v>2025</v>
      </c>
      <c r="C865" s="7" t="n">
        <f aca="false">MONTH(A865)</f>
        <v>5</v>
      </c>
      <c r="D865" s="8" t="n">
        <f aca="false">DATE(B865,C865,1)</f>
        <v>45778</v>
      </c>
      <c r="E865" s="7" t="str">
        <f aca="false">CHOOSE(C865,"ene","feb","mar","abr","may","jun","jul","ago","sep","oct","nov","dic")</f>
        <v>may</v>
      </c>
      <c r="F865" s="7" t="str">
        <f aca="false">CHOOSE(C865,"enero","febrero","marzo","abril","mayo","junio","julio","agosto","septiembre","octubre","noviembre","diciembre")</f>
        <v>mayo</v>
      </c>
      <c r="G865" s="7" t="str">
        <f aca="false">E865&amp;"-"&amp;RIGHT(B865,2)</f>
        <v>may-25</v>
      </c>
    </row>
    <row r="866" customFormat="false" ht="15" hidden="false" customHeight="false" outlineLevel="0" collapsed="false">
      <c r="A866" s="8" t="n">
        <f aca="false">A865+1</f>
        <v>45791</v>
      </c>
      <c r="B866" s="7" t="n">
        <f aca="false">YEAR(A866)</f>
        <v>2025</v>
      </c>
      <c r="C866" s="7" t="n">
        <f aca="false">MONTH(A866)</f>
        <v>5</v>
      </c>
      <c r="D866" s="8" t="n">
        <f aca="false">DATE(B866,C866,1)</f>
        <v>45778</v>
      </c>
      <c r="E866" s="7" t="str">
        <f aca="false">CHOOSE(C866,"ene","feb","mar","abr","may","jun","jul","ago","sep","oct","nov","dic")</f>
        <v>may</v>
      </c>
      <c r="F866" s="7" t="str">
        <f aca="false">CHOOSE(C866,"enero","febrero","marzo","abril","mayo","junio","julio","agosto","septiembre","octubre","noviembre","diciembre")</f>
        <v>mayo</v>
      </c>
      <c r="G866" s="7" t="str">
        <f aca="false">E866&amp;"-"&amp;RIGHT(B866,2)</f>
        <v>may-25</v>
      </c>
    </row>
    <row r="867" customFormat="false" ht="15" hidden="false" customHeight="false" outlineLevel="0" collapsed="false">
      <c r="A867" s="8" t="n">
        <f aca="false">A866+1</f>
        <v>45792</v>
      </c>
      <c r="B867" s="7" t="n">
        <f aca="false">YEAR(A867)</f>
        <v>2025</v>
      </c>
      <c r="C867" s="7" t="n">
        <f aca="false">MONTH(A867)</f>
        <v>5</v>
      </c>
      <c r="D867" s="8" t="n">
        <f aca="false">DATE(B867,C867,1)</f>
        <v>45778</v>
      </c>
      <c r="E867" s="7" t="str">
        <f aca="false">CHOOSE(C867,"ene","feb","mar","abr","may","jun","jul","ago","sep","oct","nov","dic")</f>
        <v>may</v>
      </c>
      <c r="F867" s="7" t="str">
        <f aca="false">CHOOSE(C867,"enero","febrero","marzo","abril","mayo","junio","julio","agosto","septiembre","octubre","noviembre","diciembre")</f>
        <v>mayo</v>
      </c>
      <c r="G867" s="7" t="str">
        <f aca="false">E867&amp;"-"&amp;RIGHT(B867,2)</f>
        <v>may-25</v>
      </c>
    </row>
    <row r="868" customFormat="false" ht="15" hidden="false" customHeight="false" outlineLevel="0" collapsed="false">
      <c r="A868" s="8" t="n">
        <f aca="false">A867+1</f>
        <v>45793</v>
      </c>
      <c r="B868" s="7" t="n">
        <f aca="false">YEAR(A868)</f>
        <v>2025</v>
      </c>
      <c r="C868" s="7" t="n">
        <f aca="false">MONTH(A868)</f>
        <v>5</v>
      </c>
      <c r="D868" s="8" t="n">
        <f aca="false">DATE(B868,C868,1)</f>
        <v>45778</v>
      </c>
      <c r="E868" s="7" t="str">
        <f aca="false">CHOOSE(C868,"ene","feb","mar","abr","may","jun","jul","ago","sep","oct","nov","dic")</f>
        <v>may</v>
      </c>
      <c r="F868" s="7" t="str">
        <f aca="false">CHOOSE(C868,"enero","febrero","marzo","abril","mayo","junio","julio","agosto","septiembre","octubre","noviembre","diciembre")</f>
        <v>mayo</v>
      </c>
      <c r="G868" s="7" t="str">
        <f aca="false">E868&amp;"-"&amp;RIGHT(B868,2)</f>
        <v>may-25</v>
      </c>
    </row>
    <row r="869" customFormat="false" ht="15" hidden="false" customHeight="false" outlineLevel="0" collapsed="false">
      <c r="A869" s="8" t="n">
        <f aca="false">A868+1</f>
        <v>45794</v>
      </c>
      <c r="B869" s="7" t="n">
        <f aca="false">YEAR(A869)</f>
        <v>2025</v>
      </c>
      <c r="C869" s="7" t="n">
        <f aca="false">MONTH(A869)</f>
        <v>5</v>
      </c>
      <c r="D869" s="8" t="n">
        <f aca="false">DATE(B869,C869,1)</f>
        <v>45778</v>
      </c>
      <c r="E869" s="7" t="str">
        <f aca="false">CHOOSE(C869,"ene","feb","mar","abr","may","jun","jul","ago","sep","oct","nov","dic")</f>
        <v>may</v>
      </c>
      <c r="F869" s="7" t="str">
        <f aca="false">CHOOSE(C869,"enero","febrero","marzo","abril","mayo","junio","julio","agosto","septiembre","octubre","noviembre","diciembre")</f>
        <v>mayo</v>
      </c>
      <c r="G869" s="7" t="str">
        <f aca="false">E869&amp;"-"&amp;RIGHT(B869,2)</f>
        <v>may-25</v>
      </c>
    </row>
    <row r="870" customFormat="false" ht="15" hidden="false" customHeight="false" outlineLevel="0" collapsed="false">
      <c r="A870" s="8" t="n">
        <f aca="false">A869+1</f>
        <v>45795</v>
      </c>
      <c r="B870" s="7" t="n">
        <f aca="false">YEAR(A870)</f>
        <v>2025</v>
      </c>
      <c r="C870" s="7" t="n">
        <f aca="false">MONTH(A870)</f>
        <v>5</v>
      </c>
      <c r="D870" s="8" t="n">
        <f aca="false">DATE(B870,C870,1)</f>
        <v>45778</v>
      </c>
      <c r="E870" s="7" t="str">
        <f aca="false">CHOOSE(C870,"ene","feb","mar","abr","may","jun","jul","ago","sep","oct","nov","dic")</f>
        <v>may</v>
      </c>
      <c r="F870" s="7" t="str">
        <f aca="false">CHOOSE(C870,"enero","febrero","marzo","abril","mayo","junio","julio","agosto","septiembre","octubre","noviembre","diciembre")</f>
        <v>mayo</v>
      </c>
      <c r="G870" s="7" t="str">
        <f aca="false">E870&amp;"-"&amp;RIGHT(B870,2)</f>
        <v>may-25</v>
      </c>
    </row>
    <row r="871" customFormat="false" ht="15" hidden="false" customHeight="false" outlineLevel="0" collapsed="false">
      <c r="A871" s="8" t="n">
        <f aca="false">A870+1</f>
        <v>45796</v>
      </c>
      <c r="B871" s="7" t="n">
        <f aca="false">YEAR(A871)</f>
        <v>2025</v>
      </c>
      <c r="C871" s="7" t="n">
        <f aca="false">MONTH(A871)</f>
        <v>5</v>
      </c>
      <c r="D871" s="8" t="n">
        <f aca="false">DATE(B871,C871,1)</f>
        <v>45778</v>
      </c>
      <c r="E871" s="7" t="str">
        <f aca="false">CHOOSE(C871,"ene","feb","mar","abr","may","jun","jul","ago","sep","oct","nov","dic")</f>
        <v>may</v>
      </c>
      <c r="F871" s="7" t="str">
        <f aca="false">CHOOSE(C871,"enero","febrero","marzo","abril","mayo","junio","julio","agosto","septiembre","octubre","noviembre","diciembre")</f>
        <v>mayo</v>
      </c>
      <c r="G871" s="7" t="str">
        <f aca="false">E871&amp;"-"&amp;RIGHT(B871,2)</f>
        <v>may-25</v>
      </c>
    </row>
    <row r="872" customFormat="false" ht="15" hidden="false" customHeight="false" outlineLevel="0" collapsed="false">
      <c r="A872" s="8" t="n">
        <f aca="false">A871+1</f>
        <v>45797</v>
      </c>
      <c r="B872" s="7" t="n">
        <f aca="false">YEAR(A872)</f>
        <v>2025</v>
      </c>
      <c r="C872" s="7" t="n">
        <f aca="false">MONTH(A872)</f>
        <v>5</v>
      </c>
      <c r="D872" s="8" t="n">
        <f aca="false">DATE(B872,C872,1)</f>
        <v>45778</v>
      </c>
      <c r="E872" s="7" t="str">
        <f aca="false">CHOOSE(C872,"ene","feb","mar","abr","may","jun","jul","ago","sep","oct","nov","dic")</f>
        <v>may</v>
      </c>
      <c r="F872" s="7" t="str">
        <f aca="false">CHOOSE(C872,"enero","febrero","marzo","abril","mayo","junio","julio","agosto","septiembre","octubre","noviembre","diciembre")</f>
        <v>mayo</v>
      </c>
      <c r="G872" s="7" t="str">
        <f aca="false">E872&amp;"-"&amp;RIGHT(B872,2)</f>
        <v>may-25</v>
      </c>
    </row>
    <row r="873" customFormat="false" ht="15" hidden="false" customHeight="false" outlineLevel="0" collapsed="false">
      <c r="A873" s="8" t="n">
        <f aca="false">A872+1</f>
        <v>45798</v>
      </c>
      <c r="B873" s="7" t="n">
        <f aca="false">YEAR(A873)</f>
        <v>2025</v>
      </c>
      <c r="C873" s="7" t="n">
        <f aca="false">MONTH(A873)</f>
        <v>5</v>
      </c>
      <c r="D873" s="8" t="n">
        <f aca="false">DATE(B873,C873,1)</f>
        <v>45778</v>
      </c>
      <c r="E873" s="7" t="str">
        <f aca="false">CHOOSE(C873,"ene","feb","mar","abr","may","jun","jul","ago","sep","oct","nov","dic")</f>
        <v>may</v>
      </c>
      <c r="F873" s="7" t="str">
        <f aca="false">CHOOSE(C873,"enero","febrero","marzo","abril","mayo","junio","julio","agosto","septiembre","octubre","noviembre","diciembre")</f>
        <v>mayo</v>
      </c>
      <c r="G873" s="7" t="str">
        <f aca="false">E873&amp;"-"&amp;RIGHT(B873,2)</f>
        <v>may-25</v>
      </c>
    </row>
    <row r="874" customFormat="false" ht="15" hidden="false" customHeight="false" outlineLevel="0" collapsed="false">
      <c r="A874" s="8" t="n">
        <f aca="false">A873+1</f>
        <v>45799</v>
      </c>
      <c r="B874" s="7" t="n">
        <f aca="false">YEAR(A874)</f>
        <v>2025</v>
      </c>
      <c r="C874" s="7" t="n">
        <f aca="false">MONTH(A874)</f>
        <v>5</v>
      </c>
      <c r="D874" s="8" t="n">
        <f aca="false">DATE(B874,C874,1)</f>
        <v>45778</v>
      </c>
      <c r="E874" s="7" t="str">
        <f aca="false">CHOOSE(C874,"ene","feb","mar","abr","may","jun","jul","ago","sep","oct","nov","dic")</f>
        <v>may</v>
      </c>
      <c r="F874" s="7" t="str">
        <f aca="false">CHOOSE(C874,"enero","febrero","marzo","abril","mayo","junio","julio","agosto","septiembre","octubre","noviembre","diciembre")</f>
        <v>mayo</v>
      </c>
      <c r="G874" s="7" t="str">
        <f aca="false">E874&amp;"-"&amp;RIGHT(B874,2)</f>
        <v>may-25</v>
      </c>
    </row>
    <row r="875" customFormat="false" ht="15" hidden="false" customHeight="false" outlineLevel="0" collapsed="false">
      <c r="A875" s="8" t="n">
        <f aca="false">A874+1</f>
        <v>45800</v>
      </c>
      <c r="B875" s="7" t="n">
        <f aca="false">YEAR(A875)</f>
        <v>2025</v>
      </c>
      <c r="C875" s="7" t="n">
        <f aca="false">MONTH(A875)</f>
        <v>5</v>
      </c>
      <c r="D875" s="8" t="n">
        <f aca="false">DATE(B875,C875,1)</f>
        <v>45778</v>
      </c>
      <c r="E875" s="7" t="str">
        <f aca="false">CHOOSE(C875,"ene","feb","mar","abr","may","jun","jul","ago","sep","oct","nov","dic")</f>
        <v>may</v>
      </c>
      <c r="F875" s="7" t="str">
        <f aca="false">CHOOSE(C875,"enero","febrero","marzo","abril","mayo","junio","julio","agosto","septiembre","octubre","noviembre","diciembre")</f>
        <v>mayo</v>
      </c>
      <c r="G875" s="7" t="str">
        <f aca="false">E875&amp;"-"&amp;RIGHT(B875,2)</f>
        <v>may-25</v>
      </c>
    </row>
    <row r="876" customFormat="false" ht="15" hidden="false" customHeight="false" outlineLevel="0" collapsed="false">
      <c r="A876" s="8" t="n">
        <f aca="false">A875+1</f>
        <v>45801</v>
      </c>
      <c r="B876" s="7" t="n">
        <f aca="false">YEAR(A876)</f>
        <v>2025</v>
      </c>
      <c r="C876" s="7" t="n">
        <f aca="false">MONTH(A876)</f>
        <v>5</v>
      </c>
      <c r="D876" s="8" t="n">
        <f aca="false">DATE(B876,C876,1)</f>
        <v>45778</v>
      </c>
      <c r="E876" s="7" t="str">
        <f aca="false">CHOOSE(C876,"ene","feb","mar","abr","may","jun","jul","ago","sep","oct","nov","dic")</f>
        <v>may</v>
      </c>
      <c r="F876" s="7" t="str">
        <f aca="false">CHOOSE(C876,"enero","febrero","marzo","abril","mayo","junio","julio","agosto","septiembre","octubre","noviembre","diciembre")</f>
        <v>mayo</v>
      </c>
      <c r="G876" s="7" t="str">
        <f aca="false">E876&amp;"-"&amp;RIGHT(B876,2)</f>
        <v>may-25</v>
      </c>
    </row>
    <row r="877" customFormat="false" ht="15" hidden="false" customHeight="false" outlineLevel="0" collapsed="false">
      <c r="A877" s="8" t="n">
        <f aca="false">A876+1</f>
        <v>45802</v>
      </c>
      <c r="B877" s="7" t="n">
        <f aca="false">YEAR(A877)</f>
        <v>2025</v>
      </c>
      <c r="C877" s="7" t="n">
        <f aca="false">MONTH(A877)</f>
        <v>5</v>
      </c>
      <c r="D877" s="8" t="n">
        <f aca="false">DATE(B877,C877,1)</f>
        <v>45778</v>
      </c>
      <c r="E877" s="7" t="str">
        <f aca="false">CHOOSE(C877,"ene","feb","mar","abr","may","jun","jul","ago","sep","oct","nov","dic")</f>
        <v>may</v>
      </c>
      <c r="F877" s="7" t="str">
        <f aca="false">CHOOSE(C877,"enero","febrero","marzo","abril","mayo","junio","julio","agosto","septiembre","octubre","noviembre","diciembre")</f>
        <v>mayo</v>
      </c>
      <c r="G877" s="7" t="str">
        <f aca="false">E877&amp;"-"&amp;RIGHT(B877,2)</f>
        <v>may-25</v>
      </c>
    </row>
    <row r="878" customFormat="false" ht="15" hidden="false" customHeight="false" outlineLevel="0" collapsed="false">
      <c r="A878" s="8" t="n">
        <f aca="false">A877+1</f>
        <v>45803</v>
      </c>
      <c r="B878" s="7" t="n">
        <f aca="false">YEAR(A878)</f>
        <v>2025</v>
      </c>
      <c r="C878" s="7" t="n">
        <f aca="false">MONTH(A878)</f>
        <v>5</v>
      </c>
      <c r="D878" s="8" t="n">
        <f aca="false">DATE(B878,C878,1)</f>
        <v>45778</v>
      </c>
      <c r="E878" s="7" t="str">
        <f aca="false">CHOOSE(C878,"ene","feb","mar","abr","may","jun","jul","ago","sep","oct","nov","dic")</f>
        <v>may</v>
      </c>
      <c r="F878" s="7" t="str">
        <f aca="false">CHOOSE(C878,"enero","febrero","marzo","abril","mayo","junio","julio","agosto","septiembre","octubre","noviembre","diciembre")</f>
        <v>mayo</v>
      </c>
      <c r="G878" s="7" t="str">
        <f aca="false">E878&amp;"-"&amp;RIGHT(B878,2)</f>
        <v>may-25</v>
      </c>
    </row>
    <row r="879" customFormat="false" ht="15" hidden="false" customHeight="false" outlineLevel="0" collapsed="false">
      <c r="A879" s="8" t="n">
        <f aca="false">A878+1</f>
        <v>45804</v>
      </c>
      <c r="B879" s="7" t="n">
        <f aca="false">YEAR(A879)</f>
        <v>2025</v>
      </c>
      <c r="C879" s="7" t="n">
        <f aca="false">MONTH(A879)</f>
        <v>5</v>
      </c>
      <c r="D879" s="8" t="n">
        <f aca="false">DATE(B879,C879,1)</f>
        <v>45778</v>
      </c>
      <c r="E879" s="7" t="str">
        <f aca="false">CHOOSE(C879,"ene","feb","mar","abr","may","jun","jul","ago","sep","oct","nov","dic")</f>
        <v>may</v>
      </c>
      <c r="F879" s="7" t="str">
        <f aca="false">CHOOSE(C879,"enero","febrero","marzo","abril","mayo","junio","julio","agosto","septiembre","octubre","noviembre","diciembre")</f>
        <v>mayo</v>
      </c>
      <c r="G879" s="7" t="str">
        <f aca="false">E879&amp;"-"&amp;RIGHT(B879,2)</f>
        <v>may-25</v>
      </c>
    </row>
    <row r="880" customFormat="false" ht="15" hidden="false" customHeight="false" outlineLevel="0" collapsed="false">
      <c r="A880" s="8" t="n">
        <f aca="false">A879+1</f>
        <v>45805</v>
      </c>
      <c r="B880" s="7" t="n">
        <f aca="false">YEAR(A880)</f>
        <v>2025</v>
      </c>
      <c r="C880" s="7" t="n">
        <f aca="false">MONTH(A880)</f>
        <v>5</v>
      </c>
      <c r="D880" s="8" t="n">
        <f aca="false">DATE(B880,C880,1)</f>
        <v>45778</v>
      </c>
      <c r="E880" s="7" t="str">
        <f aca="false">CHOOSE(C880,"ene","feb","mar","abr","may","jun","jul","ago","sep","oct","nov","dic")</f>
        <v>may</v>
      </c>
      <c r="F880" s="7" t="str">
        <f aca="false">CHOOSE(C880,"enero","febrero","marzo","abril","mayo","junio","julio","agosto","septiembre","octubre","noviembre","diciembre")</f>
        <v>mayo</v>
      </c>
      <c r="G880" s="7" t="str">
        <f aca="false">E880&amp;"-"&amp;RIGHT(B880,2)</f>
        <v>may-25</v>
      </c>
    </row>
    <row r="881" customFormat="false" ht="15" hidden="false" customHeight="false" outlineLevel="0" collapsed="false">
      <c r="A881" s="8" t="n">
        <f aca="false">A880+1</f>
        <v>45806</v>
      </c>
      <c r="B881" s="7" t="n">
        <f aca="false">YEAR(A881)</f>
        <v>2025</v>
      </c>
      <c r="C881" s="7" t="n">
        <f aca="false">MONTH(A881)</f>
        <v>5</v>
      </c>
      <c r="D881" s="8" t="n">
        <f aca="false">DATE(B881,C881,1)</f>
        <v>45778</v>
      </c>
      <c r="E881" s="7" t="str">
        <f aca="false">CHOOSE(C881,"ene","feb","mar","abr","may","jun","jul","ago","sep","oct","nov","dic")</f>
        <v>may</v>
      </c>
      <c r="F881" s="7" t="str">
        <f aca="false">CHOOSE(C881,"enero","febrero","marzo","abril","mayo","junio","julio","agosto","septiembre","octubre","noviembre","diciembre")</f>
        <v>mayo</v>
      </c>
      <c r="G881" s="7" t="str">
        <f aca="false">E881&amp;"-"&amp;RIGHT(B881,2)</f>
        <v>may-25</v>
      </c>
    </row>
    <row r="882" customFormat="false" ht="15" hidden="false" customHeight="false" outlineLevel="0" collapsed="false">
      <c r="A882" s="8" t="n">
        <f aca="false">A881+1</f>
        <v>45807</v>
      </c>
      <c r="B882" s="7" t="n">
        <f aca="false">YEAR(A882)</f>
        <v>2025</v>
      </c>
      <c r="C882" s="7" t="n">
        <f aca="false">MONTH(A882)</f>
        <v>5</v>
      </c>
      <c r="D882" s="8" t="n">
        <f aca="false">DATE(B882,C882,1)</f>
        <v>45778</v>
      </c>
      <c r="E882" s="7" t="str">
        <f aca="false">CHOOSE(C882,"ene","feb","mar","abr","may","jun","jul","ago","sep","oct","nov","dic")</f>
        <v>may</v>
      </c>
      <c r="F882" s="7" t="str">
        <f aca="false">CHOOSE(C882,"enero","febrero","marzo","abril","mayo","junio","julio","agosto","septiembre","octubre","noviembre","diciembre")</f>
        <v>mayo</v>
      </c>
      <c r="G882" s="7" t="str">
        <f aca="false">E882&amp;"-"&amp;RIGHT(B882,2)</f>
        <v>may-25</v>
      </c>
    </row>
    <row r="883" customFormat="false" ht="15" hidden="false" customHeight="false" outlineLevel="0" collapsed="false">
      <c r="A883" s="8" t="n">
        <f aca="false">A882+1</f>
        <v>45808</v>
      </c>
      <c r="B883" s="7" t="n">
        <f aca="false">YEAR(A883)</f>
        <v>2025</v>
      </c>
      <c r="C883" s="7" t="n">
        <f aca="false">MONTH(A883)</f>
        <v>5</v>
      </c>
      <c r="D883" s="8" t="n">
        <f aca="false">DATE(B883,C883,1)</f>
        <v>45778</v>
      </c>
      <c r="E883" s="7" t="str">
        <f aca="false">CHOOSE(C883,"ene","feb","mar","abr","may","jun","jul","ago","sep","oct","nov","dic")</f>
        <v>may</v>
      </c>
      <c r="F883" s="7" t="str">
        <f aca="false">CHOOSE(C883,"enero","febrero","marzo","abril","mayo","junio","julio","agosto","septiembre","octubre","noviembre","diciembre")</f>
        <v>mayo</v>
      </c>
      <c r="G883" s="7" t="str">
        <f aca="false">E883&amp;"-"&amp;RIGHT(B883,2)</f>
        <v>may-25</v>
      </c>
    </row>
    <row r="884" customFormat="false" ht="15" hidden="false" customHeight="false" outlineLevel="0" collapsed="false">
      <c r="A884" s="8" t="n">
        <f aca="false">A883+1</f>
        <v>45809</v>
      </c>
      <c r="B884" s="7" t="n">
        <f aca="false">YEAR(A884)</f>
        <v>2025</v>
      </c>
      <c r="C884" s="7" t="n">
        <f aca="false">MONTH(A884)</f>
        <v>6</v>
      </c>
      <c r="D884" s="8" t="n">
        <f aca="false">DATE(B884,C884,1)</f>
        <v>45809</v>
      </c>
      <c r="E884" s="7" t="str">
        <f aca="false">CHOOSE(C884,"ene","feb","mar","abr","may","jun","jul","ago","sep","oct","nov","dic")</f>
        <v>jun</v>
      </c>
      <c r="F884" s="7" t="str">
        <f aca="false">CHOOSE(C884,"enero","febrero","marzo","abril","mayo","junio","julio","agosto","septiembre","octubre","noviembre","diciembre")</f>
        <v>junio</v>
      </c>
      <c r="G884" s="7" t="str">
        <f aca="false">E884&amp;"-"&amp;RIGHT(B884,2)</f>
        <v>jun-25</v>
      </c>
    </row>
    <row r="885" customFormat="false" ht="15" hidden="false" customHeight="false" outlineLevel="0" collapsed="false">
      <c r="A885" s="8" t="n">
        <f aca="false">A884+1</f>
        <v>45810</v>
      </c>
      <c r="B885" s="7" t="n">
        <f aca="false">YEAR(A885)</f>
        <v>2025</v>
      </c>
      <c r="C885" s="7" t="n">
        <f aca="false">MONTH(A885)</f>
        <v>6</v>
      </c>
      <c r="D885" s="8" t="n">
        <f aca="false">DATE(B885,C885,1)</f>
        <v>45809</v>
      </c>
      <c r="E885" s="7" t="str">
        <f aca="false">CHOOSE(C885,"ene","feb","mar","abr","may","jun","jul","ago","sep","oct","nov","dic")</f>
        <v>jun</v>
      </c>
      <c r="F885" s="7" t="str">
        <f aca="false">CHOOSE(C885,"enero","febrero","marzo","abril","mayo","junio","julio","agosto","septiembre","octubre","noviembre","diciembre")</f>
        <v>junio</v>
      </c>
      <c r="G885" s="7" t="str">
        <f aca="false">E885&amp;"-"&amp;RIGHT(B885,2)</f>
        <v>jun-25</v>
      </c>
    </row>
    <row r="886" customFormat="false" ht="15" hidden="false" customHeight="false" outlineLevel="0" collapsed="false">
      <c r="A886" s="8" t="n">
        <f aca="false">A885+1</f>
        <v>45811</v>
      </c>
      <c r="B886" s="7" t="n">
        <f aca="false">YEAR(A886)</f>
        <v>2025</v>
      </c>
      <c r="C886" s="7" t="n">
        <f aca="false">MONTH(A886)</f>
        <v>6</v>
      </c>
      <c r="D886" s="8" t="n">
        <f aca="false">DATE(B886,C886,1)</f>
        <v>45809</v>
      </c>
      <c r="E886" s="7" t="str">
        <f aca="false">CHOOSE(C886,"ene","feb","mar","abr","may","jun","jul","ago","sep","oct","nov","dic")</f>
        <v>jun</v>
      </c>
      <c r="F886" s="7" t="str">
        <f aca="false">CHOOSE(C886,"enero","febrero","marzo","abril","mayo","junio","julio","agosto","septiembre","octubre","noviembre","diciembre")</f>
        <v>junio</v>
      </c>
      <c r="G886" s="7" t="str">
        <f aca="false">E886&amp;"-"&amp;RIGHT(B886,2)</f>
        <v>jun-25</v>
      </c>
    </row>
    <row r="887" customFormat="false" ht="15" hidden="false" customHeight="false" outlineLevel="0" collapsed="false">
      <c r="A887" s="8" t="n">
        <f aca="false">A886+1</f>
        <v>45812</v>
      </c>
      <c r="B887" s="7" t="n">
        <f aca="false">YEAR(A887)</f>
        <v>2025</v>
      </c>
      <c r="C887" s="7" t="n">
        <f aca="false">MONTH(A887)</f>
        <v>6</v>
      </c>
      <c r="D887" s="8" t="n">
        <f aca="false">DATE(B887,C887,1)</f>
        <v>45809</v>
      </c>
      <c r="E887" s="7" t="str">
        <f aca="false">CHOOSE(C887,"ene","feb","mar","abr","may","jun","jul","ago","sep","oct","nov","dic")</f>
        <v>jun</v>
      </c>
      <c r="F887" s="7" t="str">
        <f aca="false">CHOOSE(C887,"enero","febrero","marzo","abril","mayo","junio","julio","agosto","septiembre","octubre","noviembre","diciembre")</f>
        <v>junio</v>
      </c>
      <c r="G887" s="7" t="str">
        <f aca="false">E887&amp;"-"&amp;RIGHT(B887,2)</f>
        <v>jun-25</v>
      </c>
    </row>
    <row r="888" customFormat="false" ht="15" hidden="false" customHeight="false" outlineLevel="0" collapsed="false">
      <c r="A888" s="8" t="n">
        <f aca="false">A887+1</f>
        <v>45813</v>
      </c>
      <c r="B888" s="7" t="n">
        <f aca="false">YEAR(A888)</f>
        <v>2025</v>
      </c>
      <c r="C888" s="7" t="n">
        <f aca="false">MONTH(A888)</f>
        <v>6</v>
      </c>
      <c r="D888" s="8" t="n">
        <f aca="false">DATE(B888,C888,1)</f>
        <v>45809</v>
      </c>
      <c r="E888" s="7" t="str">
        <f aca="false">CHOOSE(C888,"ene","feb","mar","abr","may","jun","jul","ago","sep","oct","nov","dic")</f>
        <v>jun</v>
      </c>
      <c r="F888" s="7" t="str">
        <f aca="false">CHOOSE(C888,"enero","febrero","marzo","abril","mayo","junio","julio","agosto","septiembre","octubre","noviembre","diciembre")</f>
        <v>junio</v>
      </c>
      <c r="G888" s="7" t="str">
        <f aca="false">E888&amp;"-"&amp;RIGHT(B888,2)</f>
        <v>jun-25</v>
      </c>
    </row>
    <row r="889" customFormat="false" ht="15" hidden="false" customHeight="false" outlineLevel="0" collapsed="false">
      <c r="A889" s="8" t="n">
        <f aca="false">A888+1</f>
        <v>45814</v>
      </c>
      <c r="B889" s="7" t="n">
        <f aca="false">YEAR(A889)</f>
        <v>2025</v>
      </c>
      <c r="C889" s="7" t="n">
        <f aca="false">MONTH(A889)</f>
        <v>6</v>
      </c>
      <c r="D889" s="8" t="n">
        <f aca="false">DATE(B889,C889,1)</f>
        <v>45809</v>
      </c>
      <c r="E889" s="7" t="str">
        <f aca="false">CHOOSE(C889,"ene","feb","mar","abr","may","jun","jul","ago","sep","oct","nov","dic")</f>
        <v>jun</v>
      </c>
      <c r="F889" s="7" t="str">
        <f aca="false">CHOOSE(C889,"enero","febrero","marzo","abril","mayo","junio","julio","agosto","septiembre","octubre","noviembre","diciembre")</f>
        <v>junio</v>
      </c>
      <c r="G889" s="7" t="str">
        <f aca="false">E889&amp;"-"&amp;RIGHT(B889,2)</f>
        <v>jun-25</v>
      </c>
    </row>
    <row r="890" customFormat="false" ht="15" hidden="false" customHeight="false" outlineLevel="0" collapsed="false">
      <c r="A890" s="8" t="n">
        <f aca="false">A889+1</f>
        <v>45815</v>
      </c>
      <c r="B890" s="7" t="n">
        <f aca="false">YEAR(A890)</f>
        <v>2025</v>
      </c>
      <c r="C890" s="7" t="n">
        <f aca="false">MONTH(A890)</f>
        <v>6</v>
      </c>
      <c r="D890" s="8" t="n">
        <f aca="false">DATE(B890,C890,1)</f>
        <v>45809</v>
      </c>
      <c r="E890" s="7" t="str">
        <f aca="false">CHOOSE(C890,"ene","feb","mar","abr","may","jun","jul","ago","sep","oct","nov","dic")</f>
        <v>jun</v>
      </c>
      <c r="F890" s="7" t="str">
        <f aca="false">CHOOSE(C890,"enero","febrero","marzo","abril","mayo","junio","julio","agosto","septiembre","octubre","noviembre","diciembre")</f>
        <v>junio</v>
      </c>
      <c r="G890" s="7" t="str">
        <f aca="false">E890&amp;"-"&amp;RIGHT(B890,2)</f>
        <v>jun-25</v>
      </c>
    </row>
    <row r="891" customFormat="false" ht="15" hidden="false" customHeight="false" outlineLevel="0" collapsed="false">
      <c r="A891" s="8" t="n">
        <f aca="false">A890+1</f>
        <v>45816</v>
      </c>
      <c r="B891" s="7" t="n">
        <f aca="false">YEAR(A891)</f>
        <v>2025</v>
      </c>
      <c r="C891" s="7" t="n">
        <f aca="false">MONTH(A891)</f>
        <v>6</v>
      </c>
      <c r="D891" s="8" t="n">
        <f aca="false">DATE(B891,C891,1)</f>
        <v>45809</v>
      </c>
      <c r="E891" s="7" t="str">
        <f aca="false">CHOOSE(C891,"ene","feb","mar","abr","may","jun","jul","ago","sep","oct","nov","dic")</f>
        <v>jun</v>
      </c>
      <c r="F891" s="7" t="str">
        <f aca="false">CHOOSE(C891,"enero","febrero","marzo","abril","mayo","junio","julio","agosto","septiembre","octubre","noviembre","diciembre")</f>
        <v>junio</v>
      </c>
      <c r="G891" s="7" t="str">
        <f aca="false">E891&amp;"-"&amp;RIGHT(B891,2)</f>
        <v>jun-25</v>
      </c>
    </row>
    <row r="892" customFormat="false" ht="15" hidden="false" customHeight="false" outlineLevel="0" collapsed="false">
      <c r="A892" s="8" t="n">
        <f aca="false">A891+1</f>
        <v>45817</v>
      </c>
      <c r="B892" s="7" t="n">
        <f aca="false">YEAR(A892)</f>
        <v>2025</v>
      </c>
      <c r="C892" s="7" t="n">
        <f aca="false">MONTH(A892)</f>
        <v>6</v>
      </c>
      <c r="D892" s="8" t="n">
        <f aca="false">DATE(B892,C892,1)</f>
        <v>45809</v>
      </c>
      <c r="E892" s="7" t="str">
        <f aca="false">CHOOSE(C892,"ene","feb","mar","abr","may","jun","jul","ago","sep","oct","nov","dic")</f>
        <v>jun</v>
      </c>
      <c r="F892" s="7" t="str">
        <f aca="false">CHOOSE(C892,"enero","febrero","marzo","abril","mayo","junio","julio","agosto","septiembre","octubre","noviembre","diciembre")</f>
        <v>junio</v>
      </c>
      <c r="G892" s="7" t="str">
        <f aca="false">E892&amp;"-"&amp;RIGHT(B892,2)</f>
        <v>jun-25</v>
      </c>
    </row>
    <row r="893" customFormat="false" ht="15" hidden="false" customHeight="false" outlineLevel="0" collapsed="false">
      <c r="A893" s="8" t="n">
        <f aca="false">A892+1</f>
        <v>45818</v>
      </c>
      <c r="B893" s="7" t="n">
        <f aca="false">YEAR(A893)</f>
        <v>2025</v>
      </c>
      <c r="C893" s="7" t="n">
        <f aca="false">MONTH(A893)</f>
        <v>6</v>
      </c>
      <c r="D893" s="8" t="n">
        <f aca="false">DATE(B893,C893,1)</f>
        <v>45809</v>
      </c>
      <c r="E893" s="7" t="str">
        <f aca="false">CHOOSE(C893,"ene","feb","mar","abr","may","jun","jul","ago","sep","oct","nov","dic")</f>
        <v>jun</v>
      </c>
      <c r="F893" s="7" t="str">
        <f aca="false">CHOOSE(C893,"enero","febrero","marzo","abril","mayo","junio","julio","agosto","septiembre","octubre","noviembre","diciembre")</f>
        <v>junio</v>
      </c>
      <c r="G893" s="7" t="str">
        <f aca="false">E893&amp;"-"&amp;RIGHT(B893,2)</f>
        <v>jun-25</v>
      </c>
    </row>
    <row r="894" customFormat="false" ht="15" hidden="false" customHeight="false" outlineLevel="0" collapsed="false">
      <c r="A894" s="8" t="n">
        <f aca="false">A893+1</f>
        <v>45819</v>
      </c>
      <c r="B894" s="7" t="n">
        <f aca="false">YEAR(A894)</f>
        <v>2025</v>
      </c>
      <c r="C894" s="7" t="n">
        <f aca="false">MONTH(A894)</f>
        <v>6</v>
      </c>
      <c r="D894" s="8" t="n">
        <f aca="false">DATE(B894,C894,1)</f>
        <v>45809</v>
      </c>
      <c r="E894" s="7" t="str">
        <f aca="false">CHOOSE(C894,"ene","feb","mar","abr","may","jun","jul","ago","sep","oct","nov","dic")</f>
        <v>jun</v>
      </c>
      <c r="F894" s="7" t="str">
        <f aca="false">CHOOSE(C894,"enero","febrero","marzo","abril","mayo","junio","julio","agosto","septiembre","octubre","noviembre","diciembre")</f>
        <v>junio</v>
      </c>
      <c r="G894" s="7" t="str">
        <f aca="false">E894&amp;"-"&amp;RIGHT(B894,2)</f>
        <v>jun-25</v>
      </c>
    </row>
    <row r="895" customFormat="false" ht="15" hidden="false" customHeight="false" outlineLevel="0" collapsed="false">
      <c r="A895" s="8" t="n">
        <f aca="false">A894+1</f>
        <v>45820</v>
      </c>
      <c r="B895" s="7" t="n">
        <f aca="false">YEAR(A895)</f>
        <v>2025</v>
      </c>
      <c r="C895" s="7" t="n">
        <f aca="false">MONTH(A895)</f>
        <v>6</v>
      </c>
      <c r="D895" s="8" t="n">
        <f aca="false">DATE(B895,C895,1)</f>
        <v>45809</v>
      </c>
      <c r="E895" s="7" t="str">
        <f aca="false">CHOOSE(C895,"ene","feb","mar","abr","may","jun","jul","ago","sep","oct","nov","dic")</f>
        <v>jun</v>
      </c>
      <c r="F895" s="7" t="str">
        <f aca="false">CHOOSE(C895,"enero","febrero","marzo","abril","mayo","junio","julio","agosto","septiembre","octubre","noviembre","diciembre")</f>
        <v>junio</v>
      </c>
      <c r="G895" s="7" t="str">
        <f aca="false">E895&amp;"-"&amp;RIGHT(B895,2)</f>
        <v>jun-25</v>
      </c>
    </row>
    <row r="896" customFormat="false" ht="15" hidden="false" customHeight="false" outlineLevel="0" collapsed="false">
      <c r="A896" s="8" t="n">
        <f aca="false">A895+1</f>
        <v>45821</v>
      </c>
      <c r="B896" s="7" t="n">
        <f aca="false">YEAR(A896)</f>
        <v>2025</v>
      </c>
      <c r="C896" s="7" t="n">
        <f aca="false">MONTH(A896)</f>
        <v>6</v>
      </c>
      <c r="D896" s="8" t="n">
        <f aca="false">DATE(B896,C896,1)</f>
        <v>45809</v>
      </c>
      <c r="E896" s="7" t="str">
        <f aca="false">CHOOSE(C896,"ene","feb","mar","abr","may","jun","jul","ago","sep","oct","nov","dic")</f>
        <v>jun</v>
      </c>
      <c r="F896" s="7" t="str">
        <f aca="false">CHOOSE(C896,"enero","febrero","marzo","abril","mayo","junio","julio","agosto","septiembre","octubre","noviembre","diciembre")</f>
        <v>junio</v>
      </c>
      <c r="G896" s="7" t="str">
        <f aca="false">E896&amp;"-"&amp;RIGHT(B896,2)</f>
        <v>jun-25</v>
      </c>
    </row>
    <row r="897" customFormat="false" ht="15" hidden="false" customHeight="false" outlineLevel="0" collapsed="false">
      <c r="A897" s="8" t="n">
        <f aca="false">A896+1</f>
        <v>45822</v>
      </c>
      <c r="B897" s="7" t="n">
        <f aca="false">YEAR(A897)</f>
        <v>2025</v>
      </c>
      <c r="C897" s="7" t="n">
        <f aca="false">MONTH(A897)</f>
        <v>6</v>
      </c>
      <c r="D897" s="8" t="n">
        <f aca="false">DATE(B897,C897,1)</f>
        <v>45809</v>
      </c>
      <c r="E897" s="7" t="str">
        <f aca="false">CHOOSE(C897,"ene","feb","mar","abr","may","jun","jul","ago","sep","oct","nov","dic")</f>
        <v>jun</v>
      </c>
      <c r="F897" s="7" t="str">
        <f aca="false">CHOOSE(C897,"enero","febrero","marzo","abril","mayo","junio","julio","agosto","septiembre","octubre","noviembre","diciembre")</f>
        <v>junio</v>
      </c>
      <c r="G897" s="7" t="str">
        <f aca="false">E897&amp;"-"&amp;RIGHT(B897,2)</f>
        <v>jun-25</v>
      </c>
    </row>
    <row r="898" customFormat="false" ht="15" hidden="false" customHeight="false" outlineLevel="0" collapsed="false">
      <c r="A898" s="8" t="n">
        <f aca="false">A897+1</f>
        <v>45823</v>
      </c>
      <c r="B898" s="7" t="n">
        <f aca="false">YEAR(A898)</f>
        <v>2025</v>
      </c>
      <c r="C898" s="7" t="n">
        <f aca="false">MONTH(A898)</f>
        <v>6</v>
      </c>
      <c r="D898" s="8" t="n">
        <f aca="false">DATE(B898,C898,1)</f>
        <v>45809</v>
      </c>
      <c r="E898" s="7" t="str">
        <f aca="false">CHOOSE(C898,"ene","feb","mar","abr","may","jun","jul","ago","sep","oct","nov","dic")</f>
        <v>jun</v>
      </c>
      <c r="F898" s="7" t="str">
        <f aca="false">CHOOSE(C898,"enero","febrero","marzo","abril","mayo","junio","julio","agosto","septiembre","octubre","noviembre","diciembre")</f>
        <v>junio</v>
      </c>
      <c r="G898" s="7" t="str">
        <f aca="false">E898&amp;"-"&amp;RIGHT(B898,2)</f>
        <v>jun-25</v>
      </c>
    </row>
    <row r="899" customFormat="false" ht="15" hidden="false" customHeight="false" outlineLevel="0" collapsed="false">
      <c r="A899" s="8" t="n">
        <f aca="false">A898+1</f>
        <v>45824</v>
      </c>
      <c r="B899" s="7" t="n">
        <f aca="false">YEAR(A899)</f>
        <v>2025</v>
      </c>
      <c r="C899" s="7" t="n">
        <f aca="false">MONTH(A899)</f>
        <v>6</v>
      </c>
      <c r="D899" s="8" t="n">
        <f aca="false">DATE(B899,C899,1)</f>
        <v>45809</v>
      </c>
      <c r="E899" s="7" t="str">
        <f aca="false">CHOOSE(C899,"ene","feb","mar","abr","may","jun","jul","ago","sep","oct","nov","dic")</f>
        <v>jun</v>
      </c>
      <c r="F899" s="7" t="str">
        <f aca="false">CHOOSE(C899,"enero","febrero","marzo","abril","mayo","junio","julio","agosto","septiembre","octubre","noviembre","diciembre")</f>
        <v>junio</v>
      </c>
      <c r="G899" s="7" t="str">
        <f aca="false">E899&amp;"-"&amp;RIGHT(B899,2)</f>
        <v>jun-25</v>
      </c>
    </row>
    <row r="900" customFormat="false" ht="15" hidden="false" customHeight="false" outlineLevel="0" collapsed="false">
      <c r="A900" s="8" t="n">
        <f aca="false">A899+1</f>
        <v>45825</v>
      </c>
      <c r="B900" s="7" t="n">
        <f aca="false">YEAR(A900)</f>
        <v>2025</v>
      </c>
      <c r="C900" s="7" t="n">
        <f aca="false">MONTH(A900)</f>
        <v>6</v>
      </c>
      <c r="D900" s="8" t="n">
        <f aca="false">DATE(B900,C900,1)</f>
        <v>45809</v>
      </c>
      <c r="E900" s="7" t="str">
        <f aca="false">CHOOSE(C900,"ene","feb","mar","abr","may","jun","jul","ago","sep","oct","nov","dic")</f>
        <v>jun</v>
      </c>
      <c r="F900" s="7" t="str">
        <f aca="false">CHOOSE(C900,"enero","febrero","marzo","abril","mayo","junio","julio","agosto","septiembre","octubre","noviembre","diciembre")</f>
        <v>junio</v>
      </c>
      <c r="G900" s="7" t="str">
        <f aca="false">E900&amp;"-"&amp;RIGHT(B900,2)</f>
        <v>jun-25</v>
      </c>
    </row>
    <row r="901" customFormat="false" ht="15" hidden="false" customHeight="false" outlineLevel="0" collapsed="false">
      <c r="A901" s="8" t="n">
        <f aca="false">A900+1</f>
        <v>45826</v>
      </c>
      <c r="B901" s="7" t="n">
        <f aca="false">YEAR(A901)</f>
        <v>2025</v>
      </c>
      <c r="C901" s="7" t="n">
        <f aca="false">MONTH(A901)</f>
        <v>6</v>
      </c>
      <c r="D901" s="8" t="n">
        <f aca="false">DATE(B901,C901,1)</f>
        <v>45809</v>
      </c>
      <c r="E901" s="7" t="str">
        <f aca="false">CHOOSE(C901,"ene","feb","mar","abr","may","jun","jul","ago","sep","oct","nov","dic")</f>
        <v>jun</v>
      </c>
      <c r="F901" s="7" t="str">
        <f aca="false">CHOOSE(C901,"enero","febrero","marzo","abril","mayo","junio","julio","agosto","septiembre","octubre","noviembre","diciembre")</f>
        <v>junio</v>
      </c>
      <c r="G901" s="7" t="str">
        <f aca="false">E901&amp;"-"&amp;RIGHT(B901,2)</f>
        <v>jun-25</v>
      </c>
    </row>
    <row r="902" customFormat="false" ht="15" hidden="false" customHeight="false" outlineLevel="0" collapsed="false">
      <c r="A902" s="8" t="n">
        <f aca="false">A901+1</f>
        <v>45827</v>
      </c>
      <c r="B902" s="7" t="n">
        <f aca="false">YEAR(A902)</f>
        <v>2025</v>
      </c>
      <c r="C902" s="7" t="n">
        <f aca="false">MONTH(A902)</f>
        <v>6</v>
      </c>
      <c r="D902" s="8" t="n">
        <f aca="false">DATE(B902,C902,1)</f>
        <v>45809</v>
      </c>
      <c r="E902" s="7" t="str">
        <f aca="false">CHOOSE(C902,"ene","feb","mar","abr","may","jun","jul","ago","sep","oct","nov","dic")</f>
        <v>jun</v>
      </c>
      <c r="F902" s="7" t="str">
        <f aca="false">CHOOSE(C902,"enero","febrero","marzo","abril","mayo","junio","julio","agosto","septiembre","octubre","noviembre","diciembre")</f>
        <v>junio</v>
      </c>
      <c r="G902" s="7" t="str">
        <f aca="false">E902&amp;"-"&amp;RIGHT(B902,2)</f>
        <v>jun-25</v>
      </c>
    </row>
    <row r="903" customFormat="false" ht="15" hidden="false" customHeight="false" outlineLevel="0" collapsed="false">
      <c r="A903" s="8" t="n">
        <f aca="false">A902+1</f>
        <v>45828</v>
      </c>
      <c r="B903" s="7" t="n">
        <f aca="false">YEAR(A903)</f>
        <v>2025</v>
      </c>
      <c r="C903" s="7" t="n">
        <f aca="false">MONTH(A903)</f>
        <v>6</v>
      </c>
      <c r="D903" s="8" t="n">
        <f aca="false">DATE(B903,C903,1)</f>
        <v>45809</v>
      </c>
      <c r="E903" s="7" t="str">
        <f aca="false">CHOOSE(C903,"ene","feb","mar","abr","may","jun","jul","ago","sep","oct","nov","dic")</f>
        <v>jun</v>
      </c>
      <c r="F903" s="7" t="str">
        <f aca="false">CHOOSE(C903,"enero","febrero","marzo","abril","mayo","junio","julio","agosto","septiembre","octubre","noviembre","diciembre")</f>
        <v>junio</v>
      </c>
      <c r="G903" s="7" t="str">
        <f aca="false">E903&amp;"-"&amp;RIGHT(B903,2)</f>
        <v>jun-25</v>
      </c>
    </row>
    <row r="904" customFormat="false" ht="15" hidden="false" customHeight="false" outlineLevel="0" collapsed="false">
      <c r="A904" s="8" t="n">
        <f aca="false">A903+1</f>
        <v>45829</v>
      </c>
      <c r="B904" s="7" t="n">
        <f aca="false">YEAR(A904)</f>
        <v>2025</v>
      </c>
      <c r="C904" s="7" t="n">
        <f aca="false">MONTH(A904)</f>
        <v>6</v>
      </c>
      <c r="D904" s="8" t="n">
        <f aca="false">DATE(B904,C904,1)</f>
        <v>45809</v>
      </c>
      <c r="E904" s="7" t="str">
        <f aca="false">CHOOSE(C904,"ene","feb","mar","abr","may","jun","jul","ago","sep","oct","nov","dic")</f>
        <v>jun</v>
      </c>
      <c r="F904" s="7" t="str">
        <f aca="false">CHOOSE(C904,"enero","febrero","marzo","abril","mayo","junio","julio","agosto","septiembre","octubre","noviembre","diciembre")</f>
        <v>junio</v>
      </c>
      <c r="G904" s="7" t="str">
        <f aca="false">E904&amp;"-"&amp;RIGHT(B904,2)</f>
        <v>jun-25</v>
      </c>
    </row>
    <row r="905" customFormat="false" ht="15" hidden="false" customHeight="false" outlineLevel="0" collapsed="false">
      <c r="A905" s="8" t="n">
        <f aca="false">A904+1</f>
        <v>45830</v>
      </c>
      <c r="B905" s="7" t="n">
        <f aca="false">YEAR(A905)</f>
        <v>2025</v>
      </c>
      <c r="C905" s="7" t="n">
        <f aca="false">MONTH(A905)</f>
        <v>6</v>
      </c>
      <c r="D905" s="8" t="n">
        <f aca="false">DATE(B905,C905,1)</f>
        <v>45809</v>
      </c>
      <c r="E905" s="7" t="str">
        <f aca="false">CHOOSE(C905,"ene","feb","mar","abr","may","jun","jul","ago","sep","oct","nov","dic")</f>
        <v>jun</v>
      </c>
      <c r="F905" s="7" t="str">
        <f aca="false">CHOOSE(C905,"enero","febrero","marzo","abril","mayo","junio","julio","agosto","septiembre","octubre","noviembre","diciembre")</f>
        <v>junio</v>
      </c>
      <c r="G905" s="7" t="str">
        <f aca="false">E905&amp;"-"&amp;RIGHT(B905,2)</f>
        <v>jun-25</v>
      </c>
    </row>
    <row r="906" customFormat="false" ht="15" hidden="false" customHeight="false" outlineLevel="0" collapsed="false">
      <c r="A906" s="8" t="n">
        <f aca="false">A905+1</f>
        <v>45831</v>
      </c>
      <c r="B906" s="7" t="n">
        <f aca="false">YEAR(A906)</f>
        <v>2025</v>
      </c>
      <c r="C906" s="7" t="n">
        <f aca="false">MONTH(A906)</f>
        <v>6</v>
      </c>
      <c r="D906" s="8" t="n">
        <f aca="false">DATE(B906,C906,1)</f>
        <v>45809</v>
      </c>
      <c r="E906" s="7" t="str">
        <f aca="false">CHOOSE(C906,"ene","feb","mar","abr","may","jun","jul","ago","sep","oct","nov","dic")</f>
        <v>jun</v>
      </c>
      <c r="F906" s="7" t="str">
        <f aca="false">CHOOSE(C906,"enero","febrero","marzo","abril","mayo","junio","julio","agosto","septiembre","octubre","noviembre","diciembre")</f>
        <v>junio</v>
      </c>
      <c r="G906" s="7" t="str">
        <f aca="false">E906&amp;"-"&amp;RIGHT(B906,2)</f>
        <v>jun-25</v>
      </c>
    </row>
    <row r="907" customFormat="false" ht="15" hidden="false" customHeight="false" outlineLevel="0" collapsed="false">
      <c r="A907" s="8" t="n">
        <f aca="false">A906+1</f>
        <v>45832</v>
      </c>
      <c r="B907" s="7" t="n">
        <f aca="false">YEAR(A907)</f>
        <v>2025</v>
      </c>
      <c r="C907" s="7" t="n">
        <f aca="false">MONTH(A907)</f>
        <v>6</v>
      </c>
      <c r="D907" s="8" t="n">
        <f aca="false">DATE(B907,C907,1)</f>
        <v>45809</v>
      </c>
      <c r="E907" s="7" t="str">
        <f aca="false">CHOOSE(C907,"ene","feb","mar","abr","may","jun","jul","ago","sep","oct","nov","dic")</f>
        <v>jun</v>
      </c>
      <c r="F907" s="7" t="str">
        <f aca="false">CHOOSE(C907,"enero","febrero","marzo","abril","mayo","junio","julio","agosto","septiembre","octubre","noviembre","diciembre")</f>
        <v>junio</v>
      </c>
      <c r="G907" s="7" t="str">
        <f aca="false">E907&amp;"-"&amp;RIGHT(B907,2)</f>
        <v>jun-25</v>
      </c>
    </row>
    <row r="908" customFormat="false" ht="15" hidden="false" customHeight="false" outlineLevel="0" collapsed="false">
      <c r="A908" s="8" t="n">
        <f aca="false">A907+1</f>
        <v>45833</v>
      </c>
      <c r="B908" s="7" t="n">
        <f aca="false">YEAR(A908)</f>
        <v>2025</v>
      </c>
      <c r="C908" s="7" t="n">
        <f aca="false">MONTH(A908)</f>
        <v>6</v>
      </c>
      <c r="D908" s="8" t="n">
        <f aca="false">DATE(B908,C908,1)</f>
        <v>45809</v>
      </c>
      <c r="E908" s="7" t="str">
        <f aca="false">CHOOSE(C908,"ene","feb","mar","abr","may","jun","jul","ago","sep","oct","nov","dic")</f>
        <v>jun</v>
      </c>
      <c r="F908" s="7" t="str">
        <f aca="false">CHOOSE(C908,"enero","febrero","marzo","abril","mayo","junio","julio","agosto","septiembre","octubre","noviembre","diciembre")</f>
        <v>junio</v>
      </c>
      <c r="G908" s="7" t="str">
        <f aca="false">E908&amp;"-"&amp;RIGHT(B908,2)</f>
        <v>jun-25</v>
      </c>
    </row>
    <row r="909" customFormat="false" ht="15" hidden="false" customHeight="false" outlineLevel="0" collapsed="false">
      <c r="A909" s="8" t="n">
        <f aca="false">A908+1</f>
        <v>45834</v>
      </c>
      <c r="B909" s="7" t="n">
        <f aca="false">YEAR(A909)</f>
        <v>2025</v>
      </c>
      <c r="C909" s="7" t="n">
        <f aca="false">MONTH(A909)</f>
        <v>6</v>
      </c>
      <c r="D909" s="8" t="n">
        <f aca="false">DATE(B909,C909,1)</f>
        <v>45809</v>
      </c>
      <c r="E909" s="7" t="str">
        <f aca="false">CHOOSE(C909,"ene","feb","mar","abr","may","jun","jul","ago","sep","oct","nov","dic")</f>
        <v>jun</v>
      </c>
      <c r="F909" s="7" t="str">
        <f aca="false">CHOOSE(C909,"enero","febrero","marzo","abril","mayo","junio","julio","agosto","septiembre","octubre","noviembre","diciembre")</f>
        <v>junio</v>
      </c>
      <c r="G909" s="7" t="str">
        <f aca="false">E909&amp;"-"&amp;RIGHT(B909,2)</f>
        <v>jun-25</v>
      </c>
    </row>
    <row r="910" customFormat="false" ht="15" hidden="false" customHeight="false" outlineLevel="0" collapsed="false">
      <c r="A910" s="8" t="n">
        <f aca="false">A909+1</f>
        <v>45835</v>
      </c>
      <c r="B910" s="7" t="n">
        <f aca="false">YEAR(A910)</f>
        <v>2025</v>
      </c>
      <c r="C910" s="7" t="n">
        <f aca="false">MONTH(A910)</f>
        <v>6</v>
      </c>
      <c r="D910" s="8" t="n">
        <f aca="false">DATE(B910,C910,1)</f>
        <v>45809</v>
      </c>
      <c r="E910" s="7" t="str">
        <f aca="false">CHOOSE(C910,"ene","feb","mar","abr","may","jun","jul","ago","sep","oct","nov","dic")</f>
        <v>jun</v>
      </c>
      <c r="F910" s="7" t="str">
        <f aca="false">CHOOSE(C910,"enero","febrero","marzo","abril","mayo","junio","julio","agosto","septiembre","octubre","noviembre","diciembre")</f>
        <v>junio</v>
      </c>
      <c r="G910" s="7" t="str">
        <f aca="false">E910&amp;"-"&amp;RIGHT(B910,2)</f>
        <v>jun-25</v>
      </c>
    </row>
    <row r="911" customFormat="false" ht="15" hidden="false" customHeight="false" outlineLevel="0" collapsed="false">
      <c r="A911" s="8" t="n">
        <f aca="false">A910+1</f>
        <v>45836</v>
      </c>
      <c r="B911" s="7" t="n">
        <f aca="false">YEAR(A911)</f>
        <v>2025</v>
      </c>
      <c r="C911" s="7" t="n">
        <f aca="false">MONTH(A911)</f>
        <v>6</v>
      </c>
      <c r="D911" s="8" t="n">
        <f aca="false">DATE(B911,C911,1)</f>
        <v>45809</v>
      </c>
      <c r="E911" s="7" t="str">
        <f aca="false">CHOOSE(C911,"ene","feb","mar","abr","may","jun","jul","ago","sep","oct","nov","dic")</f>
        <v>jun</v>
      </c>
      <c r="F911" s="7" t="str">
        <f aca="false">CHOOSE(C911,"enero","febrero","marzo","abril","mayo","junio","julio","agosto","septiembre","octubre","noviembre","diciembre")</f>
        <v>junio</v>
      </c>
      <c r="G911" s="7" t="str">
        <f aca="false">E911&amp;"-"&amp;RIGHT(B911,2)</f>
        <v>jun-25</v>
      </c>
    </row>
    <row r="912" customFormat="false" ht="15" hidden="false" customHeight="false" outlineLevel="0" collapsed="false">
      <c r="A912" s="8" t="n">
        <f aca="false">A911+1</f>
        <v>45837</v>
      </c>
      <c r="B912" s="7" t="n">
        <f aca="false">YEAR(A912)</f>
        <v>2025</v>
      </c>
      <c r="C912" s="7" t="n">
        <f aca="false">MONTH(A912)</f>
        <v>6</v>
      </c>
      <c r="D912" s="8" t="n">
        <f aca="false">DATE(B912,C912,1)</f>
        <v>45809</v>
      </c>
      <c r="E912" s="7" t="str">
        <f aca="false">CHOOSE(C912,"ene","feb","mar","abr","may","jun","jul","ago","sep","oct","nov","dic")</f>
        <v>jun</v>
      </c>
      <c r="F912" s="7" t="str">
        <f aca="false">CHOOSE(C912,"enero","febrero","marzo","abril","mayo","junio","julio","agosto","septiembre","octubre","noviembre","diciembre")</f>
        <v>junio</v>
      </c>
      <c r="G912" s="7" t="str">
        <f aca="false">E912&amp;"-"&amp;RIGHT(B912,2)</f>
        <v>jun-25</v>
      </c>
    </row>
    <row r="913" customFormat="false" ht="15" hidden="false" customHeight="false" outlineLevel="0" collapsed="false">
      <c r="A913" s="8" t="n">
        <f aca="false">A912+1</f>
        <v>45838</v>
      </c>
      <c r="B913" s="7" t="n">
        <f aca="false">YEAR(A913)</f>
        <v>2025</v>
      </c>
      <c r="C913" s="7" t="n">
        <f aca="false">MONTH(A913)</f>
        <v>6</v>
      </c>
      <c r="D913" s="8" t="n">
        <f aca="false">DATE(B913,C913,1)</f>
        <v>45809</v>
      </c>
      <c r="E913" s="7" t="str">
        <f aca="false">CHOOSE(C913,"ene","feb","mar","abr","may","jun","jul","ago","sep","oct","nov","dic")</f>
        <v>jun</v>
      </c>
      <c r="F913" s="7" t="str">
        <f aca="false">CHOOSE(C913,"enero","febrero","marzo","abril","mayo","junio","julio","agosto","septiembre","octubre","noviembre","diciembre")</f>
        <v>junio</v>
      </c>
      <c r="G913" s="7" t="str">
        <f aca="false">E913&amp;"-"&amp;RIGHT(B913,2)</f>
        <v>jun-25</v>
      </c>
    </row>
    <row r="914" customFormat="false" ht="15" hidden="false" customHeight="false" outlineLevel="0" collapsed="false">
      <c r="A914" s="8" t="n">
        <f aca="false">A913+1</f>
        <v>45839</v>
      </c>
      <c r="B914" s="7" t="n">
        <f aca="false">YEAR(A914)</f>
        <v>2025</v>
      </c>
      <c r="C914" s="7" t="n">
        <f aca="false">MONTH(A914)</f>
        <v>7</v>
      </c>
      <c r="D914" s="8" t="n">
        <f aca="false">DATE(B914,C914,1)</f>
        <v>45839</v>
      </c>
      <c r="E914" s="7" t="str">
        <f aca="false">CHOOSE(C914,"ene","feb","mar","abr","may","jun","jul","ago","sep","oct","nov","dic")</f>
        <v>jul</v>
      </c>
      <c r="F914" s="7" t="str">
        <f aca="false">CHOOSE(C914,"enero","febrero","marzo","abril","mayo","junio","julio","agosto","septiembre","octubre","noviembre","diciembre")</f>
        <v>julio</v>
      </c>
      <c r="G914" s="7" t="str">
        <f aca="false">E914&amp;"-"&amp;RIGHT(B914,2)</f>
        <v>jul-25</v>
      </c>
    </row>
    <row r="915" customFormat="false" ht="15" hidden="false" customHeight="false" outlineLevel="0" collapsed="false">
      <c r="A915" s="8" t="n">
        <f aca="false">A914+1</f>
        <v>45840</v>
      </c>
      <c r="B915" s="7" t="n">
        <f aca="false">YEAR(A915)</f>
        <v>2025</v>
      </c>
      <c r="C915" s="7" t="n">
        <f aca="false">MONTH(A915)</f>
        <v>7</v>
      </c>
      <c r="D915" s="8" t="n">
        <f aca="false">DATE(B915,C915,1)</f>
        <v>45839</v>
      </c>
      <c r="E915" s="7" t="str">
        <f aca="false">CHOOSE(C915,"ene","feb","mar","abr","may","jun","jul","ago","sep","oct","nov","dic")</f>
        <v>jul</v>
      </c>
      <c r="F915" s="7" t="str">
        <f aca="false">CHOOSE(C915,"enero","febrero","marzo","abril","mayo","junio","julio","agosto","septiembre","octubre","noviembre","diciembre")</f>
        <v>julio</v>
      </c>
      <c r="G915" s="7" t="str">
        <f aca="false">E915&amp;"-"&amp;RIGHT(B915,2)</f>
        <v>jul-25</v>
      </c>
    </row>
    <row r="916" customFormat="false" ht="15" hidden="false" customHeight="false" outlineLevel="0" collapsed="false">
      <c r="A916" s="8" t="n">
        <f aca="false">A915+1</f>
        <v>45841</v>
      </c>
      <c r="B916" s="7" t="n">
        <f aca="false">YEAR(A916)</f>
        <v>2025</v>
      </c>
      <c r="C916" s="7" t="n">
        <f aca="false">MONTH(A916)</f>
        <v>7</v>
      </c>
      <c r="D916" s="8" t="n">
        <f aca="false">DATE(B916,C916,1)</f>
        <v>45839</v>
      </c>
      <c r="E916" s="7" t="str">
        <f aca="false">CHOOSE(C916,"ene","feb","mar","abr","may","jun","jul","ago","sep","oct","nov","dic")</f>
        <v>jul</v>
      </c>
      <c r="F916" s="7" t="str">
        <f aca="false">CHOOSE(C916,"enero","febrero","marzo","abril","mayo","junio","julio","agosto","septiembre","octubre","noviembre","diciembre")</f>
        <v>julio</v>
      </c>
      <c r="G916" s="7" t="str">
        <f aca="false">E916&amp;"-"&amp;RIGHT(B916,2)</f>
        <v>jul-25</v>
      </c>
    </row>
    <row r="917" customFormat="false" ht="15" hidden="false" customHeight="false" outlineLevel="0" collapsed="false">
      <c r="A917" s="8" t="n">
        <f aca="false">A916+1</f>
        <v>45842</v>
      </c>
      <c r="B917" s="7" t="n">
        <f aca="false">YEAR(A917)</f>
        <v>2025</v>
      </c>
      <c r="C917" s="7" t="n">
        <f aca="false">MONTH(A917)</f>
        <v>7</v>
      </c>
      <c r="D917" s="8" t="n">
        <f aca="false">DATE(B917,C917,1)</f>
        <v>45839</v>
      </c>
      <c r="E917" s="7" t="str">
        <f aca="false">CHOOSE(C917,"ene","feb","mar","abr","may","jun","jul","ago","sep","oct","nov","dic")</f>
        <v>jul</v>
      </c>
      <c r="F917" s="7" t="str">
        <f aca="false">CHOOSE(C917,"enero","febrero","marzo","abril","mayo","junio","julio","agosto","septiembre","octubre","noviembre","diciembre")</f>
        <v>julio</v>
      </c>
      <c r="G917" s="7" t="str">
        <f aca="false">E917&amp;"-"&amp;RIGHT(B917,2)</f>
        <v>jul-25</v>
      </c>
    </row>
    <row r="918" customFormat="false" ht="15" hidden="false" customHeight="false" outlineLevel="0" collapsed="false">
      <c r="A918" s="8" t="n">
        <f aca="false">A917+1</f>
        <v>45843</v>
      </c>
      <c r="B918" s="7" t="n">
        <f aca="false">YEAR(A918)</f>
        <v>2025</v>
      </c>
      <c r="C918" s="7" t="n">
        <f aca="false">MONTH(A918)</f>
        <v>7</v>
      </c>
      <c r="D918" s="8" t="n">
        <f aca="false">DATE(B918,C918,1)</f>
        <v>45839</v>
      </c>
      <c r="E918" s="7" t="str">
        <f aca="false">CHOOSE(C918,"ene","feb","mar","abr","may","jun","jul","ago","sep","oct","nov","dic")</f>
        <v>jul</v>
      </c>
      <c r="F918" s="7" t="str">
        <f aca="false">CHOOSE(C918,"enero","febrero","marzo","abril","mayo","junio","julio","agosto","septiembre","octubre","noviembre","diciembre")</f>
        <v>julio</v>
      </c>
      <c r="G918" s="7" t="str">
        <f aca="false">E918&amp;"-"&amp;RIGHT(B918,2)</f>
        <v>jul-25</v>
      </c>
    </row>
    <row r="919" customFormat="false" ht="15" hidden="false" customHeight="false" outlineLevel="0" collapsed="false">
      <c r="A919" s="8" t="n">
        <f aca="false">A918+1</f>
        <v>45844</v>
      </c>
      <c r="B919" s="7" t="n">
        <f aca="false">YEAR(A919)</f>
        <v>2025</v>
      </c>
      <c r="C919" s="7" t="n">
        <f aca="false">MONTH(A919)</f>
        <v>7</v>
      </c>
      <c r="D919" s="8" t="n">
        <f aca="false">DATE(B919,C919,1)</f>
        <v>45839</v>
      </c>
      <c r="E919" s="7" t="str">
        <f aca="false">CHOOSE(C919,"ene","feb","mar","abr","may","jun","jul","ago","sep","oct","nov","dic")</f>
        <v>jul</v>
      </c>
      <c r="F919" s="7" t="str">
        <f aca="false">CHOOSE(C919,"enero","febrero","marzo","abril","mayo","junio","julio","agosto","septiembre","octubre","noviembre","diciembre")</f>
        <v>julio</v>
      </c>
      <c r="G919" s="7" t="str">
        <f aca="false">E919&amp;"-"&amp;RIGHT(B919,2)</f>
        <v>jul-25</v>
      </c>
    </row>
    <row r="920" customFormat="false" ht="15" hidden="false" customHeight="false" outlineLevel="0" collapsed="false">
      <c r="A920" s="8" t="n">
        <f aca="false">A919+1</f>
        <v>45845</v>
      </c>
      <c r="B920" s="7" t="n">
        <f aca="false">YEAR(A920)</f>
        <v>2025</v>
      </c>
      <c r="C920" s="7" t="n">
        <f aca="false">MONTH(A920)</f>
        <v>7</v>
      </c>
      <c r="D920" s="8" t="n">
        <f aca="false">DATE(B920,C920,1)</f>
        <v>45839</v>
      </c>
      <c r="E920" s="7" t="str">
        <f aca="false">CHOOSE(C920,"ene","feb","mar","abr","may","jun","jul","ago","sep","oct","nov","dic")</f>
        <v>jul</v>
      </c>
      <c r="F920" s="7" t="str">
        <f aca="false">CHOOSE(C920,"enero","febrero","marzo","abril","mayo","junio","julio","agosto","septiembre","octubre","noviembre","diciembre")</f>
        <v>julio</v>
      </c>
      <c r="G920" s="7" t="str">
        <f aca="false">E920&amp;"-"&amp;RIGHT(B920,2)</f>
        <v>jul-25</v>
      </c>
    </row>
    <row r="921" customFormat="false" ht="15" hidden="false" customHeight="false" outlineLevel="0" collapsed="false">
      <c r="A921" s="8" t="n">
        <f aca="false">A920+1</f>
        <v>45846</v>
      </c>
      <c r="B921" s="7" t="n">
        <f aca="false">YEAR(A921)</f>
        <v>2025</v>
      </c>
      <c r="C921" s="7" t="n">
        <f aca="false">MONTH(A921)</f>
        <v>7</v>
      </c>
      <c r="D921" s="8" t="n">
        <f aca="false">DATE(B921,C921,1)</f>
        <v>45839</v>
      </c>
      <c r="E921" s="7" t="str">
        <f aca="false">CHOOSE(C921,"ene","feb","mar","abr","may","jun","jul","ago","sep","oct","nov","dic")</f>
        <v>jul</v>
      </c>
      <c r="F921" s="7" t="str">
        <f aca="false">CHOOSE(C921,"enero","febrero","marzo","abril","mayo","junio","julio","agosto","septiembre","octubre","noviembre","diciembre")</f>
        <v>julio</v>
      </c>
      <c r="G921" s="7" t="str">
        <f aca="false">E921&amp;"-"&amp;RIGHT(B921,2)</f>
        <v>jul-25</v>
      </c>
    </row>
    <row r="922" customFormat="false" ht="15" hidden="false" customHeight="false" outlineLevel="0" collapsed="false">
      <c r="A922" s="8" t="n">
        <f aca="false">A921+1</f>
        <v>45847</v>
      </c>
      <c r="B922" s="7" t="n">
        <f aca="false">YEAR(A922)</f>
        <v>2025</v>
      </c>
      <c r="C922" s="7" t="n">
        <f aca="false">MONTH(A922)</f>
        <v>7</v>
      </c>
      <c r="D922" s="8" t="n">
        <f aca="false">DATE(B922,C922,1)</f>
        <v>45839</v>
      </c>
      <c r="E922" s="7" t="str">
        <f aca="false">CHOOSE(C922,"ene","feb","mar","abr","may","jun","jul","ago","sep","oct","nov","dic")</f>
        <v>jul</v>
      </c>
      <c r="F922" s="7" t="str">
        <f aca="false">CHOOSE(C922,"enero","febrero","marzo","abril","mayo","junio","julio","agosto","septiembre","octubre","noviembre","diciembre")</f>
        <v>julio</v>
      </c>
      <c r="G922" s="7" t="str">
        <f aca="false">E922&amp;"-"&amp;RIGHT(B922,2)</f>
        <v>jul-25</v>
      </c>
    </row>
    <row r="923" customFormat="false" ht="15" hidden="false" customHeight="false" outlineLevel="0" collapsed="false">
      <c r="A923" s="8" t="n">
        <f aca="false">A922+1</f>
        <v>45848</v>
      </c>
      <c r="B923" s="7" t="n">
        <f aca="false">YEAR(A923)</f>
        <v>2025</v>
      </c>
      <c r="C923" s="7" t="n">
        <f aca="false">MONTH(A923)</f>
        <v>7</v>
      </c>
      <c r="D923" s="8" t="n">
        <f aca="false">DATE(B923,C923,1)</f>
        <v>45839</v>
      </c>
      <c r="E923" s="7" t="str">
        <f aca="false">CHOOSE(C923,"ene","feb","mar","abr","may","jun","jul","ago","sep","oct","nov","dic")</f>
        <v>jul</v>
      </c>
      <c r="F923" s="7" t="str">
        <f aca="false">CHOOSE(C923,"enero","febrero","marzo","abril","mayo","junio","julio","agosto","septiembre","octubre","noviembre","diciembre")</f>
        <v>julio</v>
      </c>
      <c r="G923" s="7" t="str">
        <f aca="false">E923&amp;"-"&amp;RIGHT(B923,2)</f>
        <v>jul-25</v>
      </c>
    </row>
    <row r="924" customFormat="false" ht="15" hidden="false" customHeight="false" outlineLevel="0" collapsed="false">
      <c r="A924" s="8" t="n">
        <f aca="false">A923+1</f>
        <v>45849</v>
      </c>
      <c r="B924" s="7" t="n">
        <f aca="false">YEAR(A924)</f>
        <v>2025</v>
      </c>
      <c r="C924" s="7" t="n">
        <f aca="false">MONTH(A924)</f>
        <v>7</v>
      </c>
      <c r="D924" s="8" t="n">
        <f aca="false">DATE(B924,C924,1)</f>
        <v>45839</v>
      </c>
      <c r="E924" s="7" t="str">
        <f aca="false">CHOOSE(C924,"ene","feb","mar","abr","may","jun","jul","ago","sep","oct","nov","dic")</f>
        <v>jul</v>
      </c>
      <c r="F924" s="7" t="str">
        <f aca="false">CHOOSE(C924,"enero","febrero","marzo","abril","mayo","junio","julio","agosto","septiembre","octubre","noviembre","diciembre")</f>
        <v>julio</v>
      </c>
      <c r="G924" s="7" t="str">
        <f aca="false">E924&amp;"-"&amp;RIGHT(B924,2)</f>
        <v>jul-25</v>
      </c>
    </row>
    <row r="925" customFormat="false" ht="15" hidden="false" customHeight="false" outlineLevel="0" collapsed="false">
      <c r="A925" s="8" t="n">
        <f aca="false">A924+1</f>
        <v>45850</v>
      </c>
      <c r="B925" s="7" t="n">
        <f aca="false">YEAR(A925)</f>
        <v>2025</v>
      </c>
      <c r="C925" s="7" t="n">
        <f aca="false">MONTH(A925)</f>
        <v>7</v>
      </c>
      <c r="D925" s="8" t="n">
        <f aca="false">DATE(B925,C925,1)</f>
        <v>45839</v>
      </c>
      <c r="E925" s="7" t="str">
        <f aca="false">CHOOSE(C925,"ene","feb","mar","abr","may","jun","jul","ago","sep","oct","nov","dic")</f>
        <v>jul</v>
      </c>
      <c r="F925" s="7" t="str">
        <f aca="false">CHOOSE(C925,"enero","febrero","marzo","abril","mayo","junio","julio","agosto","septiembre","octubre","noviembre","diciembre")</f>
        <v>julio</v>
      </c>
      <c r="G925" s="7" t="str">
        <f aca="false">E925&amp;"-"&amp;RIGHT(B925,2)</f>
        <v>jul-25</v>
      </c>
    </row>
    <row r="926" customFormat="false" ht="15" hidden="false" customHeight="false" outlineLevel="0" collapsed="false">
      <c r="A926" s="8" t="n">
        <f aca="false">A925+1</f>
        <v>45851</v>
      </c>
      <c r="B926" s="7" t="n">
        <f aca="false">YEAR(A926)</f>
        <v>2025</v>
      </c>
      <c r="C926" s="7" t="n">
        <f aca="false">MONTH(A926)</f>
        <v>7</v>
      </c>
      <c r="D926" s="8" t="n">
        <f aca="false">DATE(B926,C926,1)</f>
        <v>45839</v>
      </c>
      <c r="E926" s="7" t="str">
        <f aca="false">CHOOSE(C926,"ene","feb","mar","abr","may","jun","jul","ago","sep","oct","nov","dic")</f>
        <v>jul</v>
      </c>
      <c r="F926" s="7" t="str">
        <f aca="false">CHOOSE(C926,"enero","febrero","marzo","abril","mayo","junio","julio","agosto","septiembre","octubre","noviembre","diciembre")</f>
        <v>julio</v>
      </c>
      <c r="G926" s="7" t="str">
        <f aca="false">E926&amp;"-"&amp;RIGHT(B926,2)</f>
        <v>jul-25</v>
      </c>
    </row>
    <row r="927" customFormat="false" ht="15" hidden="false" customHeight="false" outlineLevel="0" collapsed="false">
      <c r="A927" s="8" t="n">
        <f aca="false">A926+1</f>
        <v>45852</v>
      </c>
      <c r="B927" s="7" t="n">
        <f aca="false">YEAR(A927)</f>
        <v>2025</v>
      </c>
      <c r="C927" s="7" t="n">
        <f aca="false">MONTH(A927)</f>
        <v>7</v>
      </c>
      <c r="D927" s="8" t="n">
        <f aca="false">DATE(B927,C927,1)</f>
        <v>45839</v>
      </c>
      <c r="E927" s="7" t="str">
        <f aca="false">CHOOSE(C927,"ene","feb","mar","abr","may","jun","jul","ago","sep","oct","nov","dic")</f>
        <v>jul</v>
      </c>
      <c r="F927" s="7" t="str">
        <f aca="false">CHOOSE(C927,"enero","febrero","marzo","abril","mayo","junio","julio","agosto","septiembre","octubre","noviembre","diciembre")</f>
        <v>julio</v>
      </c>
      <c r="G927" s="7" t="str">
        <f aca="false">E927&amp;"-"&amp;RIGHT(B927,2)</f>
        <v>jul-25</v>
      </c>
    </row>
    <row r="928" customFormat="false" ht="15" hidden="false" customHeight="false" outlineLevel="0" collapsed="false">
      <c r="A928" s="8" t="n">
        <f aca="false">A927+1</f>
        <v>45853</v>
      </c>
      <c r="B928" s="7" t="n">
        <f aca="false">YEAR(A928)</f>
        <v>2025</v>
      </c>
      <c r="C928" s="7" t="n">
        <f aca="false">MONTH(A928)</f>
        <v>7</v>
      </c>
      <c r="D928" s="8" t="n">
        <f aca="false">DATE(B928,C928,1)</f>
        <v>45839</v>
      </c>
      <c r="E928" s="7" t="str">
        <f aca="false">CHOOSE(C928,"ene","feb","mar","abr","may","jun","jul","ago","sep","oct","nov","dic")</f>
        <v>jul</v>
      </c>
      <c r="F928" s="7" t="str">
        <f aca="false">CHOOSE(C928,"enero","febrero","marzo","abril","mayo","junio","julio","agosto","septiembre","octubre","noviembre","diciembre")</f>
        <v>julio</v>
      </c>
      <c r="G928" s="7" t="str">
        <f aca="false">E928&amp;"-"&amp;RIGHT(B928,2)</f>
        <v>jul-25</v>
      </c>
    </row>
    <row r="929" customFormat="false" ht="15" hidden="false" customHeight="false" outlineLevel="0" collapsed="false">
      <c r="A929" s="8" t="n">
        <f aca="false">A928+1</f>
        <v>45854</v>
      </c>
      <c r="B929" s="7" t="n">
        <f aca="false">YEAR(A929)</f>
        <v>2025</v>
      </c>
      <c r="C929" s="7" t="n">
        <f aca="false">MONTH(A929)</f>
        <v>7</v>
      </c>
      <c r="D929" s="8" t="n">
        <f aca="false">DATE(B929,C929,1)</f>
        <v>45839</v>
      </c>
      <c r="E929" s="7" t="str">
        <f aca="false">CHOOSE(C929,"ene","feb","mar","abr","may","jun","jul","ago","sep","oct","nov","dic")</f>
        <v>jul</v>
      </c>
      <c r="F929" s="7" t="str">
        <f aca="false">CHOOSE(C929,"enero","febrero","marzo","abril","mayo","junio","julio","agosto","septiembre","octubre","noviembre","diciembre")</f>
        <v>julio</v>
      </c>
      <c r="G929" s="7" t="str">
        <f aca="false">E929&amp;"-"&amp;RIGHT(B929,2)</f>
        <v>jul-25</v>
      </c>
    </row>
    <row r="930" customFormat="false" ht="15" hidden="false" customHeight="false" outlineLevel="0" collapsed="false">
      <c r="A930" s="8" t="n">
        <f aca="false">A929+1</f>
        <v>45855</v>
      </c>
      <c r="B930" s="7" t="n">
        <f aca="false">YEAR(A930)</f>
        <v>2025</v>
      </c>
      <c r="C930" s="7" t="n">
        <f aca="false">MONTH(A930)</f>
        <v>7</v>
      </c>
      <c r="D930" s="8" t="n">
        <f aca="false">DATE(B930,C930,1)</f>
        <v>45839</v>
      </c>
      <c r="E930" s="7" t="str">
        <f aca="false">CHOOSE(C930,"ene","feb","mar","abr","may","jun","jul","ago","sep","oct","nov","dic")</f>
        <v>jul</v>
      </c>
      <c r="F930" s="7" t="str">
        <f aca="false">CHOOSE(C930,"enero","febrero","marzo","abril","mayo","junio","julio","agosto","septiembre","octubre","noviembre","diciembre")</f>
        <v>julio</v>
      </c>
      <c r="G930" s="7" t="str">
        <f aca="false">E930&amp;"-"&amp;RIGHT(B930,2)</f>
        <v>jul-25</v>
      </c>
    </row>
    <row r="931" customFormat="false" ht="15" hidden="false" customHeight="false" outlineLevel="0" collapsed="false">
      <c r="A931" s="8" t="n">
        <f aca="false">A930+1</f>
        <v>45856</v>
      </c>
      <c r="B931" s="7" t="n">
        <f aca="false">YEAR(A931)</f>
        <v>2025</v>
      </c>
      <c r="C931" s="7" t="n">
        <f aca="false">MONTH(A931)</f>
        <v>7</v>
      </c>
      <c r="D931" s="8" t="n">
        <f aca="false">DATE(B931,C931,1)</f>
        <v>45839</v>
      </c>
      <c r="E931" s="7" t="str">
        <f aca="false">CHOOSE(C931,"ene","feb","mar","abr","may","jun","jul","ago","sep","oct","nov","dic")</f>
        <v>jul</v>
      </c>
      <c r="F931" s="7" t="str">
        <f aca="false">CHOOSE(C931,"enero","febrero","marzo","abril","mayo","junio","julio","agosto","septiembre","octubre","noviembre","diciembre")</f>
        <v>julio</v>
      </c>
      <c r="G931" s="7" t="str">
        <f aca="false">E931&amp;"-"&amp;RIGHT(B931,2)</f>
        <v>jul-25</v>
      </c>
    </row>
    <row r="932" customFormat="false" ht="15" hidden="false" customHeight="false" outlineLevel="0" collapsed="false">
      <c r="A932" s="8" t="n">
        <f aca="false">A931+1</f>
        <v>45857</v>
      </c>
      <c r="B932" s="7" t="n">
        <f aca="false">YEAR(A932)</f>
        <v>2025</v>
      </c>
      <c r="C932" s="7" t="n">
        <f aca="false">MONTH(A932)</f>
        <v>7</v>
      </c>
      <c r="D932" s="8" t="n">
        <f aca="false">DATE(B932,C932,1)</f>
        <v>45839</v>
      </c>
      <c r="E932" s="7" t="str">
        <f aca="false">CHOOSE(C932,"ene","feb","mar","abr","may","jun","jul","ago","sep","oct","nov","dic")</f>
        <v>jul</v>
      </c>
      <c r="F932" s="7" t="str">
        <f aca="false">CHOOSE(C932,"enero","febrero","marzo","abril","mayo","junio","julio","agosto","septiembre","octubre","noviembre","diciembre")</f>
        <v>julio</v>
      </c>
      <c r="G932" s="7" t="str">
        <f aca="false">E932&amp;"-"&amp;RIGHT(B932,2)</f>
        <v>jul-25</v>
      </c>
    </row>
    <row r="933" customFormat="false" ht="15" hidden="false" customHeight="false" outlineLevel="0" collapsed="false">
      <c r="A933" s="8" t="n">
        <f aca="false">A932+1</f>
        <v>45858</v>
      </c>
      <c r="B933" s="7" t="n">
        <f aca="false">YEAR(A933)</f>
        <v>2025</v>
      </c>
      <c r="C933" s="7" t="n">
        <f aca="false">MONTH(A933)</f>
        <v>7</v>
      </c>
      <c r="D933" s="8" t="n">
        <f aca="false">DATE(B933,C933,1)</f>
        <v>45839</v>
      </c>
      <c r="E933" s="7" t="str">
        <f aca="false">CHOOSE(C933,"ene","feb","mar","abr","may","jun","jul","ago","sep","oct","nov","dic")</f>
        <v>jul</v>
      </c>
      <c r="F933" s="7" t="str">
        <f aca="false">CHOOSE(C933,"enero","febrero","marzo","abril","mayo","junio","julio","agosto","septiembre","octubre","noviembre","diciembre")</f>
        <v>julio</v>
      </c>
      <c r="G933" s="7" t="str">
        <f aca="false">E933&amp;"-"&amp;RIGHT(B933,2)</f>
        <v>jul-25</v>
      </c>
    </row>
    <row r="934" customFormat="false" ht="15" hidden="false" customHeight="false" outlineLevel="0" collapsed="false">
      <c r="A934" s="8" t="n">
        <f aca="false">A933+1</f>
        <v>45859</v>
      </c>
      <c r="B934" s="7" t="n">
        <f aca="false">YEAR(A934)</f>
        <v>2025</v>
      </c>
      <c r="C934" s="7" t="n">
        <f aca="false">MONTH(A934)</f>
        <v>7</v>
      </c>
      <c r="D934" s="8" t="n">
        <f aca="false">DATE(B934,C934,1)</f>
        <v>45839</v>
      </c>
      <c r="E934" s="7" t="str">
        <f aca="false">CHOOSE(C934,"ene","feb","mar","abr","may","jun","jul","ago","sep","oct","nov","dic")</f>
        <v>jul</v>
      </c>
      <c r="F934" s="7" t="str">
        <f aca="false">CHOOSE(C934,"enero","febrero","marzo","abril","mayo","junio","julio","agosto","septiembre","octubre","noviembre","diciembre")</f>
        <v>julio</v>
      </c>
      <c r="G934" s="7" t="str">
        <f aca="false">E934&amp;"-"&amp;RIGHT(B934,2)</f>
        <v>jul-25</v>
      </c>
    </row>
    <row r="935" customFormat="false" ht="15" hidden="false" customHeight="false" outlineLevel="0" collapsed="false">
      <c r="A935" s="8" t="n">
        <f aca="false">A934+1</f>
        <v>45860</v>
      </c>
      <c r="B935" s="7" t="n">
        <f aca="false">YEAR(A935)</f>
        <v>2025</v>
      </c>
      <c r="C935" s="7" t="n">
        <f aca="false">MONTH(A935)</f>
        <v>7</v>
      </c>
      <c r="D935" s="8" t="n">
        <f aca="false">DATE(B935,C935,1)</f>
        <v>45839</v>
      </c>
      <c r="E935" s="7" t="str">
        <f aca="false">CHOOSE(C935,"ene","feb","mar","abr","may","jun","jul","ago","sep","oct","nov","dic")</f>
        <v>jul</v>
      </c>
      <c r="F935" s="7" t="str">
        <f aca="false">CHOOSE(C935,"enero","febrero","marzo","abril","mayo","junio","julio","agosto","septiembre","octubre","noviembre","diciembre")</f>
        <v>julio</v>
      </c>
      <c r="G935" s="7" t="str">
        <f aca="false">E935&amp;"-"&amp;RIGHT(B935,2)</f>
        <v>jul-25</v>
      </c>
    </row>
    <row r="936" customFormat="false" ht="15" hidden="false" customHeight="false" outlineLevel="0" collapsed="false">
      <c r="A936" s="8" t="n">
        <f aca="false">A935+1</f>
        <v>45861</v>
      </c>
      <c r="B936" s="7" t="n">
        <f aca="false">YEAR(A936)</f>
        <v>2025</v>
      </c>
      <c r="C936" s="7" t="n">
        <f aca="false">MONTH(A936)</f>
        <v>7</v>
      </c>
      <c r="D936" s="8" t="n">
        <f aca="false">DATE(B936,C936,1)</f>
        <v>45839</v>
      </c>
      <c r="E936" s="7" t="str">
        <f aca="false">CHOOSE(C936,"ene","feb","mar","abr","may","jun","jul","ago","sep","oct","nov","dic")</f>
        <v>jul</v>
      </c>
      <c r="F936" s="7" t="str">
        <f aca="false">CHOOSE(C936,"enero","febrero","marzo","abril","mayo","junio","julio","agosto","septiembre","octubre","noviembre","diciembre")</f>
        <v>julio</v>
      </c>
      <c r="G936" s="7" t="str">
        <f aca="false">E936&amp;"-"&amp;RIGHT(B936,2)</f>
        <v>jul-25</v>
      </c>
    </row>
    <row r="937" customFormat="false" ht="15" hidden="false" customHeight="false" outlineLevel="0" collapsed="false">
      <c r="A937" s="8" t="n">
        <f aca="false">A936+1</f>
        <v>45862</v>
      </c>
      <c r="B937" s="7" t="n">
        <f aca="false">YEAR(A937)</f>
        <v>2025</v>
      </c>
      <c r="C937" s="7" t="n">
        <f aca="false">MONTH(A937)</f>
        <v>7</v>
      </c>
      <c r="D937" s="8" t="n">
        <f aca="false">DATE(B937,C937,1)</f>
        <v>45839</v>
      </c>
      <c r="E937" s="7" t="str">
        <f aca="false">CHOOSE(C937,"ene","feb","mar","abr","may","jun","jul","ago","sep","oct","nov","dic")</f>
        <v>jul</v>
      </c>
      <c r="F937" s="7" t="str">
        <f aca="false">CHOOSE(C937,"enero","febrero","marzo","abril","mayo","junio","julio","agosto","septiembre","octubre","noviembre","diciembre")</f>
        <v>julio</v>
      </c>
      <c r="G937" s="7" t="str">
        <f aca="false">E937&amp;"-"&amp;RIGHT(B937,2)</f>
        <v>jul-25</v>
      </c>
    </row>
    <row r="938" customFormat="false" ht="15" hidden="false" customHeight="false" outlineLevel="0" collapsed="false">
      <c r="A938" s="8" t="n">
        <f aca="false">A937+1</f>
        <v>45863</v>
      </c>
      <c r="B938" s="7" t="n">
        <f aca="false">YEAR(A938)</f>
        <v>2025</v>
      </c>
      <c r="C938" s="7" t="n">
        <f aca="false">MONTH(A938)</f>
        <v>7</v>
      </c>
      <c r="D938" s="8" t="n">
        <f aca="false">DATE(B938,C938,1)</f>
        <v>45839</v>
      </c>
      <c r="E938" s="7" t="str">
        <f aca="false">CHOOSE(C938,"ene","feb","mar","abr","may","jun","jul","ago","sep","oct","nov","dic")</f>
        <v>jul</v>
      </c>
      <c r="F938" s="7" t="str">
        <f aca="false">CHOOSE(C938,"enero","febrero","marzo","abril","mayo","junio","julio","agosto","septiembre","octubre","noviembre","diciembre")</f>
        <v>julio</v>
      </c>
      <c r="G938" s="7" t="str">
        <f aca="false">E938&amp;"-"&amp;RIGHT(B938,2)</f>
        <v>jul-25</v>
      </c>
    </row>
    <row r="939" customFormat="false" ht="15" hidden="false" customHeight="false" outlineLevel="0" collapsed="false">
      <c r="A939" s="8" t="n">
        <f aca="false">A938+1</f>
        <v>45864</v>
      </c>
      <c r="B939" s="7" t="n">
        <f aca="false">YEAR(A939)</f>
        <v>2025</v>
      </c>
      <c r="C939" s="7" t="n">
        <f aca="false">MONTH(A939)</f>
        <v>7</v>
      </c>
      <c r="D939" s="8" t="n">
        <f aca="false">DATE(B939,C939,1)</f>
        <v>45839</v>
      </c>
      <c r="E939" s="7" t="str">
        <f aca="false">CHOOSE(C939,"ene","feb","mar","abr","may","jun","jul","ago","sep","oct","nov","dic")</f>
        <v>jul</v>
      </c>
      <c r="F939" s="7" t="str">
        <f aca="false">CHOOSE(C939,"enero","febrero","marzo","abril","mayo","junio","julio","agosto","septiembre","octubre","noviembre","diciembre")</f>
        <v>julio</v>
      </c>
      <c r="G939" s="7" t="str">
        <f aca="false">E939&amp;"-"&amp;RIGHT(B939,2)</f>
        <v>jul-25</v>
      </c>
    </row>
    <row r="940" customFormat="false" ht="15" hidden="false" customHeight="false" outlineLevel="0" collapsed="false">
      <c r="A940" s="8" t="n">
        <f aca="false">A939+1</f>
        <v>45865</v>
      </c>
      <c r="B940" s="7" t="n">
        <f aca="false">YEAR(A940)</f>
        <v>2025</v>
      </c>
      <c r="C940" s="7" t="n">
        <f aca="false">MONTH(A940)</f>
        <v>7</v>
      </c>
      <c r="D940" s="8" t="n">
        <f aca="false">DATE(B940,C940,1)</f>
        <v>45839</v>
      </c>
      <c r="E940" s="7" t="str">
        <f aca="false">CHOOSE(C940,"ene","feb","mar","abr","may","jun","jul","ago","sep","oct","nov","dic")</f>
        <v>jul</v>
      </c>
      <c r="F940" s="7" t="str">
        <f aca="false">CHOOSE(C940,"enero","febrero","marzo","abril","mayo","junio","julio","agosto","septiembre","octubre","noviembre","diciembre")</f>
        <v>julio</v>
      </c>
      <c r="G940" s="7" t="str">
        <f aca="false">E940&amp;"-"&amp;RIGHT(B940,2)</f>
        <v>jul-25</v>
      </c>
    </row>
    <row r="941" customFormat="false" ht="15" hidden="false" customHeight="false" outlineLevel="0" collapsed="false">
      <c r="A941" s="8" t="n">
        <f aca="false">A940+1</f>
        <v>45866</v>
      </c>
      <c r="B941" s="7" t="n">
        <f aca="false">YEAR(A941)</f>
        <v>2025</v>
      </c>
      <c r="C941" s="7" t="n">
        <f aca="false">MONTH(A941)</f>
        <v>7</v>
      </c>
      <c r="D941" s="8" t="n">
        <f aca="false">DATE(B941,C941,1)</f>
        <v>45839</v>
      </c>
      <c r="E941" s="7" t="str">
        <f aca="false">CHOOSE(C941,"ene","feb","mar","abr","may","jun","jul","ago","sep","oct","nov","dic")</f>
        <v>jul</v>
      </c>
      <c r="F941" s="7" t="str">
        <f aca="false">CHOOSE(C941,"enero","febrero","marzo","abril","mayo","junio","julio","agosto","septiembre","octubre","noviembre","diciembre")</f>
        <v>julio</v>
      </c>
      <c r="G941" s="7" t="str">
        <f aca="false">E941&amp;"-"&amp;RIGHT(B941,2)</f>
        <v>jul-25</v>
      </c>
    </row>
    <row r="942" customFormat="false" ht="15" hidden="false" customHeight="false" outlineLevel="0" collapsed="false">
      <c r="A942" s="8" t="n">
        <f aca="false">A941+1</f>
        <v>45867</v>
      </c>
      <c r="B942" s="7" t="n">
        <f aca="false">YEAR(A942)</f>
        <v>2025</v>
      </c>
      <c r="C942" s="7" t="n">
        <f aca="false">MONTH(A942)</f>
        <v>7</v>
      </c>
      <c r="D942" s="8" t="n">
        <f aca="false">DATE(B942,C942,1)</f>
        <v>45839</v>
      </c>
      <c r="E942" s="7" t="str">
        <f aca="false">CHOOSE(C942,"ene","feb","mar","abr","may","jun","jul","ago","sep","oct","nov","dic")</f>
        <v>jul</v>
      </c>
      <c r="F942" s="7" t="str">
        <f aca="false">CHOOSE(C942,"enero","febrero","marzo","abril","mayo","junio","julio","agosto","septiembre","octubre","noviembre","diciembre")</f>
        <v>julio</v>
      </c>
      <c r="G942" s="7" t="str">
        <f aca="false">E942&amp;"-"&amp;RIGHT(B942,2)</f>
        <v>jul-25</v>
      </c>
    </row>
    <row r="943" customFormat="false" ht="15" hidden="false" customHeight="false" outlineLevel="0" collapsed="false">
      <c r="A943" s="8" t="n">
        <f aca="false">A942+1</f>
        <v>45868</v>
      </c>
      <c r="B943" s="7" t="n">
        <f aca="false">YEAR(A943)</f>
        <v>2025</v>
      </c>
      <c r="C943" s="7" t="n">
        <f aca="false">MONTH(A943)</f>
        <v>7</v>
      </c>
      <c r="D943" s="8" t="n">
        <f aca="false">DATE(B943,C943,1)</f>
        <v>45839</v>
      </c>
      <c r="E943" s="7" t="str">
        <f aca="false">CHOOSE(C943,"ene","feb","mar","abr","may","jun","jul","ago","sep","oct","nov","dic")</f>
        <v>jul</v>
      </c>
      <c r="F943" s="7" t="str">
        <f aca="false">CHOOSE(C943,"enero","febrero","marzo","abril","mayo","junio","julio","agosto","septiembre","octubre","noviembre","diciembre")</f>
        <v>julio</v>
      </c>
      <c r="G943" s="7" t="str">
        <f aca="false">E943&amp;"-"&amp;RIGHT(B943,2)</f>
        <v>jul-25</v>
      </c>
    </row>
    <row r="944" customFormat="false" ht="15" hidden="false" customHeight="false" outlineLevel="0" collapsed="false">
      <c r="A944" s="8" t="n">
        <f aca="false">A943+1</f>
        <v>45869</v>
      </c>
      <c r="B944" s="7" t="n">
        <f aca="false">YEAR(A944)</f>
        <v>2025</v>
      </c>
      <c r="C944" s="7" t="n">
        <f aca="false">MONTH(A944)</f>
        <v>7</v>
      </c>
      <c r="D944" s="8" t="n">
        <f aca="false">DATE(B944,C944,1)</f>
        <v>45839</v>
      </c>
      <c r="E944" s="7" t="str">
        <f aca="false">CHOOSE(C944,"ene","feb","mar","abr","may","jun","jul","ago","sep","oct","nov","dic")</f>
        <v>jul</v>
      </c>
      <c r="F944" s="7" t="str">
        <f aca="false">CHOOSE(C944,"enero","febrero","marzo","abril","mayo","junio","julio","agosto","septiembre","octubre","noviembre","diciembre")</f>
        <v>julio</v>
      </c>
      <c r="G944" s="7" t="str">
        <f aca="false">E944&amp;"-"&amp;RIGHT(B944,2)</f>
        <v>jul-25</v>
      </c>
    </row>
    <row r="945" customFormat="false" ht="15" hidden="false" customHeight="false" outlineLevel="0" collapsed="false">
      <c r="A945" s="8" t="n">
        <f aca="false">A944+1</f>
        <v>45870</v>
      </c>
      <c r="B945" s="7" t="n">
        <f aca="false">YEAR(A945)</f>
        <v>2025</v>
      </c>
      <c r="C945" s="7" t="n">
        <f aca="false">MONTH(A945)</f>
        <v>8</v>
      </c>
      <c r="D945" s="8" t="n">
        <f aca="false">DATE(B945,C945,1)</f>
        <v>45870</v>
      </c>
      <c r="E945" s="7" t="str">
        <f aca="false">CHOOSE(C945,"ene","feb","mar","abr","may","jun","jul","ago","sep","oct","nov","dic")</f>
        <v>ago</v>
      </c>
      <c r="F945" s="7" t="str">
        <f aca="false">CHOOSE(C945,"enero","febrero","marzo","abril","mayo","junio","julio","agosto","septiembre","octubre","noviembre","diciembre")</f>
        <v>agosto</v>
      </c>
      <c r="G945" s="7" t="str">
        <f aca="false">E945&amp;"-"&amp;RIGHT(B945,2)</f>
        <v>ago-25</v>
      </c>
    </row>
    <row r="946" customFormat="false" ht="15" hidden="false" customHeight="false" outlineLevel="0" collapsed="false">
      <c r="A946" s="8" t="n">
        <f aca="false">A945+1</f>
        <v>45871</v>
      </c>
      <c r="B946" s="7" t="n">
        <f aca="false">YEAR(A946)</f>
        <v>2025</v>
      </c>
      <c r="C946" s="7" t="n">
        <f aca="false">MONTH(A946)</f>
        <v>8</v>
      </c>
      <c r="D946" s="8" t="n">
        <f aca="false">DATE(B946,C946,1)</f>
        <v>45870</v>
      </c>
      <c r="E946" s="7" t="str">
        <f aca="false">CHOOSE(C946,"ene","feb","mar","abr","may","jun","jul","ago","sep","oct","nov","dic")</f>
        <v>ago</v>
      </c>
      <c r="F946" s="7" t="str">
        <f aca="false">CHOOSE(C946,"enero","febrero","marzo","abril","mayo","junio","julio","agosto","septiembre","octubre","noviembre","diciembre")</f>
        <v>agosto</v>
      </c>
      <c r="G946" s="7" t="str">
        <f aca="false">E946&amp;"-"&amp;RIGHT(B946,2)</f>
        <v>ago-25</v>
      </c>
    </row>
    <row r="947" customFormat="false" ht="15" hidden="false" customHeight="false" outlineLevel="0" collapsed="false">
      <c r="A947" s="8" t="n">
        <f aca="false">A946+1</f>
        <v>45872</v>
      </c>
      <c r="B947" s="7" t="n">
        <f aca="false">YEAR(A947)</f>
        <v>2025</v>
      </c>
      <c r="C947" s="7" t="n">
        <f aca="false">MONTH(A947)</f>
        <v>8</v>
      </c>
      <c r="D947" s="8" t="n">
        <f aca="false">DATE(B947,C947,1)</f>
        <v>45870</v>
      </c>
      <c r="E947" s="7" t="str">
        <f aca="false">CHOOSE(C947,"ene","feb","mar","abr","may","jun","jul","ago","sep","oct","nov","dic")</f>
        <v>ago</v>
      </c>
      <c r="F947" s="7" t="str">
        <f aca="false">CHOOSE(C947,"enero","febrero","marzo","abril","mayo","junio","julio","agosto","septiembre","octubre","noviembre","diciembre")</f>
        <v>agosto</v>
      </c>
      <c r="G947" s="7" t="str">
        <f aca="false">E947&amp;"-"&amp;RIGHT(B947,2)</f>
        <v>ago-25</v>
      </c>
    </row>
    <row r="948" customFormat="false" ht="15" hidden="false" customHeight="false" outlineLevel="0" collapsed="false">
      <c r="A948" s="8" t="n">
        <f aca="false">A947+1</f>
        <v>45873</v>
      </c>
      <c r="B948" s="7" t="n">
        <f aca="false">YEAR(A948)</f>
        <v>2025</v>
      </c>
      <c r="C948" s="7" t="n">
        <f aca="false">MONTH(A948)</f>
        <v>8</v>
      </c>
      <c r="D948" s="8" t="n">
        <f aca="false">DATE(B948,C948,1)</f>
        <v>45870</v>
      </c>
      <c r="E948" s="7" t="str">
        <f aca="false">CHOOSE(C948,"ene","feb","mar","abr","may","jun","jul","ago","sep","oct","nov","dic")</f>
        <v>ago</v>
      </c>
      <c r="F948" s="7" t="str">
        <f aca="false">CHOOSE(C948,"enero","febrero","marzo","abril","mayo","junio","julio","agosto","septiembre","octubre","noviembre","diciembre")</f>
        <v>agosto</v>
      </c>
      <c r="G948" s="7" t="str">
        <f aca="false">E948&amp;"-"&amp;RIGHT(B948,2)</f>
        <v>ago-25</v>
      </c>
    </row>
    <row r="949" customFormat="false" ht="15" hidden="false" customHeight="false" outlineLevel="0" collapsed="false">
      <c r="A949" s="8" t="n">
        <f aca="false">A948+1</f>
        <v>45874</v>
      </c>
      <c r="B949" s="7" t="n">
        <f aca="false">YEAR(A949)</f>
        <v>2025</v>
      </c>
      <c r="C949" s="7" t="n">
        <f aca="false">MONTH(A949)</f>
        <v>8</v>
      </c>
      <c r="D949" s="8" t="n">
        <f aca="false">DATE(B949,C949,1)</f>
        <v>45870</v>
      </c>
      <c r="E949" s="7" t="str">
        <f aca="false">CHOOSE(C949,"ene","feb","mar","abr","may","jun","jul","ago","sep","oct","nov","dic")</f>
        <v>ago</v>
      </c>
      <c r="F949" s="7" t="str">
        <f aca="false">CHOOSE(C949,"enero","febrero","marzo","abril","mayo","junio","julio","agosto","septiembre","octubre","noviembre","diciembre")</f>
        <v>agosto</v>
      </c>
      <c r="G949" s="7" t="str">
        <f aca="false">E949&amp;"-"&amp;RIGHT(B949,2)</f>
        <v>ago-25</v>
      </c>
    </row>
    <row r="950" customFormat="false" ht="15" hidden="false" customHeight="false" outlineLevel="0" collapsed="false">
      <c r="A950" s="8" t="n">
        <f aca="false">A949+1</f>
        <v>45875</v>
      </c>
      <c r="B950" s="7" t="n">
        <f aca="false">YEAR(A950)</f>
        <v>2025</v>
      </c>
      <c r="C950" s="7" t="n">
        <f aca="false">MONTH(A950)</f>
        <v>8</v>
      </c>
      <c r="D950" s="8" t="n">
        <f aca="false">DATE(B950,C950,1)</f>
        <v>45870</v>
      </c>
      <c r="E950" s="7" t="str">
        <f aca="false">CHOOSE(C950,"ene","feb","mar","abr","may","jun","jul","ago","sep","oct","nov","dic")</f>
        <v>ago</v>
      </c>
      <c r="F950" s="7" t="str">
        <f aca="false">CHOOSE(C950,"enero","febrero","marzo","abril","mayo","junio","julio","agosto","septiembre","octubre","noviembre","diciembre")</f>
        <v>agosto</v>
      </c>
      <c r="G950" s="7" t="str">
        <f aca="false">E950&amp;"-"&amp;RIGHT(B950,2)</f>
        <v>ago-25</v>
      </c>
    </row>
    <row r="951" customFormat="false" ht="15" hidden="false" customHeight="false" outlineLevel="0" collapsed="false">
      <c r="A951" s="8" t="n">
        <f aca="false">A950+1</f>
        <v>45876</v>
      </c>
      <c r="B951" s="7" t="n">
        <f aca="false">YEAR(A951)</f>
        <v>2025</v>
      </c>
      <c r="C951" s="7" t="n">
        <f aca="false">MONTH(A951)</f>
        <v>8</v>
      </c>
      <c r="D951" s="8" t="n">
        <f aca="false">DATE(B951,C951,1)</f>
        <v>45870</v>
      </c>
      <c r="E951" s="7" t="str">
        <f aca="false">CHOOSE(C951,"ene","feb","mar","abr","may","jun","jul","ago","sep","oct","nov","dic")</f>
        <v>ago</v>
      </c>
      <c r="F951" s="7" t="str">
        <f aca="false">CHOOSE(C951,"enero","febrero","marzo","abril","mayo","junio","julio","agosto","septiembre","octubre","noviembre","diciembre")</f>
        <v>agosto</v>
      </c>
      <c r="G951" s="7" t="str">
        <f aca="false">E951&amp;"-"&amp;RIGHT(B951,2)</f>
        <v>ago-25</v>
      </c>
    </row>
    <row r="952" customFormat="false" ht="15" hidden="false" customHeight="false" outlineLevel="0" collapsed="false">
      <c r="A952" s="8" t="n">
        <f aca="false">A951+1</f>
        <v>45877</v>
      </c>
      <c r="B952" s="7" t="n">
        <f aca="false">YEAR(A952)</f>
        <v>2025</v>
      </c>
      <c r="C952" s="7" t="n">
        <f aca="false">MONTH(A952)</f>
        <v>8</v>
      </c>
      <c r="D952" s="8" t="n">
        <f aca="false">DATE(B952,C952,1)</f>
        <v>45870</v>
      </c>
      <c r="E952" s="7" t="str">
        <f aca="false">CHOOSE(C952,"ene","feb","mar","abr","may","jun","jul","ago","sep","oct","nov","dic")</f>
        <v>ago</v>
      </c>
      <c r="F952" s="7" t="str">
        <f aca="false">CHOOSE(C952,"enero","febrero","marzo","abril","mayo","junio","julio","agosto","septiembre","octubre","noviembre","diciembre")</f>
        <v>agosto</v>
      </c>
      <c r="G952" s="7" t="str">
        <f aca="false">E952&amp;"-"&amp;RIGHT(B952,2)</f>
        <v>ago-25</v>
      </c>
    </row>
    <row r="953" customFormat="false" ht="15" hidden="false" customHeight="false" outlineLevel="0" collapsed="false">
      <c r="A953" s="8" t="n">
        <f aca="false">A952+1</f>
        <v>45878</v>
      </c>
      <c r="B953" s="7" t="n">
        <f aca="false">YEAR(A953)</f>
        <v>2025</v>
      </c>
      <c r="C953" s="7" t="n">
        <f aca="false">MONTH(A953)</f>
        <v>8</v>
      </c>
      <c r="D953" s="8" t="n">
        <f aca="false">DATE(B953,C953,1)</f>
        <v>45870</v>
      </c>
      <c r="E953" s="7" t="str">
        <f aca="false">CHOOSE(C953,"ene","feb","mar","abr","may","jun","jul","ago","sep","oct","nov","dic")</f>
        <v>ago</v>
      </c>
      <c r="F953" s="7" t="str">
        <f aca="false">CHOOSE(C953,"enero","febrero","marzo","abril","mayo","junio","julio","agosto","septiembre","octubre","noviembre","diciembre")</f>
        <v>agosto</v>
      </c>
      <c r="G953" s="7" t="str">
        <f aca="false">E953&amp;"-"&amp;RIGHT(B953,2)</f>
        <v>ago-25</v>
      </c>
    </row>
    <row r="954" customFormat="false" ht="15" hidden="false" customHeight="false" outlineLevel="0" collapsed="false">
      <c r="A954" s="8" t="n">
        <f aca="false">A953+1</f>
        <v>45879</v>
      </c>
      <c r="B954" s="7" t="n">
        <f aca="false">YEAR(A954)</f>
        <v>2025</v>
      </c>
      <c r="C954" s="7" t="n">
        <f aca="false">MONTH(A954)</f>
        <v>8</v>
      </c>
      <c r="D954" s="8" t="n">
        <f aca="false">DATE(B954,C954,1)</f>
        <v>45870</v>
      </c>
      <c r="E954" s="7" t="str">
        <f aca="false">CHOOSE(C954,"ene","feb","mar","abr","may","jun","jul","ago","sep","oct","nov","dic")</f>
        <v>ago</v>
      </c>
      <c r="F954" s="7" t="str">
        <f aca="false">CHOOSE(C954,"enero","febrero","marzo","abril","mayo","junio","julio","agosto","septiembre","octubre","noviembre","diciembre")</f>
        <v>agosto</v>
      </c>
      <c r="G954" s="7" t="str">
        <f aca="false">E954&amp;"-"&amp;RIGHT(B954,2)</f>
        <v>ago-25</v>
      </c>
    </row>
    <row r="955" customFormat="false" ht="15" hidden="false" customHeight="false" outlineLevel="0" collapsed="false">
      <c r="A955" s="8" t="n">
        <f aca="false">A954+1</f>
        <v>45880</v>
      </c>
      <c r="B955" s="7" t="n">
        <f aca="false">YEAR(A955)</f>
        <v>2025</v>
      </c>
      <c r="C955" s="7" t="n">
        <f aca="false">MONTH(A955)</f>
        <v>8</v>
      </c>
      <c r="D955" s="8" t="n">
        <f aca="false">DATE(B955,C955,1)</f>
        <v>45870</v>
      </c>
      <c r="E955" s="7" t="str">
        <f aca="false">CHOOSE(C955,"ene","feb","mar","abr","may","jun","jul","ago","sep","oct","nov","dic")</f>
        <v>ago</v>
      </c>
      <c r="F955" s="7" t="str">
        <f aca="false">CHOOSE(C955,"enero","febrero","marzo","abril","mayo","junio","julio","agosto","septiembre","octubre","noviembre","diciembre")</f>
        <v>agosto</v>
      </c>
      <c r="G955" s="7" t="str">
        <f aca="false">E955&amp;"-"&amp;RIGHT(B955,2)</f>
        <v>ago-25</v>
      </c>
    </row>
    <row r="956" customFormat="false" ht="15" hidden="false" customHeight="false" outlineLevel="0" collapsed="false">
      <c r="A956" s="8" t="n">
        <f aca="false">A955+1</f>
        <v>45881</v>
      </c>
      <c r="B956" s="7" t="n">
        <f aca="false">YEAR(A956)</f>
        <v>2025</v>
      </c>
      <c r="C956" s="7" t="n">
        <f aca="false">MONTH(A956)</f>
        <v>8</v>
      </c>
      <c r="D956" s="8" t="n">
        <f aca="false">DATE(B956,C956,1)</f>
        <v>45870</v>
      </c>
      <c r="E956" s="7" t="str">
        <f aca="false">CHOOSE(C956,"ene","feb","mar","abr","may","jun","jul","ago","sep","oct","nov","dic")</f>
        <v>ago</v>
      </c>
      <c r="F956" s="7" t="str">
        <f aca="false">CHOOSE(C956,"enero","febrero","marzo","abril","mayo","junio","julio","agosto","septiembre","octubre","noviembre","diciembre")</f>
        <v>agosto</v>
      </c>
      <c r="G956" s="7" t="str">
        <f aca="false">E956&amp;"-"&amp;RIGHT(B956,2)</f>
        <v>ago-25</v>
      </c>
    </row>
    <row r="957" customFormat="false" ht="15" hidden="false" customHeight="false" outlineLevel="0" collapsed="false">
      <c r="A957" s="8" t="n">
        <f aca="false">A956+1</f>
        <v>45882</v>
      </c>
      <c r="B957" s="7" t="n">
        <f aca="false">YEAR(A957)</f>
        <v>2025</v>
      </c>
      <c r="C957" s="7" t="n">
        <f aca="false">MONTH(A957)</f>
        <v>8</v>
      </c>
      <c r="D957" s="8" t="n">
        <f aca="false">DATE(B957,C957,1)</f>
        <v>45870</v>
      </c>
      <c r="E957" s="7" t="str">
        <f aca="false">CHOOSE(C957,"ene","feb","mar","abr","may","jun","jul","ago","sep","oct","nov","dic")</f>
        <v>ago</v>
      </c>
      <c r="F957" s="7" t="str">
        <f aca="false">CHOOSE(C957,"enero","febrero","marzo","abril","mayo","junio","julio","agosto","septiembre","octubre","noviembre","diciembre")</f>
        <v>agosto</v>
      </c>
      <c r="G957" s="7" t="str">
        <f aca="false">E957&amp;"-"&amp;RIGHT(B957,2)</f>
        <v>ago-25</v>
      </c>
    </row>
    <row r="958" customFormat="false" ht="15" hidden="false" customHeight="false" outlineLevel="0" collapsed="false">
      <c r="A958" s="8" t="n">
        <f aca="false">A957+1</f>
        <v>45883</v>
      </c>
      <c r="B958" s="7" t="n">
        <f aca="false">YEAR(A958)</f>
        <v>2025</v>
      </c>
      <c r="C958" s="7" t="n">
        <f aca="false">MONTH(A958)</f>
        <v>8</v>
      </c>
      <c r="D958" s="8" t="n">
        <f aca="false">DATE(B958,C958,1)</f>
        <v>45870</v>
      </c>
      <c r="E958" s="7" t="str">
        <f aca="false">CHOOSE(C958,"ene","feb","mar","abr","may","jun","jul","ago","sep","oct","nov","dic")</f>
        <v>ago</v>
      </c>
      <c r="F958" s="7" t="str">
        <f aca="false">CHOOSE(C958,"enero","febrero","marzo","abril","mayo","junio","julio","agosto","septiembre","octubre","noviembre","diciembre")</f>
        <v>agosto</v>
      </c>
      <c r="G958" s="7" t="str">
        <f aca="false">E958&amp;"-"&amp;RIGHT(B958,2)</f>
        <v>ago-25</v>
      </c>
    </row>
    <row r="959" customFormat="false" ht="15" hidden="false" customHeight="false" outlineLevel="0" collapsed="false">
      <c r="A959" s="8" t="n">
        <f aca="false">A958+1</f>
        <v>45884</v>
      </c>
      <c r="B959" s="7" t="n">
        <f aca="false">YEAR(A959)</f>
        <v>2025</v>
      </c>
      <c r="C959" s="7" t="n">
        <f aca="false">MONTH(A959)</f>
        <v>8</v>
      </c>
      <c r="D959" s="8" t="n">
        <f aca="false">DATE(B959,C959,1)</f>
        <v>45870</v>
      </c>
      <c r="E959" s="7" t="str">
        <f aca="false">CHOOSE(C959,"ene","feb","mar","abr","may","jun","jul","ago","sep","oct","nov","dic")</f>
        <v>ago</v>
      </c>
      <c r="F959" s="7" t="str">
        <f aca="false">CHOOSE(C959,"enero","febrero","marzo","abril","mayo","junio","julio","agosto","septiembre","octubre","noviembre","diciembre")</f>
        <v>agosto</v>
      </c>
      <c r="G959" s="7" t="str">
        <f aca="false">E959&amp;"-"&amp;RIGHT(B959,2)</f>
        <v>ago-25</v>
      </c>
    </row>
    <row r="960" customFormat="false" ht="15" hidden="false" customHeight="false" outlineLevel="0" collapsed="false">
      <c r="A960" s="8" t="n">
        <f aca="false">A959+1</f>
        <v>45885</v>
      </c>
      <c r="B960" s="7" t="n">
        <f aca="false">YEAR(A960)</f>
        <v>2025</v>
      </c>
      <c r="C960" s="7" t="n">
        <f aca="false">MONTH(A960)</f>
        <v>8</v>
      </c>
      <c r="D960" s="8" t="n">
        <f aca="false">DATE(B960,C960,1)</f>
        <v>45870</v>
      </c>
      <c r="E960" s="7" t="str">
        <f aca="false">CHOOSE(C960,"ene","feb","mar","abr","may","jun","jul","ago","sep","oct","nov","dic")</f>
        <v>ago</v>
      </c>
      <c r="F960" s="7" t="str">
        <f aca="false">CHOOSE(C960,"enero","febrero","marzo","abril","mayo","junio","julio","agosto","septiembre","octubre","noviembre","diciembre")</f>
        <v>agosto</v>
      </c>
      <c r="G960" s="7" t="str">
        <f aca="false">E960&amp;"-"&amp;RIGHT(B960,2)</f>
        <v>ago-25</v>
      </c>
    </row>
    <row r="961" customFormat="false" ht="15" hidden="false" customHeight="false" outlineLevel="0" collapsed="false">
      <c r="A961" s="8" t="n">
        <f aca="false">A960+1</f>
        <v>45886</v>
      </c>
      <c r="B961" s="7" t="n">
        <f aca="false">YEAR(A961)</f>
        <v>2025</v>
      </c>
      <c r="C961" s="7" t="n">
        <f aca="false">MONTH(A961)</f>
        <v>8</v>
      </c>
      <c r="D961" s="8" t="n">
        <f aca="false">DATE(B961,C961,1)</f>
        <v>45870</v>
      </c>
      <c r="E961" s="7" t="str">
        <f aca="false">CHOOSE(C961,"ene","feb","mar","abr","may","jun","jul","ago","sep","oct","nov","dic")</f>
        <v>ago</v>
      </c>
      <c r="F961" s="7" t="str">
        <f aca="false">CHOOSE(C961,"enero","febrero","marzo","abril","mayo","junio","julio","agosto","septiembre","octubre","noviembre","diciembre")</f>
        <v>agosto</v>
      </c>
      <c r="G961" s="7" t="str">
        <f aca="false">E961&amp;"-"&amp;RIGHT(B961,2)</f>
        <v>ago-25</v>
      </c>
    </row>
    <row r="962" customFormat="false" ht="15" hidden="false" customHeight="false" outlineLevel="0" collapsed="false">
      <c r="A962" s="8" t="n">
        <f aca="false">A961+1</f>
        <v>45887</v>
      </c>
      <c r="B962" s="7" t="n">
        <f aca="false">YEAR(A962)</f>
        <v>2025</v>
      </c>
      <c r="C962" s="7" t="n">
        <f aca="false">MONTH(A962)</f>
        <v>8</v>
      </c>
      <c r="D962" s="8" t="n">
        <f aca="false">DATE(B962,C962,1)</f>
        <v>45870</v>
      </c>
      <c r="E962" s="7" t="str">
        <f aca="false">CHOOSE(C962,"ene","feb","mar","abr","may","jun","jul","ago","sep","oct","nov","dic")</f>
        <v>ago</v>
      </c>
      <c r="F962" s="7" t="str">
        <f aca="false">CHOOSE(C962,"enero","febrero","marzo","abril","mayo","junio","julio","agosto","septiembre","octubre","noviembre","diciembre")</f>
        <v>agosto</v>
      </c>
      <c r="G962" s="7" t="str">
        <f aca="false">E962&amp;"-"&amp;RIGHT(B962,2)</f>
        <v>ago-25</v>
      </c>
    </row>
    <row r="963" customFormat="false" ht="15" hidden="false" customHeight="false" outlineLevel="0" collapsed="false">
      <c r="A963" s="8" t="n">
        <f aca="false">A962+1</f>
        <v>45888</v>
      </c>
      <c r="B963" s="7" t="n">
        <f aca="false">YEAR(A963)</f>
        <v>2025</v>
      </c>
      <c r="C963" s="7" t="n">
        <f aca="false">MONTH(A963)</f>
        <v>8</v>
      </c>
      <c r="D963" s="8" t="n">
        <f aca="false">DATE(B963,C963,1)</f>
        <v>45870</v>
      </c>
      <c r="E963" s="7" t="str">
        <f aca="false">CHOOSE(C963,"ene","feb","mar","abr","may","jun","jul","ago","sep","oct","nov","dic")</f>
        <v>ago</v>
      </c>
      <c r="F963" s="7" t="str">
        <f aca="false">CHOOSE(C963,"enero","febrero","marzo","abril","mayo","junio","julio","agosto","septiembre","octubre","noviembre","diciembre")</f>
        <v>agosto</v>
      </c>
      <c r="G963" s="7" t="str">
        <f aca="false">E963&amp;"-"&amp;RIGHT(B963,2)</f>
        <v>ago-25</v>
      </c>
    </row>
    <row r="964" customFormat="false" ht="15" hidden="false" customHeight="false" outlineLevel="0" collapsed="false">
      <c r="A964" s="8" t="n">
        <f aca="false">A963+1</f>
        <v>45889</v>
      </c>
      <c r="B964" s="7" t="n">
        <f aca="false">YEAR(A964)</f>
        <v>2025</v>
      </c>
      <c r="C964" s="7" t="n">
        <f aca="false">MONTH(A964)</f>
        <v>8</v>
      </c>
      <c r="D964" s="8" t="n">
        <f aca="false">DATE(B964,C964,1)</f>
        <v>45870</v>
      </c>
      <c r="E964" s="7" t="str">
        <f aca="false">CHOOSE(C964,"ene","feb","mar","abr","may","jun","jul","ago","sep","oct","nov","dic")</f>
        <v>ago</v>
      </c>
      <c r="F964" s="7" t="str">
        <f aca="false">CHOOSE(C964,"enero","febrero","marzo","abril","mayo","junio","julio","agosto","septiembre","octubre","noviembre","diciembre")</f>
        <v>agosto</v>
      </c>
      <c r="G964" s="7" t="str">
        <f aca="false">E964&amp;"-"&amp;RIGHT(B964,2)</f>
        <v>ago-25</v>
      </c>
    </row>
    <row r="965" customFormat="false" ht="15" hidden="false" customHeight="false" outlineLevel="0" collapsed="false">
      <c r="A965" s="8" t="n">
        <f aca="false">A964+1</f>
        <v>45890</v>
      </c>
      <c r="B965" s="7" t="n">
        <f aca="false">YEAR(A965)</f>
        <v>2025</v>
      </c>
      <c r="C965" s="7" t="n">
        <f aca="false">MONTH(A965)</f>
        <v>8</v>
      </c>
      <c r="D965" s="8" t="n">
        <f aca="false">DATE(B965,C965,1)</f>
        <v>45870</v>
      </c>
      <c r="E965" s="7" t="str">
        <f aca="false">CHOOSE(C965,"ene","feb","mar","abr","may","jun","jul","ago","sep","oct","nov","dic")</f>
        <v>ago</v>
      </c>
      <c r="F965" s="7" t="str">
        <f aca="false">CHOOSE(C965,"enero","febrero","marzo","abril","mayo","junio","julio","agosto","septiembre","octubre","noviembre","diciembre")</f>
        <v>agosto</v>
      </c>
      <c r="G965" s="7" t="str">
        <f aca="false">E965&amp;"-"&amp;RIGHT(B965,2)</f>
        <v>ago-25</v>
      </c>
    </row>
    <row r="966" customFormat="false" ht="15" hidden="false" customHeight="false" outlineLevel="0" collapsed="false">
      <c r="A966" s="8" t="n">
        <f aca="false">A965+1</f>
        <v>45891</v>
      </c>
      <c r="B966" s="7" t="n">
        <f aca="false">YEAR(A966)</f>
        <v>2025</v>
      </c>
      <c r="C966" s="7" t="n">
        <f aca="false">MONTH(A966)</f>
        <v>8</v>
      </c>
      <c r="D966" s="8" t="n">
        <f aca="false">DATE(B966,C966,1)</f>
        <v>45870</v>
      </c>
      <c r="E966" s="7" t="str">
        <f aca="false">CHOOSE(C966,"ene","feb","mar","abr","may","jun","jul","ago","sep","oct","nov","dic")</f>
        <v>ago</v>
      </c>
      <c r="F966" s="7" t="str">
        <f aca="false">CHOOSE(C966,"enero","febrero","marzo","abril","mayo","junio","julio","agosto","septiembre","octubre","noviembre","diciembre")</f>
        <v>agosto</v>
      </c>
      <c r="G966" s="7" t="str">
        <f aca="false">E966&amp;"-"&amp;RIGHT(B966,2)</f>
        <v>ago-25</v>
      </c>
    </row>
    <row r="967" customFormat="false" ht="15" hidden="false" customHeight="false" outlineLevel="0" collapsed="false">
      <c r="A967" s="8" t="n">
        <f aca="false">A966+1</f>
        <v>45892</v>
      </c>
      <c r="B967" s="7" t="n">
        <f aca="false">YEAR(A967)</f>
        <v>2025</v>
      </c>
      <c r="C967" s="7" t="n">
        <f aca="false">MONTH(A967)</f>
        <v>8</v>
      </c>
      <c r="D967" s="8" t="n">
        <f aca="false">DATE(B967,C967,1)</f>
        <v>45870</v>
      </c>
      <c r="E967" s="7" t="str">
        <f aca="false">CHOOSE(C967,"ene","feb","mar","abr","may","jun","jul","ago","sep","oct","nov","dic")</f>
        <v>ago</v>
      </c>
      <c r="F967" s="7" t="str">
        <f aca="false">CHOOSE(C967,"enero","febrero","marzo","abril","mayo","junio","julio","agosto","septiembre","octubre","noviembre","diciembre")</f>
        <v>agosto</v>
      </c>
      <c r="G967" s="7" t="str">
        <f aca="false">E967&amp;"-"&amp;RIGHT(B967,2)</f>
        <v>ago-25</v>
      </c>
    </row>
    <row r="968" customFormat="false" ht="15" hidden="false" customHeight="false" outlineLevel="0" collapsed="false">
      <c r="A968" s="8" t="n">
        <f aca="false">A967+1</f>
        <v>45893</v>
      </c>
      <c r="B968" s="7" t="n">
        <f aca="false">YEAR(A968)</f>
        <v>2025</v>
      </c>
      <c r="C968" s="7" t="n">
        <f aca="false">MONTH(A968)</f>
        <v>8</v>
      </c>
      <c r="D968" s="8" t="n">
        <f aca="false">DATE(B968,C968,1)</f>
        <v>45870</v>
      </c>
      <c r="E968" s="7" t="str">
        <f aca="false">CHOOSE(C968,"ene","feb","mar","abr","may","jun","jul","ago","sep","oct","nov","dic")</f>
        <v>ago</v>
      </c>
      <c r="F968" s="7" t="str">
        <f aca="false">CHOOSE(C968,"enero","febrero","marzo","abril","mayo","junio","julio","agosto","septiembre","octubre","noviembre","diciembre")</f>
        <v>agosto</v>
      </c>
      <c r="G968" s="7" t="str">
        <f aca="false">E968&amp;"-"&amp;RIGHT(B968,2)</f>
        <v>ago-25</v>
      </c>
    </row>
    <row r="969" customFormat="false" ht="15" hidden="false" customHeight="false" outlineLevel="0" collapsed="false">
      <c r="A969" s="8" t="n">
        <f aca="false">A968+1</f>
        <v>45894</v>
      </c>
      <c r="B969" s="7" t="n">
        <f aca="false">YEAR(A969)</f>
        <v>2025</v>
      </c>
      <c r="C969" s="7" t="n">
        <f aca="false">MONTH(A969)</f>
        <v>8</v>
      </c>
      <c r="D969" s="8" t="n">
        <f aca="false">DATE(B969,C969,1)</f>
        <v>45870</v>
      </c>
      <c r="E969" s="7" t="str">
        <f aca="false">CHOOSE(C969,"ene","feb","mar","abr","may","jun","jul","ago","sep","oct","nov","dic")</f>
        <v>ago</v>
      </c>
      <c r="F969" s="7" t="str">
        <f aca="false">CHOOSE(C969,"enero","febrero","marzo","abril","mayo","junio","julio","agosto","septiembre","octubre","noviembre","diciembre")</f>
        <v>agosto</v>
      </c>
      <c r="G969" s="7" t="str">
        <f aca="false">E969&amp;"-"&amp;RIGHT(B969,2)</f>
        <v>ago-25</v>
      </c>
    </row>
    <row r="970" customFormat="false" ht="15" hidden="false" customHeight="false" outlineLevel="0" collapsed="false">
      <c r="A970" s="8" t="n">
        <f aca="false">A969+1</f>
        <v>45895</v>
      </c>
      <c r="B970" s="7" t="n">
        <f aca="false">YEAR(A970)</f>
        <v>2025</v>
      </c>
      <c r="C970" s="7" t="n">
        <f aca="false">MONTH(A970)</f>
        <v>8</v>
      </c>
      <c r="D970" s="8" t="n">
        <f aca="false">DATE(B970,C970,1)</f>
        <v>45870</v>
      </c>
      <c r="E970" s="7" t="str">
        <f aca="false">CHOOSE(C970,"ene","feb","mar","abr","may","jun","jul","ago","sep","oct","nov","dic")</f>
        <v>ago</v>
      </c>
      <c r="F970" s="7" t="str">
        <f aca="false">CHOOSE(C970,"enero","febrero","marzo","abril","mayo","junio","julio","agosto","septiembre","octubre","noviembre","diciembre")</f>
        <v>agosto</v>
      </c>
      <c r="G970" s="7" t="str">
        <f aca="false">E970&amp;"-"&amp;RIGHT(B970,2)</f>
        <v>ago-25</v>
      </c>
    </row>
    <row r="971" customFormat="false" ht="15" hidden="false" customHeight="false" outlineLevel="0" collapsed="false">
      <c r="A971" s="8" t="n">
        <f aca="false">A970+1</f>
        <v>45896</v>
      </c>
      <c r="B971" s="7" t="n">
        <f aca="false">YEAR(A971)</f>
        <v>2025</v>
      </c>
      <c r="C971" s="7" t="n">
        <f aca="false">MONTH(A971)</f>
        <v>8</v>
      </c>
      <c r="D971" s="8" t="n">
        <f aca="false">DATE(B971,C971,1)</f>
        <v>45870</v>
      </c>
      <c r="E971" s="7" t="str">
        <f aca="false">CHOOSE(C971,"ene","feb","mar","abr","may","jun","jul","ago","sep","oct","nov","dic")</f>
        <v>ago</v>
      </c>
      <c r="F971" s="7" t="str">
        <f aca="false">CHOOSE(C971,"enero","febrero","marzo","abril","mayo","junio","julio","agosto","septiembre","octubre","noviembre","diciembre")</f>
        <v>agosto</v>
      </c>
      <c r="G971" s="7" t="str">
        <f aca="false">E971&amp;"-"&amp;RIGHT(B971,2)</f>
        <v>ago-25</v>
      </c>
    </row>
    <row r="972" customFormat="false" ht="15" hidden="false" customHeight="false" outlineLevel="0" collapsed="false">
      <c r="A972" s="8" t="n">
        <f aca="false">A971+1</f>
        <v>45897</v>
      </c>
      <c r="B972" s="7" t="n">
        <f aca="false">YEAR(A972)</f>
        <v>2025</v>
      </c>
      <c r="C972" s="7" t="n">
        <f aca="false">MONTH(A972)</f>
        <v>8</v>
      </c>
      <c r="D972" s="8" t="n">
        <f aca="false">DATE(B972,C972,1)</f>
        <v>45870</v>
      </c>
      <c r="E972" s="7" t="str">
        <f aca="false">CHOOSE(C972,"ene","feb","mar","abr","may","jun","jul","ago","sep","oct","nov","dic")</f>
        <v>ago</v>
      </c>
      <c r="F972" s="7" t="str">
        <f aca="false">CHOOSE(C972,"enero","febrero","marzo","abril","mayo","junio","julio","agosto","septiembre","octubre","noviembre","diciembre")</f>
        <v>agosto</v>
      </c>
      <c r="G972" s="7" t="str">
        <f aca="false">E972&amp;"-"&amp;RIGHT(B972,2)</f>
        <v>ago-25</v>
      </c>
    </row>
    <row r="973" customFormat="false" ht="15" hidden="false" customHeight="false" outlineLevel="0" collapsed="false">
      <c r="A973" s="8" t="n">
        <f aca="false">A972+1</f>
        <v>45898</v>
      </c>
      <c r="B973" s="7" t="n">
        <f aca="false">YEAR(A973)</f>
        <v>2025</v>
      </c>
      <c r="C973" s="7" t="n">
        <f aca="false">MONTH(A973)</f>
        <v>8</v>
      </c>
      <c r="D973" s="8" t="n">
        <f aca="false">DATE(B973,C973,1)</f>
        <v>45870</v>
      </c>
      <c r="E973" s="7" t="str">
        <f aca="false">CHOOSE(C973,"ene","feb","mar","abr","may","jun","jul","ago","sep","oct","nov","dic")</f>
        <v>ago</v>
      </c>
      <c r="F973" s="7" t="str">
        <f aca="false">CHOOSE(C973,"enero","febrero","marzo","abril","mayo","junio","julio","agosto","septiembre","octubre","noviembre","diciembre")</f>
        <v>agosto</v>
      </c>
      <c r="G973" s="7" t="str">
        <f aca="false">E973&amp;"-"&amp;RIGHT(B973,2)</f>
        <v>ago-25</v>
      </c>
    </row>
    <row r="974" customFormat="false" ht="15" hidden="false" customHeight="false" outlineLevel="0" collapsed="false">
      <c r="A974" s="8" t="n">
        <f aca="false">A973+1</f>
        <v>45899</v>
      </c>
      <c r="B974" s="7" t="n">
        <f aca="false">YEAR(A974)</f>
        <v>2025</v>
      </c>
      <c r="C974" s="7" t="n">
        <f aca="false">MONTH(A974)</f>
        <v>8</v>
      </c>
      <c r="D974" s="8" t="n">
        <f aca="false">DATE(B974,C974,1)</f>
        <v>45870</v>
      </c>
      <c r="E974" s="7" t="str">
        <f aca="false">CHOOSE(C974,"ene","feb","mar","abr","may","jun","jul","ago","sep","oct","nov","dic")</f>
        <v>ago</v>
      </c>
      <c r="F974" s="7" t="str">
        <f aca="false">CHOOSE(C974,"enero","febrero","marzo","abril","mayo","junio","julio","agosto","septiembre","octubre","noviembre","diciembre")</f>
        <v>agosto</v>
      </c>
      <c r="G974" s="7" t="str">
        <f aca="false">E974&amp;"-"&amp;RIGHT(B974,2)</f>
        <v>ago-25</v>
      </c>
    </row>
    <row r="975" customFormat="false" ht="15" hidden="false" customHeight="false" outlineLevel="0" collapsed="false">
      <c r="A975" s="8" t="n">
        <f aca="false">A974+1</f>
        <v>45900</v>
      </c>
      <c r="B975" s="7" t="n">
        <f aca="false">YEAR(A975)</f>
        <v>2025</v>
      </c>
      <c r="C975" s="7" t="n">
        <f aca="false">MONTH(A975)</f>
        <v>8</v>
      </c>
      <c r="D975" s="8" t="n">
        <f aca="false">DATE(B975,C975,1)</f>
        <v>45870</v>
      </c>
      <c r="E975" s="7" t="str">
        <f aca="false">CHOOSE(C975,"ene","feb","mar","abr","may","jun","jul","ago","sep","oct","nov","dic")</f>
        <v>ago</v>
      </c>
      <c r="F975" s="7" t="str">
        <f aca="false">CHOOSE(C975,"enero","febrero","marzo","abril","mayo","junio","julio","agosto","septiembre","octubre","noviembre","diciembre")</f>
        <v>agosto</v>
      </c>
      <c r="G975" s="7" t="str">
        <f aca="false">E975&amp;"-"&amp;RIGHT(B975,2)</f>
        <v>ago-25</v>
      </c>
    </row>
    <row r="976" customFormat="false" ht="15" hidden="false" customHeight="false" outlineLevel="0" collapsed="false">
      <c r="A976" s="8" t="n">
        <f aca="false">A975+1</f>
        <v>45901</v>
      </c>
      <c r="B976" s="7" t="n">
        <f aca="false">YEAR(A976)</f>
        <v>2025</v>
      </c>
      <c r="C976" s="7" t="n">
        <f aca="false">MONTH(A976)</f>
        <v>9</v>
      </c>
      <c r="D976" s="8" t="n">
        <f aca="false">DATE(B976,C976,1)</f>
        <v>45901</v>
      </c>
      <c r="E976" s="7" t="str">
        <f aca="false">CHOOSE(C976,"ene","feb","mar","abr","may","jun","jul","ago","sep","oct","nov","dic")</f>
        <v>sep</v>
      </c>
      <c r="F976" s="7" t="str">
        <f aca="false">CHOOSE(C976,"enero","febrero","marzo","abril","mayo","junio","julio","agosto","septiembre","octubre","noviembre","diciembre")</f>
        <v>septiembre</v>
      </c>
      <c r="G976" s="7" t="str">
        <f aca="false">E976&amp;"-"&amp;RIGHT(B976,2)</f>
        <v>sep-25</v>
      </c>
    </row>
    <row r="977" customFormat="false" ht="15" hidden="false" customHeight="false" outlineLevel="0" collapsed="false">
      <c r="A977" s="8" t="n">
        <f aca="false">A976+1</f>
        <v>45902</v>
      </c>
      <c r="B977" s="7" t="n">
        <f aca="false">YEAR(A977)</f>
        <v>2025</v>
      </c>
      <c r="C977" s="7" t="n">
        <f aca="false">MONTH(A977)</f>
        <v>9</v>
      </c>
      <c r="D977" s="8" t="n">
        <f aca="false">DATE(B977,C977,1)</f>
        <v>45901</v>
      </c>
      <c r="E977" s="7" t="str">
        <f aca="false">CHOOSE(C977,"ene","feb","mar","abr","may","jun","jul","ago","sep","oct","nov","dic")</f>
        <v>sep</v>
      </c>
      <c r="F977" s="7" t="str">
        <f aca="false">CHOOSE(C977,"enero","febrero","marzo","abril","mayo","junio","julio","agosto","septiembre","octubre","noviembre","diciembre")</f>
        <v>septiembre</v>
      </c>
      <c r="G977" s="7" t="str">
        <f aca="false">E977&amp;"-"&amp;RIGHT(B977,2)</f>
        <v>sep-25</v>
      </c>
    </row>
    <row r="978" customFormat="false" ht="15" hidden="false" customHeight="false" outlineLevel="0" collapsed="false">
      <c r="A978" s="8" t="n">
        <f aca="false">A977+1</f>
        <v>45903</v>
      </c>
      <c r="B978" s="7" t="n">
        <f aca="false">YEAR(A978)</f>
        <v>2025</v>
      </c>
      <c r="C978" s="7" t="n">
        <f aca="false">MONTH(A978)</f>
        <v>9</v>
      </c>
      <c r="D978" s="8" t="n">
        <f aca="false">DATE(B978,C978,1)</f>
        <v>45901</v>
      </c>
      <c r="E978" s="7" t="str">
        <f aca="false">CHOOSE(C978,"ene","feb","mar","abr","may","jun","jul","ago","sep","oct","nov","dic")</f>
        <v>sep</v>
      </c>
      <c r="F978" s="7" t="str">
        <f aca="false">CHOOSE(C978,"enero","febrero","marzo","abril","mayo","junio","julio","agosto","septiembre","octubre","noviembre","diciembre")</f>
        <v>septiembre</v>
      </c>
      <c r="G978" s="7" t="str">
        <f aca="false">E978&amp;"-"&amp;RIGHT(B978,2)</f>
        <v>sep-25</v>
      </c>
    </row>
    <row r="979" customFormat="false" ht="15" hidden="false" customHeight="false" outlineLevel="0" collapsed="false">
      <c r="A979" s="8" t="n">
        <f aca="false">A978+1</f>
        <v>45904</v>
      </c>
      <c r="B979" s="7" t="n">
        <f aca="false">YEAR(A979)</f>
        <v>2025</v>
      </c>
      <c r="C979" s="7" t="n">
        <f aca="false">MONTH(A979)</f>
        <v>9</v>
      </c>
      <c r="D979" s="8" t="n">
        <f aca="false">DATE(B979,C979,1)</f>
        <v>45901</v>
      </c>
      <c r="E979" s="7" t="str">
        <f aca="false">CHOOSE(C979,"ene","feb","mar","abr","may","jun","jul","ago","sep","oct","nov","dic")</f>
        <v>sep</v>
      </c>
      <c r="F979" s="7" t="str">
        <f aca="false">CHOOSE(C979,"enero","febrero","marzo","abril","mayo","junio","julio","agosto","septiembre","octubre","noviembre","diciembre")</f>
        <v>septiembre</v>
      </c>
      <c r="G979" s="7" t="str">
        <f aca="false">E979&amp;"-"&amp;RIGHT(B979,2)</f>
        <v>sep-25</v>
      </c>
    </row>
    <row r="980" customFormat="false" ht="15" hidden="false" customHeight="false" outlineLevel="0" collapsed="false">
      <c r="A980" s="8" t="n">
        <f aca="false">A979+1</f>
        <v>45905</v>
      </c>
      <c r="B980" s="7" t="n">
        <f aca="false">YEAR(A980)</f>
        <v>2025</v>
      </c>
      <c r="C980" s="7" t="n">
        <f aca="false">MONTH(A980)</f>
        <v>9</v>
      </c>
      <c r="D980" s="8" t="n">
        <f aca="false">DATE(B980,C980,1)</f>
        <v>45901</v>
      </c>
      <c r="E980" s="7" t="str">
        <f aca="false">CHOOSE(C980,"ene","feb","mar","abr","may","jun","jul","ago","sep","oct","nov","dic")</f>
        <v>sep</v>
      </c>
      <c r="F980" s="7" t="str">
        <f aca="false">CHOOSE(C980,"enero","febrero","marzo","abril","mayo","junio","julio","agosto","septiembre","octubre","noviembre","diciembre")</f>
        <v>septiembre</v>
      </c>
      <c r="G980" s="7" t="str">
        <f aca="false">E980&amp;"-"&amp;RIGHT(B980,2)</f>
        <v>sep-25</v>
      </c>
    </row>
    <row r="981" customFormat="false" ht="15" hidden="false" customHeight="false" outlineLevel="0" collapsed="false">
      <c r="A981" s="8" t="n">
        <f aca="false">A980+1</f>
        <v>45906</v>
      </c>
      <c r="B981" s="7" t="n">
        <f aca="false">YEAR(A981)</f>
        <v>2025</v>
      </c>
      <c r="C981" s="7" t="n">
        <f aca="false">MONTH(A981)</f>
        <v>9</v>
      </c>
      <c r="D981" s="8" t="n">
        <f aca="false">DATE(B981,C981,1)</f>
        <v>45901</v>
      </c>
      <c r="E981" s="7" t="str">
        <f aca="false">CHOOSE(C981,"ene","feb","mar","abr","may","jun","jul","ago","sep","oct","nov","dic")</f>
        <v>sep</v>
      </c>
      <c r="F981" s="7" t="str">
        <f aca="false">CHOOSE(C981,"enero","febrero","marzo","abril","mayo","junio","julio","agosto","septiembre","octubre","noviembre","diciembre")</f>
        <v>septiembre</v>
      </c>
      <c r="G981" s="7" t="str">
        <f aca="false">E981&amp;"-"&amp;RIGHT(B981,2)</f>
        <v>sep-25</v>
      </c>
    </row>
    <row r="982" customFormat="false" ht="15" hidden="false" customHeight="false" outlineLevel="0" collapsed="false">
      <c r="A982" s="8" t="n">
        <f aca="false">A981+1</f>
        <v>45907</v>
      </c>
      <c r="B982" s="7" t="n">
        <f aca="false">YEAR(A982)</f>
        <v>2025</v>
      </c>
      <c r="C982" s="7" t="n">
        <f aca="false">MONTH(A982)</f>
        <v>9</v>
      </c>
      <c r="D982" s="8" t="n">
        <f aca="false">DATE(B982,C982,1)</f>
        <v>45901</v>
      </c>
      <c r="E982" s="7" t="str">
        <f aca="false">CHOOSE(C982,"ene","feb","mar","abr","may","jun","jul","ago","sep","oct","nov","dic")</f>
        <v>sep</v>
      </c>
      <c r="F982" s="7" t="str">
        <f aca="false">CHOOSE(C982,"enero","febrero","marzo","abril","mayo","junio","julio","agosto","septiembre","octubre","noviembre","diciembre")</f>
        <v>septiembre</v>
      </c>
      <c r="G982" s="7" t="str">
        <f aca="false">E982&amp;"-"&amp;RIGHT(B982,2)</f>
        <v>sep-25</v>
      </c>
    </row>
    <row r="983" customFormat="false" ht="15" hidden="false" customHeight="false" outlineLevel="0" collapsed="false">
      <c r="A983" s="8" t="n">
        <f aca="false">A982+1</f>
        <v>45908</v>
      </c>
      <c r="B983" s="7" t="n">
        <f aca="false">YEAR(A983)</f>
        <v>2025</v>
      </c>
      <c r="C983" s="7" t="n">
        <f aca="false">MONTH(A983)</f>
        <v>9</v>
      </c>
      <c r="D983" s="8" t="n">
        <f aca="false">DATE(B983,C983,1)</f>
        <v>45901</v>
      </c>
      <c r="E983" s="7" t="str">
        <f aca="false">CHOOSE(C983,"ene","feb","mar","abr","may","jun","jul","ago","sep","oct","nov","dic")</f>
        <v>sep</v>
      </c>
      <c r="F983" s="7" t="str">
        <f aca="false">CHOOSE(C983,"enero","febrero","marzo","abril","mayo","junio","julio","agosto","septiembre","octubre","noviembre","diciembre")</f>
        <v>septiembre</v>
      </c>
      <c r="G983" s="7" t="str">
        <f aca="false">E983&amp;"-"&amp;RIGHT(B983,2)</f>
        <v>sep-25</v>
      </c>
    </row>
    <row r="984" customFormat="false" ht="15" hidden="false" customHeight="false" outlineLevel="0" collapsed="false">
      <c r="A984" s="8" t="n">
        <f aca="false">A983+1</f>
        <v>45909</v>
      </c>
      <c r="B984" s="7" t="n">
        <f aca="false">YEAR(A984)</f>
        <v>2025</v>
      </c>
      <c r="C984" s="7" t="n">
        <f aca="false">MONTH(A984)</f>
        <v>9</v>
      </c>
      <c r="D984" s="8" t="n">
        <f aca="false">DATE(B984,C984,1)</f>
        <v>45901</v>
      </c>
      <c r="E984" s="7" t="str">
        <f aca="false">CHOOSE(C984,"ene","feb","mar","abr","may","jun","jul","ago","sep","oct","nov","dic")</f>
        <v>sep</v>
      </c>
      <c r="F984" s="7" t="str">
        <f aca="false">CHOOSE(C984,"enero","febrero","marzo","abril","mayo","junio","julio","agosto","septiembre","octubre","noviembre","diciembre")</f>
        <v>septiembre</v>
      </c>
      <c r="G984" s="7" t="str">
        <f aca="false">E984&amp;"-"&amp;RIGHT(B984,2)</f>
        <v>sep-25</v>
      </c>
    </row>
    <row r="985" customFormat="false" ht="15" hidden="false" customHeight="false" outlineLevel="0" collapsed="false">
      <c r="A985" s="8" t="n">
        <f aca="false">A984+1</f>
        <v>45910</v>
      </c>
      <c r="B985" s="7" t="n">
        <f aca="false">YEAR(A985)</f>
        <v>2025</v>
      </c>
      <c r="C985" s="7" t="n">
        <f aca="false">MONTH(A985)</f>
        <v>9</v>
      </c>
      <c r="D985" s="8" t="n">
        <f aca="false">DATE(B985,C985,1)</f>
        <v>45901</v>
      </c>
      <c r="E985" s="7" t="str">
        <f aca="false">CHOOSE(C985,"ene","feb","mar","abr","may","jun","jul","ago","sep","oct","nov","dic")</f>
        <v>sep</v>
      </c>
      <c r="F985" s="7" t="str">
        <f aca="false">CHOOSE(C985,"enero","febrero","marzo","abril","mayo","junio","julio","agosto","septiembre","octubre","noviembre","diciembre")</f>
        <v>septiembre</v>
      </c>
      <c r="G985" s="7" t="str">
        <f aca="false">E985&amp;"-"&amp;RIGHT(B985,2)</f>
        <v>sep-25</v>
      </c>
    </row>
    <row r="986" customFormat="false" ht="15" hidden="false" customHeight="false" outlineLevel="0" collapsed="false">
      <c r="A986" s="8" t="n">
        <f aca="false">A985+1</f>
        <v>45911</v>
      </c>
      <c r="B986" s="7" t="n">
        <f aca="false">YEAR(A986)</f>
        <v>2025</v>
      </c>
      <c r="C986" s="7" t="n">
        <f aca="false">MONTH(A986)</f>
        <v>9</v>
      </c>
      <c r="D986" s="8" t="n">
        <f aca="false">DATE(B986,C986,1)</f>
        <v>45901</v>
      </c>
      <c r="E986" s="7" t="str">
        <f aca="false">CHOOSE(C986,"ene","feb","mar","abr","may","jun","jul","ago","sep","oct","nov","dic")</f>
        <v>sep</v>
      </c>
      <c r="F986" s="7" t="str">
        <f aca="false">CHOOSE(C986,"enero","febrero","marzo","abril","mayo","junio","julio","agosto","septiembre","octubre","noviembre","diciembre")</f>
        <v>septiembre</v>
      </c>
      <c r="G986" s="7" t="str">
        <f aca="false">E986&amp;"-"&amp;RIGHT(B986,2)</f>
        <v>sep-25</v>
      </c>
    </row>
    <row r="987" customFormat="false" ht="15" hidden="false" customHeight="false" outlineLevel="0" collapsed="false">
      <c r="A987" s="8" t="n">
        <f aca="false">A986+1</f>
        <v>45912</v>
      </c>
      <c r="B987" s="7" t="n">
        <f aca="false">YEAR(A987)</f>
        <v>2025</v>
      </c>
      <c r="C987" s="7" t="n">
        <f aca="false">MONTH(A987)</f>
        <v>9</v>
      </c>
      <c r="D987" s="8" t="n">
        <f aca="false">DATE(B987,C987,1)</f>
        <v>45901</v>
      </c>
      <c r="E987" s="7" t="str">
        <f aca="false">CHOOSE(C987,"ene","feb","mar","abr","may","jun","jul","ago","sep","oct","nov","dic")</f>
        <v>sep</v>
      </c>
      <c r="F987" s="7" t="str">
        <f aca="false">CHOOSE(C987,"enero","febrero","marzo","abril","mayo","junio","julio","agosto","septiembre","octubre","noviembre","diciembre")</f>
        <v>septiembre</v>
      </c>
      <c r="G987" s="7" t="str">
        <f aca="false">E987&amp;"-"&amp;RIGHT(B987,2)</f>
        <v>sep-25</v>
      </c>
    </row>
    <row r="988" customFormat="false" ht="15" hidden="false" customHeight="false" outlineLevel="0" collapsed="false">
      <c r="A988" s="8" t="n">
        <f aca="false">A987+1</f>
        <v>45913</v>
      </c>
      <c r="B988" s="7" t="n">
        <f aca="false">YEAR(A988)</f>
        <v>2025</v>
      </c>
      <c r="C988" s="7" t="n">
        <f aca="false">MONTH(A988)</f>
        <v>9</v>
      </c>
      <c r="D988" s="8" t="n">
        <f aca="false">DATE(B988,C988,1)</f>
        <v>45901</v>
      </c>
      <c r="E988" s="7" t="str">
        <f aca="false">CHOOSE(C988,"ene","feb","mar","abr","may","jun","jul","ago","sep","oct","nov","dic")</f>
        <v>sep</v>
      </c>
      <c r="F988" s="7" t="str">
        <f aca="false">CHOOSE(C988,"enero","febrero","marzo","abril","mayo","junio","julio","agosto","septiembre","octubre","noviembre","diciembre")</f>
        <v>septiembre</v>
      </c>
      <c r="G988" s="7" t="str">
        <f aca="false">E988&amp;"-"&amp;RIGHT(B988,2)</f>
        <v>sep-25</v>
      </c>
    </row>
    <row r="989" customFormat="false" ht="15" hidden="false" customHeight="false" outlineLevel="0" collapsed="false">
      <c r="A989" s="8" t="n">
        <f aca="false">A988+1</f>
        <v>45914</v>
      </c>
      <c r="B989" s="7" t="n">
        <f aca="false">YEAR(A989)</f>
        <v>2025</v>
      </c>
      <c r="C989" s="7" t="n">
        <f aca="false">MONTH(A989)</f>
        <v>9</v>
      </c>
      <c r="D989" s="8" t="n">
        <f aca="false">DATE(B989,C989,1)</f>
        <v>45901</v>
      </c>
      <c r="E989" s="7" t="str">
        <f aca="false">CHOOSE(C989,"ene","feb","mar","abr","may","jun","jul","ago","sep","oct","nov","dic")</f>
        <v>sep</v>
      </c>
      <c r="F989" s="7" t="str">
        <f aca="false">CHOOSE(C989,"enero","febrero","marzo","abril","mayo","junio","julio","agosto","septiembre","octubre","noviembre","diciembre")</f>
        <v>septiembre</v>
      </c>
      <c r="G989" s="7" t="str">
        <f aca="false">E989&amp;"-"&amp;RIGHT(B989,2)</f>
        <v>sep-25</v>
      </c>
    </row>
    <row r="990" customFormat="false" ht="15" hidden="false" customHeight="false" outlineLevel="0" collapsed="false">
      <c r="A990" s="8" t="n">
        <f aca="false">A989+1</f>
        <v>45915</v>
      </c>
      <c r="B990" s="7" t="n">
        <f aca="false">YEAR(A990)</f>
        <v>2025</v>
      </c>
      <c r="C990" s="7" t="n">
        <f aca="false">MONTH(A990)</f>
        <v>9</v>
      </c>
      <c r="D990" s="8" t="n">
        <f aca="false">DATE(B990,C990,1)</f>
        <v>45901</v>
      </c>
      <c r="E990" s="7" t="str">
        <f aca="false">CHOOSE(C990,"ene","feb","mar","abr","may","jun","jul","ago","sep","oct","nov","dic")</f>
        <v>sep</v>
      </c>
      <c r="F990" s="7" t="str">
        <f aca="false">CHOOSE(C990,"enero","febrero","marzo","abril","mayo","junio","julio","agosto","septiembre","octubre","noviembre","diciembre")</f>
        <v>septiembre</v>
      </c>
      <c r="G990" s="7" t="str">
        <f aca="false">E990&amp;"-"&amp;RIGHT(B990,2)</f>
        <v>sep-25</v>
      </c>
    </row>
    <row r="991" customFormat="false" ht="15" hidden="false" customHeight="false" outlineLevel="0" collapsed="false">
      <c r="A991" s="8" t="n">
        <f aca="false">A990+1</f>
        <v>45916</v>
      </c>
      <c r="B991" s="7" t="n">
        <f aca="false">YEAR(A991)</f>
        <v>2025</v>
      </c>
      <c r="C991" s="7" t="n">
        <f aca="false">MONTH(A991)</f>
        <v>9</v>
      </c>
      <c r="D991" s="8" t="n">
        <f aca="false">DATE(B991,C991,1)</f>
        <v>45901</v>
      </c>
      <c r="E991" s="7" t="str">
        <f aca="false">CHOOSE(C991,"ene","feb","mar","abr","may","jun","jul","ago","sep","oct","nov","dic")</f>
        <v>sep</v>
      </c>
      <c r="F991" s="7" t="str">
        <f aca="false">CHOOSE(C991,"enero","febrero","marzo","abril","mayo","junio","julio","agosto","septiembre","octubre","noviembre","diciembre")</f>
        <v>septiembre</v>
      </c>
      <c r="G991" s="7" t="str">
        <f aca="false">E991&amp;"-"&amp;RIGHT(B991,2)</f>
        <v>sep-25</v>
      </c>
    </row>
    <row r="992" customFormat="false" ht="15" hidden="false" customHeight="false" outlineLevel="0" collapsed="false">
      <c r="A992" s="8" t="n">
        <f aca="false">A991+1</f>
        <v>45917</v>
      </c>
      <c r="B992" s="7" t="n">
        <f aca="false">YEAR(A992)</f>
        <v>2025</v>
      </c>
      <c r="C992" s="7" t="n">
        <f aca="false">MONTH(A992)</f>
        <v>9</v>
      </c>
      <c r="D992" s="8" t="n">
        <f aca="false">DATE(B992,C992,1)</f>
        <v>45901</v>
      </c>
      <c r="E992" s="7" t="str">
        <f aca="false">CHOOSE(C992,"ene","feb","mar","abr","may","jun","jul","ago","sep","oct","nov","dic")</f>
        <v>sep</v>
      </c>
      <c r="F992" s="7" t="str">
        <f aca="false">CHOOSE(C992,"enero","febrero","marzo","abril","mayo","junio","julio","agosto","septiembre","octubre","noviembre","diciembre")</f>
        <v>septiembre</v>
      </c>
      <c r="G992" s="7" t="str">
        <f aca="false">E992&amp;"-"&amp;RIGHT(B992,2)</f>
        <v>sep-25</v>
      </c>
    </row>
    <row r="993" customFormat="false" ht="15" hidden="false" customHeight="false" outlineLevel="0" collapsed="false">
      <c r="A993" s="8" t="n">
        <f aca="false">A992+1</f>
        <v>45918</v>
      </c>
      <c r="B993" s="7" t="n">
        <f aca="false">YEAR(A993)</f>
        <v>2025</v>
      </c>
      <c r="C993" s="7" t="n">
        <f aca="false">MONTH(A993)</f>
        <v>9</v>
      </c>
      <c r="D993" s="8" t="n">
        <f aca="false">DATE(B993,C993,1)</f>
        <v>45901</v>
      </c>
      <c r="E993" s="7" t="str">
        <f aca="false">CHOOSE(C993,"ene","feb","mar","abr","may","jun","jul","ago","sep","oct","nov","dic")</f>
        <v>sep</v>
      </c>
      <c r="F993" s="7" t="str">
        <f aca="false">CHOOSE(C993,"enero","febrero","marzo","abril","mayo","junio","julio","agosto","septiembre","octubre","noviembre","diciembre")</f>
        <v>septiembre</v>
      </c>
      <c r="G993" s="7" t="str">
        <f aca="false">E993&amp;"-"&amp;RIGHT(B993,2)</f>
        <v>sep-25</v>
      </c>
    </row>
    <row r="994" customFormat="false" ht="15" hidden="false" customHeight="false" outlineLevel="0" collapsed="false">
      <c r="A994" s="8" t="n">
        <f aca="false">A993+1</f>
        <v>45919</v>
      </c>
      <c r="B994" s="7" t="n">
        <f aca="false">YEAR(A994)</f>
        <v>2025</v>
      </c>
      <c r="C994" s="7" t="n">
        <f aca="false">MONTH(A994)</f>
        <v>9</v>
      </c>
      <c r="D994" s="8" t="n">
        <f aca="false">DATE(B994,C994,1)</f>
        <v>45901</v>
      </c>
      <c r="E994" s="7" t="str">
        <f aca="false">CHOOSE(C994,"ene","feb","mar","abr","may","jun","jul","ago","sep","oct","nov","dic")</f>
        <v>sep</v>
      </c>
      <c r="F994" s="7" t="str">
        <f aca="false">CHOOSE(C994,"enero","febrero","marzo","abril","mayo","junio","julio","agosto","septiembre","octubre","noviembre","diciembre")</f>
        <v>septiembre</v>
      </c>
      <c r="G994" s="7" t="str">
        <f aca="false">E994&amp;"-"&amp;RIGHT(B994,2)</f>
        <v>sep-25</v>
      </c>
    </row>
    <row r="995" customFormat="false" ht="15" hidden="false" customHeight="false" outlineLevel="0" collapsed="false">
      <c r="A995" s="8" t="n">
        <f aca="false">A994+1</f>
        <v>45920</v>
      </c>
      <c r="B995" s="7" t="n">
        <f aca="false">YEAR(A995)</f>
        <v>2025</v>
      </c>
      <c r="C995" s="7" t="n">
        <f aca="false">MONTH(A995)</f>
        <v>9</v>
      </c>
      <c r="D995" s="8" t="n">
        <f aca="false">DATE(B995,C995,1)</f>
        <v>45901</v>
      </c>
      <c r="E995" s="7" t="str">
        <f aca="false">CHOOSE(C995,"ene","feb","mar","abr","may","jun","jul","ago","sep","oct","nov","dic")</f>
        <v>sep</v>
      </c>
      <c r="F995" s="7" t="str">
        <f aca="false">CHOOSE(C995,"enero","febrero","marzo","abril","mayo","junio","julio","agosto","septiembre","octubre","noviembre","diciembre")</f>
        <v>septiembre</v>
      </c>
      <c r="G995" s="7" t="str">
        <f aca="false">E995&amp;"-"&amp;RIGHT(B995,2)</f>
        <v>sep-25</v>
      </c>
    </row>
    <row r="996" customFormat="false" ht="15" hidden="false" customHeight="false" outlineLevel="0" collapsed="false">
      <c r="A996" s="8" t="n">
        <f aca="false">A995+1</f>
        <v>45921</v>
      </c>
      <c r="B996" s="7" t="n">
        <f aca="false">YEAR(A996)</f>
        <v>2025</v>
      </c>
      <c r="C996" s="7" t="n">
        <f aca="false">MONTH(A996)</f>
        <v>9</v>
      </c>
      <c r="D996" s="8" t="n">
        <f aca="false">DATE(B996,C996,1)</f>
        <v>45901</v>
      </c>
      <c r="E996" s="7" t="str">
        <f aca="false">CHOOSE(C996,"ene","feb","mar","abr","may","jun","jul","ago","sep","oct","nov","dic")</f>
        <v>sep</v>
      </c>
      <c r="F996" s="7" t="str">
        <f aca="false">CHOOSE(C996,"enero","febrero","marzo","abril","mayo","junio","julio","agosto","septiembre","octubre","noviembre","diciembre")</f>
        <v>septiembre</v>
      </c>
      <c r="G996" s="7" t="str">
        <f aca="false">E996&amp;"-"&amp;RIGHT(B996,2)</f>
        <v>sep-25</v>
      </c>
    </row>
    <row r="997" customFormat="false" ht="15" hidden="false" customHeight="false" outlineLevel="0" collapsed="false">
      <c r="A997" s="8" t="n">
        <f aca="false">A996+1</f>
        <v>45922</v>
      </c>
      <c r="B997" s="7" t="n">
        <f aca="false">YEAR(A997)</f>
        <v>2025</v>
      </c>
      <c r="C997" s="7" t="n">
        <f aca="false">MONTH(A997)</f>
        <v>9</v>
      </c>
      <c r="D997" s="8" t="n">
        <f aca="false">DATE(B997,C997,1)</f>
        <v>45901</v>
      </c>
      <c r="E997" s="7" t="str">
        <f aca="false">CHOOSE(C997,"ene","feb","mar","abr","may","jun","jul","ago","sep","oct","nov","dic")</f>
        <v>sep</v>
      </c>
      <c r="F997" s="7" t="str">
        <f aca="false">CHOOSE(C997,"enero","febrero","marzo","abril","mayo","junio","julio","agosto","septiembre","octubre","noviembre","diciembre")</f>
        <v>septiembre</v>
      </c>
      <c r="G997" s="7" t="str">
        <f aca="false">E997&amp;"-"&amp;RIGHT(B997,2)</f>
        <v>sep-25</v>
      </c>
    </row>
    <row r="998" customFormat="false" ht="15" hidden="false" customHeight="false" outlineLevel="0" collapsed="false">
      <c r="A998" s="8" t="n">
        <f aca="false">A997+1</f>
        <v>45923</v>
      </c>
      <c r="B998" s="7" t="n">
        <f aca="false">YEAR(A998)</f>
        <v>2025</v>
      </c>
      <c r="C998" s="7" t="n">
        <f aca="false">MONTH(A998)</f>
        <v>9</v>
      </c>
      <c r="D998" s="8" t="n">
        <f aca="false">DATE(B998,C998,1)</f>
        <v>45901</v>
      </c>
      <c r="E998" s="7" t="str">
        <f aca="false">CHOOSE(C998,"ene","feb","mar","abr","may","jun","jul","ago","sep","oct","nov","dic")</f>
        <v>sep</v>
      </c>
      <c r="F998" s="7" t="str">
        <f aca="false">CHOOSE(C998,"enero","febrero","marzo","abril","mayo","junio","julio","agosto","septiembre","octubre","noviembre","diciembre")</f>
        <v>septiembre</v>
      </c>
      <c r="G998" s="7" t="str">
        <f aca="false">E998&amp;"-"&amp;RIGHT(B998,2)</f>
        <v>sep-25</v>
      </c>
    </row>
    <row r="999" customFormat="false" ht="15" hidden="false" customHeight="false" outlineLevel="0" collapsed="false">
      <c r="A999" s="8" t="n">
        <f aca="false">A998+1</f>
        <v>45924</v>
      </c>
      <c r="B999" s="7" t="n">
        <f aca="false">YEAR(A999)</f>
        <v>2025</v>
      </c>
      <c r="C999" s="7" t="n">
        <f aca="false">MONTH(A999)</f>
        <v>9</v>
      </c>
      <c r="D999" s="8" t="n">
        <f aca="false">DATE(B999,C999,1)</f>
        <v>45901</v>
      </c>
      <c r="E999" s="7" t="str">
        <f aca="false">CHOOSE(C999,"ene","feb","mar","abr","may","jun","jul","ago","sep","oct","nov","dic")</f>
        <v>sep</v>
      </c>
      <c r="F999" s="7" t="str">
        <f aca="false">CHOOSE(C999,"enero","febrero","marzo","abril","mayo","junio","julio","agosto","septiembre","octubre","noviembre","diciembre")</f>
        <v>septiembre</v>
      </c>
      <c r="G999" s="7" t="str">
        <f aca="false">E999&amp;"-"&amp;RIGHT(B999,2)</f>
        <v>sep-25</v>
      </c>
    </row>
    <row r="1000" customFormat="false" ht="15" hidden="false" customHeight="false" outlineLevel="0" collapsed="false">
      <c r="A1000" s="8" t="n">
        <f aca="false">A999+1</f>
        <v>45925</v>
      </c>
      <c r="B1000" s="7" t="n">
        <f aca="false">YEAR(A1000)</f>
        <v>2025</v>
      </c>
      <c r="C1000" s="7" t="n">
        <f aca="false">MONTH(A1000)</f>
        <v>9</v>
      </c>
      <c r="D1000" s="8" t="n">
        <f aca="false">DATE(B1000,C1000,1)</f>
        <v>45901</v>
      </c>
      <c r="E1000" s="7" t="str">
        <f aca="false">CHOOSE(C1000,"ene","feb","mar","abr","may","jun","jul","ago","sep","oct","nov","dic")</f>
        <v>sep</v>
      </c>
      <c r="F1000" s="7" t="str">
        <f aca="false">CHOOSE(C1000,"enero","febrero","marzo","abril","mayo","junio","julio","agosto","septiembre","octubre","noviembre","diciembre")</f>
        <v>septiembre</v>
      </c>
      <c r="G1000" s="7" t="str">
        <f aca="false">E1000&amp;"-"&amp;RIGHT(B1000,2)</f>
        <v>sep-25</v>
      </c>
    </row>
    <row r="1001" customFormat="false" ht="15" hidden="false" customHeight="false" outlineLevel="0" collapsed="false">
      <c r="A1001" s="8" t="n">
        <f aca="false">A1000+1</f>
        <v>45926</v>
      </c>
      <c r="B1001" s="7" t="n">
        <f aca="false">YEAR(A1001)</f>
        <v>2025</v>
      </c>
      <c r="C1001" s="7" t="n">
        <f aca="false">MONTH(A1001)</f>
        <v>9</v>
      </c>
      <c r="D1001" s="8" t="n">
        <f aca="false">DATE(B1001,C1001,1)</f>
        <v>45901</v>
      </c>
      <c r="E1001" s="7" t="str">
        <f aca="false">CHOOSE(C1001,"ene","feb","mar","abr","may","jun","jul","ago","sep","oct","nov","dic")</f>
        <v>sep</v>
      </c>
      <c r="F1001" s="7" t="str">
        <f aca="false">CHOOSE(C1001,"enero","febrero","marzo","abril","mayo","junio","julio","agosto","septiembre","octubre","noviembre","diciembre")</f>
        <v>septiembre</v>
      </c>
      <c r="G1001" s="7" t="str">
        <f aca="false">E1001&amp;"-"&amp;RIGHT(B1001,2)</f>
        <v>sep-25</v>
      </c>
    </row>
    <row r="1002" customFormat="false" ht="15" hidden="false" customHeight="false" outlineLevel="0" collapsed="false">
      <c r="A1002" s="8" t="n">
        <f aca="false">A1001+1</f>
        <v>45927</v>
      </c>
      <c r="B1002" s="7" t="n">
        <f aca="false">YEAR(A1002)</f>
        <v>2025</v>
      </c>
      <c r="C1002" s="7" t="n">
        <f aca="false">MONTH(A1002)</f>
        <v>9</v>
      </c>
      <c r="D1002" s="8" t="n">
        <f aca="false">DATE(B1002,C1002,1)</f>
        <v>45901</v>
      </c>
      <c r="E1002" s="7" t="str">
        <f aca="false">CHOOSE(C1002,"ene","feb","mar","abr","may","jun","jul","ago","sep","oct","nov","dic")</f>
        <v>sep</v>
      </c>
      <c r="F1002" s="7" t="str">
        <f aca="false">CHOOSE(C1002,"enero","febrero","marzo","abril","mayo","junio","julio","agosto","septiembre","octubre","noviembre","diciembre")</f>
        <v>septiembre</v>
      </c>
      <c r="G1002" s="7" t="str">
        <f aca="false">E1002&amp;"-"&amp;RIGHT(B1002,2)</f>
        <v>sep-25</v>
      </c>
    </row>
    <row r="1003" customFormat="false" ht="15" hidden="false" customHeight="false" outlineLevel="0" collapsed="false">
      <c r="A1003" s="8" t="n">
        <f aca="false">A1002+1</f>
        <v>45928</v>
      </c>
      <c r="B1003" s="7" t="n">
        <f aca="false">YEAR(A1003)</f>
        <v>2025</v>
      </c>
      <c r="C1003" s="7" t="n">
        <f aca="false">MONTH(A1003)</f>
        <v>9</v>
      </c>
      <c r="D1003" s="8" t="n">
        <f aca="false">DATE(B1003,C1003,1)</f>
        <v>45901</v>
      </c>
      <c r="E1003" s="7" t="str">
        <f aca="false">CHOOSE(C1003,"ene","feb","mar","abr","may","jun","jul","ago","sep","oct","nov","dic")</f>
        <v>sep</v>
      </c>
      <c r="F1003" s="7" t="str">
        <f aca="false">CHOOSE(C1003,"enero","febrero","marzo","abril","mayo","junio","julio","agosto","septiembre","octubre","noviembre","diciembre")</f>
        <v>septiembre</v>
      </c>
      <c r="G1003" s="7" t="str">
        <f aca="false">E1003&amp;"-"&amp;RIGHT(B1003,2)</f>
        <v>sep-25</v>
      </c>
    </row>
    <row r="1004" customFormat="false" ht="15" hidden="false" customHeight="false" outlineLevel="0" collapsed="false">
      <c r="A1004" s="8" t="n">
        <f aca="false">A1003+1</f>
        <v>45929</v>
      </c>
      <c r="B1004" s="7" t="n">
        <f aca="false">YEAR(A1004)</f>
        <v>2025</v>
      </c>
      <c r="C1004" s="7" t="n">
        <f aca="false">MONTH(A1004)</f>
        <v>9</v>
      </c>
      <c r="D1004" s="8" t="n">
        <f aca="false">DATE(B1004,C1004,1)</f>
        <v>45901</v>
      </c>
      <c r="E1004" s="7" t="str">
        <f aca="false">CHOOSE(C1004,"ene","feb","mar","abr","may","jun","jul","ago","sep","oct","nov","dic")</f>
        <v>sep</v>
      </c>
      <c r="F1004" s="7" t="str">
        <f aca="false">CHOOSE(C1004,"enero","febrero","marzo","abril","mayo","junio","julio","agosto","septiembre","octubre","noviembre","diciembre")</f>
        <v>septiembre</v>
      </c>
      <c r="G1004" s="7" t="str">
        <f aca="false">E1004&amp;"-"&amp;RIGHT(B1004,2)</f>
        <v>sep-25</v>
      </c>
    </row>
    <row r="1005" customFormat="false" ht="15" hidden="false" customHeight="false" outlineLevel="0" collapsed="false">
      <c r="A1005" s="8" t="n">
        <f aca="false">A1004+1</f>
        <v>45930</v>
      </c>
      <c r="B1005" s="7" t="n">
        <f aca="false">YEAR(A1005)</f>
        <v>2025</v>
      </c>
      <c r="C1005" s="7" t="n">
        <f aca="false">MONTH(A1005)</f>
        <v>9</v>
      </c>
      <c r="D1005" s="8" t="n">
        <f aca="false">DATE(B1005,C1005,1)</f>
        <v>45901</v>
      </c>
      <c r="E1005" s="7" t="str">
        <f aca="false">CHOOSE(C1005,"ene","feb","mar","abr","may","jun","jul","ago","sep","oct","nov","dic")</f>
        <v>sep</v>
      </c>
      <c r="F1005" s="7" t="str">
        <f aca="false">CHOOSE(C1005,"enero","febrero","marzo","abril","mayo","junio","julio","agosto","septiembre","octubre","noviembre","diciembre")</f>
        <v>septiembre</v>
      </c>
      <c r="G1005" s="7" t="str">
        <f aca="false">E1005&amp;"-"&amp;RIGHT(B1005,2)</f>
        <v>sep-25</v>
      </c>
    </row>
    <row r="1006" customFormat="false" ht="15" hidden="false" customHeight="false" outlineLevel="0" collapsed="false">
      <c r="A1006" s="8" t="n">
        <f aca="false">A1005+1</f>
        <v>45931</v>
      </c>
      <c r="B1006" s="7" t="n">
        <f aca="false">YEAR(A1006)</f>
        <v>2025</v>
      </c>
      <c r="C1006" s="7" t="n">
        <f aca="false">MONTH(A1006)</f>
        <v>10</v>
      </c>
      <c r="D1006" s="8" t="n">
        <f aca="false">DATE(B1006,C1006,1)</f>
        <v>45931</v>
      </c>
      <c r="E1006" s="7" t="str">
        <f aca="false">CHOOSE(C1006,"ene","feb","mar","abr","may","jun","jul","ago","sep","oct","nov","dic")</f>
        <v>oct</v>
      </c>
      <c r="F1006" s="7" t="str">
        <f aca="false">CHOOSE(C1006,"enero","febrero","marzo","abril","mayo","junio","julio","agosto","septiembre","octubre","noviembre","diciembre")</f>
        <v>octubre</v>
      </c>
      <c r="G1006" s="7" t="str">
        <f aca="false">E1006&amp;"-"&amp;RIGHT(B1006,2)</f>
        <v>oct-25</v>
      </c>
    </row>
    <row r="1007" customFormat="false" ht="15" hidden="false" customHeight="false" outlineLevel="0" collapsed="false">
      <c r="A1007" s="8" t="n">
        <f aca="false">A1006+1</f>
        <v>45932</v>
      </c>
      <c r="B1007" s="7" t="n">
        <f aca="false">YEAR(A1007)</f>
        <v>2025</v>
      </c>
      <c r="C1007" s="7" t="n">
        <f aca="false">MONTH(A1007)</f>
        <v>10</v>
      </c>
      <c r="D1007" s="8" t="n">
        <f aca="false">DATE(B1007,C1007,1)</f>
        <v>45931</v>
      </c>
      <c r="E1007" s="7" t="str">
        <f aca="false">CHOOSE(C1007,"ene","feb","mar","abr","may","jun","jul","ago","sep","oct","nov","dic")</f>
        <v>oct</v>
      </c>
      <c r="F1007" s="7" t="str">
        <f aca="false">CHOOSE(C1007,"enero","febrero","marzo","abril","mayo","junio","julio","agosto","septiembre","octubre","noviembre","diciembre")</f>
        <v>octubre</v>
      </c>
      <c r="G1007" s="7" t="str">
        <f aca="false">E1007&amp;"-"&amp;RIGHT(B1007,2)</f>
        <v>oct-25</v>
      </c>
    </row>
    <row r="1008" customFormat="false" ht="15" hidden="false" customHeight="false" outlineLevel="0" collapsed="false">
      <c r="A1008" s="8" t="n">
        <f aca="false">A1007+1</f>
        <v>45933</v>
      </c>
      <c r="B1008" s="7" t="n">
        <f aca="false">YEAR(A1008)</f>
        <v>2025</v>
      </c>
      <c r="C1008" s="7" t="n">
        <f aca="false">MONTH(A1008)</f>
        <v>10</v>
      </c>
      <c r="D1008" s="8" t="n">
        <f aca="false">DATE(B1008,C1008,1)</f>
        <v>45931</v>
      </c>
      <c r="E1008" s="7" t="str">
        <f aca="false">CHOOSE(C1008,"ene","feb","mar","abr","may","jun","jul","ago","sep","oct","nov","dic")</f>
        <v>oct</v>
      </c>
      <c r="F1008" s="7" t="str">
        <f aca="false">CHOOSE(C1008,"enero","febrero","marzo","abril","mayo","junio","julio","agosto","septiembre","octubre","noviembre","diciembre")</f>
        <v>octubre</v>
      </c>
      <c r="G1008" s="7" t="str">
        <f aca="false">E1008&amp;"-"&amp;RIGHT(B1008,2)</f>
        <v>oct-25</v>
      </c>
    </row>
    <row r="1009" customFormat="false" ht="15" hidden="false" customHeight="false" outlineLevel="0" collapsed="false">
      <c r="A1009" s="8" t="n">
        <f aca="false">A1008+1</f>
        <v>45934</v>
      </c>
      <c r="B1009" s="7" t="n">
        <f aca="false">YEAR(A1009)</f>
        <v>2025</v>
      </c>
      <c r="C1009" s="7" t="n">
        <f aca="false">MONTH(A1009)</f>
        <v>10</v>
      </c>
      <c r="D1009" s="8" t="n">
        <f aca="false">DATE(B1009,C1009,1)</f>
        <v>45931</v>
      </c>
      <c r="E1009" s="7" t="str">
        <f aca="false">CHOOSE(C1009,"ene","feb","mar","abr","may","jun","jul","ago","sep","oct","nov","dic")</f>
        <v>oct</v>
      </c>
      <c r="F1009" s="7" t="str">
        <f aca="false">CHOOSE(C1009,"enero","febrero","marzo","abril","mayo","junio","julio","agosto","septiembre","octubre","noviembre","diciembre")</f>
        <v>octubre</v>
      </c>
      <c r="G1009" s="7" t="str">
        <f aca="false">E1009&amp;"-"&amp;RIGHT(B1009,2)</f>
        <v>oct-25</v>
      </c>
    </row>
    <row r="1010" customFormat="false" ht="15" hidden="false" customHeight="false" outlineLevel="0" collapsed="false">
      <c r="A1010" s="8" t="n">
        <f aca="false">A1009+1</f>
        <v>45935</v>
      </c>
      <c r="B1010" s="7" t="n">
        <f aca="false">YEAR(A1010)</f>
        <v>2025</v>
      </c>
      <c r="C1010" s="7" t="n">
        <f aca="false">MONTH(A1010)</f>
        <v>10</v>
      </c>
      <c r="D1010" s="8" t="n">
        <f aca="false">DATE(B1010,C1010,1)</f>
        <v>45931</v>
      </c>
      <c r="E1010" s="7" t="str">
        <f aca="false">CHOOSE(C1010,"ene","feb","mar","abr","may","jun","jul","ago","sep","oct","nov","dic")</f>
        <v>oct</v>
      </c>
      <c r="F1010" s="7" t="str">
        <f aca="false">CHOOSE(C1010,"enero","febrero","marzo","abril","mayo","junio","julio","agosto","septiembre","octubre","noviembre","diciembre")</f>
        <v>octubre</v>
      </c>
      <c r="G1010" s="7" t="str">
        <f aca="false">E1010&amp;"-"&amp;RIGHT(B1010,2)</f>
        <v>oct-25</v>
      </c>
    </row>
    <row r="1011" customFormat="false" ht="15" hidden="false" customHeight="false" outlineLevel="0" collapsed="false">
      <c r="A1011" s="8" t="n">
        <f aca="false">A1010+1</f>
        <v>45936</v>
      </c>
      <c r="B1011" s="7" t="n">
        <f aca="false">YEAR(A1011)</f>
        <v>2025</v>
      </c>
      <c r="C1011" s="7" t="n">
        <f aca="false">MONTH(A1011)</f>
        <v>10</v>
      </c>
      <c r="D1011" s="8" t="n">
        <f aca="false">DATE(B1011,C1011,1)</f>
        <v>45931</v>
      </c>
      <c r="E1011" s="7" t="str">
        <f aca="false">CHOOSE(C1011,"ene","feb","mar","abr","may","jun","jul","ago","sep","oct","nov","dic")</f>
        <v>oct</v>
      </c>
      <c r="F1011" s="7" t="str">
        <f aca="false">CHOOSE(C1011,"enero","febrero","marzo","abril","mayo","junio","julio","agosto","septiembre","octubre","noviembre","diciembre")</f>
        <v>octubre</v>
      </c>
      <c r="G1011" s="7" t="str">
        <f aca="false">E1011&amp;"-"&amp;RIGHT(B1011,2)</f>
        <v>oct-25</v>
      </c>
    </row>
    <row r="1012" customFormat="false" ht="15" hidden="false" customHeight="false" outlineLevel="0" collapsed="false">
      <c r="A1012" s="8" t="n">
        <f aca="false">A1011+1</f>
        <v>45937</v>
      </c>
      <c r="B1012" s="7" t="n">
        <f aca="false">YEAR(A1012)</f>
        <v>2025</v>
      </c>
      <c r="C1012" s="7" t="n">
        <f aca="false">MONTH(A1012)</f>
        <v>10</v>
      </c>
      <c r="D1012" s="8" t="n">
        <f aca="false">DATE(B1012,C1012,1)</f>
        <v>45931</v>
      </c>
      <c r="E1012" s="7" t="str">
        <f aca="false">CHOOSE(C1012,"ene","feb","mar","abr","may","jun","jul","ago","sep","oct","nov","dic")</f>
        <v>oct</v>
      </c>
      <c r="F1012" s="7" t="str">
        <f aca="false">CHOOSE(C1012,"enero","febrero","marzo","abril","mayo","junio","julio","agosto","septiembre","octubre","noviembre","diciembre")</f>
        <v>octubre</v>
      </c>
      <c r="G1012" s="7" t="str">
        <f aca="false">E1012&amp;"-"&amp;RIGHT(B1012,2)</f>
        <v>oct-25</v>
      </c>
    </row>
    <row r="1013" customFormat="false" ht="15" hidden="false" customHeight="false" outlineLevel="0" collapsed="false">
      <c r="A1013" s="8" t="n">
        <f aca="false">A1012+1</f>
        <v>45938</v>
      </c>
      <c r="B1013" s="7" t="n">
        <f aca="false">YEAR(A1013)</f>
        <v>2025</v>
      </c>
      <c r="C1013" s="7" t="n">
        <f aca="false">MONTH(A1013)</f>
        <v>10</v>
      </c>
      <c r="D1013" s="8" t="n">
        <f aca="false">DATE(B1013,C1013,1)</f>
        <v>45931</v>
      </c>
      <c r="E1013" s="7" t="str">
        <f aca="false">CHOOSE(C1013,"ene","feb","mar","abr","may","jun","jul","ago","sep","oct","nov","dic")</f>
        <v>oct</v>
      </c>
      <c r="F1013" s="7" t="str">
        <f aca="false">CHOOSE(C1013,"enero","febrero","marzo","abril","mayo","junio","julio","agosto","septiembre","octubre","noviembre","diciembre")</f>
        <v>octubre</v>
      </c>
      <c r="G1013" s="7" t="str">
        <f aca="false">E1013&amp;"-"&amp;RIGHT(B1013,2)</f>
        <v>oct-25</v>
      </c>
    </row>
    <row r="1014" customFormat="false" ht="15" hidden="false" customHeight="false" outlineLevel="0" collapsed="false">
      <c r="A1014" s="8" t="n">
        <f aca="false">A1013+1</f>
        <v>45939</v>
      </c>
      <c r="B1014" s="7" t="n">
        <f aca="false">YEAR(A1014)</f>
        <v>2025</v>
      </c>
      <c r="C1014" s="7" t="n">
        <f aca="false">MONTH(A1014)</f>
        <v>10</v>
      </c>
      <c r="D1014" s="8" t="n">
        <f aca="false">DATE(B1014,C1014,1)</f>
        <v>45931</v>
      </c>
      <c r="E1014" s="7" t="str">
        <f aca="false">CHOOSE(C1014,"ene","feb","mar","abr","may","jun","jul","ago","sep","oct","nov","dic")</f>
        <v>oct</v>
      </c>
      <c r="F1014" s="7" t="str">
        <f aca="false">CHOOSE(C1014,"enero","febrero","marzo","abril","mayo","junio","julio","agosto","septiembre","octubre","noviembre","diciembre")</f>
        <v>octubre</v>
      </c>
      <c r="G1014" s="7" t="str">
        <f aca="false">E1014&amp;"-"&amp;RIGHT(B1014,2)</f>
        <v>oct-25</v>
      </c>
    </row>
    <row r="1015" customFormat="false" ht="15" hidden="false" customHeight="false" outlineLevel="0" collapsed="false">
      <c r="A1015" s="8" t="n">
        <f aca="false">A1014+1</f>
        <v>45940</v>
      </c>
      <c r="B1015" s="7" t="n">
        <f aca="false">YEAR(A1015)</f>
        <v>2025</v>
      </c>
      <c r="C1015" s="7" t="n">
        <f aca="false">MONTH(A1015)</f>
        <v>10</v>
      </c>
      <c r="D1015" s="8" t="n">
        <f aca="false">DATE(B1015,C1015,1)</f>
        <v>45931</v>
      </c>
      <c r="E1015" s="7" t="str">
        <f aca="false">CHOOSE(C1015,"ene","feb","mar","abr","may","jun","jul","ago","sep","oct","nov","dic")</f>
        <v>oct</v>
      </c>
      <c r="F1015" s="7" t="str">
        <f aca="false">CHOOSE(C1015,"enero","febrero","marzo","abril","mayo","junio","julio","agosto","septiembre","octubre","noviembre","diciembre")</f>
        <v>octubre</v>
      </c>
      <c r="G1015" s="7" t="str">
        <f aca="false">E1015&amp;"-"&amp;RIGHT(B1015,2)</f>
        <v>oct-25</v>
      </c>
    </row>
    <row r="1016" customFormat="false" ht="15" hidden="false" customHeight="false" outlineLevel="0" collapsed="false">
      <c r="A1016" s="8" t="n">
        <f aca="false">A1015+1</f>
        <v>45941</v>
      </c>
      <c r="B1016" s="7" t="n">
        <f aca="false">YEAR(A1016)</f>
        <v>2025</v>
      </c>
      <c r="C1016" s="7" t="n">
        <f aca="false">MONTH(A1016)</f>
        <v>10</v>
      </c>
      <c r="D1016" s="8" t="n">
        <f aca="false">DATE(B1016,C1016,1)</f>
        <v>45931</v>
      </c>
      <c r="E1016" s="7" t="str">
        <f aca="false">CHOOSE(C1016,"ene","feb","mar","abr","may","jun","jul","ago","sep","oct","nov","dic")</f>
        <v>oct</v>
      </c>
      <c r="F1016" s="7" t="str">
        <f aca="false">CHOOSE(C1016,"enero","febrero","marzo","abril","mayo","junio","julio","agosto","septiembre","octubre","noviembre","diciembre")</f>
        <v>octubre</v>
      </c>
      <c r="G1016" s="7" t="str">
        <f aca="false">E1016&amp;"-"&amp;RIGHT(B1016,2)</f>
        <v>oct-25</v>
      </c>
    </row>
    <row r="1017" customFormat="false" ht="15" hidden="false" customHeight="false" outlineLevel="0" collapsed="false">
      <c r="A1017" s="8" t="n">
        <f aca="false">A1016+1</f>
        <v>45942</v>
      </c>
      <c r="B1017" s="7" t="n">
        <f aca="false">YEAR(A1017)</f>
        <v>2025</v>
      </c>
      <c r="C1017" s="7" t="n">
        <f aca="false">MONTH(A1017)</f>
        <v>10</v>
      </c>
      <c r="D1017" s="8" t="n">
        <f aca="false">DATE(B1017,C1017,1)</f>
        <v>45931</v>
      </c>
      <c r="E1017" s="7" t="str">
        <f aca="false">CHOOSE(C1017,"ene","feb","mar","abr","may","jun","jul","ago","sep","oct","nov","dic")</f>
        <v>oct</v>
      </c>
      <c r="F1017" s="7" t="str">
        <f aca="false">CHOOSE(C1017,"enero","febrero","marzo","abril","mayo","junio","julio","agosto","septiembre","octubre","noviembre","diciembre")</f>
        <v>octubre</v>
      </c>
      <c r="G1017" s="7" t="str">
        <f aca="false">E1017&amp;"-"&amp;RIGHT(B1017,2)</f>
        <v>oct-25</v>
      </c>
    </row>
    <row r="1018" customFormat="false" ht="15" hidden="false" customHeight="false" outlineLevel="0" collapsed="false">
      <c r="A1018" s="8" t="n">
        <f aca="false">A1017+1</f>
        <v>45943</v>
      </c>
      <c r="B1018" s="7" t="n">
        <f aca="false">YEAR(A1018)</f>
        <v>2025</v>
      </c>
      <c r="C1018" s="7" t="n">
        <f aca="false">MONTH(A1018)</f>
        <v>10</v>
      </c>
      <c r="D1018" s="8" t="n">
        <f aca="false">DATE(B1018,C1018,1)</f>
        <v>45931</v>
      </c>
      <c r="E1018" s="7" t="str">
        <f aca="false">CHOOSE(C1018,"ene","feb","mar","abr","may","jun","jul","ago","sep","oct","nov","dic")</f>
        <v>oct</v>
      </c>
      <c r="F1018" s="7" t="str">
        <f aca="false">CHOOSE(C1018,"enero","febrero","marzo","abril","mayo","junio","julio","agosto","septiembre","octubre","noviembre","diciembre")</f>
        <v>octubre</v>
      </c>
      <c r="G1018" s="7" t="str">
        <f aca="false">E1018&amp;"-"&amp;RIGHT(B1018,2)</f>
        <v>oct-25</v>
      </c>
    </row>
    <row r="1019" customFormat="false" ht="15" hidden="false" customHeight="false" outlineLevel="0" collapsed="false">
      <c r="A1019" s="8" t="n">
        <f aca="false">A1018+1</f>
        <v>45944</v>
      </c>
      <c r="B1019" s="7" t="n">
        <f aca="false">YEAR(A1019)</f>
        <v>2025</v>
      </c>
      <c r="C1019" s="7" t="n">
        <f aca="false">MONTH(A1019)</f>
        <v>10</v>
      </c>
      <c r="D1019" s="8" t="n">
        <f aca="false">DATE(B1019,C1019,1)</f>
        <v>45931</v>
      </c>
      <c r="E1019" s="7" t="str">
        <f aca="false">CHOOSE(C1019,"ene","feb","mar","abr","may","jun","jul","ago","sep","oct","nov","dic")</f>
        <v>oct</v>
      </c>
      <c r="F1019" s="7" t="str">
        <f aca="false">CHOOSE(C1019,"enero","febrero","marzo","abril","mayo","junio","julio","agosto","septiembre","octubre","noviembre","diciembre")</f>
        <v>octubre</v>
      </c>
      <c r="G1019" s="7" t="str">
        <f aca="false">E1019&amp;"-"&amp;RIGHT(B1019,2)</f>
        <v>oct-25</v>
      </c>
    </row>
    <row r="1020" customFormat="false" ht="15" hidden="false" customHeight="false" outlineLevel="0" collapsed="false">
      <c r="A1020" s="8" t="n">
        <f aca="false">A1019+1</f>
        <v>45945</v>
      </c>
      <c r="B1020" s="7" t="n">
        <f aca="false">YEAR(A1020)</f>
        <v>2025</v>
      </c>
      <c r="C1020" s="7" t="n">
        <f aca="false">MONTH(A1020)</f>
        <v>10</v>
      </c>
      <c r="D1020" s="8" t="n">
        <f aca="false">DATE(B1020,C1020,1)</f>
        <v>45931</v>
      </c>
      <c r="E1020" s="7" t="str">
        <f aca="false">CHOOSE(C1020,"ene","feb","mar","abr","may","jun","jul","ago","sep","oct","nov","dic")</f>
        <v>oct</v>
      </c>
      <c r="F1020" s="7" t="str">
        <f aca="false">CHOOSE(C1020,"enero","febrero","marzo","abril","mayo","junio","julio","agosto","septiembre","octubre","noviembre","diciembre")</f>
        <v>octubre</v>
      </c>
      <c r="G1020" s="7" t="str">
        <f aca="false">E1020&amp;"-"&amp;RIGHT(B1020,2)</f>
        <v>oct-25</v>
      </c>
    </row>
    <row r="1021" customFormat="false" ht="15" hidden="false" customHeight="false" outlineLevel="0" collapsed="false">
      <c r="A1021" s="8" t="n">
        <f aca="false">A1020+1</f>
        <v>45946</v>
      </c>
      <c r="B1021" s="7" t="n">
        <f aca="false">YEAR(A1021)</f>
        <v>2025</v>
      </c>
      <c r="C1021" s="7" t="n">
        <f aca="false">MONTH(A1021)</f>
        <v>10</v>
      </c>
      <c r="D1021" s="8" t="n">
        <f aca="false">DATE(B1021,C1021,1)</f>
        <v>45931</v>
      </c>
      <c r="E1021" s="7" t="str">
        <f aca="false">CHOOSE(C1021,"ene","feb","mar","abr","may","jun","jul","ago","sep","oct","nov","dic")</f>
        <v>oct</v>
      </c>
      <c r="F1021" s="7" t="str">
        <f aca="false">CHOOSE(C1021,"enero","febrero","marzo","abril","mayo","junio","julio","agosto","septiembre","octubre","noviembre","diciembre")</f>
        <v>octubre</v>
      </c>
      <c r="G1021" s="7" t="str">
        <f aca="false">E1021&amp;"-"&amp;RIGHT(B1021,2)</f>
        <v>oct-25</v>
      </c>
    </row>
    <row r="1022" customFormat="false" ht="15" hidden="false" customHeight="false" outlineLevel="0" collapsed="false">
      <c r="A1022" s="8" t="n">
        <f aca="false">A1021+1</f>
        <v>45947</v>
      </c>
      <c r="B1022" s="7" t="n">
        <f aca="false">YEAR(A1022)</f>
        <v>2025</v>
      </c>
      <c r="C1022" s="7" t="n">
        <f aca="false">MONTH(A1022)</f>
        <v>10</v>
      </c>
      <c r="D1022" s="8" t="n">
        <f aca="false">DATE(B1022,C1022,1)</f>
        <v>45931</v>
      </c>
      <c r="E1022" s="7" t="str">
        <f aca="false">CHOOSE(C1022,"ene","feb","mar","abr","may","jun","jul","ago","sep","oct","nov","dic")</f>
        <v>oct</v>
      </c>
      <c r="F1022" s="7" t="str">
        <f aca="false">CHOOSE(C1022,"enero","febrero","marzo","abril","mayo","junio","julio","agosto","septiembre","octubre","noviembre","diciembre")</f>
        <v>octubre</v>
      </c>
      <c r="G1022" s="7" t="str">
        <f aca="false">E1022&amp;"-"&amp;RIGHT(B1022,2)</f>
        <v>oct-25</v>
      </c>
    </row>
    <row r="1023" customFormat="false" ht="15" hidden="false" customHeight="false" outlineLevel="0" collapsed="false">
      <c r="A1023" s="8" t="n">
        <f aca="false">A1022+1</f>
        <v>45948</v>
      </c>
      <c r="B1023" s="7" t="n">
        <f aca="false">YEAR(A1023)</f>
        <v>2025</v>
      </c>
      <c r="C1023" s="7" t="n">
        <f aca="false">MONTH(A1023)</f>
        <v>10</v>
      </c>
      <c r="D1023" s="8" t="n">
        <f aca="false">DATE(B1023,C1023,1)</f>
        <v>45931</v>
      </c>
      <c r="E1023" s="7" t="str">
        <f aca="false">CHOOSE(C1023,"ene","feb","mar","abr","may","jun","jul","ago","sep","oct","nov","dic")</f>
        <v>oct</v>
      </c>
      <c r="F1023" s="7" t="str">
        <f aca="false">CHOOSE(C1023,"enero","febrero","marzo","abril","mayo","junio","julio","agosto","septiembre","octubre","noviembre","diciembre")</f>
        <v>octubre</v>
      </c>
      <c r="G1023" s="7" t="str">
        <f aca="false">E1023&amp;"-"&amp;RIGHT(B1023,2)</f>
        <v>oct-25</v>
      </c>
    </row>
    <row r="1024" customFormat="false" ht="15" hidden="false" customHeight="false" outlineLevel="0" collapsed="false">
      <c r="A1024" s="8" t="n">
        <f aca="false">A1023+1</f>
        <v>45949</v>
      </c>
      <c r="B1024" s="7" t="n">
        <f aca="false">YEAR(A1024)</f>
        <v>2025</v>
      </c>
      <c r="C1024" s="7" t="n">
        <f aca="false">MONTH(A1024)</f>
        <v>10</v>
      </c>
      <c r="D1024" s="8" t="n">
        <f aca="false">DATE(B1024,C1024,1)</f>
        <v>45931</v>
      </c>
      <c r="E1024" s="7" t="str">
        <f aca="false">CHOOSE(C1024,"ene","feb","mar","abr","may","jun","jul","ago","sep","oct","nov","dic")</f>
        <v>oct</v>
      </c>
      <c r="F1024" s="7" t="str">
        <f aca="false">CHOOSE(C1024,"enero","febrero","marzo","abril","mayo","junio","julio","agosto","septiembre","octubre","noviembre","diciembre")</f>
        <v>octubre</v>
      </c>
      <c r="G1024" s="7" t="str">
        <f aca="false">E1024&amp;"-"&amp;RIGHT(B1024,2)</f>
        <v>oct-25</v>
      </c>
    </row>
    <row r="1025" customFormat="false" ht="15" hidden="false" customHeight="false" outlineLevel="0" collapsed="false">
      <c r="A1025" s="8" t="n">
        <f aca="false">A1024+1</f>
        <v>45950</v>
      </c>
      <c r="B1025" s="7" t="n">
        <f aca="false">YEAR(A1025)</f>
        <v>2025</v>
      </c>
      <c r="C1025" s="7" t="n">
        <f aca="false">MONTH(A1025)</f>
        <v>10</v>
      </c>
      <c r="D1025" s="8" t="n">
        <f aca="false">DATE(B1025,C1025,1)</f>
        <v>45931</v>
      </c>
      <c r="E1025" s="7" t="str">
        <f aca="false">CHOOSE(C1025,"ene","feb","mar","abr","may","jun","jul","ago","sep","oct","nov","dic")</f>
        <v>oct</v>
      </c>
      <c r="F1025" s="7" t="str">
        <f aca="false">CHOOSE(C1025,"enero","febrero","marzo","abril","mayo","junio","julio","agosto","septiembre","octubre","noviembre","diciembre")</f>
        <v>octubre</v>
      </c>
      <c r="G1025" s="7" t="str">
        <f aca="false">E1025&amp;"-"&amp;RIGHT(B1025,2)</f>
        <v>oct-25</v>
      </c>
    </row>
    <row r="1026" customFormat="false" ht="15" hidden="false" customHeight="false" outlineLevel="0" collapsed="false">
      <c r="A1026" s="8" t="n">
        <f aca="false">A1025+1</f>
        <v>45951</v>
      </c>
      <c r="B1026" s="7" t="n">
        <f aca="false">YEAR(A1026)</f>
        <v>2025</v>
      </c>
      <c r="C1026" s="7" t="n">
        <f aca="false">MONTH(A1026)</f>
        <v>10</v>
      </c>
      <c r="D1026" s="8" t="n">
        <f aca="false">DATE(B1026,C1026,1)</f>
        <v>45931</v>
      </c>
      <c r="E1026" s="7" t="str">
        <f aca="false">CHOOSE(C1026,"ene","feb","mar","abr","may","jun","jul","ago","sep","oct","nov","dic")</f>
        <v>oct</v>
      </c>
      <c r="F1026" s="7" t="str">
        <f aca="false">CHOOSE(C1026,"enero","febrero","marzo","abril","mayo","junio","julio","agosto","septiembre","octubre","noviembre","diciembre")</f>
        <v>octubre</v>
      </c>
      <c r="G1026" s="7" t="str">
        <f aca="false">E1026&amp;"-"&amp;RIGHT(B1026,2)</f>
        <v>oct-25</v>
      </c>
    </row>
    <row r="1027" customFormat="false" ht="15" hidden="false" customHeight="false" outlineLevel="0" collapsed="false">
      <c r="A1027" s="8" t="n">
        <f aca="false">A1026+1</f>
        <v>45952</v>
      </c>
      <c r="B1027" s="7" t="n">
        <f aca="false">YEAR(A1027)</f>
        <v>2025</v>
      </c>
      <c r="C1027" s="7" t="n">
        <f aca="false">MONTH(A1027)</f>
        <v>10</v>
      </c>
      <c r="D1027" s="8" t="n">
        <f aca="false">DATE(B1027,C1027,1)</f>
        <v>45931</v>
      </c>
      <c r="E1027" s="7" t="str">
        <f aca="false">CHOOSE(C1027,"ene","feb","mar","abr","may","jun","jul","ago","sep","oct","nov","dic")</f>
        <v>oct</v>
      </c>
      <c r="F1027" s="7" t="str">
        <f aca="false">CHOOSE(C1027,"enero","febrero","marzo","abril","mayo","junio","julio","agosto","septiembre","octubre","noviembre","diciembre")</f>
        <v>octubre</v>
      </c>
      <c r="G1027" s="7" t="str">
        <f aca="false">E1027&amp;"-"&amp;RIGHT(B1027,2)</f>
        <v>oct-25</v>
      </c>
    </row>
    <row r="1028" customFormat="false" ht="15" hidden="false" customHeight="false" outlineLevel="0" collapsed="false">
      <c r="A1028" s="8" t="n">
        <f aca="false">A1027+1</f>
        <v>45953</v>
      </c>
      <c r="B1028" s="7" t="n">
        <f aca="false">YEAR(A1028)</f>
        <v>2025</v>
      </c>
      <c r="C1028" s="7" t="n">
        <f aca="false">MONTH(A1028)</f>
        <v>10</v>
      </c>
      <c r="D1028" s="8" t="n">
        <f aca="false">DATE(B1028,C1028,1)</f>
        <v>45931</v>
      </c>
      <c r="E1028" s="7" t="str">
        <f aca="false">CHOOSE(C1028,"ene","feb","mar","abr","may","jun","jul","ago","sep","oct","nov","dic")</f>
        <v>oct</v>
      </c>
      <c r="F1028" s="7" t="str">
        <f aca="false">CHOOSE(C1028,"enero","febrero","marzo","abril","mayo","junio","julio","agosto","septiembre","octubre","noviembre","diciembre")</f>
        <v>octubre</v>
      </c>
      <c r="G1028" s="7" t="str">
        <f aca="false">E1028&amp;"-"&amp;RIGHT(B1028,2)</f>
        <v>oct-25</v>
      </c>
    </row>
    <row r="1029" customFormat="false" ht="15" hidden="false" customHeight="false" outlineLevel="0" collapsed="false">
      <c r="A1029" s="8" t="n">
        <f aca="false">A1028+1</f>
        <v>45954</v>
      </c>
      <c r="B1029" s="7" t="n">
        <f aca="false">YEAR(A1029)</f>
        <v>2025</v>
      </c>
      <c r="C1029" s="7" t="n">
        <f aca="false">MONTH(A1029)</f>
        <v>10</v>
      </c>
      <c r="D1029" s="8" t="n">
        <f aca="false">DATE(B1029,C1029,1)</f>
        <v>45931</v>
      </c>
      <c r="E1029" s="7" t="str">
        <f aca="false">CHOOSE(C1029,"ene","feb","mar","abr","may","jun","jul","ago","sep","oct","nov","dic")</f>
        <v>oct</v>
      </c>
      <c r="F1029" s="7" t="str">
        <f aca="false">CHOOSE(C1029,"enero","febrero","marzo","abril","mayo","junio","julio","agosto","septiembre","octubre","noviembre","diciembre")</f>
        <v>octubre</v>
      </c>
      <c r="G1029" s="7" t="str">
        <f aca="false">E1029&amp;"-"&amp;RIGHT(B1029,2)</f>
        <v>oct-25</v>
      </c>
    </row>
    <row r="1030" customFormat="false" ht="15" hidden="false" customHeight="false" outlineLevel="0" collapsed="false">
      <c r="A1030" s="8" t="n">
        <f aca="false">A1029+1</f>
        <v>45955</v>
      </c>
      <c r="B1030" s="7" t="n">
        <f aca="false">YEAR(A1030)</f>
        <v>2025</v>
      </c>
      <c r="C1030" s="7" t="n">
        <f aca="false">MONTH(A1030)</f>
        <v>10</v>
      </c>
      <c r="D1030" s="8" t="n">
        <f aca="false">DATE(B1030,C1030,1)</f>
        <v>45931</v>
      </c>
      <c r="E1030" s="7" t="str">
        <f aca="false">CHOOSE(C1030,"ene","feb","mar","abr","may","jun","jul","ago","sep","oct","nov","dic")</f>
        <v>oct</v>
      </c>
      <c r="F1030" s="7" t="str">
        <f aca="false">CHOOSE(C1030,"enero","febrero","marzo","abril","mayo","junio","julio","agosto","septiembre","octubre","noviembre","diciembre")</f>
        <v>octubre</v>
      </c>
      <c r="G1030" s="7" t="str">
        <f aca="false">E1030&amp;"-"&amp;RIGHT(B1030,2)</f>
        <v>oct-25</v>
      </c>
    </row>
    <row r="1031" customFormat="false" ht="15" hidden="false" customHeight="false" outlineLevel="0" collapsed="false">
      <c r="A1031" s="8" t="n">
        <f aca="false">A1030+1</f>
        <v>45956</v>
      </c>
      <c r="B1031" s="7" t="n">
        <f aca="false">YEAR(A1031)</f>
        <v>2025</v>
      </c>
      <c r="C1031" s="7" t="n">
        <f aca="false">MONTH(A1031)</f>
        <v>10</v>
      </c>
      <c r="D1031" s="8" t="n">
        <f aca="false">DATE(B1031,C1031,1)</f>
        <v>45931</v>
      </c>
      <c r="E1031" s="7" t="str">
        <f aca="false">CHOOSE(C1031,"ene","feb","mar","abr","may","jun","jul","ago","sep","oct","nov","dic")</f>
        <v>oct</v>
      </c>
      <c r="F1031" s="7" t="str">
        <f aca="false">CHOOSE(C1031,"enero","febrero","marzo","abril","mayo","junio","julio","agosto","septiembre","octubre","noviembre","diciembre")</f>
        <v>octubre</v>
      </c>
      <c r="G1031" s="7" t="str">
        <f aca="false">E1031&amp;"-"&amp;RIGHT(B1031,2)</f>
        <v>oct-25</v>
      </c>
    </row>
    <row r="1032" customFormat="false" ht="15" hidden="false" customHeight="false" outlineLevel="0" collapsed="false">
      <c r="A1032" s="8" t="n">
        <f aca="false">A1031+1</f>
        <v>45957</v>
      </c>
      <c r="B1032" s="7" t="n">
        <f aca="false">YEAR(A1032)</f>
        <v>2025</v>
      </c>
      <c r="C1032" s="7" t="n">
        <f aca="false">MONTH(A1032)</f>
        <v>10</v>
      </c>
      <c r="D1032" s="8" t="n">
        <f aca="false">DATE(B1032,C1032,1)</f>
        <v>45931</v>
      </c>
      <c r="E1032" s="7" t="str">
        <f aca="false">CHOOSE(C1032,"ene","feb","mar","abr","may","jun","jul","ago","sep","oct","nov","dic")</f>
        <v>oct</v>
      </c>
      <c r="F1032" s="7" t="str">
        <f aca="false">CHOOSE(C1032,"enero","febrero","marzo","abril","mayo","junio","julio","agosto","septiembre","octubre","noviembre","diciembre")</f>
        <v>octubre</v>
      </c>
      <c r="G1032" s="7" t="str">
        <f aca="false">E1032&amp;"-"&amp;RIGHT(B1032,2)</f>
        <v>oct-25</v>
      </c>
    </row>
    <row r="1033" customFormat="false" ht="15" hidden="false" customHeight="false" outlineLevel="0" collapsed="false">
      <c r="A1033" s="8" t="n">
        <f aca="false">A1032+1</f>
        <v>45958</v>
      </c>
      <c r="B1033" s="7" t="n">
        <f aca="false">YEAR(A1033)</f>
        <v>2025</v>
      </c>
      <c r="C1033" s="7" t="n">
        <f aca="false">MONTH(A1033)</f>
        <v>10</v>
      </c>
      <c r="D1033" s="8" t="n">
        <f aca="false">DATE(B1033,C1033,1)</f>
        <v>45931</v>
      </c>
      <c r="E1033" s="7" t="str">
        <f aca="false">CHOOSE(C1033,"ene","feb","mar","abr","may","jun","jul","ago","sep","oct","nov","dic")</f>
        <v>oct</v>
      </c>
      <c r="F1033" s="7" t="str">
        <f aca="false">CHOOSE(C1033,"enero","febrero","marzo","abril","mayo","junio","julio","agosto","septiembre","octubre","noviembre","diciembre")</f>
        <v>octubre</v>
      </c>
      <c r="G1033" s="7" t="str">
        <f aca="false">E1033&amp;"-"&amp;RIGHT(B1033,2)</f>
        <v>oct-25</v>
      </c>
    </row>
    <row r="1034" customFormat="false" ht="15" hidden="false" customHeight="false" outlineLevel="0" collapsed="false">
      <c r="A1034" s="8" t="n">
        <f aca="false">A1033+1</f>
        <v>45959</v>
      </c>
      <c r="B1034" s="7" t="n">
        <f aca="false">YEAR(A1034)</f>
        <v>2025</v>
      </c>
      <c r="C1034" s="7" t="n">
        <f aca="false">MONTH(A1034)</f>
        <v>10</v>
      </c>
      <c r="D1034" s="8" t="n">
        <f aca="false">DATE(B1034,C1034,1)</f>
        <v>45931</v>
      </c>
      <c r="E1034" s="7" t="str">
        <f aca="false">CHOOSE(C1034,"ene","feb","mar","abr","may","jun","jul","ago","sep","oct","nov","dic")</f>
        <v>oct</v>
      </c>
      <c r="F1034" s="7" t="str">
        <f aca="false">CHOOSE(C1034,"enero","febrero","marzo","abril","mayo","junio","julio","agosto","septiembre","octubre","noviembre","diciembre")</f>
        <v>octubre</v>
      </c>
      <c r="G1034" s="7" t="str">
        <f aca="false">E1034&amp;"-"&amp;RIGHT(B1034,2)</f>
        <v>oct-25</v>
      </c>
    </row>
    <row r="1035" customFormat="false" ht="15" hidden="false" customHeight="false" outlineLevel="0" collapsed="false">
      <c r="A1035" s="8" t="n">
        <f aca="false">A1034+1</f>
        <v>45960</v>
      </c>
      <c r="B1035" s="7" t="n">
        <f aca="false">YEAR(A1035)</f>
        <v>2025</v>
      </c>
      <c r="C1035" s="7" t="n">
        <f aca="false">MONTH(A1035)</f>
        <v>10</v>
      </c>
      <c r="D1035" s="8" t="n">
        <f aca="false">DATE(B1035,C1035,1)</f>
        <v>45931</v>
      </c>
      <c r="E1035" s="7" t="str">
        <f aca="false">CHOOSE(C1035,"ene","feb","mar","abr","may","jun","jul","ago","sep","oct","nov","dic")</f>
        <v>oct</v>
      </c>
      <c r="F1035" s="7" t="str">
        <f aca="false">CHOOSE(C1035,"enero","febrero","marzo","abril","mayo","junio","julio","agosto","septiembre","octubre","noviembre","diciembre")</f>
        <v>octubre</v>
      </c>
      <c r="G1035" s="7" t="str">
        <f aca="false">E1035&amp;"-"&amp;RIGHT(B1035,2)</f>
        <v>oct-25</v>
      </c>
    </row>
    <row r="1036" customFormat="false" ht="15" hidden="false" customHeight="false" outlineLevel="0" collapsed="false">
      <c r="A1036" s="8" t="n">
        <f aca="false">A1035+1</f>
        <v>45961</v>
      </c>
      <c r="B1036" s="7" t="n">
        <f aca="false">YEAR(A1036)</f>
        <v>2025</v>
      </c>
      <c r="C1036" s="7" t="n">
        <f aca="false">MONTH(A1036)</f>
        <v>10</v>
      </c>
      <c r="D1036" s="8" t="n">
        <f aca="false">DATE(B1036,C1036,1)</f>
        <v>45931</v>
      </c>
      <c r="E1036" s="7" t="str">
        <f aca="false">CHOOSE(C1036,"ene","feb","mar","abr","may","jun","jul","ago","sep","oct","nov","dic")</f>
        <v>oct</v>
      </c>
      <c r="F1036" s="7" t="str">
        <f aca="false">CHOOSE(C1036,"enero","febrero","marzo","abril","mayo","junio","julio","agosto","septiembre","octubre","noviembre","diciembre")</f>
        <v>octubre</v>
      </c>
      <c r="G1036" s="7" t="str">
        <f aca="false">E1036&amp;"-"&amp;RIGHT(B1036,2)</f>
        <v>oct-25</v>
      </c>
    </row>
    <row r="1037" customFormat="false" ht="15" hidden="false" customHeight="false" outlineLevel="0" collapsed="false">
      <c r="A1037" s="8" t="n">
        <f aca="false">A1036+1</f>
        <v>45962</v>
      </c>
      <c r="B1037" s="7" t="n">
        <f aca="false">YEAR(A1037)</f>
        <v>2025</v>
      </c>
      <c r="C1037" s="7" t="n">
        <f aca="false">MONTH(A1037)</f>
        <v>11</v>
      </c>
      <c r="D1037" s="8" t="n">
        <f aca="false">DATE(B1037,C1037,1)</f>
        <v>45962</v>
      </c>
      <c r="E1037" s="7" t="str">
        <f aca="false">CHOOSE(C1037,"ene","feb","mar","abr","may","jun","jul","ago","sep","oct","nov","dic")</f>
        <v>nov</v>
      </c>
      <c r="F1037" s="7" t="str">
        <f aca="false">CHOOSE(C1037,"enero","febrero","marzo","abril","mayo","junio","julio","agosto","septiembre","octubre","noviembre","diciembre")</f>
        <v>noviembre</v>
      </c>
      <c r="G1037" s="7" t="str">
        <f aca="false">E1037&amp;"-"&amp;RIGHT(B1037,2)</f>
        <v>nov-25</v>
      </c>
    </row>
    <row r="1038" customFormat="false" ht="15" hidden="false" customHeight="false" outlineLevel="0" collapsed="false">
      <c r="A1038" s="8" t="n">
        <f aca="false">A1037+1</f>
        <v>45963</v>
      </c>
      <c r="B1038" s="7" t="n">
        <f aca="false">YEAR(A1038)</f>
        <v>2025</v>
      </c>
      <c r="C1038" s="7" t="n">
        <f aca="false">MONTH(A1038)</f>
        <v>11</v>
      </c>
      <c r="D1038" s="8" t="n">
        <f aca="false">DATE(B1038,C1038,1)</f>
        <v>45962</v>
      </c>
      <c r="E1038" s="7" t="str">
        <f aca="false">CHOOSE(C1038,"ene","feb","mar","abr","may","jun","jul","ago","sep","oct","nov","dic")</f>
        <v>nov</v>
      </c>
      <c r="F1038" s="7" t="str">
        <f aca="false">CHOOSE(C1038,"enero","febrero","marzo","abril","mayo","junio","julio","agosto","septiembre","octubre","noviembre","diciembre")</f>
        <v>noviembre</v>
      </c>
      <c r="G1038" s="7" t="str">
        <f aca="false">E1038&amp;"-"&amp;RIGHT(B1038,2)</f>
        <v>nov-25</v>
      </c>
    </row>
    <row r="1039" customFormat="false" ht="15" hidden="false" customHeight="false" outlineLevel="0" collapsed="false">
      <c r="A1039" s="8" t="n">
        <f aca="false">A1038+1</f>
        <v>45964</v>
      </c>
      <c r="B1039" s="7" t="n">
        <f aca="false">YEAR(A1039)</f>
        <v>2025</v>
      </c>
      <c r="C1039" s="7" t="n">
        <f aca="false">MONTH(A1039)</f>
        <v>11</v>
      </c>
      <c r="D1039" s="8" t="n">
        <f aca="false">DATE(B1039,C1039,1)</f>
        <v>45962</v>
      </c>
      <c r="E1039" s="7" t="str">
        <f aca="false">CHOOSE(C1039,"ene","feb","mar","abr","may","jun","jul","ago","sep","oct","nov","dic")</f>
        <v>nov</v>
      </c>
      <c r="F1039" s="7" t="str">
        <f aca="false">CHOOSE(C1039,"enero","febrero","marzo","abril","mayo","junio","julio","agosto","septiembre","octubre","noviembre","diciembre")</f>
        <v>noviembre</v>
      </c>
      <c r="G1039" s="7" t="str">
        <f aca="false">E1039&amp;"-"&amp;RIGHT(B1039,2)</f>
        <v>nov-25</v>
      </c>
    </row>
    <row r="1040" customFormat="false" ht="15" hidden="false" customHeight="false" outlineLevel="0" collapsed="false">
      <c r="A1040" s="8" t="n">
        <f aca="false">A1039+1</f>
        <v>45965</v>
      </c>
      <c r="B1040" s="7" t="n">
        <f aca="false">YEAR(A1040)</f>
        <v>2025</v>
      </c>
      <c r="C1040" s="7" t="n">
        <f aca="false">MONTH(A1040)</f>
        <v>11</v>
      </c>
      <c r="D1040" s="8" t="n">
        <f aca="false">DATE(B1040,C1040,1)</f>
        <v>45962</v>
      </c>
      <c r="E1040" s="7" t="str">
        <f aca="false">CHOOSE(C1040,"ene","feb","mar","abr","may","jun","jul","ago","sep","oct","nov","dic")</f>
        <v>nov</v>
      </c>
      <c r="F1040" s="7" t="str">
        <f aca="false">CHOOSE(C1040,"enero","febrero","marzo","abril","mayo","junio","julio","agosto","septiembre","octubre","noviembre","diciembre")</f>
        <v>noviembre</v>
      </c>
      <c r="G1040" s="7" t="str">
        <f aca="false">E1040&amp;"-"&amp;RIGHT(B1040,2)</f>
        <v>nov-25</v>
      </c>
    </row>
    <row r="1041" customFormat="false" ht="15" hidden="false" customHeight="false" outlineLevel="0" collapsed="false">
      <c r="A1041" s="8" t="n">
        <f aca="false">A1040+1</f>
        <v>45966</v>
      </c>
      <c r="B1041" s="7" t="n">
        <f aca="false">YEAR(A1041)</f>
        <v>2025</v>
      </c>
      <c r="C1041" s="7" t="n">
        <f aca="false">MONTH(A1041)</f>
        <v>11</v>
      </c>
      <c r="D1041" s="8" t="n">
        <f aca="false">DATE(B1041,C1041,1)</f>
        <v>45962</v>
      </c>
      <c r="E1041" s="7" t="str">
        <f aca="false">CHOOSE(C1041,"ene","feb","mar","abr","may","jun","jul","ago","sep","oct","nov","dic")</f>
        <v>nov</v>
      </c>
      <c r="F1041" s="7" t="str">
        <f aca="false">CHOOSE(C1041,"enero","febrero","marzo","abril","mayo","junio","julio","agosto","septiembre","octubre","noviembre","diciembre")</f>
        <v>noviembre</v>
      </c>
      <c r="G1041" s="7" t="str">
        <f aca="false">E1041&amp;"-"&amp;RIGHT(B1041,2)</f>
        <v>nov-25</v>
      </c>
    </row>
    <row r="1042" customFormat="false" ht="15" hidden="false" customHeight="false" outlineLevel="0" collapsed="false">
      <c r="A1042" s="8" t="n">
        <f aca="false">A1041+1</f>
        <v>45967</v>
      </c>
      <c r="B1042" s="7" t="n">
        <f aca="false">YEAR(A1042)</f>
        <v>2025</v>
      </c>
      <c r="C1042" s="7" t="n">
        <f aca="false">MONTH(A1042)</f>
        <v>11</v>
      </c>
      <c r="D1042" s="8" t="n">
        <f aca="false">DATE(B1042,C1042,1)</f>
        <v>45962</v>
      </c>
      <c r="E1042" s="7" t="str">
        <f aca="false">CHOOSE(C1042,"ene","feb","mar","abr","may","jun","jul","ago","sep","oct","nov","dic")</f>
        <v>nov</v>
      </c>
      <c r="F1042" s="7" t="str">
        <f aca="false">CHOOSE(C1042,"enero","febrero","marzo","abril","mayo","junio","julio","agosto","septiembre","octubre","noviembre","diciembre")</f>
        <v>noviembre</v>
      </c>
      <c r="G1042" s="7" t="str">
        <f aca="false">E1042&amp;"-"&amp;RIGHT(B1042,2)</f>
        <v>nov-25</v>
      </c>
    </row>
    <row r="1043" customFormat="false" ht="15" hidden="false" customHeight="false" outlineLevel="0" collapsed="false">
      <c r="A1043" s="8" t="n">
        <f aca="false">A1042+1</f>
        <v>45968</v>
      </c>
      <c r="B1043" s="7" t="n">
        <f aca="false">YEAR(A1043)</f>
        <v>2025</v>
      </c>
      <c r="C1043" s="7" t="n">
        <f aca="false">MONTH(A1043)</f>
        <v>11</v>
      </c>
      <c r="D1043" s="8" t="n">
        <f aca="false">DATE(B1043,C1043,1)</f>
        <v>45962</v>
      </c>
      <c r="E1043" s="7" t="str">
        <f aca="false">CHOOSE(C1043,"ene","feb","mar","abr","may","jun","jul","ago","sep","oct","nov","dic")</f>
        <v>nov</v>
      </c>
      <c r="F1043" s="7" t="str">
        <f aca="false">CHOOSE(C1043,"enero","febrero","marzo","abril","mayo","junio","julio","agosto","septiembre","octubre","noviembre","diciembre")</f>
        <v>noviembre</v>
      </c>
      <c r="G1043" s="7" t="str">
        <f aca="false">E1043&amp;"-"&amp;RIGHT(B1043,2)</f>
        <v>nov-25</v>
      </c>
    </row>
    <row r="1044" customFormat="false" ht="15" hidden="false" customHeight="false" outlineLevel="0" collapsed="false">
      <c r="A1044" s="8" t="n">
        <f aca="false">A1043+1</f>
        <v>45969</v>
      </c>
      <c r="B1044" s="7" t="n">
        <f aca="false">YEAR(A1044)</f>
        <v>2025</v>
      </c>
      <c r="C1044" s="7" t="n">
        <f aca="false">MONTH(A1044)</f>
        <v>11</v>
      </c>
      <c r="D1044" s="8" t="n">
        <f aca="false">DATE(B1044,C1044,1)</f>
        <v>45962</v>
      </c>
      <c r="E1044" s="7" t="str">
        <f aca="false">CHOOSE(C1044,"ene","feb","mar","abr","may","jun","jul","ago","sep","oct","nov","dic")</f>
        <v>nov</v>
      </c>
      <c r="F1044" s="7" t="str">
        <f aca="false">CHOOSE(C1044,"enero","febrero","marzo","abril","mayo","junio","julio","agosto","septiembre","octubre","noviembre","diciembre")</f>
        <v>noviembre</v>
      </c>
      <c r="G1044" s="7" t="str">
        <f aca="false">E1044&amp;"-"&amp;RIGHT(B1044,2)</f>
        <v>nov-25</v>
      </c>
    </row>
    <row r="1045" customFormat="false" ht="15" hidden="false" customHeight="false" outlineLevel="0" collapsed="false">
      <c r="A1045" s="8" t="n">
        <f aca="false">A1044+1</f>
        <v>45970</v>
      </c>
      <c r="B1045" s="7" t="n">
        <f aca="false">YEAR(A1045)</f>
        <v>2025</v>
      </c>
      <c r="C1045" s="7" t="n">
        <f aca="false">MONTH(A1045)</f>
        <v>11</v>
      </c>
      <c r="D1045" s="8" t="n">
        <f aca="false">DATE(B1045,C1045,1)</f>
        <v>45962</v>
      </c>
      <c r="E1045" s="7" t="str">
        <f aca="false">CHOOSE(C1045,"ene","feb","mar","abr","may","jun","jul","ago","sep","oct","nov","dic")</f>
        <v>nov</v>
      </c>
      <c r="F1045" s="7" t="str">
        <f aca="false">CHOOSE(C1045,"enero","febrero","marzo","abril","mayo","junio","julio","agosto","septiembre","octubre","noviembre","diciembre")</f>
        <v>noviembre</v>
      </c>
      <c r="G1045" s="7" t="str">
        <f aca="false">E1045&amp;"-"&amp;RIGHT(B1045,2)</f>
        <v>nov-25</v>
      </c>
    </row>
    <row r="1046" customFormat="false" ht="15" hidden="false" customHeight="false" outlineLevel="0" collapsed="false">
      <c r="A1046" s="8" t="n">
        <f aca="false">A1045+1</f>
        <v>45971</v>
      </c>
      <c r="B1046" s="7" t="n">
        <f aca="false">YEAR(A1046)</f>
        <v>2025</v>
      </c>
      <c r="C1046" s="7" t="n">
        <f aca="false">MONTH(A1046)</f>
        <v>11</v>
      </c>
      <c r="D1046" s="8" t="n">
        <f aca="false">DATE(B1046,C1046,1)</f>
        <v>45962</v>
      </c>
      <c r="E1046" s="7" t="str">
        <f aca="false">CHOOSE(C1046,"ene","feb","mar","abr","may","jun","jul","ago","sep","oct","nov","dic")</f>
        <v>nov</v>
      </c>
      <c r="F1046" s="7" t="str">
        <f aca="false">CHOOSE(C1046,"enero","febrero","marzo","abril","mayo","junio","julio","agosto","septiembre","octubre","noviembre","diciembre")</f>
        <v>noviembre</v>
      </c>
      <c r="G1046" s="7" t="str">
        <f aca="false">E1046&amp;"-"&amp;RIGHT(B1046,2)</f>
        <v>nov-25</v>
      </c>
    </row>
    <row r="1047" customFormat="false" ht="15" hidden="false" customHeight="false" outlineLevel="0" collapsed="false">
      <c r="A1047" s="8" t="n">
        <f aca="false">A1046+1</f>
        <v>45972</v>
      </c>
      <c r="B1047" s="7" t="n">
        <f aca="false">YEAR(A1047)</f>
        <v>2025</v>
      </c>
      <c r="C1047" s="7" t="n">
        <f aca="false">MONTH(A1047)</f>
        <v>11</v>
      </c>
      <c r="D1047" s="8" t="n">
        <f aca="false">DATE(B1047,C1047,1)</f>
        <v>45962</v>
      </c>
      <c r="E1047" s="7" t="str">
        <f aca="false">CHOOSE(C1047,"ene","feb","mar","abr","may","jun","jul","ago","sep","oct","nov","dic")</f>
        <v>nov</v>
      </c>
      <c r="F1047" s="7" t="str">
        <f aca="false">CHOOSE(C1047,"enero","febrero","marzo","abril","mayo","junio","julio","agosto","septiembre","octubre","noviembre","diciembre")</f>
        <v>noviembre</v>
      </c>
      <c r="G1047" s="7" t="str">
        <f aca="false">E1047&amp;"-"&amp;RIGHT(B1047,2)</f>
        <v>nov-25</v>
      </c>
    </row>
    <row r="1048" customFormat="false" ht="15" hidden="false" customHeight="false" outlineLevel="0" collapsed="false">
      <c r="A1048" s="8" t="n">
        <f aca="false">A1047+1</f>
        <v>45973</v>
      </c>
      <c r="B1048" s="7" t="n">
        <f aca="false">YEAR(A1048)</f>
        <v>2025</v>
      </c>
      <c r="C1048" s="7" t="n">
        <f aca="false">MONTH(A1048)</f>
        <v>11</v>
      </c>
      <c r="D1048" s="8" t="n">
        <f aca="false">DATE(B1048,C1048,1)</f>
        <v>45962</v>
      </c>
      <c r="E1048" s="7" t="str">
        <f aca="false">CHOOSE(C1048,"ene","feb","mar","abr","may","jun","jul","ago","sep","oct","nov","dic")</f>
        <v>nov</v>
      </c>
      <c r="F1048" s="7" t="str">
        <f aca="false">CHOOSE(C1048,"enero","febrero","marzo","abril","mayo","junio","julio","agosto","septiembre","octubre","noviembre","diciembre")</f>
        <v>noviembre</v>
      </c>
      <c r="G1048" s="7" t="str">
        <f aca="false">E1048&amp;"-"&amp;RIGHT(B1048,2)</f>
        <v>nov-25</v>
      </c>
    </row>
    <row r="1049" customFormat="false" ht="15" hidden="false" customHeight="false" outlineLevel="0" collapsed="false">
      <c r="A1049" s="8" t="n">
        <f aca="false">A1048+1</f>
        <v>45974</v>
      </c>
      <c r="B1049" s="7" t="n">
        <f aca="false">YEAR(A1049)</f>
        <v>2025</v>
      </c>
      <c r="C1049" s="7" t="n">
        <f aca="false">MONTH(A1049)</f>
        <v>11</v>
      </c>
      <c r="D1049" s="8" t="n">
        <f aca="false">DATE(B1049,C1049,1)</f>
        <v>45962</v>
      </c>
      <c r="E1049" s="7" t="str">
        <f aca="false">CHOOSE(C1049,"ene","feb","mar","abr","may","jun","jul","ago","sep","oct","nov","dic")</f>
        <v>nov</v>
      </c>
      <c r="F1049" s="7" t="str">
        <f aca="false">CHOOSE(C1049,"enero","febrero","marzo","abril","mayo","junio","julio","agosto","septiembre","octubre","noviembre","diciembre")</f>
        <v>noviembre</v>
      </c>
      <c r="G1049" s="7" t="str">
        <f aca="false">E1049&amp;"-"&amp;RIGHT(B1049,2)</f>
        <v>nov-25</v>
      </c>
    </row>
    <row r="1050" customFormat="false" ht="15" hidden="false" customHeight="false" outlineLevel="0" collapsed="false">
      <c r="A1050" s="8" t="n">
        <f aca="false">A1049+1</f>
        <v>45975</v>
      </c>
      <c r="B1050" s="7" t="n">
        <f aca="false">YEAR(A1050)</f>
        <v>2025</v>
      </c>
      <c r="C1050" s="7" t="n">
        <f aca="false">MONTH(A1050)</f>
        <v>11</v>
      </c>
      <c r="D1050" s="8" t="n">
        <f aca="false">DATE(B1050,C1050,1)</f>
        <v>45962</v>
      </c>
      <c r="E1050" s="7" t="str">
        <f aca="false">CHOOSE(C1050,"ene","feb","mar","abr","may","jun","jul","ago","sep","oct","nov","dic")</f>
        <v>nov</v>
      </c>
      <c r="F1050" s="7" t="str">
        <f aca="false">CHOOSE(C1050,"enero","febrero","marzo","abril","mayo","junio","julio","agosto","septiembre","octubre","noviembre","diciembre")</f>
        <v>noviembre</v>
      </c>
      <c r="G1050" s="7" t="str">
        <f aca="false">E1050&amp;"-"&amp;RIGHT(B1050,2)</f>
        <v>nov-25</v>
      </c>
    </row>
    <row r="1051" customFormat="false" ht="15" hidden="false" customHeight="false" outlineLevel="0" collapsed="false">
      <c r="A1051" s="8" t="n">
        <f aca="false">A1050+1</f>
        <v>45976</v>
      </c>
      <c r="B1051" s="7" t="n">
        <f aca="false">YEAR(A1051)</f>
        <v>2025</v>
      </c>
      <c r="C1051" s="7" t="n">
        <f aca="false">MONTH(A1051)</f>
        <v>11</v>
      </c>
      <c r="D1051" s="8" t="n">
        <f aca="false">DATE(B1051,C1051,1)</f>
        <v>45962</v>
      </c>
      <c r="E1051" s="7" t="str">
        <f aca="false">CHOOSE(C1051,"ene","feb","mar","abr","may","jun","jul","ago","sep","oct","nov","dic")</f>
        <v>nov</v>
      </c>
      <c r="F1051" s="7" t="str">
        <f aca="false">CHOOSE(C1051,"enero","febrero","marzo","abril","mayo","junio","julio","agosto","septiembre","octubre","noviembre","diciembre")</f>
        <v>noviembre</v>
      </c>
      <c r="G1051" s="7" t="str">
        <f aca="false">E1051&amp;"-"&amp;RIGHT(B1051,2)</f>
        <v>nov-25</v>
      </c>
    </row>
    <row r="1052" customFormat="false" ht="15" hidden="false" customHeight="false" outlineLevel="0" collapsed="false">
      <c r="A1052" s="8" t="n">
        <f aca="false">A1051+1</f>
        <v>45977</v>
      </c>
      <c r="B1052" s="7" t="n">
        <f aca="false">YEAR(A1052)</f>
        <v>2025</v>
      </c>
      <c r="C1052" s="7" t="n">
        <f aca="false">MONTH(A1052)</f>
        <v>11</v>
      </c>
      <c r="D1052" s="8" t="n">
        <f aca="false">DATE(B1052,C1052,1)</f>
        <v>45962</v>
      </c>
      <c r="E1052" s="7" t="str">
        <f aca="false">CHOOSE(C1052,"ene","feb","mar","abr","may","jun","jul","ago","sep","oct","nov","dic")</f>
        <v>nov</v>
      </c>
      <c r="F1052" s="7" t="str">
        <f aca="false">CHOOSE(C1052,"enero","febrero","marzo","abril","mayo","junio","julio","agosto","septiembre","octubre","noviembre","diciembre")</f>
        <v>noviembre</v>
      </c>
      <c r="G1052" s="7" t="str">
        <f aca="false">E1052&amp;"-"&amp;RIGHT(B1052,2)</f>
        <v>nov-25</v>
      </c>
    </row>
    <row r="1053" customFormat="false" ht="15" hidden="false" customHeight="false" outlineLevel="0" collapsed="false">
      <c r="A1053" s="8" t="n">
        <f aca="false">A1052+1</f>
        <v>45978</v>
      </c>
      <c r="B1053" s="7" t="n">
        <f aca="false">YEAR(A1053)</f>
        <v>2025</v>
      </c>
      <c r="C1053" s="7" t="n">
        <f aca="false">MONTH(A1053)</f>
        <v>11</v>
      </c>
      <c r="D1053" s="8" t="n">
        <f aca="false">DATE(B1053,C1053,1)</f>
        <v>45962</v>
      </c>
      <c r="E1053" s="7" t="str">
        <f aca="false">CHOOSE(C1053,"ene","feb","mar","abr","may","jun","jul","ago","sep","oct","nov","dic")</f>
        <v>nov</v>
      </c>
      <c r="F1053" s="7" t="str">
        <f aca="false">CHOOSE(C1053,"enero","febrero","marzo","abril","mayo","junio","julio","agosto","septiembre","octubre","noviembre","diciembre")</f>
        <v>noviembre</v>
      </c>
      <c r="G1053" s="7" t="str">
        <f aca="false">E1053&amp;"-"&amp;RIGHT(B1053,2)</f>
        <v>nov-25</v>
      </c>
    </row>
    <row r="1054" customFormat="false" ht="15" hidden="false" customHeight="false" outlineLevel="0" collapsed="false">
      <c r="A1054" s="8" t="n">
        <f aca="false">A1053+1</f>
        <v>45979</v>
      </c>
      <c r="B1054" s="7" t="n">
        <f aca="false">YEAR(A1054)</f>
        <v>2025</v>
      </c>
      <c r="C1054" s="7" t="n">
        <f aca="false">MONTH(A1054)</f>
        <v>11</v>
      </c>
      <c r="D1054" s="8" t="n">
        <f aca="false">DATE(B1054,C1054,1)</f>
        <v>45962</v>
      </c>
      <c r="E1054" s="7" t="str">
        <f aca="false">CHOOSE(C1054,"ene","feb","mar","abr","may","jun","jul","ago","sep","oct","nov","dic")</f>
        <v>nov</v>
      </c>
      <c r="F1054" s="7" t="str">
        <f aca="false">CHOOSE(C1054,"enero","febrero","marzo","abril","mayo","junio","julio","agosto","septiembre","octubre","noviembre","diciembre")</f>
        <v>noviembre</v>
      </c>
      <c r="G1054" s="7" t="str">
        <f aca="false">E1054&amp;"-"&amp;RIGHT(B1054,2)</f>
        <v>nov-25</v>
      </c>
    </row>
    <row r="1055" customFormat="false" ht="15" hidden="false" customHeight="false" outlineLevel="0" collapsed="false">
      <c r="A1055" s="8" t="n">
        <f aca="false">A1054+1</f>
        <v>45980</v>
      </c>
      <c r="B1055" s="7" t="n">
        <f aca="false">YEAR(A1055)</f>
        <v>2025</v>
      </c>
      <c r="C1055" s="7" t="n">
        <f aca="false">MONTH(A1055)</f>
        <v>11</v>
      </c>
      <c r="D1055" s="8" t="n">
        <f aca="false">DATE(B1055,C1055,1)</f>
        <v>45962</v>
      </c>
      <c r="E1055" s="7" t="str">
        <f aca="false">CHOOSE(C1055,"ene","feb","mar","abr","may","jun","jul","ago","sep","oct","nov","dic")</f>
        <v>nov</v>
      </c>
      <c r="F1055" s="7" t="str">
        <f aca="false">CHOOSE(C1055,"enero","febrero","marzo","abril","mayo","junio","julio","agosto","septiembre","octubre","noviembre","diciembre")</f>
        <v>noviembre</v>
      </c>
      <c r="G1055" s="7" t="str">
        <f aca="false">E1055&amp;"-"&amp;RIGHT(B1055,2)</f>
        <v>nov-25</v>
      </c>
    </row>
    <row r="1056" customFormat="false" ht="15" hidden="false" customHeight="false" outlineLevel="0" collapsed="false">
      <c r="A1056" s="8" t="n">
        <f aca="false">A1055+1</f>
        <v>45981</v>
      </c>
      <c r="B1056" s="7" t="n">
        <f aca="false">YEAR(A1056)</f>
        <v>2025</v>
      </c>
      <c r="C1056" s="7" t="n">
        <f aca="false">MONTH(A1056)</f>
        <v>11</v>
      </c>
      <c r="D1056" s="8" t="n">
        <f aca="false">DATE(B1056,C1056,1)</f>
        <v>45962</v>
      </c>
      <c r="E1056" s="7" t="str">
        <f aca="false">CHOOSE(C1056,"ene","feb","mar","abr","may","jun","jul","ago","sep","oct","nov","dic")</f>
        <v>nov</v>
      </c>
      <c r="F1056" s="7" t="str">
        <f aca="false">CHOOSE(C1056,"enero","febrero","marzo","abril","mayo","junio","julio","agosto","septiembre","octubre","noviembre","diciembre")</f>
        <v>noviembre</v>
      </c>
      <c r="G1056" s="7" t="str">
        <f aca="false">E1056&amp;"-"&amp;RIGHT(B1056,2)</f>
        <v>nov-25</v>
      </c>
    </row>
    <row r="1057" customFormat="false" ht="15" hidden="false" customHeight="false" outlineLevel="0" collapsed="false">
      <c r="A1057" s="8" t="n">
        <f aca="false">A1056+1</f>
        <v>45982</v>
      </c>
      <c r="B1057" s="7" t="n">
        <f aca="false">YEAR(A1057)</f>
        <v>2025</v>
      </c>
      <c r="C1057" s="7" t="n">
        <f aca="false">MONTH(A1057)</f>
        <v>11</v>
      </c>
      <c r="D1057" s="8" t="n">
        <f aca="false">DATE(B1057,C1057,1)</f>
        <v>45962</v>
      </c>
      <c r="E1057" s="7" t="str">
        <f aca="false">CHOOSE(C1057,"ene","feb","mar","abr","may","jun","jul","ago","sep","oct","nov","dic")</f>
        <v>nov</v>
      </c>
      <c r="F1057" s="7" t="str">
        <f aca="false">CHOOSE(C1057,"enero","febrero","marzo","abril","mayo","junio","julio","agosto","septiembre","octubre","noviembre","diciembre")</f>
        <v>noviembre</v>
      </c>
      <c r="G1057" s="7" t="str">
        <f aca="false">E1057&amp;"-"&amp;RIGHT(B1057,2)</f>
        <v>nov-25</v>
      </c>
    </row>
    <row r="1058" customFormat="false" ht="15" hidden="false" customHeight="false" outlineLevel="0" collapsed="false">
      <c r="A1058" s="8" t="n">
        <f aca="false">A1057+1</f>
        <v>45983</v>
      </c>
      <c r="B1058" s="7" t="n">
        <f aca="false">YEAR(A1058)</f>
        <v>2025</v>
      </c>
      <c r="C1058" s="7" t="n">
        <f aca="false">MONTH(A1058)</f>
        <v>11</v>
      </c>
      <c r="D1058" s="8" t="n">
        <f aca="false">DATE(B1058,C1058,1)</f>
        <v>45962</v>
      </c>
      <c r="E1058" s="7" t="str">
        <f aca="false">CHOOSE(C1058,"ene","feb","mar","abr","may","jun","jul","ago","sep","oct","nov","dic")</f>
        <v>nov</v>
      </c>
      <c r="F1058" s="7" t="str">
        <f aca="false">CHOOSE(C1058,"enero","febrero","marzo","abril","mayo","junio","julio","agosto","septiembre","octubre","noviembre","diciembre")</f>
        <v>noviembre</v>
      </c>
      <c r="G1058" s="7" t="str">
        <f aca="false">E1058&amp;"-"&amp;RIGHT(B1058,2)</f>
        <v>nov-25</v>
      </c>
    </row>
    <row r="1059" customFormat="false" ht="15" hidden="false" customHeight="false" outlineLevel="0" collapsed="false">
      <c r="A1059" s="8" t="n">
        <f aca="false">A1058+1</f>
        <v>45984</v>
      </c>
      <c r="B1059" s="7" t="n">
        <f aca="false">YEAR(A1059)</f>
        <v>2025</v>
      </c>
      <c r="C1059" s="7" t="n">
        <f aca="false">MONTH(A1059)</f>
        <v>11</v>
      </c>
      <c r="D1059" s="8" t="n">
        <f aca="false">DATE(B1059,C1059,1)</f>
        <v>45962</v>
      </c>
      <c r="E1059" s="7" t="str">
        <f aca="false">CHOOSE(C1059,"ene","feb","mar","abr","may","jun","jul","ago","sep","oct","nov","dic")</f>
        <v>nov</v>
      </c>
      <c r="F1059" s="7" t="str">
        <f aca="false">CHOOSE(C1059,"enero","febrero","marzo","abril","mayo","junio","julio","agosto","septiembre","octubre","noviembre","diciembre")</f>
        <v>noviembre</v>
      </c>
      <c r="G1059" s="7" t="str">
        <f aca="false">E1059&amp;"-"&amp;RIGHT(B1059,2)</f>
        <v>nov-25</v>
      </c>
    </row>
    <row r="1060" customFormat="false" ht="15" hidden="false" customHeight="false" outlineLevel="0" collapsed="false">
      <c r="A1060" s="8" t="n">
        <f aca="false">A1059+1</f>
        <v>45985</v>
      </c>
      <c r="B1060" s="7" t="n">
        <f aca="false">YEAR(A1060)</f>
        <v>2025</v>
      </c>
      <c r="C1060" s="7" t="n">
        <f aca="false">MONTH(A1060)</f>
        <v>11</v>
      </c>
      <c r="D1060" s="8" t="n">
        <f aca="false">DATE(B1060,C1060,1)</f>
        <v>45962</v>
      </c>
      <c r="E1060" s="7" t="str">
        <f aca="false">CHOOSE(C1060,"ene","feb","mar","abr","may","jun","jul","ago","sep","oct","nov","dic")</f>
        <v>nov</v>
      </c>
      <c r="F1060" s="7" t="str">
        <f aca="false">CHOOSE(C1060,"enero","febrero","marzo","abril","mayo","junio","julio","agosto","septiembre","octubre","noviembre","diciembre")</f>
        <v>noviembre</v>
      </c>
      <c r="G1060" s="7" t="str">
        <f aca="false">E1060&amp;"-"&amp;RIGHT(B1060,2)</f>
        <v>nov-25</v>
      </c>
    </row>
    <row r="1061" customFormat="false" ht="15" hidden="false" customHeight="false" outlineLevel="0" collapsed="false">
      <c r="A1061" s="8" t="n">
        <f aca="false">A1060+1</f>
        <v>45986</v>
      </c>
      <c r="B1061" s="7" t="n">
        <f aca="false">YEAR(A1061)</f>
        <v>2025</v>
      </c>
      <c r="C1061" s="7" t="n">
        <f aca="false">MONTH(A1061)</f>
        <v>11</v>
      </c>
      <c r="D1061" s="8" t="n">
        <f aca="false">DATE(B1061,C1061,1)</f>
        <v>45962</v>
      </c>
      <c r="E1061" s="7" t="str">
        <f aca="false">CHOOSE(C1061,"ene","feb","mar","abr","may","jun","jul","ago","sep","oct","nov","dic")</f>
        <v>nov</v>
      </c>
      <c r="F1061" s="7" t="str">
        <f aca="false">CHOOSE(C1061,"enero","febrero","marzo","abril","mayo","junio","julio","agosto","septiembre","octubre","noviembre","diciembre")</f>
        <v>noviembre</v>
      </c>
      <c r="G1061" s="7" t="str">
        <f aca="false">E1061&amp;"-"&amp;RIGHT(B1061,2)</f>
        <v>nov-25</v>
      </c>
    </row>
    <row r="1062" customFormat="false" ht="15" hidden="false" customHeight="false" outlineLevel="0" collapsed="false">
      <c r="A1062" s="8" t="n">
        <f aca="false">A1061+1</f>
        <v>45987</v>
      </c>
      <c r="B1062" s="7" t="n">
        <f aca="false">YEAR(A1062)</f>
        <v>2025</v>
      </c>
      <c r="C1062" s="7" t="n">
        <f aca="false">MONTH(A1062)</f>
        <v>11</v>
      </c>
      <c r="D1062" s="8" t="n">
        <f aca="false">DATE(B1062,C1062,1)</f>
        <v>45962</v>
      </c>
      <c r="E1062" s="7" t="str">
        <f aca="false">CHOOSE(C1062,"ene","feb","mar","abr","may","jun","jul","ago","sep","oct","nov","dic")</f>
        <v>nov</v>
      </c>
      <c r="F1062" s="7" t="str">
        <f aca="false">CHOOSE(C1062,"enero","febrero","marzo","abril","mayo","junio","julio","agosto","septiembre","octubre","noviembre","diciembre")</f>
        <v>noviembre</v>
      </c>
      <c r="G1062" s="7" t="str">
        <f aca="false">E1062&amp;"-"&amp;RIGHT(B1062,2)</f>
        <v>nov-25</v>
      </c>
    </row>
    <row r="1063" customFormat="false" ht="15" hidden="false" customHeight="false" outlineLevel="0" collapsed="false">
      <c r="A1063" s="8" t="n">
        <f aca="false">A1062+1</f>
        <v>45988</v>
      </c>
      <c r="B1063" s="7" t="n">
        <f aca="false">YEAR(A1063)</f>
        <v>2025</v>
      </c>
      <c r="C1063" s="7" t="n">
        <f aca="false">MONTH(A1063)</f>
        <v>11</v>
      </c>
      <c r="D1063" s="8" t="n">
        <f aca="false">DATE(B1063,C1063,1)</f>
        <v>45962</v>
      </c>
      <c r="E1063" s="7" t="str">
        <f aca="false">CHOOSE(C1063,"ene","feb","mar","abr","may","jun","jul","ago","sep","oct","nov","dic")</f>
        <v>nov</v>
      </c>
      <c r="F1063" s="7" t="str">
        <f aca="false">CHOOSE(C1063,"enero","febrero","marzo","abril","mayo","junio","julio","agosto","septiembre","octubre","noviembre","diciembre")</f>
        <v>noviembre</v>
      </c>
      <c r="G1063" s="7" t="str">
        <f aca="false">E1063&amp;"-"&amp;RIGHT(B1063,2)</f>
        <v>nov-25</v>
      </c>
    </row>
    <row r="1064" customFormat="false" ht="15" hidden="false" customHeight="false" outlineLevel="0" collapsed="false">
      <c r="A1064" s="8" t="n">
        <f aca="false">A1063+1</f>
        <v>45989</v>
      </c>
      <c r="B1064" s="7" t="n">
        <f aca="false">YEAR(A1064)</f>
        <v>2025</v>
      </c>
      <c r="C1064" s="7" t="n">
        <f aca="false">MONTH(A1064)</f>
        <v>11</v>
      </c>
      <c r="D1064" s="8" t="n">
        <f aca="false">DATE(B1064,C1064,1)</f>
        <v>45962</v>
      </c>
      <c r="E1064" s="7" t="str">
        <f aca="false">CHOOSE(C1064,"ene","feb","mar","abr","may","jun","jul","ago","sep","oct","nov","dic")</f>
        <v>nov</v>
      </c>
      <c r="F1064" s="7" t="str">
        <f aca="false">CHOOSE(C1064,"enero","febrero","marzo","abril","mayo","junio","julio","agosto","septiembre","octubre","noviembre","diciembre")</f>
        <v>noviembre</v>
      </c>
      <c r="G1064" s="7" t="str">
        <f aca="false">E1064&amp;"-"&amp;RIGHT(B1064,2)</f>
        <v>nov-25</v>
      </c>
    </row>
    <row r="1065" customFormat="false" ht="15" hidden="false" customHeight="false" outlineLevel="0" collapsed="false">
      <c r="A1065" s="8" t="n">
        <f aca="false">A1064+1</f>
        <v>45990</v>
      </c>
      <c r="B1065" s="7" t="n">
        <f aca="false">YEAR(A1065)</f>
        <v>2025</v>
      </c>
      <c r="C1065" s="7" t="n">
        <f aca="false">MONTH(A1065)</f>
        <v>11</v>
      </c>
      <c r="D1065" s="8" t="n">
        <f aca="false">DATE(B1065,C1065,1)</f>
        <v>45962</v>
      </c>
      <c r="E1065" s="7" t="str">
        <f aca="false">CHOOSE(C1065,"ene","feb","mar","abr","may","jun","jul","ago","sep","oct","nov","dic")</f>
        <v>nov</v>
      </c>
      <c r="F1065" s="7" t="str">
        <f aca="false">CHOOSE(C1065,"enero","febrero","marzo","abril","mayo","junio","julio","agosto","septiembre","octubre","noviembre","diciembre")</f>
        <v>noviembre</v>
      </c>
      <c r="G1065" s="7" t="str">
        <f aca="false">E1065&amp;"-"&amp;RIGHT(B1065,2)</f>
        <v>nov-25</v>
      </c>
    </row>
    <row r="1066" customFormat="false" ht="15" hidden="false" customHeight="false" outlineLevel="0" collapsed="false">
      <c r="A1066" s="8" t="n">
        <f aca="false">A1065+1</f>
        <v>45991</v>
      </c>
      <c r="B1066" s="7" t="n">
        <f aca="false">YEAR(A1066)</f>
        <v>2025</v>
      </c>
      <c r="C1066" s="7" t="n">
        <f aca="false">MONTH(A1066)</f>
        <v>11</v>
      </c>
      <c r="D1066" s="8" t="n">
        <f aca="false">DATE(B1066,C1066,1)</f>
        <v>45962</v>
      </c>
      <c r="E1066" s="7" t="str">
        <f aca="false">CHOOSE(C1066,"ene","feb","mar","abr","may","jun","jul","ago","sep","oct","nov","dic")</f>
        <v>nov</v>
      </c>
      <c r="F1066" s="7" t="str">
        <f aca="false">CHOOSE(C1066,"enero","febrero","marzo","abril","mayo","junio","julio","agosto","septiembre","octubre","noviembre","diciembre")</f>
        <v>noviembre</v>
      </c>
      <c r="G1066" s="7" t="str">
        <f aca="false">E1066&amp;"-"&amp;RIGHT(B1066,2)</f>
        <v>nov-25</v>
      </c>
    </row>
    <row r="1067" customFormat="false" ht="15" hidden="false" customHeight="false" outlineLevel="0" collapsed="false">
      <c r="A1067" s="8" t="n">
        <f aca="false">A1066+1</f>
        <v>45992</v>
      </c>
      <c r="B1067" s="7" t="n">
        <f aca="false">YEAR(A1067)</f>
        <v>2025</v>
      </c>
      <c r="C1067" s="7" t="n">
        <f aca="false">MONTH(A1067)</f>
        <v>12</v>
      </c>
      <c r="D1067" s="8" t="n">
        <f aca="false">DATE(B1067,C1067,1)</f>
        <v>45992</v>
      </c>
      <c r="E1067" s="7" t="str">
        <f aca="false">CHOOSE(C1067,"ene","feb","mar","abr","may","jun","jul","ago","sep","oct","nov","dic")</f>
        <v>dic</v>
      </c>
      <c r="F1067" s="7" t="str">
        <f aca="false">CHOOSE(C1067,"enero","febrero","marzo","abril","mayo","junio","julio","agosto","septiembre","octubre","noviembre","diciembre")</f>
        <v>diciembre</v>
      </c>
      <c r="G1067" s="7" t="str">
        <f aca="false">E1067&amp;"-"&amp;RIGHT(B1067,2)</f>
        <v>dic-25</v>
      </c>
    </row>
    <row r="1068" customFormat="false" ht="15" hidden="false" customHeight="false" outlineLevel="0" collapsed="false">
      <c r="A1068" s="8" t="n">
        <f aca="false">A1067+1</f>
        <v>45993</v>
      </c>
      <c r="B1068" s="7" t="n">
        <f aca="false">YEAR(A1068)</f>
        <v>2025</v>
      </c>
      <c r="C1068" s="7" t="n">
        <f aca="false">MONTH(A1068)</f>
        <v>12</v>
      </c>
      <c r="D1068" s="8" t="n">
        <f aca="false">DATE(B1068,C1068,1)</f>
        <v>45992</v>
      </c>
      <c r="E1068" s="7" t="str">
        <f aca="false">CHOOSE(C1068,"ene","feb","mar","abr","may","jun","jul","ago","sep","oct","nov","dic")</f>
        <v>dic</v>
      </c>
      <c r="F1068" s="7" t="str">
        <f aca="false">CHOOSE(C1068,"enero","febrero","marzo","abril","mayo","junio","julio","agosto","septiembre","octubre","noviembre","diciembre")</f>
        <v>diciembre</v>
      </c>
      <c r="G1068" s="7" t="str">
        <f aca="false">E1068&amp;"-"&amp;RIGHT(B1068,2)</f>
        <v>dic-25</v>
      </c>
    </row>
    <row r="1069" customFormat="false" ht="15" hidden="false" customHeight="false" outlineLevel="0" collapsed="false">
      <c r="A1069" s="8" t="n">
        <f aca="false">A1068+1</f>
        <v>45994</v>
      </c>
      <c r="B1069" s="7" t="n">
        <f aca="false">YEAR(A1069)</f>
        <v>2025</v>
      </c>
      <c r="C1069" s="7" t="n">
        <f aca="false">MONTH(A1069)</f>
        <v>12</v>
      </c>
      <c r="D1069" s="8" t="n">
        <f aca="false">DATE(B1069,C1069,1)</f>
        <v>45992</v>
      </c>
      <c r="E1069" s="7" t="str">
        <f aca="false">CHOOSE(C1069,"ene","feb","mar","abr","may","jun","jul","ago","sep","oct","nov","dic")</f>
        <v>dic</v>
      </c>
      <c r="F1069" s="7" t="str">
        <f aca="false">CHOOSE(C1069,"enero","febrero","marzo","abril","mayo","junio","julio","agosto","septiembre","octubre","noviembre","diciembre")</f>
        <v>diciembre</v>
      </c>
      <c r="G1069" s="7" t="str">
        <f aca="false">E1069&amp;"-"&amp;RIGHT(B1069,2)</f>
        <v>dic-25</v>
      </c>
    </row>
    <row r="1070" customFormat="false" ht="15" hidden="false" customHeight="false" outlineLevel="0" collapsed="false">
      <c r="A1070" s="8" t="n">
        <f aca="false">A1069+1</f>
        <v>45995</v>
      </c>
      <c r="B1070" s="7" t="n">
        <f aca="false">YEAR(A1070)</f>
        <v>2025</v>
      </c>
      <c r="C1070" s="7" t="n">
        <f aca="false">MONTH(A1070)</f>
        <v>12</v>
      </c>
      <c r="D1070" s="8" t="n">
        <f aca="false">DATE(B1070,C1070,1)</f>
        <v>45992</v>
      </c>
      <c r="E1070" s="7" t="str">
        <f aca="false">CHOOSE(C1070,"ene","feb","mar","abr","may","jun","jul","ago","sep","oct","nov","dic")</f>
        <v>dic</v>
      </c>
      <c r="F1070" s="7" t="str">
        <f aca="false">CHOOSE(C1070,"enero","febrero","marzo","abril","mayo","junio","julio","agosto","septiembre","octubre","noviembre","diciembre")</f>
        <v>diciembre</v>
      </c>
      <c r="G1070" s="7" t="str">
        <f aca="false">E1070&amp;"-"&amp;RIGHT(B1070,2)</f>
        <v>dic-25</v>
      </c>
    </row>
    <row r="1071" customFormat="false" ht="15" hidden="false" customHeight="false" outlineLevel="0" collapsed="false">
      <c r="A1071" s="8" t="n">
        <f aca="false">A1070+1</f>
        <v>45996</v>
      </c>
      <c r="B1071" s="7" t="n">
        <f aca="false">YEAR(A1071)</f>
        <v>2025</v>
      </c>
      <c r="C1071" s="7" t="n">
        <f aca="false">MONTH(A1071)</f>
        <v>12</v>
      </c>
      <c r="D1071" s="8" t="n">
        <f aca="false">DATE(B1071,C1071,1)</f>
        <v>45992</v>
      </c>
      <c r="E1071" s="7" t="str">
        <f aca="false">CHOOSE(C1071,"ene","feb","mar","abr","may","jun","jul","ago","sep","oct","nov","dic")</f>
        <v>dic</v>
      </c>
      <c r="F1071" s="7" t="str">
        <f aca="false">CHOOSE(C1071,"enero","febrero","marzo","abril","mayo","junio","julio","agosto","septiembre","octubre","noviembre","diciembre")</f>
        <v>diciembre</v>
      </c>
      <c r="G1071" s="7" t="str">
        <f aca="false">E1071&amp;"-"&amp;RIGHT(B1071,2)</f>
        <v>dic-25</v>
      </c>
    </row>
    <row r="1072" customFormat="false" ht="15" hidden="false" customHeight="false" outlineLevel="0" collapsed="false">
      <c r="A1072" s="8" t="n">
        <f aca="false">A1071+1</f>
        <v>45997</v>
      </c>
      <c r="B1072" s="7" t="n">
        <f aca="false">YEAR(A1072)</f>
        <v>2025</v>
      </c>
      <c r="C1072" s="7" t="n">
        <f aca="false">MONTH(A1072)</f>
        <v>12</v>
      </c>
      <c r="D1072" s="8" t="n">
        <f aca="false">DATE(B1072,C1072,1)</f>
        <v>45992</v>
      </c>
      <c r="E1072" s="7" t="str">
        <f aca="false">CHOOSE(C1072,"ene","feb","mar","abr","may","jun","jul","ago","sep","oct","nov","dic")</f>
        <v>dic</v>
      </c>
      <c r="F1072" s="7" t="str">
        <f aca="false">CHOOSE(C1072,"enero","febrero","marzo","abril","mayo","junio","julio","agosto","septiembre","octubre","noviembre","diciembre")</f>
        <v>diciembre</v>
      </c>
      <c r="G1072" s="7" t="str">
        <f aca="false">E1072&amp;"-"&amp;RIGHT(B1072,2)</f>
        <v>dic-25</v>
      </c>
    </row>
    <row r="1073" customFormat="false" ht="15" hidden="false" customHeight="false" outlineLevel="0" collapsed="false">
      <c r="A1073" s="8" t="n">
        <f aca="false">A1072+1</f>
        <v>45998</v>
      </c>
      <c r="B1073" s="7" t="n">
        <f aca="false">YEAR(A1073)</f>
        <v>2025</v>
      </c>
      <c r="C1073" s="7" t="n">
        <f aca="false">MONTH(A1073)</f>
        <v>12</v>
      </c>
      <c r="D1073" s="8" t="n">
        <f aca="false">DATE(B1073,C1073,1)</f>
        <v>45992</v>
      </c>
      <c r="E1073" s="7" t="str">
        <f aca="false">CHOOSE(C1073,"ene","feb","mar","abr","may","jun","jul","ago","sep","oct","nov","dic")</f>
        <v>dic</v>
      </c>
      <c r="F1073" s="7" t="str">
        <f aca="false">CHOOSE(C1073,"enero","febrero","marzo","abril","mayo","junio","julio","agosto","septiembre","octubre","noviembre","diciembre")</f>
        <v>diciembre</v>
      </c>
      <c r="G1073" s="7" t="str">
        <f aca="false">E1073&amp;"-"&amp;RIGHT(B1073,2)</f>
        <v>dic-25</v>
      </c>
    </row>
    <row r="1074" customFormat="false" ht="15" hidden="false" customHeight="false" outlineLevel="0" collapsed="false">
      <c r="A1074" s="8" t="n">
        <f aca="false">A1073+1</f>
        <v>45999</v>
      </c>
      <c r="B1074" s="7" t="n">
        <f aca="false">YEAR(A1074)</f>
        <v>2025</v>
      </c>
      <c r="C1074" s="7" t="n">
        <f aca="false">MONTH(A1074)</f>
        <v>12</v>
      </c>
      <c r="D1074" s="8" t="n">
        <f aca="false">DATE(B1074,C1074,1)</f>
        <v>45992</v>
      </c>
      <c r="E1074" s="7" t="str">
        <f aca="false">CHOOSE(C1074,"ene","feb","mar","abr","may","jun","jul","ago","sep","oct","nov","dic")</f>
        <v>dic</v>
      </c>
      <c r="F1074" s="7" t="str">
        <f aca="false">CHOOSE(C1074,"enero","febrero","marzo","abril","mayo","junio","julio","agosto","septiembre","octubre","noviembre","diciembre")</f>
        <v>diciembre</v>
      </c>
      <c r="G1074" s="7" t="str">
        <f aca="false">E1074&amp;"-"&amp;RIGHT(B1074,2)</f>
        <v>dic-25</v>
      </c>
    </row>
    <row r="1075" customFormat="false" ht="15" hidden="false" customHeight="false" outlineLevel="0" collapsed="false">
      <c r="A1075" s="8" t="n">
        <f aca="false">A1074+1</f>
        <v>46000</v>
      </c>
      <c r="B1075" s="7" t="n">
        <f aca="false">YEAR(A1075)</f>
        <v>2025</v>
      </c>
      <c r="C1075" s="7" t="n">
        <f aca="false">MONTH(A1075)</f>
        <v>12</v>
      </c>
      <c r="D1075" s="8" t="n">
        <f aca="false">DATE(B1075,C1075,1)</f>
        <v>45992</v>
      </c>
      <c r="E1075" s="7" t="str">
        <f aca="false">CHOOSE(C1075,"ene","feb","mar","abr","may","jun","jul","ago","sep","oct","nov","dic")</f>
        <v>dic</v>
      </c>
      <c r="F1075" s="7" t="str">
        <f aca="false">CHOOSE(C1075,"enero","febrero","marzo","abril","mayo","junio","julio","agosto","septiembre","octubre","noviembre","diciembre")</f>
        <v>diciembre</v>
      </c>
      <c r="G1075" s="7" t="str">
        <f aca="false">E1075&amp;"-"&amp;RIGHT(B1075,2)</f>
        <v>dic-25</v>
      </c>
    </row>
    <row r="1076" customFormat="false" ht="15" hidden="false" customHeight="false" outlineLevel="0" collapsed="false">
      <c r="A1076" s="8" t="n">
        <f aca="false">A1075+1</f>
        <v>46001</v>
      </c>
      <c r="B1076" s="7" t="n">
        <f aca="false">YEAR(A1076)</f>
        <v>2025</v>
      </c>
      <c r="C1076" s="7" t="n">
        <f aca="false">MONTH(A1076)</f>
        <v>12</v>
      </c>
      <c r="D1076" s="8" t="n">
        <f aca="false">DATE(B1076,C1076,1)</f>
        <v>45992</v>
      </c>
      <c r="E1076" s="7" t="str">
        <f aca="false">CHOOSE(C1076,"ene","feb","mar","abr","may","jun","jul","ago","sep","oct","nov","dic")</f>
        <v>dic</v>
      </c>
      <c r="F1076" s="7" t="str">
        <f aca="false">CHOOSE(C1076,"enero","febrero","marzo","abril","mayo","junio","julio","agosto","septiembre","octubre","noviembre","diciembre")</f>
        <v>diciembre</v>
      </c>
      <c r="G1076" s="7" t="str">
        <f aca="false">E1076&amp;"-"&amp;RIGHT(B1076,2)</f>
        <v>dic-25</v>
      </c>
    </row>
    <row r="1077" customFormat="false" ht="15" hidden="false" customHeight="false" outlineLevel="0" collapsed="false">
      <c r="A1077" s="8" t="n">
        <f aca="false">A1076+1</f>
        <v>46002</v>
      </c>
      <c r="B1077" s="7" t="n">
        <f aca="false">YEAR(A1077)</f>
        <v>2025</v>
      </c>
      <c r="C1077" s="7" t="n">
        <f aca="false">MONTH(A1077)</f>
        <v>12</v>
      </c>
      <c r="D1077" s="8" t="n">
        <f aca="false">DATE(B1077,C1077,1)</f>
        <v>45992</v>
      </c>
      <c r="E1077" s="7" t="str">
        <f aca="false">CHOOSE(C1077,"ene","feb","mar","abr","may","jun","jul","ago","sep","oct","nov","dic")</f>
        <v>dic</v>
      </c>
      <c r="F1077" s="7" t="str">
        <f aca="false">CHOOSE(C1077,"enero","febrero","marzo","abril","mayo","junio","julio","agosto","septiembre","octubre","noviembre","diciembre")</f>
        <v>diciembre</v>
      </c>
      <c r="G1077" s="7" t="str">
        <f aca="false">E1077&amp;"-"&amp;RIGHT(B1077,2)</f>
        <v>dic-25</v>
      </c>
    </row>
    <row r="1078" customFormat="false" ht="15" hidden="false" customHeight="false" outlineLevel="0" collapsed="false">
      <c r="A1078" s="8" t="n">
        <f aca="false">A1077+1</f>
        <v>46003</v>
      </c>
      <c r="B1078" s="7" t="n">
        <f aca="false">YEAR(A1078)</f>
        <v>2025</v>
      </c>
      <c r="C1078" s="7" t="n">
        <f aca="false">MONTH(A1078)</f>
        <v>12</v>
      </c>
      <c r="D1078" s="8" t="n">
        <f aca="false">DATE(B1078,C1078,1)</f>
        <v>45992</v>
      </c>
      <c r="E1078" s="7" t="str">
        <f aca="false">CHOOSE(C1078,"ene","feb","mar","abr","may","jun","jul","ago","sep","oct","nov","dic")</f>
        <v>dic</v>
      </c>
      <c r="F1078" s="7" t="str">
        <f aca="false">CHOOSE(C1078,"enero","febrero","marzo","abril","mayo","junio","julio","agosto","septiembre","octubre","noviembre","diciembre")</f>
        <v>diciembre</v>
      </c>
      <c r="G1078" s="7" t="str">
        <f aca="false">E1078&amp;"-"&amp;RIGHT(B1078,2)</f>
        <v>dic-25</v>
      </c>
    </row>
    <row r="1079" customFormat="false" ht="15" hidden="false" customHeight="false" outlineLevel="0" collapsed="false">
      <c r="A1079" s="8" t="n">
        <f aca="false">A1078+1</f>
        <v>46004</v>
      </c>
      <c r="B1079" s="7" t="n">
        <f aca="false">YEAR(A1079)</f>
        <v>2025</v>
      </c>
      <c r="C1079" s="7" t="n">
        <f aca="false">MONTH(A1079)</f>
        <v>12</v>
      </c>
      <c r="D1079" s="8" t="n">
        <f aca="false">DATE(B1079,C1079,1)</f>
        <v>45992</v>
      </c>
      <c r="E1079" s="7" t="str">
        <f aca="false">CHOOSE(C1079,"ene","feb","mar","abr","may","jun","jul","ago","sep","oct","nov","dic")</f>
        <v>dic</v>
      </c>
      <c r="F1079" s="7" t="str">
        <f aca="false">CHOOSE(C1079,"enero","febrero","marzo","abril","mayo","junio","julio","agosto","septiembre","octubre","noviembre","diciembre")</f>
        <v>diciembre</v>
      </c>
      <c r="G1079" s="7" t="str">
        <f aca="false">E1079&amp;"-"&amp;RIGHT(B1079,2)</f>
        <v>dic-25</v>
      </c>
    </row>
    <row r="1080" customFormat="false" ht="15" hidden="false" customHeight="false" outlineLevel="0" collapsed="false">
      <c r="A1080" s="8" t="n">
        <f aca="false">A1079+1</f>
        <v>46005</v>
      </c>
      <c r="B1080" s="7" t="n">
        <f aca="false">YEAR(A1080)</f>
        <v>2025</v>
      </c>
      <c r="C1080" s="7" t="n">
        <f aca="false">MONTH(A1080)</f>
        <v>12</v>
      </c>
      <c r="D1080" s="8" t="n">
        <f aca="false">DATE(B1080,C1080,1)</f>
        <v>45992</v>
      </c>
      <c r="E1080" s="7" t="str">
        <f aca="false">CHOOSE(C1080,"ene","feb","mar","abr","may","jun","jul","ago","sep","oct","nov","dic")</f>
        <v>dic</v>
      </c>
      <c r="F1080" s="7" t="str">
        <f aca="false">CHOOSE(C1080,"enero","febrero","marzo","abril","mayo","junio","julio","agosto","septiembre","octubre","noviembre","diciembre")</f>
        <v>diciembre</v>
      </c>
      <c r="G1080" s="7" t="str">
        <f aca="false">E1080&amp;"-"&amp;RIGHT(B1080,2)</f>
        <v>dic-25</v>
      </c>
    </row>
    <row r="1081" customFormat="false" ht="15" hidden="false" customHeight="false" outlineLevel="0" collapsed="false">
      <c r="A1081" s="8" t="n">
        <f aca="false">A1080+1</f>
        <v>46006</v>
      </c>
      <c r="B1081" s="7" t="n">
        <f aca="false">YEAR(A1081)</f>
        <v>2025</v>
      </c>
      <c r="C1081" s="7" t="n">
        <f aca="false">MONTH(A1081)</f>
        <v>12</v>
      </c>
      <c r="D1081" s="8" t="n">
        <f aca="false">DATE(B1081,C1081,1)</f>
        <v>45992</v>
      </c>
      <c r="E1081" s="7" t="str">
        <f aca="false">CHOOSE(C1081,"ene","feb","mar","abr","may","jun","jul","ago","sep","oct","nov","dic")</f>
        <v>dic</v>
      </c>
      <c r="F1081" s="7" t="str">
        <f aca="false">CHOOSE(C1081,"enero","febrero","marzo","abril","mayo","junio","julio","agosto","septiembre","octubre","noviembre","diciembre")</f>
        <v>diciembre</v>
      </c>
      <c r="G1081" s="7" t="str">
        <f aca="false">E1081&amp;"-"&amp;RIGHT(B1081,2)</f>
        <v>dic-25</v>
      </c>
    </row>
    <row r="1082" customFormat="false" ht="15" hidden="false" customHeight="false" outlineLevel="0" collapsed="false">
      <c r="A1082" s="8" t="n">
        <f aca="false">A1081+1</f>
        <v>46007</v>
      </c>
      <c r="B1082" s="7" t="n">
        <f aca="false">YEAR(A1082)</f>
        <v>2025</v>
      </c>
      <c r="C1082" s="7" t="n">
        <f aca="false">MONTH(A1082)</f>
        <v>12</v>
      </c>
      <c r="D1082" s="8" t="n">
        <f aca="false">DATE(B1082,C1082,1)</f>
        <v>45992</v>
      </c>
      <c r="E1082" s="7" t="str">
        <f aca="false">CHOOSE(C1082,"ene","feb","mar","abr","may","jun","jul","ago","sep","oct","nov","dic")</f>
        <v>dic</v>
      </c>
      <c r="F1082" s="7" t="str">
        <f aca="false">CHOOSE(C1082,"enero","febrero","marzo","abril","mayo","junio","julio","agosto","septiembre","octubre","noviembre","diciembre")</f>
        <v>diciembre</v>
      </c>
      <c r="G1082" s="7" t="str">
        <f aca="false">E1082&amp;"-"&amp;RIGHT(B1082,2)</f>
        <v>dic-25</v>
      </c>
    </row>
    <row r="1083" customFormat="false" ht="15" hidden="false" customHeight="false" outlineLevel="0" collapsed="false">
      <c r="A1083" s="8" t="n">
        <f aca="false">A1082+1</f>
        <v>46008</v>
      </c>
      <c r="B1083" s="7" t="n">
        <f aca="false">YEAR(A1083)</f>
        <v>2025</v>
      </c>
      <c r="C1083" s="7" t="n">
        <f aca="false">MONTH(A1083)</f>
        <v>12</v>
      </c>
      <c r="D1083" s="8" t="n">
        <f aca="false">DATE(B1083,C1083,1)</f>
        <v>45992</v>
      </c>
      <c r="E1083" s="7" t="str">
        <f aca="false">CHOOSE(C1083,"ene","feb","mar","abr","may","jun","jul","ago","sep","oct","nov","dic")</f>
        <v>dic</v>
      </c>
      <c r="F1083" s="7" t="str">
        <f aca="false">CHOOSE(C1083,"enero","febrero","marzo","abril","mayo","junio","julio","agosto","septiembre","octubre","noviembre","diciembre")</f>
        <v>diciembre</v>
      </c>
      <c r="G1083" s="7" t="str">
        <f aca="false">E1083&amp;"-"&amp;RIGHT(B1083,2)</f>
        <v>dic-25</v>
      </c>
    </row>
    <row r="1084" customFormat="false" ht="15" hidden="false" customHeight="false" outlineLevel="0" collapsed="false">
      <c r="A1084" s="8" t="n">
        <f aca="false">A1083+1</f>
        <v>46009</v>
      </c>
      <c r="B1084" s="7" t="n">
        <f aca="false">YEAR(A1084)</f>
        <v>2025</v>
      </c>
      <c r="C1084" s="7" t="n">
        <f aca="false">MONTH(A1084)</f>
        <v>12</v>
      </c>
      <c r="D1084" s="8" t="n">
        <f aca="false">DATE(B1084,C1084,1)</f>
        <v>45992</v>
      </c>
      <c r="E1084" s="7" t="str">
        <f aca="false">CHOOSE(C1084,"ene","feb","mar","abr","may","jun","jul","ago","sep","oct","nov","dic")</f>
        <v>dic</v>
      </c>
      <c r="F1084" s="7" t="str">
        <f aca="false">CHOOSE(C1084,"enero","febrero","marzo","abril","mayo","junio","julio","agosto","septiembre","octubre","noviembre","diciembre")</f>
        <v>diciembre</v>
      </c>
      <c r="G1084" s="7" t="str">
        <f aca="false">E1084&amp;"-"&amp;RIGHT(B1084,2)</f>
        <v>dic-25</v>
      </c>
    </row>
    <row r="1085" customFormat="false" ht="15" hidden="false" customHeight="false" outlineLevel="0" collapsed="false">
      <c r="A1085" s="8" t="n">
        <f aca="false">A1084+1</f>
        <v>46010</v>
      </c>
      <c r="B1085" s="7" t="n">
        <f aca="false">YEAR(A1085)</f>
        <v>2025</v>
      </c>
      <c r="C1085" s="7" t="n">
        <f aca="false">MONTH(A1085)</f>
        <v>12</v>
      </c>
      <c r="D1085" s="8" t="n">
        <f aca="false">DATE(B1085,C1085,1)</f>
        <v>45992</v>
      </c>
      <c r="E1085" s="7" t="str">
        <f aca="false">CHOOSE(C1085,"ene","feb","mar","abr","may","jun","jul","ago","sep","oct","nov","dic")</f>
        <v>dic</v>
      </c>
      <c r="F1085" s="7" t="str">
        <f aca="false">CHOOSE(C1085,"enero","febrero","marzo","abril","mayo","junio","julio","agosto","septiembre","octubre","noviembre","diciembre")</f>
        <v>diciembre</v>
      </c>
      <c r="G1085" s="7" t="str">
        <f aca="false">E1085&amp;"-"&amp;RIGHT(B1085,2)</f>
        <v>dic-25</v>
      </c>
    </row>
    <row r="1086" customFormat="false" ht="15" hidden="false" customHeight="false" outlineLevel="0" collapsed="false">
      <c r="A1086" s="8" t="n">
        <f aca="false">A1085+1</f>
        <v>46011</v>
      </c>
      <c r="B1086" s="7" t="n">
        <f aca="false">YEAR(A1086)</f>
        <v>2025</v>
      </c>
      <c r="C1086" s="7" t="n">
        <f aca="false">MONTH(A1086)</f>
        <v>12</v>
      </c>
      <c r="D1086" s="8" t="n">
        <f aca="false">DATE(B1086,C1086,1)</f>
        <v>45992</v>
      </c>
      <c r="E1086" s="7" t="str">
        <f aca="false">CHOOSE(C1086,"ene","feb","mar","abr","may","jun","jul","ago","sep","oct","nov","dic")</f>
        <v>dic</v>
      </c>
      <c r="F1086" s="7" t="str">
        <f aca="false">CHOOSE(C1086,"enero","febrero","marzo","abril","mayo","junio","julio","agosto","septiembre","octubre","noviembre","diciembre")</f>
        <v>diciembre</v>
      </c>
      <c r="G1086" s="7" t="str">
        <f aca="false">E1086&amp;"-"&amp;RIGHT(B1086,2)</f>
        <v>dic-25</v>
      </c>
    </row>
    <row r="1087" customFormat="false" ht="15" hidden="false" customHeight="false" outlineLevel="0" collapsed="false">
      <c r="A1087" s="8" t="n">
        <f aca="false">A1086+1</f>
        <v>46012</v>
      </c>
      <c r="B1087" s="7" t="n">
        <f aca="false">YEAR(A1087)</f>
        <v>2025</v>
      </c>
      <c r="C1087" s="7" t="n">
        <f aca="false">MONTH(A1087)</f>
        <v>12</v>
      </c>
      <c r="D1087" s="8" t="n">
        <f aca="false">DATE(B1087,C1087,1)</f>
        <v>45992</v>
      </c>
      <c r="E1087" s="7" t="str">
        <f aca="false">CHOOSE(C1087,"ene","feb","mar","abr","may","jun","jul","ago","sep","oct","nov","dic")</f>
        <v>dic</v>
      </c>
      <c r="F1087" s="7" t="str">
        <f aca="false">CHOOSE(C1087,"enero","febrero","marzo","abril","mayo","junio","julio","agosto","septiembre","octubre","noviembre","diciembre")</f>
        <v>diciembre</v>
      </c>
      <c r="G1087" s="7" t="str">
        <f aca="false">E1087&amp;"-"&amp;RIGHT(B1087,2)</f>
        <v>dic-25</v>
      </c>
    </row>
    <row r="1088" customFormat="false" ht="15" hidden="false" customHeight="false" outlineLevel="0" collapsed="false">
      <c r="A1088" s="8" t="n">
        <f aca="false">A1087+1</f>
        <v>46013</v>
      </c>
      <c r="B1088" s="7" t="n">
        <f aca="false">YEAR(A1088)</f>
        <v>2025</v>
      </c>
      <c r="C1088" s="7" t="n">
        <f aca="false">MONTH(A1088)</f>
        <v>12</v>
      </c>
      <c r="D1088" s="8" t="n">
        <f aca="false">DATE(B1088,C1088,1)</f>
        <v>45992</v>
      </c>
      <c r="E1088" s="7" t="str">
        <f aca="false">CHOOSE(C1088,"ene","feb","mar","abr","may","jun","jul","ago","sep","oct","nov","dic")</f>
        <v>dic</v>
      </c>
      <c r="F1088" s="7" t="str">
        <f aca="false">CHOOSE(C1088,"enero","febrero","marzo","abril","mayo","junio","julio","agosto","septiembre","octubre","noviembre","diciembre")</f>
        <v>diciembre</v>
      </c>
      <c r="G1088" s="7" t="str">
        <f aca="false">E1088&amp;"-"&amp;RIGHT(B1088,2)</f>
        <v>dic-25</v>
      </c>
    </row>
    <row r="1089" customFormat="false" ht="15" hidden="false" customHeight="false" outlineLevel="0" collapsed="false">
      <c r="A1089" s="8" t="n">
        <f aca="false">A1088+1</f>
        <v>46014</v>
      </c>
      <c r="B1089" s="7" t="n">
        <f aca="false">YEAR(A1089)</f>
        <v>2025</v>
      </c>
      <c r="C1089" s="7" t="n">
        <f aca="false">MONTH(A1089)</f>
        <v>12</v>
      </c>
      <c r="D1089" s="8" t="n">
        <f aca="false">DATE(B1089,C1089,1)</f>
        <v>45992</v>
      </c>
      <c r="E1089" s="7" t="str">
        <f aca="false">CHOOSE(C1089,"ene","feb","mar","abr","may","jun","jul","ago","sep","oct","nov","dic")</f>
        <v>dic</v>
      </c>
      <c r="F1089" s="7" t="str">
        <f aca="false">CHOOSE(C1089,"enero","febrero","marzo","abril","mayo","junio","julio","agosto","septiembre","octubre","noviembre","diciembre")</f>
        <v>diciembre</v>
      </c>
      <c r="G1089" s="7" t="str">
        <f aca="false">E1089&amp;"-"&amp;RIGHT(B1089,2)</f>
        <v>dic-25</v>
      </c>
    </row>
    <row r="1090" customFormat="false" ht="15" hidden="false" customHeight="false" outlineLevel="0" collapsed="false">
      <c r="A1090" s="8" t="n">
        <f aca="false">A1089+1</f>
        <v>46015</v>
      </c>
      <c r="B1090" s="7" t="n">
        <f aca="false">YEAR(A1090)</f>
        <v>2025</v>
      </c>
      <c r="C1090" s="7" t="n">
        <f aca="false">MONTH(A1090)</f>
        <v>12</v>
      </c>
      <c r="D1090" s="8" t="n">
        <f aca="false">DATE(B1090,C1090,1)</f>
        <v>45992</v>
      </c>
      <c r="E1090" s="7" t="str">
        <f aca="false">CHOOSE(C1090,"ene","feb","mar","abr","may","jun","jul","ago","sep","oct","nov","dic")</f>
        <v>dic</v>
      </c>
      <c r="F1090" s="7" t="str">
        <f aca="false">CHOOSE(C1090,"enero","febrero","marzo","abril","mayo","junio","julio","agosto","septiembre","octubre","noviembre","diciembre")</f>
        <v>diciembre</v>
      </c>
      <c r="G1090" s="7" t="str">
        <f aca="false">E1090&amp;"-"&amp;RIGHT(B1090,2)</f>
        <v>dic-25</v>
      </c>
    </row>
    <row r="1091" customFormat="false" ht="15" hidden="false" customHeight="false" outlineLevel="0" collapsed="false">
      <c r="A1091" s="8" t="n">
        <f aca="false">A1090+1</f>
        <v>46016</v>
      </c>
      <c r="B1091" s="7" t="n">
        <f aca="false">YEAR(A1091)</f>
        <v>2025</v>
      </c>
      <c r="C1091" s="7" t="n">
        <f aca="false">MONTH(A1091)</f>
        <v>12</v>
      </c>
      <c r="D1091" s="8" t="n">
        <f aca="false">DATE(B1091,C1091,1)</f>
        <v>45992</v>
      </c>
      <c r="E1091" s="7" t="str">
        <f aca="false">CHOOSE(C1091,"ene","feb","mar","abr","may","jun","jul","ago","sep","oct","nov","dic")</f>
        <v>dic</v>
      </c>
      <c r="F1091" s="7" t="str">
        <f aca="false">CHOOSE(C1091,"enero","febrero","marzo","abril","mayo","junio","julio","agosto","septiembre","octubre","noviembre","diciembre")</f>
        <v>diciembre</v>
      </c>
      <c r="G1091" s="7" t="str">
        <f aca="false">E1091&amp;"-"&amp;RIGHT(B1091,2)</f>
        <v>dic-25</v>
      </c>
    </row>
    <row r="1092" customFormat="false" ht="15" hidden="false" customHeight="false" outlineLevel="0" collapsed="false">
      <c r="A1092" s="8" t="n">
        <f aca="false">A1091+1</f>
        <v>46017</v>
      </c>
      <c r="B1092" s="7" t="n">
        <f aca="false">YEAR(A1092)</f>
        <v>2025</v>
      </c>
      <c r="C1092" s="7" t="n">
        <f aca="false">MONTH(A1092)</f>
        <v>12</v>
      </c>
      <c r="D1092" s="8" t="n">
        <f aca="false">DATE(B1092,C1092,1)</f>
        <v>45992</v>
      </c>
      <c r="E1092" s="7" t="str">
        <f aca="false">CHOOSE(C1092,"ene","feb","mar","abr","may","jun","jul","ago","sep","oct","nov","dic")</f>
        <v>dic</v>
      </c>
      <c r="F1092" s="7" t="str">
        <f aca="false">CHOOSE(C1092,"enero","febrero","marzo","abril","mayo","junio","julio","agosto","septiembre","octubre","noviembre","diciembre")</f>
        <v>diciembre</v>
      </c>
      <c r="G1092" s="7" t="str">
        <f aca="false">E1092&amp;"-"&amp;RIGHT(B1092,2)</f>
        <v>dic-25</v>
      </c>
    </row>
    <row r="1093" customFormat="false" ht="15" hidden="false" customHeight="false" outlineLevel="0" collapsed="false">
      <c r="A1093" s="8" t="n">
        <f aca="false">A1092+1</f>
        <v>46018</v>
      </c>
      <c r="B1093" s="7" t="n">
        <f aca="false">YEAR(A1093)</f>
        <v>2025</v>
      </c>
      <c r="C1093" s="7" t="n">
        <f aca="false">MONTH(A1093)</f>
        <v>12</v>
      </c>
      <c r="D1093" s="8" t="n">
        <f aca="false">DATE(B1093,C1093,1)</f>
        <v>45992</v>
      </c>
      <c r="E1093" s="7" t="str">
        <f aca="false">CHOOSE(C1093,"ene","feb","mar","abr","may","jun","jul","ago","sep","oct","nov","dic")</f>
        <v>dic</v>
      </c>
      <c r="F1093" s="7" t="str">
        <f aca="false">CHOOSE(C1093,"enero","febrero","marzo","abril","mayo","junio","julio","agosto","septiembre","octubre","noviembre","diciembre")</f>
        <v>diciembre</v>
      </c>
      <c r="G1093" s="7" t="str">
        <f aca="false">E1093&amp;"-"&amp;RIGHT(B1093,2)</f>
        <v>dic-25</v>
      </c>
    </row>
    <row r="1094" customFormat="false" ht="15" hidden="false" customHeight="false" outlineLevel="0" collapsed="false">
      <c r="A1094" s="8" t="n">
        <f aca="false">A1093+1</f>
        <v>46019</v>
      </c>
      <c r="B1094" s="7" t="n">
        <f aca="false">YEAR(A1094)</f>
        <v>2025</v>
      </c>
      <c r="C1094" s="7" t="n">
        <f aca="false">MONTH(A1094)</f>
        <v>12</v>
      </c>
      <c r="D1094" s="8" t="n">
        <f aca="false">DATE(B1094,C1094,1)</f>
        <v>45992</v>
      </c>
      <c r="E1094" s="7" t="str">
        <f aca="false">CHOOSE(C1094,"ene","feb","mar","abr","may","jun","jul","ago","sep","oct","nov","dic")</f>
        <v>dic</v>
      </c>
      <c r="F1094" s="7" t="str">
        <f aca="false">CHOOSE(C1094,"enero","febrero","marzo","abril","mayo","junio","julio","agosto","septiembre","octubre","noviembre","diciembre")</f>
        <v>diciembre</v>
      </c>
      <c r="G1094" s="7" t="str">
        <f aca="false">E1094&amp;"-"&amp;RIGHT(B1094,2)</f>
        <v>dic-25</v>
      </c>
    </row>
    <row r="1095" customFormat="false" ht="15" hidden="false" customHeight="false" outlineLevel="0" collapsed="false">
      <c r="A1095" s="8" t="n">
        <f aca="false">A1094+1</f>
        <v>46020</v>
      </c>
      <c r="B1095" s="7" t="n">
        <f aca="false">YEAR(A1095)</f>
        <v>2025</v>
      </c>
      <c r="C1095" s="7" t="n">
        <f aca="false">MONTH(A1095)</f>
        <v>12</v>
      </c>
      <c r="D1095" s="8" t="n">
        <f aca="false">DATE(B1095,C1095,1)</f>
        <v>45992</v>
      </c>
      <c r="E1095" s="7" t="str">
        <f aca="false">CHOOSE(C1095,"ene","feb","mar","abr","may","jun","jul","ago","sep","oct","nov","dic")</f>
        <v>dic</v>
      </c>
      <c r="F1095" s="7" t="str">
        <f aca="false">CHOOSE(C1095,"enero","febrero","marzo","abril","mayo","junio","julio","agosto","septiembre","octubre","noviembre","diciembre")</f>
        <v>diciembre</v>
      </c>
      <c r="G1095" s="7" t="str">
        <f aca="false">E1095&amp;"-"&amp;RIGHT(B1095,2)</f>
        <v>dic-25</v>
      </c>
    </row>
    <row r="1096" customFormat="false" ht="15" hidden="false" customHeight="false" outlineLevel="0" collapsed="false">
      <c r="A1096" s="8" t="n">
        <f aca="false">A1095+1</f>
        <v>46021</v>
      </c>
      <c r="B1096" s="7" t="n">
        <f aca="false">YEAR(A1096)</f>
        <v>2025</v>
      </c>
      <c r="C1096" s="7" t="n">
        <f aca="false">MONTH(A1096)</f>
        <v>12</v>
      </c>
      <c r="D1096" s="8" t="n">
        <f aca="false">DATE(B1096,C1096,1)</f>
        <v>45992</v>
      </c>
      <c r="E1096" s="7" t="str">
        <f aca="false">CHOOSE(C1096,"ene","feb","mar","abr","may","jun","jul","ago","sep","oct","nov","dic")</f>
        <v>dic</v>
      </c>
      <c r="F1096" s="7" t="str">
        <f aca="false">CHOOSE(C1096,"enero","febrero","marzo","abril","mayo","junio","julio","agosto","septiembre","octubre","noviembre","diciembre")</f>
        <v>diciembre</v>
      </c>
      <c r="G1096" s="7" t="str">
        <f aca="false">E1096&amp;"-"&amp;RIGHT(B1096,2)</f>
        <v>dic-25</v>
      </c>
    </row>
    <row r="1097" customFormat="false" ht="15" hidden="false" customHeight="false" outlineLevel="0" collapsed="false">
      <c r="A1097" s="8" t="n">
        <f aca="false">A1096+1</f>
        <v>46022</v>
      </c>
      <c r="B1097" s="7" t="n">
        <f aca="false">YEAR(A1097)</f>
        <v>2025</v>
      </c>
      <c r="C1097" s="7" t="n">
        <f aca="false">MONTH(A1097)</f>
        <v>12</v>
      </c>
      <c r="D1097" s="8" t="n">
        <f aca="false">DATE(B1097,C1097,1)</f>
        <v>45992</v>
      </c>
      <c r="E1097" s="7" t="str">
        <f aca="false">CHOOSE(C1097,"ene","feb","mar","abr","may","jun","jul","ago","sep","oct","nov","dic")</f>
        <v>dic</v>
      </c>
      <c r="F1097" s="7" t="str">
        <f aca="false">CHOOSE(C1097,"enero","febrero","marzo","abril","mayo","junio","julio","agosto","septiembre","octubre","noviembre","diciembre")</f>
        <v>diciembre</v>
      </c>
      <c r="G1097" s="7" t="str">
        <f aca="false">E1097&amp;"-"&amp;RIGHT(B1097,2)</f>
        <v>dic-25</v>
      </c>
    </row>
    <row r="1098" customFormat="false" ht="15" hidden="false" customHeight="false" outlineLevel="0" collapsed="false">
      <c r="A1098" s="8" t="n">
        <f aca="false">A1097+1</f>
        <v>46023</v>
      </c>
      <c r="B1098" s="7" t="n">
        <f aca="false">YEAR(A1098)</f>
        <v>2026</v>
      </c>
      <c r="C1098" s="7" t="n">
        <f aca="false">MONTH(A1098)</f>
        <v>1</v>
      </c>
      <c r="D1098" s="8" t="n">
        <f aca="false">DATE(B1098,C1098,1)</f>
        <v>46023</v>
      </c>
      <c r="E1098" s="7" t="str">
        <f aca="false">CHOOSE(C1098,"ene","feb","mar","abr","may","jun","jul","ago","sep","oct","nov","dic")</f>
        <v>ene</v>
      </c>
      <c r="F1098" s="7" t="str">
        <f aca="false">CHOOSE(C1098,"enero","febrero","marzo","abril","mayo","junio","julio","agosto","septiembre","octubre","noviembre","diciembre")</f>
        <v>enero</v>
      </c>
      <c r="G1098" s="7" t="str">
        <f aca="false">E1098&amp;"-"&amp;RIGHT(B1098,2)</f>
        <v>ene-26</v>
      </c>
    </row>
    <row r="1099" customFormat="false" ht="15" hidden="false" customHeight="false" outlineLevel="0" collapsed="false">
      <c r="A1099" s="8" t="n">
        <f aca="false">A1098+1</f>
        <v>46024</v>
      </c>
      <c r="B1099" s="7" t="n">
        <f aca="false">YEAR(A1099)</f>
        <v>2026</v>
      </c>
      <c r="C1099" s="7" t="n">
        <f aca="false">MONTH(A1099)</f>
        <v>1</v>
      </c>
      <c r="D1099" s="8" t="n">
        <f aca="false">DATE(B1099,C1099,1)</f>
        <v>46023</v>
      </c>
      <c r="E1099" s="7" t="str">
        <f aca="false">CHOOSE(C1099,"ene","feb","mar","abr","may","jun","jul","ago","sep","oct","nov","dic")</f>
        <v>ene</v>
      </c>
      <c r="F1099" s="7" t="str">
        <f aca="false">CHOOSE(C1099,"enero","febrero","marzo","abril","mayo","junio","julio","agosto","septiembre","octubre","noviembre","diciembre")</f>
        <v>enero</v>
      </c>
      <c r="G1099" s="7" t="str">
        <f aca="false">E1099&amp;"-"&amp;RIGHT(B1099,2)</f>
        <v>ene-26</v>
      </c>
    </row>
    <row r="1100" customFormat="false" ht="15" hidden="false" customHeight="false" outlineLevel="0" collapsed="false">
      <c r="A1100" s="8" t="n">
        <f aca="false">A1099+1</f>
        <v>46025</v>
      </c>
      <c r="B1100" s="7" t="n">
        <f aca="false">YEAR(A1100)</f>
        <v>2026</v>
      </c>
      <c r="C1100" s="7" t="n">
        <f aca="false">MONTH(A1100)</f>
        <v>1</v>
      </c>
      <c r="D1100" s="8" t="n">
        <f aca="false">DATE(B1100,C1100,1)</f>
        <v>46023</v>
      </c>
      <c r="E1100" s="7" t="str">
        <f aca="false">CHOOSE(C1100,"ene","feb","mar","abr","may","jun","jul","ago","sep","oct","nov","dic")</f>
        <v>ene</v>
      </c>
      <c r="F1100" s="7" t="str">
        <f aca="false">CHOOSE(C1100,"enero","febrero","marzo","abril","mayo","junio","julio","agosto","septiembre","octubre","noviembre","diciembre")</f>
        <v>enero</v>
      </c>
      <c r="G1100" s="7" t="str">
        <f aca="false">E1100&amp;"-"&amp;RIGHT(B1100,2)</f>
        <v>ene-26</v>
      </c>
    </row>
    <row r="1101" customFormat="false" ht="15" hidden="false" customHeight="false" outlineLevel="0" collapsed="false">
      <c r="A1101" s="8" t="n">
        <f aca="false">A1100+1</f>
        <v>46026</v>
      </c>
      <c r="B1101" s="7" t="n">
        <f aca="false">YEAR(A1101)</f>
        <v>2026</v>
      </c>
      <c r="C1101" s="7" t="n">
        <f aca="false">MONTH(A1101)</f>
        <v>1</v>
      </c>
      <c r="D1101" s="8" t="n">
        <f aca="false">DATE(B1101,C1101,1)</f>
        <v>46023</v>
      </c>
      <c r="E1101" s="7" t="str">
        <f aca="false">CHOOSE(C1101,"ene","feb","mar","abr","may","jun","jul","ago","sep","oct","nov","dic")</f>
        <v>ene</v>
      </c>
      <c r="F1101" s="7" t="str">
        <f aca="false">CHOOSE(C1101,"enero","febrero","marzo","abril","mayo","junio","julio","agosto","septiembre","octubre","noviembre","diciembre")</f>
        <v>enero</v>
      </c>
      <c r="G1101" s="7" t="str">
        <f aca="false">E1101&amp;"-"&amp;RIGHT(B1101,2)</f>
        <v>ene-26</v>
      </c>
    </row>
    <row r="1102" customFormat="false" ht="15" hidden="false" customHeight="false" outlineLevel="0" collapsed="false">
      <c r="A1102" s="8" t="n">
        <f aca="false">A1101+1</f>
        <v>46027</v>
      </c>
      <c r="B1102" s="7" t="n">
        <f aca="false">YEAR(A1102)</f>
        <v>2026</v>
      </c>
      <c r="C1102" s="7" t="n">
        <f aca="false">MONTH(A1102)</f>
        <v>1</v>
      </c>
      <c r="D1102" s="8" t="n">
        <f aca="false">DATE(B1102,C1102,1)</f>
        <v>46023</v>
      </c>
      <c r="E1102" s="7" t="str">
        <f aca="false">CHOOSE(C1102,"ene","feb","mar","abr","may","jun","jul","ago","sep","oct","nov","dic")</f>
        <v>ene</v>
      </c>
      <c r="F1102" s="7" t="str">
        <f aca="false">CHOOSE(C1102,"enero","febrero","marzo","abril","mayo","junio","julio","agosto","septiembre","octubre","noviembre","diciembre")</f>
        <v>enero</v>
      </c>
      <c r="G1102" s="7" t="str">
        <f aca="false">E1102&amp;"-"&amp;RIGHT(B1102,2)</f>
        <v>ene-26</v>
      </c>
    </row>
    <row r="1103" customFormat="false" ht="15" hidden="false" customHeight="false" outlineLevel="0" collapsed="false">
      <c r="A1103" s="8" t="n">
        <f aca="false">A1102+1</f>
        <v>46028</v>
      </c>
      <c r="B1103" s="7" t="n">
        <f aca="false">YEAR(A1103)</f>
        <v>2026</v>
      </c>
      <c r="C1103" s="7" t="n">
        <f aca="false">MONTH(A1103)</f>
        <v>1</v>
      </c>
      <c r="D1103" s="8" t="n">
        <f aca="false">DATE(B1103,C1103,1)</f>
        <v>46023</v>
      </c>
      <c r="E1103" s="7" t="str">
        <f aca="false">CHOOSE(C1103,"ene","feb","mar","abr","may","jun","jul","ago","sep","oct","nov","dic")</f>
        <v>ene</v>
      </c>
      <c r="F1103" s="7" t="str">
        <f aca="false">CHOOSE(C1103,"enero","febrero","marzo","abril","mayo","junio","julio","agosto","septiembre","octubre","noviembre","diciembre")</f>
        <v>enero</v>
      </c>
      <c r="G1103" s="7" t="str">
        <f aca="false">E1103&amp;"-"&amp;RIGHT(B1103,2)</f>
        <v>ene-26</v>
      </c>
    </row>
    <row r="1104" customFormat="false" ht="15" hidden="false" customHeight="false" outlineLevel="0" collapsed="false">
      <c r="A1104" s="8" t="n">
        <f aca="false">A1103+1</f>
        <v>46029</v>
      </c>
      <c r="B1104" s="7" t="n">
        <f aca="false">YEAR(A1104)</f>
        <v>2026</v>
      </c>
      <c r="C1104" s="7" t="n">
        <f aca="false">MONTH(A1104)</f>
        <v>1</v>
      </c>
      <c r="D1104" s="8" t="n">
        <f aca="false">DATE(B1104,C1104,1)</f>
        <v>46023</v>
      </c>
      <c r="E1104" s="7" t="str">
        <f aca="false">CHOOSE(C1104,"ene","feb","mar","abr","may","jun","jul","ago","sep","oct","nov","dic")</f>
        <v>ene</v>
      </c>
      <c r="F1104" s="7" t="str">
        <f aca="false">CHOOSE(C1104,"enero","febrero","marzo","abril","mayo","junio","julio","agosto","septiembre","octubre","noviembre","diciembre")</f>
        <v>enero</v>
      </c>
      <c r="G1104" s="7" t="str">
        <f aca="false">E1104&amp;"-"&amp;RIGHT(B1104,2)</f>
        <v>ene-26</v>
      </c>
    </row>
    <row r="1105" customFormat="false" ht="15" hidden="false" customHeight="false" outlineLevel="0" collapsed="false">
      <c r="A1105" s="8" t="n">
        <f aca="false">A1104+1</f>
        <v>46030</v>
      </c>
      <c r="B1105" s="7" t="n">
        <f aca="false">YEAR(A1105)</f>
        <v>2026</v>
      </c>
      <c r="C1105" s="7" t="n">
        <f aca="false">MONTH(A1105)</f>
        <v>1</v>
      </c>
      <c r="D1105" s="8" t="n">
        <f aca="false">DATE(B1105,C1105,1)</f>
        <v>46023</v>
      </c>
      <c r="E1105" s="7" t="str">
        <f aca="false">CHOOSE(C1105,"ene","feb","mar","abr","may","jun","jul","ago","sep","oct","nov","dic")</f>
        <v>ene</v>
      </c>
      <c r="F1105" s="7" t="str">
        <f aca="false">CHOOSE(C1105,"enero","febrero","marzo","abril","mayo","junio","julio","agosto","septiembre","octubre","noviembre","diciembre")</f>
        <v>enero</v>
      </c>
      <c r="G1105" s="7" t="str">
        <f aca="false">E1105&amp;"-"&amp;RIGHT(B1105,2)</f>
        <v>ene-26</v>
      </c>
    </row>
    <row r="1106" customFormat="false" ht="15" hidden="false" customHeight="false" outlineLevel="0" collapsed="false">
      <c r="A1106" s="8" t="n">
        <f aca="false">A1105+1</f>
        <v>46031</v>
      </c>
      <c r="B1106" s="7" t="n">
        <f aca="false">YEAR(A1106)</f>
        <v>2026</v>
      </c>
      <c r="C1106" s="7" t="n">
        <f aca="false">MONTH(A1106)</f>
        <v>1</v>
      </c>
      <c r="D1106" s="8" t="n">
        <f aca="false">DATE(B1106,C1106,1)</f>
        <v>46023</v>
      </c>
      <c r="E1106" s="7" t="str">
        <f aca="false">CHOOSE(C1106,"ene","feb","mar","abr","may","jun","jul","ago","sep","oct","nov","dic")</f>
        <v>ene</v>
      </c>
      <c r="F1106" s="7" t="str">
        <f aca="false">CHOOSE(C1106,"enero","febrero","marzo","abril","mayo","junio","julio","agosto","septiembre","octubre","noviembre","diciembre")</f>
        <v>enero</v>
      </c>
      <c r="G1106" s="7" t="str">
        <f aca="false">E1106&amp;"-"&amp;RIGHT(B1106,2)</f>
        <v>ene-26</v>
      </c>
    </row>
    <row r="1107" customFormat="false" ht="15" hidden="false" customHeight="false" outlineLevel="0" collapsed="false">
      <c r="A1107" s="8" t="n">
        <f aca="false">A1106+1</f>
        <v>46032</v>
      </c>
      <c r="B1107" s="7" t="n">
        <f aca="false">YEAR(A1107)</f>
        <v>2026</v>
      </c>
      <c r="C1107" s="7" t="n">
        <f aca="false">MONTH(A1107)</f>
        <v>1</v>
      </c>
      <c r="D1107" s="8" t="n">
        <f aca="false">DATE(B1107,C1107,1)</f>
        <v>46023</v>
      </c>
      <c r="E1107" s="7" t="str">
        <f aca="false">CHOOSE(C1107,"ene","feb","mar","abr","may","jun","jul","ago","sep","oct","nov","dic")</f>
        <v>ene</v>
      </c>
      <c r="F1107" s="7" t="str">
        <f aca="false">CHOOSE(C1107,"enero","febrero","marzo","abril","mayo","junio","julio","agosto","septiembre","octubre","noviembre","diciembre")</f>
        <v>enero</v>
      </c>
      <c r="G1107" s="7" t="str">
        <f aca="false">E1107&amp;"-"&amp;RIGHT(B1107,2)</f>
        <v>ene-26</v>
      </c>
    </row>
    <row r="1108" customFormat="false" ht="15" hidden="false" customHeight="false" outlineLevel="0" collapsed="false">
      <c r="A1108" s="8" t="n">
        <f aca="false">A1107+1</f>
        <v>46033</v>
      </c>
      <c r="B1108" s="7" t="n">
        <f aca="false">YEAR(A1108)</f>
        <v>2026</v>
      </c>
      <c r="C1108" s="7" t="n">
        <f aca="false">MONTH(A1108)</f>
        <v>1</v>
      </c>
      <c r="D1108" s="8" t="n">
        <f aca="false">DATE(B1108,C1108,1)</f>
        <v>46023</v>
      </c>
      <c r="E1108" s="7" t="str">
        <f aca="false">CHOOSE(C1108,"ene","feb","mar","abr","may","jun","jul","ago","sep","oct","nov","dic")</f>
        <v>ene</v>
      </c>
      <c r="F1108" s="7" t="str">
        <f aca="false">CHOOSE(C1108,"enero","febrero","marzo","abril","mayo","junio","julio","agosto","septiembre","octubre","noviembre","diciembre")</f>
        <v>enero</v>
      </c>
      <c r="G1108" s="7" t="str">
        <f aca="false">E1108&amp;"-"&amp;RIGHT(B1108,2)</f>
        <v>ene-26</v>
      </c>
    </row>
    <row r="1109" customFormat="false" ht="15" hidden="false" customHeight="false" outlineLevel="0" collapsed="false">
      <c r="A1109" s="8" t="n">
        <f aca="false">A1108+1</f>
        <v>46034</v>
      </c>
      <c r="B1109" s="7" t="n">
        <f aca="false">YEAR(A1109)</f>
        <v>2026</v>
      </c>
      <c r="C1109" s="7" t="n">
        <f aca="false">MONTH(A1109)</f>
        <v>1</v>
      </c>
      <c r="D1109" s="8" t="n">
        <f aca="false">DATE(B1109,C1109,1)</f>
        <v>46023</v>
      </c>
      <c r="E1109" s="7" t="str">
        <f aca="false">CHOOSE(C1109,"ene","feb","mar","abr","may","jun","jul","ago","sep","oct","nov","dic")</f>
        <v>ene</v>
      </c>
      <c r="F1109" s="7" t="str">
        <f aca="false">CHOOSE(C1109,"enero","febrero","marzo","abril","mayo","junio","julio","agosto","septiembre","octubre","noviembre","diciembre")</f>
        <v>enero</v>
      </c>
      <c r="G1109" s="7" t="str">
        <f aca="false">E1109&amp;"-"&amp;RIGHT(B1109,2)</f>
        <v>ene-26</v>
      </c>
    </row>
    <row r="1110" customFormat="false" ht="15" hidden="false" customHeight="false" outlineLevel="0" collapsed="false">
      <c r="A1110" s="8" t="n">
        <f aca="false">A1109+1</f>
        <v>46035</v>
      </c>
      <c r="B1110" s="7" t="n">
        <f aca="false">YEAR(A1110)</f>
        <v>2026</v>
      </c>
      <c r="C1110" s="7" t="n">
        <f aca="false">MONTH(A1110)</f>
        <v>1</v>
      </c>
      <c r="D1110" s="8" t="n">
        <f aca="false">DATE(B1110,C1110,1)</f>
        <v>46023</v>
      </c>
      <c r="E1110" s="7" t="str">
        <f aca="false">CHOOSE(C1110,"ene","feb","mar","abr","may","jun","jul","ago","sep","oct","nov","dic")</f>
        <v>ene</v>
      </c>
      <c r="F1110" s="7" t="str">
        <f aca="false">CHOOSE(C1110,"enero","febrero","marzo","abril","mayo","junio","julio","agosto","septiembre","octubre","noviembre","diciembre")</f>
        <v>enero</v>
      </c>
      <c r="G1110" s="7" t="str">
        <f aca="false">E1110&amp;"-"&amp;RIGHT(B1110,2)</f>
        <v>ene-26</v>
      </c>
    </row>
    <row r="1111" customFormat="false" ht="15" hidden="false" customHeight="false" outlineLevel="0" collapsed="false">
      <c r="A1111" s="8" t="n">
        <f aca="false">A1110+1</f>
        <v>46036</v>
      </c>
      <c r="B1111" s="7" t="n">
        <f aca="false">YEAR(A1111)</f>
        <v>2026</v>
      </c>
      <c r="C1111" s="7" t="n">
        <f aca="false">MONTH(A1111)</f>
        <v>1</v>
      </c>
      <c r="D1111" s="8" t="n">
        <f aca="false">DATE(B1111,C1111,1)</f>
        <v>46023</v>
      </c>
      <c r="E1111" s="7" t="str">
        <f aca="false">CHOOSE(C1111,"ene","feb","mar","abr","may","jun","jul","ago","sep","oct","nov","dic")</f>
        <v>ene</v>
      </c>
      <c r="F1111" s="7" t="str">
        <f aca="false">CHOOSE(C1111,"enero","febrero","marzo","abril","mayo","junio","julio","agosto","septiembre","octubre","noviembre","diciembre")</f>
        <v>enero</v>
      </c>
      <c r="G1111" s="7" t="str">
        <f aca="false">E1111&amp;"-"&amp;RIGHT(B1111,2)</f>
        <v>ene-26</v>
      </c>
    </row>
    <row r="1112" customFormat="false" ht="15" hidden="false" customHeight="false" outlineLevel="0" collapsed="false">
      <c r="A1112" s="8" t="n">
        <f aca="false">A1111+1</f>
        <v>46037</v>
      </c>
      <c r="B1112" s="7" t="n">
        <f aca="false">YEAR(A1112)</f>
        <v>2026</v>
      </c>
      <c r="C1112" s="7" t="n">
        <f aca="false">MONTH(A1112)</f>
        <v>1</v>
      </c>
      <c r="D1112" s="8" t="n">
        <f aca="false">DATE(B1112,C1112,1)</f>
        <v>46023</v>
      </c>
      <c r="E1112" s="7" t="str">
        <f aca="false">CHOOSE(C1112,"ene","feb","mar","abr","may","jun","jul","ago","sep","oct","nov","dic")</f>
        <v>ene</v>
      </c>
      <c r="F1112" s="7" t="str">
        <f aca="false">CHOOSE(C1112,"enero","febrero","marzo","abril","mayo","junio","julio","agosto","septiembre","octubre","noviembre","diciembre")</f>
        <v>enero</v>
      </c>
      <c r="G1112" s="7" t="str">
        <f aca="false">E1112&amp;"-"&amp;RIGHT(B1112,2)</f>
        <v>ene-26</v>
      </c>
    </row>
    <row r="1113" customFormat="false" ht="15" hidden="false" customHeight="false" outlineLevel="0" collapsed="false">
      <c r="A1113" s="8" t="n">
        <f aca="false">A1112+1</f>
        <v>46038</v>
      </c>
      <c r="B1113" s="7" t="n">
        <f aca="false">YEAR(A1113)</f>
        <v>2026</v>
      </c>
      <c r="C1113" s="7" t="n">
        <f aca="false">MONTH(A1113)</f>
        <v>1</v>
      </c>
      <c r="D1113" s="8" t="n">
        <f aca="false">DATE(B1113,C1113,1)</f>
        <v>46023</v>
      </c>
      <c r="E1113" s="7" t="str">
        <f aca="false">CHOOSE(C1113,"ene","feb","mar","abr","may","jun","jul","ago","sep","oct","nov","dic")</f>
        <v>ene</v>
      </c>
      <c r="F1113" s="7" t="str">
        <f aca="false">CHOOSE(C1113,"enero","febrero","marzo","abril","mayo","junio","julio","agosto","septiembre","octubre","noviembre","diciembre")</f>
        <v>enero</v>
      </c>
      <c r="G1113" s="7" t="str">
        <f aca="false">E1113&amp;"-"&amp;RIGHT(B1113,2)</f>
        <v>ene-26</v>
      </c>
    </row>
    <row r="1114" customFormat="false" ht="15" hidden="false" customHeight="false" outlineLevel="0" collapsed="false">
      <c r="A1114" s="8" t="n">
        <f aca="false">A1113+1</f>
        <v>46039</v>
      </c>
      <c r="B1114" s="7" t="n">
        <f aca="false">YEAR(A1114)</f>
        <v>2026</v>
      </c>
      <c r="C1114" s="7" t="n">
        <f aca="false">MONTH(A1114)</f>
        <v>1</v>
      </c>
      <c r="D1114" s="8" t="n">
        <f aca="false">DATE(B1114,C1114,1)</f>
        <v>46023</v>
      </c>
      <c r="E1114" s="7" t="str">
        <f aca="false">CHOOSE(C1114,"ene","feb","mar","abr","may","jun","jul","ago","sep","oct","nov","dic")</f>
        <v>ene</v>
      </c>
      <c r="F1114" s="7" t="str">
        <f aca="false">CHOOSE(C1114,"enero","febrero","marzo","abril","mayo","junio","julio","agosto","septiembre","octubre","noviembre","diciembre")</f>
        <v>enero</v>
      </c>
      <c r="G1114" s="7" t="str">
        <f aca="false">E1114&amp;"-"&amp;RIGHT(B1114,2)</f>
        <v>ene-26</v>
      </c>
    </row>
    <row r="1115" customFormat="false" ht="15" hidden="false" customHeight="false" outlineLevel="0" collapsed="false">
      <c r="A1115" s="8" t="n">
        <f aca="false">A1114+1</f>
        <v>46040</v>
      </c>
      <c r="B1115" s="7" t="n">
        <f aca="false">YEAR(A1115)</f>
        <v>2026</v>
      </c>
      <c r="C1115" s="7" t="n">
        <f aca="false">MONTH(A1115)</f>
        <v>1</v>
      </c>
      <c r="D1115" s="8" t="n">
        <f aca="false">DATE(B1115,C1115,1)</f>
        <v>46023</v>
      </c>
      <c r="E1115" s="7" t="str">
        <f aca="false">CHOOSE(C1115,"ene","feb","mar","abr","may","jun","jul","ago","sep","oct","nov","dic")</f>
        <v>ene</v>
      </c>
      <c r="F1115" s="7" t="str">
        <f aca="false">CHOOSE(C1115,"enero","febrero","marzo","abril","mayo","junio","julio","agosto","septiembre","octubre","noviembre","diciembre")</f>
        <v>enero</v>
      </c>
      <c r="G1115" s="7" t="str">
        <f aca="false">E1115&amp;"-"&amp;RIGHT(B1115,2)</f>
        <v>ene-26</v>
      </c>
    </row>
    <row r="1116" customFormat="false" ht="15" hidden="false" customHeight="false" outlineLevel="0" collapsed="false">
      <c r="A1116" s="8" t="n">
        <f aca="false">A1115+1</f>
        <v>46041</v>
      </c>
      <c r="B1116" s="7" t="n">
        <f aca="false">YEAR(A1116)</f>
        <v>2026</v>
      </c>
      <c r="C1116" s="7" t="n">
        <f aca="false">MONTH(A1116)</f>
        <v>1</v>
      </c>
      <c r="D1116" s="8" t="n">
        <f aca="false">DATE(B1116,C1116,1)</f>
        <v>46023</v>
      </c>
      <c r="E1116" s="7" t="str">
        <f aca="false">CHOOSE(C1116,"ene","feb","mar","abr","may","jun","jul","ago","sep","oct","nov","dic")</f>
        <v>ene</v>
      </c>
      <c r="F1116" s="7" t="str">
        <f aca="false">CHOOSE(C1116,"enero","febrero","marzo","abril","mayo","junio","julio","agosto","septiembre","octubre","noviembre","diciembre")</f>
        <v>enero</v>
      </c>
      <c r="G1116" s="7" t="str">
        <f aca="false">E1116&amp;"-"&amp;RIGHT(B1116,2)</f>
        <v>ene-26</v>
      </c>
    </row>
    <row r="1117" customFormat="false" ht="15" hidden="false" customHeight="false" outlineLevel="0" collapsed="false">
      <c r="A1117" s="8" t="n">
        <f aca="false">A1116+1</f>
        <v>46042</v>
      </c>
      <c r="B1117" s="7" t="n">
        <f aca="false">YEAR(A1117)</f>
        <v>2026</v>
      </c>
      <c r="C1117" s="7" t="n">
        <f aca="false">MONTH(A1117)</f>
        <v>1</v>
      </c>
      <c r="D1117" s="8" t="n">
        <f aca="false">DATE(B1117,C1117,1)</f>
        <v>46023</v>
      </c>
      <c r="E1117" s="7" t="str">
        <f aca="false">CHOOSE(C1117,"ene","feb","mar","abr","may","jun","jul","ago","sep","oct","nov","dic")</f>
        <v>ene</v>
      </c>
      <c r="F1117" s="7" t="str">
        <f aca="false">CHOOSE(C1117,"enero","febrero","marzo","abril","mayo","junio","julio","agosto","septiembre","octubre","noviembre","diciembre")</f>
        <v>enero</v>
      </c>
      <c r="G1117" s="7" t="str">
        <f aca="false">E1117&amp;"-"&amp;RIGHT(B1117,2)</f>
        <v>ene-26</v>
      </c>
    </row>
    <row r="1118" customFormat="false" ht="15" hidden="false" customHeight="false" outlineLevel="0" collapsed="false">
      <c r="A1118" s="8" t="n">
        <f aca="false">A1117+1</f>
        <v>46043</v>
      </c>
      <c r="B1118" s="7" t="n">
        <f aca="false">YEAR(A1118)</f>
        <v>2026</v>
      </c>
      <c r="C1118" s="7" t="n">
        <f aca="false">MONTH(A1118)</f>
        <v>1</v>
      </c>
      <c r="D1118" s="8" t="n">
        <f aca="false">DATE(B1118,C1118,1)</f>
        <v>46023</v>
      </c>
      <c r="E1118" s="7" t="str">
        <f aca="false">CHOOSE(C1118,"ene","feb","mar","abr","may","jun","jul","ago","sep","oct","nov","dic")</f>
        <v>ene</v>
      </c>
      <c r="F1118" s="7" t="str">
        <f aca="false">CHOOSE(C1118,"enero","febrero","marzo","abril","mayo","junio","julio","agosto","septiembre","octubre","noviembre","diciembre")</f>
        <v>enero</v>
      </c>
      <c r="G1118" s="7" t="str">
        <f aca="false">E1118&amp;"-"&amp;RIGHT(B1118,2)</f>
        <v>ene-26</v>
      </c>
    </row>
    <row r="1119" customFormat="false" ht="15" hidden="false" customHeight="false" outlineLevel="0" collapsed="false">
      <c r="A1119" s="8" t="n">
        <f aca="false">A1118+1</f>
        <v>46044</v>
      </c>
      <c r="B1119" s="7" t="n">
        <f aca="false">YEAR(A1119)</f>
        <v>2026</v>
      </c>
      <c r="C1119" s="7" t="n">
        <f aca="false">MONTH(A1119)</f>
        <v>1</v>
      </c>
      <c r="D1119" s="8" t="n">
        <f aca="false">DATE(B1119,C1119,1)</f>
        <v>46023</v>
      </c>
      <c r="E1119" s="7" t="str">
        <f aca="false">CHOOSE(C1119,"ene","feb","mar","abr","may","jun","jul","ago","sep","oct","nov","dic")</f>
        <v>ene</v>
      </c>
      <c r="F1119" s="7" t="str">
        <f aca="false">CHOOSE(C1119,"enero","febrero","marzo","abril","mayo","junio","julio","agosto","septiembre","octubre","noviembre","diciembre")</f>
        <v>enero</v>
      </c>
      <c r="G1119" s="7" t="str">
        <f aca="false">E1119&amp;"-"&amp;RIGHT(B1119,2)</f>
        <v>ene-26</v>
      </c>
    </row>
    <row r="1120" customFormat="false" ht="15" hidden="false" customHeight="false" outlineLevel="0" collapsed="false">
      <c r="A1120" s="8" t="n">
        <f aca="false">A1119+1</f>
        <v>46045</v>
      </c>
      <c r="B1120" s="7" t="n">
        <f aca="false">YEAR(A1120)</f>
        <v>2026</v>
      </c>
      <c r="C1120" s="7" t="n">
        <f aca="false">MONTH(A1120)</f>
        <v>1</v>
      </c>
      <c r="D1120" s="8" t="n">
        <f aca="false">DATE(B1120,C1120,1)</f>
        <v>46023</v>
      </c>
      <c r="E1120" s="7" t="str">
        <f aca="false">CHOOSE(C1120,"ene","feb","mar","abr","may","jun","jul","ago","sep","oct","nov","dic")</f>
        <v>ene</v>
      </c>
      <c r="F1120" s="7" t="str">
        <f aca="false">CHOOSE(C1120,"enero","febrero","marzo","abril","mayo","junio","julio","agosto","septiembre","octubre","noviembre","diciembre")</f>
        <v>enero</v>
      </c>
      <c r="G1120" s="7" t="str">
        <f aca="false">E1120&amp;"-"&amp;RIGHT(B1120,2)</f>
        <v>ene-26</v>
      </c>
    </row>
    <row r="1121" customFormat="false" ht="15" hidden="false" customHeight="false" outlineLevel="0" collapsed="false">
      <c r="A1121" s="8" t="n">
        <f aca="false">A1120+1</f>
        <v>46046</v>
      </c>
      <c r="B1121" s="7" t="n">
        <f aca="false">YEAR(A1121)</f>
        <v>2026</v>
      </c>
      <c r="C1121" s="7" t="n">
        <f aca="false">MONTH(A1121)</f>
        <v>1</v>
      </c>
      <c r="D1121" s="8" t="n">
        <f aca="false">DATE(B1121,C1121,1)</f>
        <v>46023</v>
      </c>
      <c r="E1121" s="7" t="str">
        <f aca="false">CHOOSE(C1121,"ene","feb","mar","abr","may","jun","jul","ago","sep","oct","nov","dic")</f>
        <v>ene</v>
      </c>
      <c r="F1121" s="7" t="str">
        <f aca="false">CHOOSE(C1121,"enero","febrero","marzo","abril","mayo","junio","julio","agosto","septiembre","octubre","noviembre","diciembre")</f>
        <v>enero</v>
      </c>
      <c r="G1121" s="7" t="str">
        <f aca="false">E1121&amp;"-"&amp;RIGHT(B1121,2)</f>
        <v>ene-26</v>
      </c>
    </row>
    <row r="1122" customFormat="false" ht="15" hidden="false" customHeight="false" outlineLevel="0" collapsed="false">
      <c r="A1122" s="8" t="n">
        <f aca="false">A1121+1</f>
        <v>46047</v>
      </c>
      <c r="B1122" s="7" t="n">
        <f aca="false">YEAR(A1122)</f>
        <v>2026</v>
      </c>
      <c r="C1122" s="7" t="n">
        <f aca="false">MONTH(A1122)</f>
        <v>1</v>
      </c>
      <c r="D1122" s="8" t="n">
        <f aca="false">DATE(B1122,C1122,1)</f>
        <v>46023</v>
      </c>
      <c r="E1122" s="7" t="str">
        <f aca="false">CHOOSE(C1122,"ene","feb","mar","abr","may","jun","jul","ago","sep","oct","nov","dic")</f>
        <v>ene</v>
      </c>
      <c r="F1122" s="7" t="str">
        <f aca="false">CHOOSE(C1122,"enero","febrero","marzo","abril","mayo","junio","julio","agosto","septiembre","octubre","noviembre","diciembre")</f>
        <v>enero</v>
      </c>
      <c r="G1122" s="7" t="str">
        <f aca="false">E1122&amp;"-"&amp;RIGHT(B1122,2)</f>
        <v>ene-26</v>
      </c>
    </row>
    <row r="1123" customFormat="false" ht="15" hidden="false" customHeight="false" outlineLevel="0" collapsed="false">
      <c r="A1123" s="8" t="n">
        <f aca="false">A1122+1</f>
        <v>46048</v>
      </c>
      <c r="B1123" s="7" t="n">
        <f aca="false">YEAR(A1123)</f>
        <v>2026</v>
      </c>
      <c r="C1123" s="7" t="n">
        <f aca="false">MONTH(A1123)</f>
        <v>1</v>
      </c>
      <c r="D1123" s="8" t="n">
        <f aca="false">DATE(B1123,C1123,1)</f>
        <v>46023</v>
      </c>
      <c r="E1123" s="7" t="str">
        <f aca="false">CHOOSE(C1123,"ene","feb","mar","abr","may","jun","jul","ago","sep","oct","nov","dic")</f>
        <v>ene</v>
      </c>
      <c r="F1123" s="7" t="str">
        <f aca="false">CHOOSE(C1123,"enero","febrero","marzo","abril","mayo","junio","julio","agosto","septiembre","octubre","noviembre","diciembre")</f>
        <v>enero</v>
      </c>
      <c r="G1123" s="7" t="str">
        <f aca="false">E1123&amp;"-"&amp;RIGHT(B1123,2)</f>
        <v>ene-26</v>
      </c>
    </row>
    <row r="1124" customFormat="false" ht="15" hidden="false" customHeight="false" outlineLevel="0" collapsed="false">
      <c r="A1124" s="8" t="n">
        <f aca="false">A1123+1</f>
        <v>46049</v>
      </c>
      <c r="B1124" s="7" t="n">
        <f aca="false">YEAR(A1124)</f>
        <v>2026</v>
      </c>
      <c r="C1124" s="7" t="n">
        <f aca="false">MONTH(A1124)</f>
        <v>1</v>
      </c>
      <c r="D1124" s="8" t="n">
        <f aca="false">DATE(B1124,C1124,1)</f>
        <v>46023</v>
      </c>
      <c r="E1124" s="7" t="str">
        <f aca="false">CHOOSE(C1124,"ene","feb","mar","abr","may","jun","jul","ago","sep","oct","nov","dic")</f>
        <v>ene</v>
      </c>
      <c r="F1124" s="7" t="str">
        <f aca="false">CHOOSE(C1124,"enero","febrero","marzo","abril","mayo","junio","julio","agosto","septiembre","octubre","noviembre","diciembre")</f>
        <v>enero</v>
      </c>
      <c r="G1124" s="7" t="str">
        <f aca="false">E1124&amp;"-"&amp;RIGHT(B1124,2)</f>
        <v>ene-26</v>
      </c>
    </row>
    <row r="1125" customFormat="false" ht="15" hidden="false" customHeight="false" outlineLevel="0" collapsed="false">
      <c r="A1125" s="8" t="n">
        <f aca="false">A1124+1</f>
        <v>46050</v>
      </c>
      <c r="B1125" s="7" t="n">
        <f aca="false">YEAR(A1125)</f>
        <v>2026</v>
      </c>
      <c r="C1125" s="7" t="n">
        <f aca="false">MONTH(A1125)</f>
        <v>1</v>
      </c>
      <c r="D1125" s="8" t="n">
        <f aca="false">DATE(B1125,C1125,1)</f>
        <v>46023</v>
      </c>
      <c r="E1125" s="7" t="str">
        <f aca="false">CHOOSE(C1125,"ene","feb","mar","abr","may","jun","jul","ago","sep","oct","nov","dic")</f>
        <v>ene</v>
      </c>
      <c r="F1125" s="7" t="str">
        <f aca="false">CHOOSE(C1125,"enero","febrero","marzo","abril","mayo","junio","julio","agosto","septiembre","octubre","noviembre","diciembre")</f>
        <v>enero</v>
      </c>
      <c r="G1125" s="7" t="str">
        <f aca="false">E1125&amp;"-"&amp;RIGHT(B1125,2)</f>
        <v>ene-26</v>
      </c>
    </row>
    <row r="1126" customFormat="false" ht="15" hidden="false" customHeight="false" outlineLevel="0" collapsed="false">
      <c r="A1126" s="8" t="n">
        <f aca="false">A1125+1</f>
        <v>46051</v>
      </c>
      <c r="B1126" s="7" t="n">
        <f aca="false">YEAR(A1126)</f>
        <v>2026</v>
      </c>
      <c r="C1126" s="7" t="n">
        <f aca="false">MONTH(A1126)</f>
        <v>1</v>
      </c>
      <c r="D1126" s="8" t="n">
        <f aca="false">DATE(B1126,C1126,1)</f>
        <v>46023</v>
      </c>
      <c r="E1126" s="7" t="str">
        <f aca="false">CHOOSE(C1126,"ene","feb","mar","abr","may","jun","jul","ago","sep","oct","nov","dic")</f>
        <v>ene</v>
      </c>
      <c r="F1126" s="7" t="str">
        <f aca="false">CHOOSE(C1126,"enero","febrero","marzo","abril","mayo","junio","julio","agosto","septiembre","octubre","noviembre","diciembre")</f>
        <v>enero</v>
      </c>
      <c r="G1126" s="7" t="str">
        <f aca="false">E1126&amp;"-"&amp;RIGHT(B1126,2)</f>
        <v>ene-26</v>
      </c>
    </row>
    <row r="1127" customFormat="false" ht="15" hidden="false" customHeight="false" outlineLevel="0" collapsed="false">
      <c r="A1127" s="8" t="n">
        <f aca="false">A1126+1</f>
        <v>46052</v>
      </c>
      <c r="B1127" s="7" t="n">
        <f aca="false">YEAR(A1127)</f>
        <v>2026</v>
      </c>
      <c r="C1127" s="7" t="n">
        <f aca="false">MONTH(A1127)</f>
        <v>1</v>
      </c>
      <c r="D1127" s="8" t="n">
        <f aca="false">DATE(B1127,C1127,1)</f>
        <v>46023</v>
      </c>
      <c r="E1127" s="7" t="str">
        <f aca="false">CHOOSE(C1127,"ene","feb","mar","abr","may","jun","jul","ago","sep","oct","nov","dic")</f>
        <v>ene</v>
      </c>
      <c r="F1127" s="7" t="str">
        <f aca="false">CHOOSE(C1127,"enero","febrero","marzo","abril","mayo","junio","julio","agosto","septiembre","octubre","noviembre","diciembre")</f>
        <v>enero</v>
      </c>
      <c r="G1127" s="7" t="str">
        <f aca="false">E1127&amp;"-"&amp;RIGHT(B1127,2)</f>
        <v>ene-26</v>
      </c>
    </row>
    <row r="1128" customFormat="false" ht="15" hidden="false" customHeight="false" outlineLevel="0" collapsed="false">
      <c r="A1128" s="8" t="n">
        <f aca="false">A1127+1</f>
        <v>46053</v>
      </c>
      <c r="B1128" s="7" t="n">
        <f aca="false">YEAR(A1128)</f>
        <v>2026</v>
      </c>
      <c r="C1128" s="7" t="n">
        <f aca="false">MONTH(A1128)</f>
        <v>1</v>
      </c>
      <c r="D1128" s="8" t="n">
        <f aca="false">DATE(B1128,C1128,1)</f>
        <v>46023</v>
      </c>
      <c r="E1128" s="7" t="str">
        <f aca="false">CHOOSE(C1128,"ene","feb","mar","abr","may","jun","jul","ago","sep","oct","nov","dic")</f>
        <v>ene</v>
      </c>
      <c r="F1128" s="7" t="str">
        <f aca="false">CHOOSE(C1128,"enero","febrero","marzo","abril","mayo","junio","julio","agosto","septiembre","octubre","noviembre","diciembre")</f>
        <v>enero</v>
      </c>
      <c r="G1128" s="7" t="str">
        <f aca="false">E1128&amp;"-"&amp;RIGHT(B1128,2)</f>
        <v>ene-26</v>
      </c>
    </row>
    <row r="1129" customFormat="false" ht="15" hidden="false" customHeight="false" outlineLevel="0" collapsed="false">
      <c r="A1129" s="8" t="n">
        <f aca="false">A1128+1</f>
        <v>46054</v>
      </c>
      <c r="B1129" s="7" t="n">
        <f aca="false">YEAR(A1129)</f>
        <v>2026</v>
      </c>
      <c r="C1129" s="7" t="n">
        <f aca="false">MONTH(A1129)</f>
        <v>2</v>
      </c>
      <c r="D1129" s="8" t="n">
        <f aca="false">DATE(B1129,C1129,1)</f>
        <v>46054</v>
      </c>
      <c r="E1129" s="7" t="str">
        <f aca="false">CHOOSE(C1129,"ene","feb","mar","abr","may","jun","jul","ago","sep","oct","nov","dic")</f>
        <v>feb</v>
      </c>
      <c r="F1129" s="7" t="str">
        <f aca="false">CHOOSE(C1129,"enero","febrero","marzo","abril","mayo","junio","julio","agosto","septiembre","octubre","noviembre","diciembre")</f>
        <v>febrero</v>
      </c>
      <c r="G1129" s="7" t="str">
        <f aca="false">E1129&amp;"-"&amp;RIGHT(B1129,2)</f>
        <v>feb-26</v>
      </c>
    </row>
    <row r="1130" customFormat="false" ht="15" hidden="false" customHeight="false" outlineLevel="0" collapsed="false">
      <c r="A1130" s="8" t="n">
        <f aca="false">A1129+1</f>
        <v>46055</v>
      </c>
      <c r="B1130" s="7" t="n">
        <f aca="false">YEAR(A1130)</f>
        <v>2026</v>
      </c>
      <c r="C1130" s="7" t="n">
        <f aca="false">MONTH(A1130)</f>
        <v>2</v>
      </c>
      <c r="D1130" s="8" t="n">
        <f aca="false">DATE(B1130,C1130,1)</f>
        <v>46054</v>
      </c>
      <c r="E1130" s="7" t="str">
        <f aca="false">CHOOSE(C1130,"ene","feb","mar","abr","may","jun","jul","ago","sep","oct","nov","dic")</f>
        <v>feb</v>
      </c>
      <c r="F1130" s="7" t="str">
        <f aca="false">CHOOSE(C1130,"enero","febrero","marzo","abril","mayo","junio","julio","agosto","septiembre","octubre","noviembre","diciembre")</f>
        <v>febrero</v>
      </c>
      <c r="G1130" s="7" t="str">
        <f aca="false">E1130&amp;"-"&amp;RIGHT(B1130,2)</f>
        <v>feb-26</v>
      </c>
    </row>
    <row r="1131" customFormat="false" ht="15" hidden="false" customHeight="false" outlineLevel="0" collapsed="false">
      <c r="A1131" s="8" t="n">
        <f aca="false">A1130+1</f>
        <v>46056</v>
      </c>
      <c r="B1131" s="7" t="n">
        <f aca="false">YEAR(A1131)</f>
        <v>2026</v>
      </c>
      <c r="C1131" s="7" t="n">
        <f aca="false">MONTH(A1131)</f>
        <v>2</v>
      </c>
      <c r="D1131" s="8" t="n">
        <f aca="false">DATE(B1131,C1131,1)</f>
        <v>46054</v>
      </c>
      <c r="E1131" s="7" t="str">
        <f aca="false">CHOOSE(C1131,"ene","feb","mar","abr","may","jun","jul","ago","sep","oct","nov","dic")</f>
        <v>feb</v>
      </c>
      <c r="F1131" s="7" t="str">
        <f aca="false">CHOOSE(C1131,"enero","febrero","marzo","abril","mayo","junio","julio","agosto","septiembre","octubre","noviembre","diciembre")</f>
        <v>febrero</v>
      </c>
      <c r="G1131" s="7" t="str">
        <f aca="false">E1131&amp;"-"&amp;RIGHT(B1131,2)</f>
        <v>feb-26</v>
      </c>
    </row>
    <row r="1132" customFormat="false" ht="15" hidden="false" customHeight="false" outlineLevel="0" collapsed="false">
      <c r="A1132" s="8" t="n">
        <f aca="false">A1131+1</f>
        <v>46057</v>
      </c>
      <c r="B1132" s="7" t="n">
        <f aca="false">YEAR(A1132)</f>
        <v>2026</v>
      </c>
      <c r="C1132" s="7" t="n">
        <f aca="false">MONTH(A1132)</f>
        <v>2</v>
      </c>
      <c r="D1132" s="8" t="n">
        <f aca="false">DATE(B1132,C1132,1)</f>
        <v>46054</v>
      </c>
      <c r="E1132" s="7" t="str">
        <f aca="false">CHOOSE(C1132,"ene","feb","mar","abr","may","jun","jul","ago","sep","oct","nov","dic")</f>
        <v>feb</v>
      </c>
      <c r="F1132" s="7" t="str">
        <f aca="false">CHOOSE(C1132,"enero","febrero","marzo","abril","mayo","junio","julio","agosto","septiembre","octubre","noviembre","diciembre")</f>
        <v>febrero</v>
      </c>
      <c r="G1132" s="7" t="str">
        <f aca="false">E1132&amp;"-"&amp;RIGHT(B1132,2)</f>
        <v>feb-26</v>
      </c>
    </row>
    <row r="1133" customFormat="false" ht="15" hidden="false" customHeight="false" outlineLevel="0" collapsed="false">
      <c r="A1133" s="8" t="n">
        <f aca="false">A1132+1</f>
        <v>46058</v>
      </c>
      <c r="B1133" s="7" t="n">
        <f aca="false">YEAR(A1133)</f>
        <v>2026</v>
      </c>
      <c r="C1133" s="7" t="n">
        <f aca="false">MONTH(A1133)</f>
        <v>2</v>
      </c>
      <c r="D1133" s="8" t="n">
        <f aca="false">DATE(B1133,C1133,1)</f>
        <v>46054</v>
      </c>
      <c r="E1133" s="7" t="str">
        <f aca="false">CHOOSE(C1133,"ene","feb","mar","abr","may","jun","jul","ago","sep","oct","nov","dic")</f>
        <v>feb</v>
      </c>
      <c r="F1133" s="7" t="str">
        <f aca="false">CHOOSE(C1133,"enero","febrero","marzo","abril","mayo","junio","julio","agosto","septiembre","octubre","noviembre","diciembre")</f>
        <v>febrero</v>
      </c>
      <c r="G1133" s="7" t="str">
        <f aca="false">E1133&amp;"-"&amp;RIGHT(B1133,2)</f>
        <v>feb-26</v>
      </c>
    </row>
    <row r="1134" customFormat="false" ht="15" hidden="false" customHeight="false" outlineLevel="0" collapsed="false">
      <c r="A1134" s="8" t="n">
        <f aca="false">A1133+1</f>
        <v>46059</v>
      </c>
      <c r="B1134" s="7" t="n">
        <f aca="false">YEAR(A1134)</f>
        <v>2026</v>
      </c>
      <c r="C1134" s="7" t="n">
        <f aca="false">MONTH(A1134)</f>
        <v>2</v>
      </c>
      <c r="D1134" s="8" t="n">
        <f aca="false">DATE(B1134,C1134,1)</f>
        <v>46054</v>
      </c>
      <c r="E1134" s="7" t="str">
        <f aca="false">CHOOSE(C1134,"ene","feb","mar","abr","may","jun","jul","ago","sep","oct","nov","dic")</f>
        <v>feb</v>
      </c>
      <c r="F1134" s="7" t="str">
        <f aca="false">CHOOSE(C1134,"enero","febrero","marzo","abril","mayo","junio","julio","agosto","septiembre","octubre","noviembre","diciembre")</f>
        <v>febrero</v>
      </c>
      <c r="G1134" s="7" t="str">
        <f aca="false">E1134&amp;"-"&amp;RIGHT(B1134,2)</f>
        <v>feb-26</v>
      </c>
    </row>
    <row r="1135" customFormat="false" ht="15" hidden="false" customHeight="false" outlineLevel="0" collapsed="false">
      <c r="A1135" s="8" t="n">
        <f aca="false">A1134+1</f>
        <v>46060</v>
      </c>
      <c r="B1135" s="7" t="n">
        <f aca="false">YEAR(A1135)</f>
        <v>2026</v>
      </c>
      <c r="C1135" s="7" t="n">
        <f aca="false">MONTH(A1135)</f>
        <v>2</v>
      </c>
      <c r="D1135" s="8" t="n">
        <f aca="false">DATE(B1135,C1135,1)</f>
        <v>46054</v>
      </c>
      <c r="E1135" s="7" t="str">
        <f aca="false">CHOOSE(C1135,"ene","feb","mar","abr","may","jun","jul","ago","sep","oct","nov","dic")</f>
        <v>feb</v>
      </c>
      <c r="F1135" s="7" t="str">
        <f aca="false">CHOOSE(C1135,"enero","febrero","marzo","abril","mayo","junio","julio","agosto","septiembre","octubre","noviembre","diciembre")</f>
        <v>febrero</v>
      </c>
      <c r="G1135" s="7" t="str">
        <f aca="false">E1135&amp;"-"&amp;RIGHT(B1135,2)</f>
        <v>feb-26</v>
      </c>
    </row>
    <row r="1136" customFormat="false" ht="15" hidden="false" customHeight="false" outlineLevel="0" collapsed="false">
      <c r="A1136" s="8" t="n">
        <f aca="false">A1135+1</f>
        <v>46061</v>
      </c>
      <c r="B1136" s="7" t="n">
        <f aca="false">YEAR(A1136)</f>
        <v>2026</v>
      </c>
      <c r="C1136" s="7" t="n">
        <f aca="false">MONTH(A1136)</f>
        <v>2</v>
      </c>
      <c r="D1136" s="8" t="n">
        <f aca="false">DATE(B1136,C1136,1)</f>
        <v>46054</v>
      </c>
      <c r="E1136" s="7" t="str">
        <f aca="false">CHOOSE(C1136,"ene","feb","mar","abr","may","jun","jul","ago","sep","oct","nov","dic")</f>
        <v>feb</v>
      </c>
      <c r="F1136" s="7" t="str">
        <f aca="false">CHOOSE(C1136,"enero","febrero","marzo","abril","mayo","junio","julio","agosto","septiembre","octubre","noviembre","diciembre")</f>
        <v>febrero</v>
      </c>
      <c r="G1136" s="7" t="str">
        <f aca="false">E1136&amp;"-"&amp;RIGHT(B1136,2)</f>
        <v>feb-26</v>
      </c>
    </row>
    <row r="1137" customFormat="false" ht="15" hidden="false" customHeight="false" outlineLevel="0" collapsed="false">
      <c r="A1137" s="8" t="n">
        <f aca="false">A1136+1</f>
        <v>46062</v>
      </c>
      <c r="B1137" s="7" t="n">
        <f aca="false">YEAR(A1137)</f>
        <v>2026</v>
      </c>
      <c r="C1137" s="7" t="n">
        <f aca="false">MONTH(A1137)</f>
        <v>2</v>
      </c>
      <c r="D1137" s="8" t="n">
        <f aca="false">DATE(B1137,C1137,1)</f>
        <v>46054</v>
      </c>
      <c r="E1137" s="7" t="str">
        <f aca="false">CHOOSE(C1137,"ene","feb","mar","abr","may","jun","jul","ago","sep","oct","nov","dic")</f>
        <v>feb</v>
      </c>
      <c r="F1137" s="7" t="str">
        <f aca="false">CHOOSE(C1137,"enero","febrero","marzo","abril","mayo","junio","julio","agosto","septiembre","octubre","noviembre","diciembre")</f>
        <v>febrero</v>
      </c>
      <c r="G1137" s="7" t="str">
        <f aca="false">E1137&amp;"-"&amp;RIGHT(B1137,2)</f>
        <v>feb-26</v>
      </c>
    </row>
    <row r="1138" customFormat="false" ht="15" hidden="false" customHeight="false" outlineLevel="0" collapsed="false">
      <c r="A1138" s="8" t="n">
        <f aca="false">A1137+1</f>
        <v>46063</v>
      </c>
      <c r="B1138" s="7" t="n">
        <f aca="false">YEAR(A1138)</f>
        <v>2026</v>
      </c>
      <c r="C1138" s="7" t="n">
        <f aca="false">MONTH(A1138)</f>
        <v>2</v>
      </c>
      <c r="D1138" s="8" t="n">
        <f aca="false">DATE(B1138,C1138,1)</f>
        <v>46054</v>
      </c>
      <c r="E1138" s="7" t="str">
        <f aca="false">CHOOSE(C1138,"ene","feb","mar","abr","may","jun","jul","ago","sep","oct","nov","dic")</f>
        <v>feb</v>
      </c>
      <c r="F1138" s="7" t="str">
        <f aca="false">CHOOSE(C1138,"enero","febrero","marzo","abril","mayo","junio","julio","agosto","septiembre","octubre","noviembre","diciembre")</f>
        <v>febrero</v>
      </c>
      <c r="G1138" s="7" t="str">
        <f aca="false">E1138&amp;"-"&amp;RIGHT(B1138,2)</f>
        <v>feb-26</v>
      </c>
    </row>
    <row r="1139" customFormat="false" ht="15" hidden="false" customHeight="false" outlineLevel="0" collapsed="false">
      <c r="A1139" s="8" t="n">
        <f aca="false">A1138+1</f>
        <v>46064</v>
      </c>
      <c r="B1139" s="7" t="n">
        <f aca="false">YEAR(A1139)</f>
        <v>2026</v>
      </c>
      <c r="C1139" s="7" t="n">
        <f aca="false">MONTH(A1139)</f>
        <v>2</v>
      </c>
      <c r="D1139" s="8" t="n">
        <f aca="false">DATE(B1139,C1139,1)</f>
        <v>46054</v>
      </c>
      <c r="E1139" s="7" t="str">
        <f aca="false">CHOOSE(C1139,"ene","feb","mar","abr","may","jun","jul","ago","sep","oct","nov","dic")</f>
        <v>feb</v>
      </c>
      <c r="F1139" s="7" t="str">
        <f aca="false">CHOOSE(C1139,"enero","febrero","marzo","abril","mayo","junio","julio","agosto","septiembre","octubre","noviembre","diciembre")</f>
        <v>febrero</v>
      </c>
      <c r="G1139" s="7" t="str">
        <f aca="false">E1139&amp;"-"&amp;RIGHT(B1139,2)</f>
        <v>feb-26</v>
      </c>
    </row>
    <row r="1140" customFormat="false" ht="15" hidden="false" customHeight="false" outlineLevel="0" collapsed="false">
      <c r="A1140" s="8" t="n">
        <f aca="false">A1139+1</f>
        <v>46065</v>
      </c>
      <c r="B1140" s="7" t="n">
        <f aca="false">YEAR(A1140)</f>
        <v>2026</v>
      </c>
      <c r="C1140" s="7" t="n">
        <f aca="false">MONTH(A1140)</f>
        <v>2</v>
      </c>
      <c r="D1140" s="8" t="n">
        <f aca="false">DATE(B1140,C1140,1)</f>
        <v>46054</v>
      </c>
      <c r="E1140" s="7" t="str">
        <f aca="false">CHOOSE(C1140,"ene","feb","mar","abr","may","jun","jul","ago","sep","oct","nov","dic")</f>
        <v>feb</v>
      </c>
      <c r="F1140" s="7" t="str">
        <f aca="false">CHOOSE(C1140,"enero","febrero","marzo","abril","mayo","junio","julio","agosto","septiembre","octubre","noviembre","diciembre")</f>
        <v>febrero</v>
      </c>
      <c r="G1140" s="7" t="str">
        <f aca="false">E1140&amp;"-"&amp;RIGHT(B1140,2)</f>
        <v>feb-26</v>
      </c>
    </row>
    <row r="1141" customFormat="false" ht="15" hidden="false" customHeight="false" outlineLevel="0" collapsed="false">
      <c r="A1141" s="8" t="n">
        <f aca="false">A1140+1</f>
        <v>46066</v>
      </c>
      <c r="B1141" s="7" t="n">
        <f aca="false">YEAR(A1141)</f>
        <v>2026</v>
      </c>
      <c r="C1141" s="7" t="n">
        <f aca="false">MONTH(A1141)</f>
        <v>2</v>
      </c>
      <c r="D1141" s="8" t="n">
        <f aca="false">DATE(B1141,C1141,1)</f>
        <v>46054</v>
      </c>
      <c r="E1141" s="7" t="str">
        <f aca="false">CHOOSE(C1141,"ene","feb","mar","abr","may","jun","jul","ago","sep","oct","nov","dic")</f>
        <v>feb</v>
      </c>
      <c r="F1141" s="7" t="str">
        <f aca="false">CHOOSE(C1141,"enero","febrero","marzo","abril","mayo","junio","julio","agosto","septiembre","octubre","noviembre","diciembre")</f>
        <v>febrero</v>
      </c>
      <c r="G1141" s="7" t="str">
        <f aca="false">E1141&amp;"-"&amp;RIGHT(B1141,2)</f>
        <v>feb-26</v>
      </c>
    </row>
    <row r="1142" customFormat="false" ht="15" hidden="false" customHeight="false" outlineLevel="0" collapsed="false">
      <c r="A1142" s="8" t="n">
        <f aca="false">A1141+1</f>
        <v>46067</v>
      </c>
      <c r="B1142" s="7" t="n">
        <f aca="false">YEAR(A1142)</f>
        <v>2026</v>
      </c>
      <c r="C1142" s="7" t="n">
        <f aca="false">MONTH(A1142)</f>
        <v>2</v>
      </c>
      <c r="D1142" s="8" t="n">
        <f aca="false">DATE(B1142,C1142,1)</f>
        <v>46054</v>
      </c>
      <c r="E1142" s="7" t="str">
        <f aca="false">CHOOSE(C1142,"ene","feb","mar","abr","may","jun","jul","ago","sep","oct","nov","dic")</f>
        <v>feb</v>
      </c>
      <c r="F1142" s="7" t="str">
        <f aca="false">CHOOSE(C1142,"enero","febrero","marzo","abril","mayo","junio","julio","agosto","septiembre","octubre","noviembre","diciembre")</f>
        <v>febrero</v>
      </c>
      <c r="G1142" s="7" t="str">
        <f aca="false">E1142&amp;"-"&amp;RIGHT(B1142,2)</f>
        <v>feb-26</v>
      </c>
    </row>
    <row r="1143" customFormat="false" ht="15" hidden="false" customHeight="false" outlineLevel="0" collapsed="false">
      <c r="A1143" s="8" t="n">
        <f aca="false">A1142+1</f>
        <v>46068</v>
      </c>
      <c r="B1143" s="7" t="n">
        <f aca="false">YEAR(A1143)</f>
        <v>2026</v>
      </c>
      <c r="C1143" s="7" t="n">
        <f aca="false">MONTH(A1143)</f>
        <v>2</v>
      </c>
      <c r="D1143" s="8" t="n">
        <f aca="false">DATE(B1143,C1143,1)</f>
        <v>46054</v>
      </c>
      <c r="E1143" s="7" t="str">
        <f aca="false">CHOOSE(C1143,"ene","feb","mar","abr","may","jun","jul","ago","sep","oct","nov","dic")</f>
        <v>feb</v>
      </c>
      <c r="F1143" s="7" t="str">
        <f aca="false">CHOOSE(C1143,"enero","febrero","marzo","abril","mayo","junio","julio","agosto","septiembre","octubre","noviembre","diciembre")</f>
        <v>febrero</v>
      </c>
      <c r="G1143" s="7" t="str">
        <f aca="false">E1143&amp;"-"&amp;RIGHT(B1143,2)</f>
        <v>feb-26</v>
      </c>
    </row>
    <row r="1144" customFormat="false" ht="15" hidden="false" customHeight="false" outlineLevel="0" collapsed="false">
      <c r="A1144" s="8" t="n">
        <f aca="false">A1143+1</f>
        <v>46069</v>
      </c>
      <c r="B1144" s="7" t="n">
        <f aca="false">YEAR(A1144)</f>
        <v>2026</v>
      </c>
      <c r="C1144" s="7" t="n">
        <f aca="false">MONTH(A1144)</f>
        <v>2</v>
      </c>
      <c r="D1144" s="8" t="n">
        <f aca="false">DATE(B1144,C1144,1)</f>
        <v>46054</v>
      </c>
      <c r="E1144" s="7" t="str">
        <f aca="false">CHOOSE(C1144,"ene","feb","mar","abr","may","jun","jul","ago","sep","oct","nov","dic")</f>
        <v>feb</v>
      </c>
      <c r="F1144" s="7" t="str">
        <f aca="false">CHOOSE(C1144,"enero","febrero","marzo","abril","mayo","junio","julio","agosto","septiembre","octubre","noviembre","diciembre")</f>
        <v>febrero</v>
      </c>
      <c r="G1144" s="7" t="str">
        <f aca="false">E1144&amp;"-"&amp;RIGHT(B1144,2)</f>
        <v>feb-26</v>
      </c>
    </row>
    <row r="1145" customFormat="false" ht="15" hidden="false" customHeight="false" outlineLevel="0" collapsed="false">
      <c r="A1145" s="8" t="n">
        <f aca="false">A1144+1</f>
        <v>46070</v>
      </c>
      <c r="B1145" s="7" t="n">
        <f aca="false">YEAR(A1145)</f>
        <v>2026</v>
      </c>
      <c r="C1145" s="7" t="n">
        <f aca="false">MONTH(A1145)</f>
        <v>2</v>
      </c>
      <c r="D1145" s="8" t="n">
        <f aca="false">DATE(B1145,C1145,1)</f>
        <v>46054</v>
      </c>
      <c r="E1145" s="7" t="str">
        <f aca="false">CHOOSE(C1145,"ene","feb","mar","abr","may","jun","jul","ago","sep","oct","nov","dic")</f>
        <v>feb</v>
      </c>
      <c r="F1145" s="7" t="str">
        <f aca="false">CHOOSE(C1145,"enero","febrero","marzo","abril","mayo","junio","julio","agosto","septiembre","octubre","noviembre","diciembre")</f>
        <v>febrero</v>
      </c>
      <c r="G1145" s="7" t="str">
        <f aca="false">E1145&amp;"-"&amp;RIGHT(B1145,2)</f>
        <v>feb-26</v>
      </c>
    </row>
    <row r="1146" customFormat="false" ht="15" hidden="false" customHeight="false" outlineLevel="0" collapsed="false">
      <c r="A1146" s="8" t="n">
        <f aca="false">A1145+1</f>
        <v>46071</v>
      </c>
      <c r="B1146" s="7" t="n">
        <f aca="false">YEAR(A1146)</f>
        <v>2026</v>
      </c>
      <c r="C1146" s="7" t="n">
        <f aca="false">MONTH(A1146)</f>
        <v>2</v>
      </c>
      <c r="D1146" s="8" t="n">
        <f aca="false">DATE(B1146,C1146,1)</f>
        <v>46054</v>
      </c>
      <c r="E1146" s="7" t="str">
        <f aca="false">CHOOSE(C1146,"ene","feb","mar","abr","may","jun","jul","ago","sep","oct","nov","dic")</f>
        <v>feb</v>
      </c>
      <c r="F1146" s="7" t="str">
        <f aca="false">CHOOSE(C1146,"enero","febrero","marzo","abril","mayo","junio","julio","agosto","septiembre","octubre","noviembre","diciembre")</f>
        <v>febrero</v>
      </c>
      <c r="G1146" s="7" t="str">
        <f aca="false">E1146&amp;"-"&amp;RIGHT(B1146,2)</f>
        <v>feb-26</v>
      </c>
    </row>
    <row r="1147" customFormat="false" ht="15" hidden="false" customHeight="false" outlineLevel="0" collapsed="false">
      <c r="A1147" s="8" t="n">
        <f aca="false">A1146+1</f>
        <v>46072</v>
      </c>
      <c r="B1147" s="7" t="n">
        <f aca="false">YEAR(A1147)</f>
        <v>2026</v>
      </c>
      <c r="C1147" s="7" t="n">
        <f aca="false">MONTH(A1147)</f>
        <v>2</v>
      </c>
      <c r="D1147" s="8" t="n">
        <f aca="false">DATE(B1147,C1147,1)</f>
        <v>46054</v>
      </c>
      <c r="E1147" s="7" t="str">
        <f aca="false">CHOOSE(C1147,"ene","feb","mar","abr","may","jun","jul","ago","sep","oct","nov","dic")</f>
        <v>feb</v>
      </c>
      <c r="F1147" s="7" t="str">
        <f aca="false">CHOOSE(C1147,"enero","febrero","marzo","abril","mayo","junio","julio","agosto","septiembre","octubre","noviembre","diciembre")</f>
        <v>febrero</v>
      </c>
      <c r="G1147" s="7" t="str">
        <f aca="false">E1147&amp;"-"&amp;RIGHT(B1147,2)</f>
        <v>feb-26</v>
      </c>
    </row>
    <row r="1148" customFormat="false" ht="15" hidden="false" customHeight="false" outlineLevel="0" collapsed="false">
      <c r="A1148" s="8" t="n">
        <f aca="false">A1147+1</f>
        <v>46073</v>
      </c>
      <c r="B1148" s="7" t="n">
        <f aca="false">YEAR(A1148)</f>
        <v>2026</v>
      </c>
      <c r="C1148" s="7" t="n">
        <f aca="false">MONTH(A1148)</f>
        <v>2</v>
      </c>
      <c r="D1148" s="8" t="n">
        <f aca="false">DATE(B1148,C1148,1)</f>
        <v>46054</v>
      </c>
      <c r="E1148" s="7" t="str">
        <f aca="false">CHOOSE(C1148,"ene","feb","mar","abr","may","jun","jul","ago","sep","oct","nov","dic")</f>
        <v>feb</v>
      </c>
      <c r="F1148" s="7" t="str">
        <f aca="false">CHOOSE(C1148,"enero","febrero","marzo","abril","mayo","junio","julio","agosto","septiembre","octubre","noviembre","diciembre")</f>
        <v>febrero</v>
      </c>
      <c r="G1148" s="7" t="str">
        <f aca="false">E1148&amp;"-"&amp;RIGHT(B1148,2)</f>
        <v>feb-26</v>
      </c>
    </row>
    <row r="1149" customFormat="false" ht="15" hidden="false" customHeight="false" outlineLevel="0" collapsed="false">
      <c r="A1149" s="8" t="n">
        <f aca="false">A1148+1</f>
        <v>46074</v>
      </c>
      <c r="B1149" s="7" t="n">
        <f aca="false">YEAR(A1149)</f>
        <v>2026</v>
      </c>
      <c r="C1149" s="7" t="n">
        <f aca="false">MONTH(A1149)</f>
        <v>2</v>
      </c>
      <c r="D1149" s="8" t="n">
        <f aca="false">DATE(B1149,C1149,1)</f>
        <v>46054</v>
      </c>
      <c r="E1149" s="7" t="str">
        <f aca="false">CHOOSE(C1149,"ene","feb","mar","abr","may","jun","jul","ago","sep","oct","nov","dic")</f>
        <v>feb</v>
      </c>
      <c r="F1149" s="7" t="str">
        <f aca="false">CHOOSE(C1149,"enero","febrero","marzo","abril","mayo","junio","julio","agosto","septiembre","octubre","noviembre","diciembre")</f>
        <v>febrero</v>
      </c>
      <c r="G1149" s="7" t="str">
        <f aca="false">E1149&amp;"-"&amp;RIGHT(B1149,2)</f>
        <v>feb-26</v>
      </c>
    </row>
    <row r="1150" customFormat="false" ht="15" hidden="false" customHeight="false" outlineLevel="0" collapsed="false">
      <c r="A1150" s="8" t="n">
        <f aca="false">A1149+1</f>
        <v>46075</v>
      </c>
      <c r="B1150" s="7" t="n">
        <f aca="false">YEAR(A1150)</f>
        <v>2026</v>
      </c>
      <c r="C1150" s="7" t="n">
        <f aca="false">MONTH(A1150)</f>
        <v>2</v>
      </c>
      <c r="D1150" s="8" t="n">
        <f aca="false">DATE(B1150,C1150,1)</f>
        <v>46054</v>
      </c>
      <c r="E1150" s="7" t="str">
        <f aca="false">CHOOSE(C1150,"ene","feb","mar","abr","may","jun","jul","ago","sep","oct","nov","dic")</f>
        <v>feb</v>
      </c>
      <c r="F1150" s="7" t="str">
        <f aca="false">CHOOSE(C1150,"enero","febrero","marzo","abril","mayo","junio","julio","agosto","septiembre","octubre","noviembre","diciembre")</f>
        <v>febrero</v>
      </c>
      <c r="G1150" s="7" t="str">
        <f aca="false">E1150&amp;"-"&amp;RIGHT(B1150,2)</f>
        <v>feb-26</v>
      </c>
    </row>
    <row r="1151" customFormat="false" ht="15" hidden="false" customHeight="false" outlineLevel="0" collapsed="false">
      <c r="A1151" s="8" t="n">
        <f aca="false">A1150+1</f>
        <v>46076</v>
      </c>
      <c r="B1151" s="7" t="n">
        <f aca="false">YEAR(A1151)</f>
        <v>2026</v>
      </c>
      <c r="C1151" s="7" t="n">
        <f aca="false">MONTH(A1151)</f>
        <v>2</v>
      </c>
      <c r="D1151" s="8" t="n">
        <f aca="false">DATE(B1151,C1151,1)</f>
        <v>46054</v>
      </c>
      <c r="E1151" s="7" t="str">
        <f aca="false">CHOOSE(C1151,"ene","feb","mar","abr","may","jun","jul","ago","sep","oct","nov","dic")</f>
        <v>feb</v>
      </c>
      <c r="F1151" s="7" t="str">
        <f aca="false">CHOOSE(C1151,"enero","febrero","marzo","abril","mayo","junio","julio","agosto","septiembre","octubre","noviembre","diciembre")</f>
        <v>febrero</v>
      </c>
      <c r="G1151" s="7" t="str">
        <f aca="false">E1151&amp;"-"&amp;RIGHT(B1151,2)</f>
        <v>feb-26</v>
      </c>
    </row>
    <row r="1152" customFormat="false" ht="15" hidden="false" customHeight="false" outlineLevel="0" collapsed="false">
      <c r="A1152" s="8" t="n">
        <f aca="false">A1151+1</f>
        <v>46077</v>
      </c>
      <c r="B1152" s="7" t="n">
        <f aca="false">YEAR(A1152)</f>
        <v>2026</v>
      </c>
      <c r="C1152" s="7" t="n">
        <f aca="false">MONTH(A1152)</f>
        <v>2</v>
      </c>
      <c r="D1152" s="8" t="n">
        <f aca="false">DATE(B1152,C1152,1)</f>
        <v>46054</v>
      </c>
      <c r="E1152" s="7" t="str">
        <f aca="false">CHOOSE(C1152,"ene","feb","mar","abr","may","jun","jul","ago","sep","oct","nov","dic")</f>
        <v>feb</v>
      </c>
      <c r="F1152" s="7" t="str">
        <f aca="false">CHOOSE(C1152,"enero","febrero","marzo","abril","mayo","junio","julio","agosto","septiembre","octubre","noviembre","diciembre")</f>
        <v>febrero</v>
      </c>
      <c r="G1152" s="7" t="str">
        <f aca="false">E1152&amp;"-"&amp;RIGHT(B1152,2)</f>
        <v>feb-26</v>
      </c>
    </row>
    <row r="1153" customFormat="false" ht="15" hidden="false" customHeight="false" outlineLevel="0" collapsed="false">
      <c r="A1153" s="8" t="n">
        <f aca="false">A1152+1</f>
        <v>46078</v>
      </c>
      <c r="B1153" s="7" t="n">
        <f aca="false">YEAR(A1153)</f>
        <v>2026</v>
      </c>
      <c r="C1153" s="7" t="n">
        <f aca="false">MONTH(A1153)</f>
        <v>2</v>
      </c>
      <c r="D1153" s="8" t="n">
        <f aca="false">DATE(B1153,C1153,1)</f>
        <v>46054</v>
      </c>
      <c r="E1153" s="7" t="str">
        <f aca="false">CHOOSE(C1153,"ene","feb","mar","abr","may","jun","jul","ago","sep","oct","nov","dic")</f>
        <v>feb</v>
      </c>
      <c r="F1153" s="7" t="str">
        <f aca="false">CHOOSE(C1153,"enero","febrero","marzo","abril","mayo","junio","julio","agosto","septiembre","octubre","noviembre","diciembre")</f>
        <v>febrero</v>
      </c>
      <c r="G1153" s="7" t="str">
        <f aca="false">E1153&amp;"-"&amp;RIGHT(B1153,2)</f>
        <v>feb-26</v>
      </c>
    </row>
    <row r="1154" customFormat="false" ht="15" hidden="false" customHeight="false" outlineLevel="0" collapsed="false">
      <c r="A1154" s="8" t="n">
        <f aca="false">A1153+1</f>
        <v>46079</v>
      </c>
      <c r="B1154" s="7" t="n">
        <f aca="false">YEAR(A1154)</f>
        <v>2026</v>
      </c>
      <c r="C1154" s="7" t="n">
        <f aca="false">MONTH(A1154)</f>
        <v>2</v>
      </c>
      <c r="D1154" s="8" t="n">
        <f aca="false">DATE(B1154,C1154,1)</f>
        <v>46054</v>
      </c>
      <c r="E1154" s="7" t="str">
        <f aca="false">CHOOSE(C1154,"ene","feb","mar","abr","may","jun","jul","ago","sep","oct","nov","dic")</f>
        <v>feb</v>
      </c>
      <c r="F1154" s="7" t="str">
        <f aca="false">CHOOSE(C1154,"enero","febrero","marzo","abril","mayo","junio","julio","agosto","septiembre","octubre","noviembre","diciembre")</f>
        <v>febrero</v>
      </c>
      <c r="G1154" s="7" t="str">
        <f aca="false">E1154&amp;"-"&amp;RIGHT(B1154,2)</f>
        <v>feb-26</v>
      </c>
    </row>
    <row r="1155" customFormat="false" ht="15" hidden="false" customHeight="false" outlineLevel="0" collapsed="false">
      <c r="A1155" s="8" t="n">
        <f aca="false">A1154+1</f>
        <v>46080</v>
      </c>
      <c r="B1155" s="7" t="n">
        <f aca="false">YEAR(A1155)</f>
        <v>2026</v>
      </c>
      <c r="C1155" s="7" t="n">
        <f aca="false">MONTH(A1155)</f>
        <v>2</v>
      </c>
      <c r="D1155" s="8" t="n">
        <f aca="false">DATE(B1155,C1155,1)</f>
        <v>46054</v>
      </c>
      <c r="E1155" s="7" t="str">
        <f aca="false">CHOOSE(C1155,"ene","feb","mar","abr","may","jun","jul","ago","sep","oct","nov","dic")</f>
        <v>feb</v>
      </c>
      <c r="F1155" s="7" t="str">
        <f aca="false">CHOOSE(C1155,"enero","febrero","marzo","abril","mayo","junio","julio","agosto","septiembre","octubre","noviembre","diciembre")</f>
        <v>febrero</v>
      </c>
      <c r="G1155" s="7" t="str">
        <f aca="false">E1155&amp;"-"&amp;RIGHT(B1155,2)</f>
        <v>feb-26</v>
      </c>
    </row>
    <row r="1156" customFormat="false" ht="15" hidden="false" customHeight="false" outlineLevel="0" collapsed="false">
      <c r="A1156" s="8" t="n">
        <f aca="false">A1155+1</f>
        <v>46081</v>
      </c>
      <c r="B1156" s="7" t="n">
        <f aca="false">YEAR(A1156)</f>
        <v>2026</v>
      </c>
      <c r="C1156" s="7" t="n">
        <f aca="false">MONTH(A1156)</f>
        <v>2</v>
      </c>
      <c r="D1156" s="8" t="n">
        <f aca="false">DATE(B1156,C1156,1)</f>
        <v>46054</v>
      </c>
      <c r="E1156" s="7" t="str">
        <f aca="false">CHOOSE(C1156,"ene","feb","mar","abr","may","jun","jul","ago","sep","oct","nov","dic")</f>
        <v>feb</v>
      </c>
      <c r="F1156" s="7" t="str">
        <f aca="false">CHOOSE(C1156,"enero","febrero","marzo","abril","mayo","junio","julio","agosto","septiembre","octubre","noviembre","diciembre")</f>
        <v>febrero</v>
      </c>
      <c r="G1156" s="7" t="str">
        <f aca="false">E1156&amp;"-"&amp;RIGHT(B1156,2)</f>
        <v>feb-26</v>
      </c>
    </row>
    <row r="1157" customFormat="false" ht="15" hidden="false" customHeight="false" outlineLevel="0" collapsed="false">
      <c r="A1157" s="8" t="n">
        <f aca="false">A1156+1</f>
        <v>46082</v>
      </c>
      <c r="B1157" s="7" t="n">
        <f aca="false">YEAR(A1157)</f>
        <v>2026</v>
      </c>
      <c r="C1157" s="7" t="n">
        <f aca="false">MONTH(A1157)</f>
        <v>3</v>
      </c>
      <c r="D1157" s="8" t="n">
        <f aca="false">DATE(B1157,C1157,1)</f>
        <v>46082</v>
      </c>
      <c r="E1157" s="7" t="str">
        <f aca="false">CHOOSE(C1157,"ene","feb","mar","abr","may","jun","jul","ago","sep","oct","nov","dic")</f>
        <v>mar</v>
      </c>
      <c r="F1157" s="7" t="str">
        <f aca="false">CHOOSE(C1157,"enero","febrero","marzo","abril","mayo","junio","julio","agosto","septiembre","octubre","noviembre","diciembre")</f>
        <v>marzo</v>
      </c>
      <c r="G1157" s="7" t="str">
        <f aca="false">E1157&amp;"-"&amp;RIGHT(B1157,2)</f>
        <v>mar-26</v>
      </c>
    </row>
    <row r="1158" customFormat="false" ht="15" hidden="false" customHeight="false" outlineLevel="0" collapsed="false">
      <c r="A1158" s="8" t="n">
        <f aca="false">A1157+1</f>
        <v>46083</v>
      </c>
      <c r="B1158" s="7" t="n">
        <f aca="false">YEAR(A1158)</f>
        <v>2026</v>
      </c>
      <c r="C1158" s="7" t="n">
        <f aca="false">MONTH(A1158)</f>
        <v>3</v>
      </c>
      <c r="D1158" s="8" t="n">
        <f aca="false">DATE(B1158,C1158,1)</f>
        <v>46082</v>
      </c>
      <c r="E1158" s="7" t="str">
        <f aca="false">CHOOSE(C1158,"ene","feb","mar","abr","may","jun","jul","ago","sep","oct","nov","dic")</f>
        <v>mar</v>
      </c>
      <c r="F1158" s="7" t="str">
        <f aca="false">CHOOSE(C1158,"enero","febrero","marzo","abril","mayo","junio","julio","agosto","septiembre","octubre","noviembre","diciembre")</f>
        <v>marzo</v>
      </c>
      <c r="G1158" s="7" t="str">
        <f aca="false">E1158&amp;"-"&amp;RIGHT(B1158,2)</f>
        <v>mar-26</v>
      </c>
    </row>
    <row r="1159" customFormat="false" ht="15" hidden="false" customHeight="false" outlineLevel="0" collapsed="false">
      <c r="A1159" s="8" t="n">
        <f aca="false">A1158+1</f>
        <v>46084</v>
      </c>
      <c r="B1159" s="7" t="n">
        <f aca="false">YEAR(A1159)</f>
        <v>2026</v>
      </c>
      <c r="C1159" s="7" t="n">
        <f aca="false">MONTH(A1159)</f>
        <v>3</v>
      </c>
      <c r="D1159" s="8" t="n">
        <f aca="false">DATE(B1159,C1159,1)</f>
        <v>46082</v>
      </c>
      <c r="E1159" s="7" t="str">
        <f aca="false">CHOOSE(C1159,"ene","feb","mar","abr","may","jun","jul","ago","sep","oct","nov","dic")</f>
        <v>mar</v>
      </c>
      <c r="F1159" s="7" t="str">
        <f aca="false">CHOOSE(C1159,"enero","febrero","marzo","abril","mayo","junio","julio","agosto","septiembre","octubre","noviembre","diciembre")</f>
        <v>marzo</v>
      </c>
      <c r="G1159" s="7" t="str">
        <f aca="false">E1159&amp;"-"&amp;RIGHT(B1159,2)</f>
        <v>mar-26</v>
      </c>
    </row>
    <row r="1160" customFormat="false" ht="15" hidden="false" customHeight="false" outlineLevel="0" collapsed="false">
      <c r="A1160" s="8" t="n">
        <f aca="false">A1159+1</f>
        <v>46085</v>
      </c>
      <c r="B1160" s="7" t="n">
        <f aca="false">YEAR(A1160)</f>
        <v>2026</v>
      </c>
      <c r="C1160" s="7" t="n">
        <f aca="false">MONTH(A1160)</f>
        <v>3</v>
      </c>
      <c r="D1160" s="8" t="n">
        <f aca="false">DATE(B1160,C1160,1)</f>
        <v>46082</v>
      </c>
      <c r="E1160" s="7" t="str">
        <f aca="false">CHOOSE(C1160,"ene","feb","mar","abr","may","jun","jul","ago","sep","oct","nov","dic")</f>
        <v>mar</v>
      </c>
      <c r="F1160" s="7" t="str">
        <f aca="false">CHOOSE(C1160,"enero","febrero","marzo","abril","mayo","junio","julio","agosto","septiembre","octubre","noviembre","diciembre")</f>
        <v>marzo</v>
      </c>
      <c r="G1160" s="7" t="str">
        <f aca="false">E1160&amp;"-"&amp;RIGHT(B1160,2)</f>
        <v>mar-26</v>
      </c>
    </row>
    <row r="1161" customFormat="false" ht="15" hidden="false" customHeight="false" outlineLevel="0" collapsed="false">
      <c r="A1161" s="8" t="n">
        <f aca="false">A1160+1</f>
        <v>46086</v>
      </c>
      <c r="B1161" s="7" t="n">
        <f aca="false">YEAR(A1161)</f>
        <v>2026</v>
      </c>
      <c r="C1161" s="7" t="n">
        <f aca="false">MONTH(A1161)</f>
        <v>3</v>
      </c>
      <c r="D1161" s="8" t="n">
        <f aca="false">DATE(B1161,C1161,1)</f>
        <v>46082</v>
      </c>
      <c r="E1161" s="7" t="str">
        <f aca="false">CHOOSE(C1161,"ene","feb","mar","abr","may","jun","jul","ago","sep","oct","nov","dic")</f>
        <v>mar</v>
      </c>
      <c r="F1161" s="7" t="str">
        <f aca="false">CHOOSE(C1161,"enero","febrero","marzo","abril","mayo","junio","julio","agosto","septiembre","octubre","noviembre","diciembre")</f>
        <v>marzo</v>
      </c>
      <c r="G1161" s="7" t="str">
        <f aca="false">E1161&amp;"-"&amp;RIGHT(B1161,2)</f>
        <v>mar-26</v>
      </c>
    </row>
    <row r="1162" customFormat="false" ht="15" hidden="false" customHeight="false" outlineLevel="0" collapsed="false">
      <c r="A1162" s="8" t="n">
        <f aca="false">A1161+1</f>
        <v>46087</v>
      </c>
      <c r="B1162" s="7" t="n">
        <f aca="false">YEAR(A1162)</f>
        <v>2026</v>
      </c>
      <c r="C1162" s="7" t="n">
        <f aca="false">MONTH(A1162)</f>
        <v>3</v>
      </c>
      <c r="D1162" s="8" t="n">
        <f aca="false">DATE(B1162,C1162,1)</f>
        <v>46082</v>
      </c>
      <c r="E1162" s="7" t="str">
        <f aca="false">CHOOSE(C1162,"ene","feb","mar","abr","may","jun","jul","ago","sep","oct","nov","dic")</f>
        <v>mar</v>
      </c>
      <c r="F1162" s="7" t="str">
        <f aca="false">CHOOSE(C1162,"enero","febrero","marzo","abril","mayo","junio","julio","agosto","septiembre","octubre","noviembre","diciembre")</f>
        <v>marzo</v>
      </c>
      <c r="G1162" s="7" t="str">
        <f aca="false">E1162&amp;"-"&amp;RIGHT(B1162,2)</f>
        <v>mar-26</v>
      </c>
    </row>
    <row r="1163" customFormat="false" ht="15" hidden="false" customHeight="false" outlineLevel="0" collapsed="false">
      <c r="A1163" s="8" t="n">
        <f aca="false">A1162+1</f>
        <v>46088</v>
      </c>
      <c r="B1163" s="7" t="n">
        <f aca="false">YEAR(A1163)</f>
        <v>2026</v>
      </c>
      <c r="C1163" s="7" t="n">
        <f aca="false">MONTH(A1163)</f>
        <v>3</v>
      </c>
      <c r="D1163" s="8" t="n">
        <f aca="false">DATE(B1163,C1163,1)</f>
        <v>46082</v>
      </c>
      <c r="E1163" s="7" t="str">
        <f aca="false">CHOOSE(C1163,"ene","feb","mar","abr","may","jun","jul","ago","sep","oct","nov","dic")</f>
        <v>mar</v>
      </c>
      <c r="F1163" s="7" t="str">
        <f aca="false">CHOOSE(C1163,"enero","febrero","marzo","abril","mayo","junio","julio","agosto","septiembre","octubre","noviembre","diciembre")</f>
        <v>marzo</v>
      </c>
      <c r="G1163" s="7" t="str">
        <f aca="false">E1163&amp;"-"&amp;RIGHT(B1163,2)</f>
        <v>mar-26</v>
      </c>
    </row>
    <row r="1164" customFormat="false" ht="15" hidden="false" customHeight="false" outlineLevel="0" collapsed="false">
      <c r="A1164" s="8" t="n">
        <f aca="false">A1163+1</f>
        <v>46089</v>
      </c>
      <c r="B1164" s="7" t="n">
        <f aca="false">YEAR(A1164)</f>
        <v>2026</v>
      </c>
      <c r="C1164" s="7" t="n">
        <f aca="false">MONTH(A1164)</f>
        <v>3</v>
      </c>
      <c r="D1164" s="8" t="n">
        <f aca="false">DATE(B1164,C1164,1)</f>
        <v>46082</v>
      </c>
      <c r="E1164" s="7" t="str">
        <f aca="false">CHOOSE(C1164,"ene","feb","mar","abr","may","jun","jul","ago","sep","oct","nov","dic")</f>
        <v>mar</v>
      </c>
      <c r="F1164" s="7" t="str">
        <f aca="false">CHOOSE(C1164,"enero","febrero","marzo","abril","mayo","junio","julio","agosto","septiembre","octubre","noviembre","diciembre")</f>
        <v>marzo</v>
      </c>
      <c r="G1164" s="7" t="str">
        <f aca="false">E1164&amp;"-"&amp;RIGHT(B1164,2)</f>
        <v>mar-26</v>
      </c>
    </row>
    <row r="1165" customFormat="false" ht="15" hidden="false" customHeight="false" outlineLevel="0" collapsed="false">
      <c r="A1165" s="8" t="n">
        <f aca="false">A1164+1</f>
        <v>46090</v>
      </c>
      <c r="B1165" s="7" t="n">
        <f aca="false">YEAR(A1165)</f>
        <v>2026</v>
      </c>
      <c r="C1165" s="7" t="n">
        <f aca="false">MONTH(A1165)</f>
        <v>3</v>
      </c>
      <c r="D1165" s="8" t="n">
        <f aca="false">DATE(B1165,C1165,1)</f>
        <v>46082</v>
      </c>
      <c r="E1165" s="7" t="str">
        <f aca="false">CHOOSE(C1165,"ene","feb","mar","abr","may","jun","jul","ago","sep","oct","nov","dic")</f>
        <v>mar</v>
      </c>
      <c r="F1165" s="7" t="str">
        <f aca="false">CHOOSE(C1165,"enero","febrero","marzo","abril","mayo","junio","julio","agosto","septiembre","octubre","noviembre","diciembre")</f>
        <v>marzo</v>
      </c>
      <c r="G1165" s="7" t="str">
        <f aca="false">E1165&amp;"-"&amp;RIGHT(B1165,2)</f>
        <v>mar-26</v>
      </c>
    </row>
    <row r="1166" customFormat="false" ht="15" hidden="false" customHeight="false" outlineLevel="0" collapsed="false">
      <c r="A1166" s="8" t="n">
        <f aca="false">A1165+1</f>
        <v>46091</v>
      </c>
      <c r="B1166" s="7" t="n">
        <f aca="false">YEAR(A1166)</f>
        <v>2026</v>
      </c>
      <c r="C1166" s="7" t="n">
        <f aca="false">MONTH(A1166)</f>
        <v>3</v>
      </c>
      <c r="D1166" s="8" t="n">
        <f aca="false">DATE(B1166,C1166,1)</f>
        <v>46082</v>
      </c>
      <c r="E1166" s="7" t="str">
        <f aca="false">CHOOSE(C1166,"ene","feb","mar","abr","may","jun","jul","ago","sep","oct","nov","dic")</f>
        <v>mar</v>
      </c>
      <c r="F1166" s="7" t="str">
        <f aca="false">CHOOSE(C1166,"enero","febrero","marzo","abril","mayo","junio","julio","agosto","septiembre","octubre","noviembre","diciembre")</f>
        <v>marzo</v>
      </c>
      <c r="G1166" s="7" t="str">
        <f aca="false">E1166&amp;"-"&amp;RIGHT(B1166,2)</f>
        <v>mar-26</v>
      </c>
    </row>
    <row r="1167" customFormat="false" ht="15" hidden="false" customHeight="false" outlineLevel="0" collapsed="false">
      <c r="A1167" s="8" t="n">
        <f aca="false">A1166+1</f>
        <v>46092</v>
      </c>
      <c r="B1167" s="7" t="n">
        <f aca="false">YEAR(A1167)</f>
        <v>2026</v>
      </c>
      <c r="C1167" s="7" t="n">
        <f aca="false">MONTH(A1167)</f>
        <v>3</v>
      </c>
      <c r="D1167" s="8" t="n">
        <f aca="false">DATE(B1167,C1167,1)</f>
        <v>46082</v>
      </c>
      <c r="E1167" s="7" t="str">
        <f aca="false">CHOOSE(C1167,"ene","feb","mar","abr","may","jun","jul","ago","sep","oct","nov","dic")</f>
        <v>mar</v>
      </c>
      <c r="F1167" s="7" t="str">
        <f aca="false">CHOOSE(C1167,"enero","febrero","marzo","abril","mayo","junio","julio","agosto","septiembre","octubre","noviembre","diciembre")</f>
        <v>marzo</v>
      </c>
      <c r="G1167" s="7" t="str">
        <f aca="false">E1167&amp;"-"&amp;RIGHT(B1167,2)</f>
        <v>mar-26</v>
      </c>
    </row>
    <row r="1168" customFormat="false" ht="15" hidden="false" customHeight="false" outlineLevel="0" collapsed="false">
      <c r="A1168" s="8" t="n">
        <f aca="false">A1167+1</f>
        <v>46093</v>
      </c>
      <c r="B1168" s="7" t="n">
        <f aca="false">YEAR(A1168)</f>
        <v>2026</v>
      </c>
      <c r="C1168" s="7" t="n">
        <f aca="false">MONTH(A1168)</f>
        <v>3</v>
      </c>
      <c r="D1168" s="8" t="n">
        <f aca="false">DATE(B1168,C1168,1)</f>
        <v>46082</v>
      </c>
      <c r="E1168" s="7" t="str">
        <f aca="false">CHOOSE(C1168,"ene","feb","mar","abr","may","jun","jul","ago","sep","oct","nov","dic")</f>
        <v>mar</v>
      </c>
      <c r="F1168" s="7" t="str">
        <f aca="false">CHOOSE(C1168,"enero","febrero","marzo","abril","mayo","junio","julio","agosto","septiembre","octubre","noviembre","diciembre")</f>
        <v>marzo</v>
      </c>
      <c r="G1168" s="7" t="str">
        <f aca="false">E1168&amp;"-"&amp;RIGHT(B1168,2)</f>
        <v>mar-26</v>
      </c>
    </row>
    <row r="1169" customFormat="false" ht="15" hidden="false" customHeight="false" outlineLevel="0" collapsed="false">
      <c r="A1169" s="8" t="n">
        <f aca="false">A1168+1</f>
        <v>46094</v>
      </c>
      <c r="B1169" s="7" t="n">
        <f aca="false">YEAR(A1169)</f>
        <v>2026</v>
      </c>
      <c r="C1169" s="7" t="n">
        <f aca="false">MONTH(A1169)</f>
        <v>3</v>
      </c>
      <c r="D1169" s="8" t="n">
        <f aca="false">DATE(B1169,C1169,1)</f>
        <v>46082</v>
      </c>
      <c r="E1169" s="7" t="str">
        <f aca="false">CHOOSE(C1169,"ene","feb","mar","abr","may","jun","jul","ago","sep","oct","nov","dic")</f>
        <v>mar</v>
      </c>
      <c r="F1169" s="7" t="str">
        <f aca="false">CHOOSE(C1169,"enero","febrero","marzo","abril","mayo","junio","julio","agosto","septiembre","octubre","noviembre","diciembre")</f>
        <v>marzo</v>
      </c>
      <c r="G1169" s="7" t="str">
        <f aca="false">E1169&amp;"-"&amp;RIGHT(B1169,2)</f>
        <v>mar-26</v>
      </c>
    </row>
    <row r="1170" customFormat="false" ht="15" hidden="false" customHeight="false" outlineLevel="0" collapsed="false">
      <c r="A1170" s="8" t="n">
        <f aca="false">A1169+1</f>
        <v>46095</v>
      </c>
      <c r="B1170" s="7" t="n">
        <f aca="false">YEAR(A1170)</f>
        <v>2026</v>
      </c>
      <c r="C1170" s="7" t="n">
        <f aca="false">MONTH(A1170)</f>
        <v>3</v>
      </c>
      <c r="D1170" s="8" t="n">
        <f aca="false">DATE(B1170,C1170,1)</f>
        <v>46082</v>
      </c>
      <c r="E1170" s="7" t="str">
        <f aca="false">CHOOSE(C1170,"ene","feb","mar","abr","may","jun","jul","ago","sep","oct","nov","dic")</f>
        <v>mar</v>
      </c>
      <c r="F1170" s="7" t="str">
        <f aca="false">CHOOSE(C1170,"enero","febrero","marzo","abril","mayo","junio","julio","agosto","septiembre","octubre","noviembre","diciembre")</f>
        <v>marzo</v>
      </c>
      <c r="G1170" s="7" t="str">
        <f aca="false">E1170&amp;"-"&amp;RIGHT(B1170,2)</f>
        <v>mar-26</v>
      </c>
    </row>
    <row r="1171" customFormat="false" ht="15" hidden="false" customHeight="false" outlineLevel="0" collapsed="false">
      <c r="A1171" s="8" t="n">
        <f aca="false">A1170+1</f>
        <v>46096</v>
      </c>
      <c r="B1171" s="7" t="n">
        <f aca="false">YEAR(A1171)</f>
        <v>2026</v>
      </c>
      <c r="C1171" s="7" t="n">
        <f aca="false">MONTH(A1171)</f>
        <v>3</v>
      </c>
      <c r="D1171" s="8" t="n">
        <f aca="false">DATE(B1171,C1171,1)</f>
        <v>46082</v>
      </c>
      <c r="E1171" s="7" t="str">
        <f aca="false">CHOOSE(C1171,"ene","feb","mar","abr","may","jun","jul","ago","sep","oct","nov","dic")</f>
        <v>mar</v>
      </c>
      <c r="F1171" s="7" t="str">
        <f aca="false">CHOOSE(C1171,"enero","febrero","marzo","abril","mayo","junio","julio","agosto","septiembre","octubre","noviembre","diciembre")</f>
        <v>marzo</v>
      </c>
      <c r="G1171" s="7" t="str">
        <f aca="false">E1171&amp;"-"&amp;RIGHT(B1171,2)</f>
        <v>mar-26</v>
      </c>
    </row>
    <row r="1172" customFormat="false" ht="15" hidden="false" customHeight="false" outlineLevel="0" collapsed="false">
      <c r="A1172" s="8" t="n">
        <f aca="false">A1171+1</f>
        <v>46097</v>
      </c>
      <c r="B1172" s="7" t="n">
        <f aca="false">YEAR(A1172)</f>
        <v>2026</v>
      </c>
      <c r="C1172" s="7" t="n">
        <f aca="false">MONTH(A1172)</f>
        <v>3</v>
      </c>
      <c r="D1172" s="8" t="n">
        <f aca="false">DATE(B1172,C1172,1)</f>
        <v>46082</v>
      </c>
      <c r="E1172" s="7" t="str">
        <f aca="false">CHOOSE(C1172,"ene","feb","mar","abr","may","jun","jul","ago","sep","oct","nov","dic")</f>
        <v>mar</v>
      </c>
      <c r="F1172" s="7" t="str">
        <f aca="false">CHOOSE(C1172,"enero","febrero","marzo","abril","mayo","junio","julio","agosto","septiembre","octubre","noviembre","diciembre")</f>
        <v>marzo</v>
      </c>
      <c r="G1172" s="7" t="str">
        <f aca="false">E1172&amp;"-"&amp;RIGHT(B1172,2)</f>
        <v>mar-26</v>
      </c>
    </row>
    <row r="1173" customFormat="false" ht="15" hidden="false" customHeight="false" outlineLevel="0" collapsed="false">
      <c r="A1173" s="8" t="n">
        <f aca="false">A1172+1</f>
        <v>46098</v>
      </c>
      <c r="B1173" s="7" t="n">
        <f aca="false">YEAR(A1173)</f>
        <v>2026</v>
      </c>
      <c r="C1173" s="7" t="n">
        <f aca="false">MONTH(A1173)</f>
        <v>3</v>
      </c>
      <c r="D1173" s="8" t="n">
        <f aca="false">DATE(B1173,C1173,1)</f>
        <v>46082</v>
      </c>
      <c r="E1173" s="7" t="str">
        <f aca="false">CHOOSE(C1173,"ene","feb","mar","abr","may","jun","jul","ago","sep","oct","nov","dic")</f>
        <v>mar</v>
      </c>
      <c r="F1173" s="7" t="str">
        <f aca="false">CHOOSE(C1173,"enero","febrero","marzo","abril","mayo","junio","julio","agosto","septiembre","octubre","noviembre","diciembre")</f>
        <v>marzo</v>
      </c>
      <c r="G1173" s="7" t="str">
        <f aca="false">E1173&amp;"-"&amp;RIGHT(B1173,2)</f>
        <v>mar-26</v>
      </c>
    </row>
    <row r="1174" customFormat="false" ht="15" hidden="false" customHeight="false" outlineLevel="0" collapsed="false">
      <c r="A1174" s="8" t="n">
        <f aca="false">A1173+1</f>
        <v>46099</v>
      </c>
      <c r="B1174" s="7" t="n">
        <f aca="false">YEAR(A1174)</f>
        <v>2026</v>
      </c>
      <c r="C1174" s="7" t="n">
        <f aca="false">MONTH(A1174)</f>
        <v>3</v>
      </c>
      <c r="D1174" s="8" t="n">
        <f aca="false">DATE(B1174,C1174,1)</f>
        <v>46082</v>
      </c>
      <c r="E1174" s="7" t="str">
        <f aca="false">CHOOSE(C1174,"ene","feb","mar","abr","may","jun","jul","ago","sep","oct","nov","dic")</f>
        <v>mar</v>
      </c>
      <c r="F1174" s="7" t="str">
        <f aca="false">CHOOSE(C1174,"enero","febrero","marzo","abril","mayo","junio","julio","agosto","septiembre","octubre","noviembre","diciembre")</f>
        <v>marzo</v>
      </c>
      <c r="G1174" s="7" t="str">
        <f aca="false">E1174&amp;"-"&amp;RIGHT(B1174,2)</f>
        <v>mar-26</v>
      </c>
    </row>
    <row r="1175" customFormat="false" ht="15" hidden="false" customHeight="false" outlineLevel="0" collapsed="false">
      <c r="A1175" s="8" t="n">
        <f aca="false">A1174+1</f>
        <v>46100</v>
      </c>
      <c r="B1175" s="7" t="n">
        <f aca="false">YEAR(A1175)</f>
        <v>2026</v>
      </c>
      <c r="C1175" s="7" t="n">
        <f aca="false">MONTH(A1175)</f>
        <v>3</v>
      </c>
      <c r="D1175" s="8" t="n">
        <f aca="false">DATE(B1175,C1175,1)</f>
        <v>46082</v>
      </c>
      <c r="E1175" s="7" t="str">
        <f aca="false">CHOOSE(C1175,"ene","feb","mar","abr","may","jun","jul","ago","sep","oct","nov","dic")</f>
        <v>mar</v>
      </c>
      <c r="F1175" s="7" t="str">
        <f aca="false">CHOOSE(C1175,"enero","febrero","marzo","abril","mayo","junio","julio","agosto","septiembre","octubre","noviembre","diciembre")</f>
        <v>marzo</v>
      </c>
      <c r="G1175" s="7" t="str">
        <f aca="false">E1175&amp;"-"&amp;RIGHT(B1175,2)</f>
        <v>mar-26</v>
      </c>
    </row>
    <row r="1176" customFormat="false" ht="15" hidden="false" customHeight="false" outlineLevel="0" collapsed="false">
      <c r="A1176" s="8" t="n">
        <f aca="false">A1175+1</f>
        <v>46101</v>
      </c>
      <c r="B1176" s="7" t="n">
        <f aca="false">YEAR(A1176)</f>
        <v>2026</v>
      </c>
      <c r="C1176" s="7" t="n">
        <f aca="false">MONTH(A1176)</f>
        <v>3</v>
      </c>
      <c r="D1176" s="8" t="n">
        <f aca="false">DATE(B1176,C1176,1)</f>
        <v>46082</v>
      </c>
      <c r="E1176" s="7" t="str">
        <f aca="false">CHOOSE(C1176,"ene","feb","mar","abr","may","jun","jul","ago","sep","oct","nov","dic")</f>
        <v>mar</v>
      </c>
      <c r="F1176" s="7" t="str">
        <f aca="false">CHOOSE(C1176,"enero","febrero","marzo","abril","mayo","junio","julio","agosto","septiembre","octubre","noviembre","diciembre")</f>
        <v>marzo</v>
      </c>
      <c r="G1176" s="7" t="str">
        <f aca="false">E1176&amp;"-"&amp;RIGHT(B1176,2)</f>
        <v>mar-26</v>
      </c>
    </row>
    <row r="1177" customFormat="false" ht="15" hidden="false" customHeight="false" outlineLevel="0" collapsed="false">
      <c r="A1177" s="8" t="n">
        <f aca="false">A1176+1</f>
        <v>46102</v>
      </c>
      <c r="B1177" s="7" t="n">
        <f aca="false">YEAR(A1177)</f>
        <v>2026</v>
      </c>
      <c r="C1177" s="7" t="n">
        <f aca="false">MONTH(A1177)</f>
        <v>3</v>
      </c>
      <c r="D1177" s="8" t="n">
        <f aca="false">DATE(B1177,C1177,1)</f>
        <v>46082</v>
      </c>
      <c r="E1177" s="7" t="str">
        <f aca="false">CHOOSE(C1177,"ene","feb","mar","abr","may","jun","jul","ago","sep","oct","nov","dic")</f>
        <v>mar</v>
      </c>
      <c r="F1177" s="7" t="str">
        <f aca="false">CHOOSE(C1177,"enero","febrero","marzo","abril","mayo","junio","julio","agosto","septiembre","octubre","noviembre","diciembre")</f>
        <v>marzo</v>
      </c>
      <c r="G1177" s="7" t="str">
        <f aca="false">E1177&amp;"-"&amp;RIGHT(B1177,2)</f>
        <v>mar-26</v>
      </c>
    </row>
    <row r="1178" customFormat="false" ht="15" hidden="false" customHeight="false" outlineLevel="0" collapsed="false">
      <c r="A1178" s="8" t="n">
        <f aca="false">A1177+1</f>
        <v>46103</v>
      </c>
      <c r="B1178" s="7" t="n">
        <f aca="false">YEAR(A1178)</f>
        <v>2026</v>
      </c>
      <c r="C1178" s="7" t="n">
        <f aca="false">MONTH(A1178)</f>
        <v>3</v>
      </c>
      <c r="D1178" s="8" t="n">
        <f aca="false">DATE(B1178,C1178,1)</f>
        <v>46082</v>
      </c>
      <c r="E1178" s="7" t="str">
        <f aca="false">CHOOSE(C1178,"ene","feb","mar","abr","may","jun","jul","ago","sep","oct","nov","dic")</f>
        <v>mar</v>
      </c>
      <c r="F1178" s="7" t="str">
        <f aca="false">CHOOSE(C1178,"enero","febrero","marzo","abril","mayo","junio","julio","agosto","septiembre","octubre","noviembre","diciembre")</f>
        <v>marzo</v>
      </c>
      <c r="G1178" s="7" t="str">
        <f aca="false">E1178&amp;"-"&amp;RIGHT(B1178,2)</f>
        <v>mar-26</v>
      </c>
    </row>
    <row r="1179" customFormat="false" ht="15" hidden="false" customHeight="false" outlineLevel="0" collapsed="false">
      <c r="A1179" s="8" t="n">
        <f aca="false">A1178+1</f>
        <v>46104</v>
      </c>
      <c r="B1179" s="7" t="n">
        <f aca="false">YEAR(A1179)</f>
        <v>2026</v>
      </c>
      <c r="C1179" s="7" t="n">
        <f aca="false">MONTH(A1179)</f>
        <v>3</v>
      </c>
      <c r="D1179" s="8" t="n">
        <f aca="false">DATE(B1179,C1179,1)</f>
        <v>46082</v>
      </c>
      <c r="E1179" s="7" t="str">
        <f aca="false">CHOOSE(C1179,"ene","feb","mar","abr","may","jun","jul","ago","sep","oct","nov","dic")</f>
        <v>mar</v>
      </c>
      <c r="F1179" s="7" t="str">
        <f aca="false">CHOOSE(C1179,"enero","febrero","marzo","abril","mayo","junio","julio","agosto","septiembre","octubre","noviembre","diciembre")</f>
        <v>marzo</v>
      </c>
      <c r="G1179" s="7" t="str">
        <f aca="false">E1179&amp;"-"&amp;RIGHT(B1179,2)</f>
        <v>mar-26</v>
      </c>
    </row>
    <row r="1180" customFormat="false" ht="15" hidden="false" customHeight="false" outlineLevel="0" collapsed="false">
      <c r="A1180" s="8" t="n">
        <f aca="false">A1179+1</f>
        <v>46105</v>
      </c>
      <c r="B1180" s="7" t="n">
        <f aca="false">YEAR(A1180)</f>
        <v>2026</v>
      </c>
      <c r="C1180" s="7" t="n">
        <f aca="false">MONTH(A1180)</f>
        <v>3</v>
      </c>
      <c r="D1180" s="8" t="n">
        <f aca="false">DATE(B1180,C1180,1)</f>
        <v>46082</v>
      </c>
      <c r="E1180" s="7" t="str">
        <f aca="false">CHOOSE(C1180,"ene","feb","mar","abr","may","jun","jul","ago","sep","oct","nov","dic")</f>
        <v>mar</v>
      </c>
      <c r="F1180" s="7" t="str">
        <f aca="false">CHOOSE(C1180,"enero","febrero","marzo","abril","mayo","junio","julio","agosto","septiembre","octubre","noviembre","diciembre")</f>
        <v>marzo</v>
      </c>
      <c r="G1180" s="7" t="str">
        <f aca="false">E1180&amp;"-"&amp;RIGHT(B1180,2)</f>
        <v>mar-26</v>
      </c>
    </row>
    <row r="1181" customFormat="false" ht="15" hidden="false" customHeight="false" outlineLevel="0" collapsed="false">
      <c r="A1181" s="8" t="n">
        <f aca="false">A1180+1</f>
        <v>46106</v>
      </c>
      <c r="B1181" s="7" t="n">
        <f aca="false">YEAR(A1181)</f>
        <v>2026</v>
      </c>
      <c r="C1181" s="7" t="n">
        <f aca="false">MONTH(A1181)</f>
        <v>3</v>
      </c>
      <c r="D1181" s="8" t="n">
        <f aca="false">DATE(B1181,C1181,1)</f>
        <v>46082</v>
      </c>
      <c r="E1181" s="7" t="str">
        <f aca="false">CHOOSE(C1181,"ene","feb","mar","abr","may","jun","jul","ago","sep","oct","nov","dic")</f>
        <v>mar</v>
      </c>
      <c r="F1181" s="7" t="str">
        <f aca="false">CHOOSE(C1181,"enero","febrero","marzo","abril","mayo","junio","julio","agosto","septiembre","octubre","noviembre","diciembre")</f>
        <v>marzo</v>
      </c>
      <c r="G1181" s="7" t="str">
        <f aca="false">E1181&amp;"-"&amp;RIGHT(B1181,2)</f>
        <v>mar-26</v>
      </c>
    </row>
    <row r="1182" customFormat="false" ht="15" hidden="false" customHeight="false" outlineLevel="0" collapsed="false">
      <c r="A1182" s="8" t="n">
        <f aca="false">A1181+1</f>
        <v>46107</v>
      </c>
      <c r="B1182" s="7" t="n">
        <f aca="false">YEAR(A1182)</f>
        <v>2026</v>
      </c>
      <c r="C1182" s="7" t="n">
        <f aca="false">MONTH(A1182)</f>
        <v>3</v>
      </c>
      <c r="D1182" s="8" t="n">
        <f aca="false">DATE(B1182,C1182,1)</f>
        <v>46082</v>
      </c>
      <c r="E1182" s="7" t="str">
        <f aca="false">CHOOSE(C1182,"ene","feb","mar","abr","may","jun","jul","ago","sep","oct","nov","dic")</f>
        <v>mar</v>
      </c>
      <c r="F1182" s="7" t="str">
        <f aca="false">CHOOSE(C1182,"enero","febrero","marzo","abril","mayo","junio","julio","agosto","septiembre","octubre","noviembre","diciembre")</f>
        <v>marzo</v>
      </c>
      <c r="G1182" s="7" t="str">
        <f aca="false">E1182&amp;"-"&amp;RIGHT(B1182,2)</f>
        <v>mar-26</v>
      </c>
    </row>
    <row r="1183" customFormat="false" ht="15" hidden="false" customHeight="false" outlineLevel="0" collapsed="false">
      <c r="A1183" s="8" t="n">
        <f aca="false">A1182+1</f>
        <v>46108</v>
      </c>
      <c r="B1183" s="7" t="n">
        <f aca="false">YEAR(A1183)</f>
        <v>2026</v>
      </c>
      <c r="C1183" s="7" t="n">
        <f aca="false">MONTH(A1183)</f>
        <v>3</v>
      </c>
      <c r="D1183" s="8" t="n">
        <f aca="false">DATE(B1183,C1183,1)</f>
        <v>46082</v>
      </c>
      <c r="E1183" s="7" t="str">
        <f aca="false">CHOOSE(C1183,"ene","feb","mar","abr","may","jun","jul","ago","sep","oct","nov","dic")</f>
        <v>mar</v>
      </c>
      <c r="F1183" s="7" t="str">
        <f aca="false">CHOOSE(C1183,"enero","febrero","marzo","abril","mayo","junio","julio","agosto","septiembre","octubre","noviembre","diciembre")</f>
        <v>marzo</v>
      </c>
      <c r="G1183" s="7" t="str">
        <f aca="false">E1183&amp;"-"&amp;RIGHT(B1183,2)</f>
        <v>mar-26</v>
      </c>
    </row>
    <row r="1184" customFormat="false" ht="15" hidden="false" customHeight="false" outlineLevel="0" collapsed="false">
      <c r="A1184" s="8" t="n">
        <f aca="false">A1183+1</f>
        <v>46109</v>
      </c>
      <c r="B1184" s="7" t="n">
        <f aca="false">YEAR(A1184)</f>
        <v>2026</v>
      </c>
      <c r="C1184" s="7" t="n">
        <f aca="false">MONTH(A1184)</f>
        <v>3</v>
      </c>
      <c r="D1184" s="8" t="n">
        <f aca="false">DATE(B1184,C1184,1)</f>
        <v>46082</v>
      </c>
      <c r="E1184" s="7" t="str">
        <f aca="false">CHOOSE(C1184,"ene","feb","mar","abr","may","jun","jul","ago","sep","oct","nov","dic")</f>
        <v>mar</v>
      </c>
      <c r="F1184" s="7" t="str">
        <f aca="false">CHOOSE(C1184,"enero","febrero","marzo","abril","mayo","junio","julio","agosto","septiembre","octubre","noviembre","diciembre")</f>
        <v>marzo</v>
      </c>
      <c r="G1184" s="7" t="str">
        <f aca="false">E1184&amp;"-"&amp;RIGHT(B1184,2)</f>
        <v>mar-26</v>
      </c>
    </row>
    <row r="1185" customFormat="false" ht="15" hidden="false" customHeight="false" outlineLevel="0" collapsed="false">
      <c r="A1185" s="8" t="n">
        <f aca="false">A1184+1</f>
        <v>46110</v>
      </c>
      <c r="B1185" s="7" t="n">
        <f aca="false">YEAR(A1185)</f>
        <v>2026</v>
      </c>
      <c r="C1185" s="7" t="n">
        <f aca="false">MONTH(A1185)</f>
        <v>3</v>
      </c>
      <c r="D1185" s="8" t="n">
        <f aca="false">DATE(B1185,C1185,1)</f>
        <v>46082</v>
      </c>
      <c r="E1185" s="7" t="str">
        <f aca="false">CHOOSE(C1185,"ene","feb","mar","abr","may","jun","jul","ago","sep","oct","nov","dic")</f>
        <v>mar</v>
      </c>
      <c r="F1185" s="7" t="str">
        <f aca="false">CHOOSE(C1185,"enero","febrero","marzo","abril","mayo","junio","julio","agosto","septiembre","octubre","noviembre","diciembre")</f>
        <v>marzo</v>
      </c>
      <c r="G1185" s="7" t="str">
        <f aca="false">E1185&amp;"-"&amp;RIGHT(B1185,2)</f>
        <v>mar-26</v>
      </c>
    </row>
    <row r="1186" customFormat="false" ht="15" hidden="false" customHeight="false" outlineLevel="0" collapsed="false">
      <c r="A1186" s="8" t="n">
        <f aca="false">A1185+1</f>
        <v>46111</v>
      </c>
      <c r="B1186" s="7" t="n">
        <f aca="false">YEAR(A1186)</f>
        <v>2026</v>
      </c>
      <c r="C1186" s="7" t="n">
        <f aca="false">MONTH(A1186)</f>
        <v>3</v>
      </c>
      <c r="D1186" s="8" t="n">
        <f aca="false">DATE(B1186,C1186,1)</f>
        <v>46082</v>
      </c>
      <c r="E1186" s="7" t="str">
        <f aca="false">CHOOSE(C1186,"ene","feb","mar","abr","may","jun","jul","ago","sep","oct","nov","dic")</f>
        <v>mar</v>
      </c>
      <c r="F1186" s="7" t="str">
        <f aca="false">CHOOSE(C1186,"enero","febrero","marzo","abril","mayo","junio","julio","agosto","septiembre","octubre","noviembre","diciembre")</f>
        <v>marzo</v>
      </c>
      <c r="G1186" s="7" t="str">
        <f aca="false">E1186&amp;"-"&amp;RIGHT(B1186,2)</f>
        <v>mar-26</v>
      </c>
    </row>
    <row r="1187" customFormat="false" ht="15" hidden="false" customHeight="false" outlineLevel="0" collapsed="false">
      <c r="A1187" s="8" t="n">
        <f aca="false">A1186+1</f>
        <v>46112</v>
      </c>
      <c r="B1187" s="7" t="n">
        <f aca="false">YEAR(A1187)</f>
        <v>2026</v>
      </c>
      <c r="C1187" s="7" t="n">
        <f aca="false">MONTH(A1187)</f>
        <v>3</v>
      </c>
      <c r="D1187" s="8" t="n">
        <f aca="false">DATE(B1187,C1187,1)</f>
        <v>46082</v>
      </c>
      <c r="E1187" s="7" t="str">
        <f aca="false">CHOOSE(C1187,"ene","feb","mar","abr","may","jun","jul","ago","sep","oct","nov","dic")</f>
        <v>mar</v>
      </c>
      <c r="F1187" s="7" t="str">
        <f aca="false">CHOOSE(C1187,"enero","febrero","marzo","abril","mayo","junio","julio","agosto","septiembre","octubre","noviembre","diciembre")</f>
        <v>marzo</v>
      </c>
      <c r="G1187" s="7" t="str">
        <f aca="false">E1187&amp;"-"&amp;RIGHT(B1187,2)</f>
        <v>mar-26</v>
      </c>
    </row>
    <row r="1188" customFormat="false" ht="15" hidden="false" customHeight="false" outlineLevel="0" collapsed="false">
      <c r="A1188" s="8" t="n">
        <f aca="false">A1187+1</f>
        <v>46113</v>
      </c>
      <c r="B1188" s="7" t="n">
        <f aca="false">YEAR(A1188)</f>
        <v>2026</v>
      </c>
      <c r="C1188" s="7" t="n">
        <f aca="false">MONTH(A1188)</f>
        <v>4</v>
      </c>
      <c r="D1188" s="8" t="n">
        <f aca="false">DATE(B1188,C1188,1)</f>
        <v>46113</v>
      </c>
      <c r="E1188" s="7" t="str">
        <f aca="false">CHOOSE(C1188,"ene","feb","mar","abr","may","jun","jul","ago","sep","oct","nov","dic")</f>
        <v>abr</v>
      </c>
      <c r="F1188" s="7" t="str">
        <f aca="false">CHOOSE(C1188,"enero","febrero","marzo","abril","mayo","junio","julio","agosto","septiembre","octubre","noviembre","diciembre")</f>
        <v>abril</v>
      </c>
      <c r="G1188" s="7" t="str">
        <f aca="false">E1188&amp;"-"&amp;RIGHT(B1188,2)</f>
        <v>abr-26</v>
      </c>
    </row>
    <row r="1189" customFormat="false" ht="15" hidden="false" customHeight="false" outlineLevel="0" collapsed="false">
      <c r="A1189" s="8" t="n">
        <f aca="false">A1188+1</f>
        <v>46114</v>
      </c>
      <c r="B1189" s="7" t="n">
        <f aca="false">YEAR(A1189)</f>
        <v>2026</v>
      </c>
      <c r="C1189" s="7" t="n">
        <f aca="false">MONTH(A1189)</f>
        <v>4</v>
      </c>
      <c r="D1189" s="8" t="n">
        <f aca="false">DATE(B1189,C1189,1)</f>
        <v>46113</v>
      </c>
      <c r="E1189" s="7" t="str">
        <f aca="false">CHOOSE(C1189,"ene","feb","mar","abr","may","jun","jul","ago","sep","oct","nov","dic")</f>
        <v>abr</v>
      </c>
      <c r="F1189" s="7" t="str">
        <f aca="false">CHOOSE(C1189,"enero","febrero","marzo","abril","mayo","junio","julio","agosto","septiembre","octubre","noviembre","diciembre")</f>
        <v>abril</v>
      </c>
      <c r="G1189" s="7" t="str">
        <f aca="false">E1189&amp;"-"&amp;RIGHT(B1189,2)</f>
        <v>abr-26</v>
      </c>
    </row>
    <row r="1190" customFormat="false" ht="15" hidden="false" customHeight="false" outlineLevel="0" collapsed="false">
      <c r="A1190" s="8" t="n">
        <f aca="false">A1189+1</f>
        <v>46115</v>
      </c>
      <c r="B1190" s="7" t="n">
        <f aca="false">YEAR(A1190)</f>
        <v>2026</v>
      </c>
      <c r="C1190" s="7" t="n">
        <f aca="false">MONTH(A1190)</f>
        <v>4</v>
      </c>
      <c r="D1190" s="8" t="n">
        <f aca="false">DATE(B1190,C1190,1)</f>
        <v>46113</v>
      </c>
      <c r="E1190" s="7" t="str">
        <f aca="false">CHOOSE(C1190,"ene","feb","mar","abr","may","jun","jul","ago","sep","oct","nov","dic")</f>
        <v>abr</v>
      </c>
      <c r="F1190" s="7" t="str">
        <f aca="false">CHOOSE(C1190,"enero","febrero","marzo","abril","mayo","junio","julio","agosto","septiembre","octubre","noviembre","diciembre")</f>
        <v>abril</v>
      </c>
      <c r="G1190" s="7" t="str">
        <f aca="false">E1190&amp;"-"&amp;RIGHT(B1190,2)</f>
        <v>abr-26</v>
      </c>
    </row>
    <row r="1191" customFormat="false" ht="15" hidden="false" customHeight="false" outlineLevel="0" collapsed="false">
      <c r="A1191" s="8" t="n">
        <f aca="false">A1190+1</f>
        <v>46116</v>
      </c>
      <c r="B1191" s="7" t="n">
        <f aca="false">YEAR(A1191)</f>
        <v>2026</v>
      </c>
      <c r="C1191" s="7" t="n">
        <f aca="false">MONTH(A1191)</f>
        <v>4</v>
      </c>
      <c r="D1191" s="8" t="n">
        <f aca="false">DATE(B1191,C1191,1)</f>
        <v>46113</v>
      </c>
      <c r="E1191" s="7" t="str">
        <f aca="false">CHOOSE(C1191,"ene","feb","mar","abr","may","jun","jul","ago","sep","oct","nov","dic")</f>
        <v>abr</v>
      </c>
      <c r="F1191" s="7" t="str">
        <f aca="false">CHOOSE(C1191,"enero","febrero","marzo","abril","mayo","junio","julio","agosto","septiembre","octubre","noviembre","diciembre")</f>
        <v>abril</v>
      </c>
      <c r="G1191" s="7" t="str">
        <f aca="false">E1191&amp;"-"&amp;RIGHT(B1191,2)</f>
        <v>abr-26</v>
      </c>
    </row>
    <row r="1192" customFormat="false" ht="15" hidden="false" customHeight="false" outlineLevel="0" collapsed="false">
      <c r="A1192" s="8" t="n">
        <f aca="false">A1191+1</f>
        <v>46117</v>
      </c>
      <c r="B1192" s="7" t="n">
        <f aca="false">YEAR(A1192)</f>
        <v>2026</v>
      </c>
      <c r="C1192" s="7" t="n">
        <f aca="false">MONTH(A1192)</f>
        <v>4</v>
      </c>
      <c r="D1192" s="8" t="n">
        <f aca="false">DATE(B1192,C1192,1)</f>
        <v>46113</v>
      </c>
      <c r="E1192" s="7" t="str">
        <f aca="false">CHOOSE(C1192,"ene","feb","mar","abr","may","jun","jul","ago","sep","oct","nov","dic")</f>
        <v>abr</v>
      </c>
      <c r="F1192" s="7" t="str">
        <f aca="false">CHOOSE(C1192,"enero","febrero","marzo","abril","mayo","junio","julio","agosto","septiembre","octubre","noviembre","diciembre")</f>
        <v>abril</v>
      </c>
      <c r="G1192" s="7" t="str">
        <f aca="false">E1192&amp;"-"&amp;RIGHT(B1192,2)</f>
        <v>abr-26</v>
      </c>
    </row>
    <row r="1193" customFormat="false" ht="15" hidden="false" customHeight="false" outlineLevel="0" collapsed="false">
      <c r="A1193" s="8" t="n">
        <f aca="false">A1192+1</f>
        <v>46118</v>
      </c>
      <c r="B1193" s="7" t="n">
        <f aca="false">YEAR(A1193)</f>
        <v>2026</v>
      </c>
      <c r="C1193" s="7" t="n">
        <f aca="false">MONTH(A1193)</f>
        <v>4</v>
      </c>
      <c r="D1193" s="8" t="n">
        <f aca="false">DATE(B1193,C1193,1)</f>
        <v>46113</v>
      </c>
      <c r="E1193" s="7" t="str">
        <f aca="false">CHOOSE(C1193,"ene","feb","mar","abr","may","jun","jul","ago","sep","oct","nov","dic")</f>
        <v>abr</v>
      </c>
      <c r="F1193" s="7" t="str">
        <f aca="false">CHOOSE(C1193,"enero","febrero","marzo","abril","mayo","junio","julio","agosto","septiembre","octubre","noviembre","diciembre")</f>
        <v>abril</v>
      </c>
      <c r="G1193" s="7" t="str">
        <f aca="false">E1193&amp;"-"&amp;RIGHT(B1193,2)</f>
        <v>abr-26</v>
      </c>
    </row>
    <row r="1194" customFormat="false" ht="15" hidden="false" customHeight="false" outlineLevel="0" collapsed="false">
      <c r="A1194" s="8" t="n">
        <f aca="false">A1193+1</f>
        <v>46119</v>
      </c>
      <c r="B1194" s="7" t="n">
        <f aca="false">YEAR(A1194)</f>
        <v>2026</v>
      </c>
      <c r="C1194" s="7" t="n">
        <f aca="false">MONTH(A1194)</f>
        <v>4</v>
      </c>
      <c r="D1194" s="8" t="n">
        <f aca="false">DATE(B1194,C1194,1)</f>
        <v>46113</v>
      </c>
      <c r="E1194" s="7" t="str">
        <f aca="false">CHOOSE(C1194,"ene","feb","mar","abr","may","jun","jul","ago","sep","oct","nov","dic")</f>
        <v>abr</v>
      </c>
      <c r="F1194" s="7" t="str">
        <f aca="false">CHOOSE(C1194,"enero","febrero","marzo","abril","mayo","junio","julio","agosto","septiembre","octubre","noviembre","diciembre")</f>
        <v>abril</v>
      </c>
      <c r="G1194" s="7" t="str">
        <f aca="false">E1194&amp;"-"&amp;RIGHT(B1194,2)</f>
        <v>abr-26</v>
      </c>
    </row>
    <row r="1195" customFormat="false" ht="15" hidden="false" customHeight="false" outlineLevel="0" collapsed="false">
      <c r="A1195" s="8" t="n">
        <f aca="false">A1194+1</f>
        <v>46120</v>
      </c>
      <c r="B1195" s="7" t="n">
        <f aca="false">YEAR(A1195)</f>
        <v>2026</v>
      </c>
      <c r="C1195" s="7" t="n">
        <f aca="false">MONTH(A1195)</f>
        <v>4</v>
      </c>
      <c r="D1195" s="8" t="n">
        <f aca="false">DATE(B1195,C1195,1)</f>
        <v>46113</v>
      </c>
      <c r="E1195" s="7" t="str">
        <f aca="false">CHOOSE(C1195,"ene","feb","mar","abr","may","jun","jul","ago","sep","oct","nov","dic")</f>
        <v>abr</v>
      </c>
      <c r="F1195" s="7" t="str">
        <f aca="false">CHOOSE(C1195,"enero","febrero","marzo","abril","mayo","junio","julio","agosto","septiembre","octubre","noviembre","diciembre")</f>
        <v>abril</v>
      </c>
      <c r="G1195" s="7" t="str">
        <f aca="false">E1195&amp;"-"&amp;RIGHT(B1195,2)</f>
        <v>abr-26</v>
      </c>
    </row>
    <row r="1196" customFormat="false" ht="15" hidden="false" customHeight="false" outlineLevel="0" collapsed="false">
      <c r="A1196" s="8" t="n">
        <f aca="false">A1195+1</f>
        <v>46121</v>
      </c>
      <c r="B1196" s="7" t="n">
        <f aca="false">YEAR(A1196)</f>
        <v>2026</v>
      </c>
      <c r="C1196" s="7" t="n">
        <f aca="false">MONTH(A1196)</f>
        <v>4</v>
      </c>
      <c r="D1196" s="8" t="n">
        <f aca="false">DATE(B1196,C1196,1)</f>
        <v>46113</v>
      </c>
      <c r="E1196" s="7" t="str">
        <f aca="false">CHOOSE(C1196,"ene","feb","mar","abr","may","jun","jul","ago","sep","oct","nov","dic")</f>
        <v>abr</v>
      </c>
      <c r="F1196" s="7" t="str">
        <f aca="false">CHOOSE(C1196,"enero","febrero","marzo","abril","mayo","junio","julio","agosto","septiembre","octubre","noviembre","diciembre")</f>
        <v>abril</v>
      </c>
      <c r="G1196" s="7" t="str">
        <f aca="false">E1196&amp;"-"&amp;RIGHT(B1196,2)</f>
        <v>abr-26</v>
      </c>
    </row>
    <row r="1197" customFormat="false" ht="15" hidden="false" customHeight="false" outlineLevel="0" collapsed="false">
      <c r="A1197" s="8" t="n">
        <f aca="false">A1196+1</f>
        <v>46122</v>
      </c>
      <c r="B1197" s="7" t="n">
        <f aca="false">YEAR(A1197)</f>
        <v>2026</v>
      </c>
      <c r="C1197" s="7" t="n">
        <f aca="false">MONTH(A1197)</f>
        <v>4</v>
      </c>
      <c r="D1197" s="8" t="n">
        <f aca="false">DATE(B1197,C1197,1)</f>
        <v>46113</v>
      </c>
      <c r="E1197" s="7" t="str">
        <f aca="false">CHOOSE(C1197,"ene","feb","mar","abr","may","jun","jul","ago","sep","oct","nov","dic")</f>
        <v>abr</v>
      </c>
      <c r="F1197" s="7" t="str">
        <f aca="false">CHOOSE(C1197,"enero","febrero","marzo","abril","mayo","junio","julio","agosto","septiembre","octubre","noviembre","diciembre")</f>
        <v>abril</v>
      </c>
      <c r="G1197" s="7" t="str">
        <f aca="false">E1197&amp;"-"&amp;RIGHT(B1197,2)</f>
        <v>abr-26</v>
      </c>
    </row>
    <row r="1198" customFormat="false" ht="15" hidden="false" customHeight="false" outlineLevel="0" collapsed="false">
      <c r="A1198" s="8" t="n">
        <f aca="false">A1197+1</f>
        <v>46123</v>
      </c>
      <c r="B1198" s="7" t="n">
        <f aca="false">YEAR(A1198)</f>
        <v>2026</v>
      </c>
      <c r="C1198" s="7" t="n">
        <f aca="false">MONTH(A1198)</f>
        <v>4</v>
      </c>
      <c r="D1198" s="8" t="n">
        <f aca="false">DATE(B1198,C1198,1)</f>
        <v>46113</v>
      </c>
      <c r="E1198" s="7" t="str">
        <f aca="false">CHOOSE(C1198,"ene","feb","mar","abr","may","jun","jul","ago","sep","oct","nov","dic")</f>
        <v>abr</v>
      </c>
      <c r="F1198" s="7" t="str">
        <f aca="false">CHOOSE(C1198,"enero","febrero","marzo","abril","mayo","junio","julio","agosto","septiembre","octubre","noviembre","diciembre")</f>
        <v>abril</v>
      </c>
      <c r="G1198" s="7" t="str">
        <f aca="false">E1198&amp;"-"&amp;RIGHT(B1198,2)</f>
        <v>abr-26</v>
      </c>
    </row>
    <row r="1199" customFormat="false" ht="15" hidden="false" customHeight="false" outlineLevel="0" collapsed="false">
      <c r="A1199" s="8" t="n">
        <f aca="false">A1198+1</f>
        <v>46124</v>
      </c>
      <c r="B1199" s="7" t="n">
        <f aca="false">YEAR(A1199)</f>
        <v>2026</v>
      </c>
      <c r="C1199" s="7" t="n">
        <f aca="false">MONTH(A1199)</f>
        <v>4</v>
      </c>
      <c r="D1199" s="8" t="n">
        <f aca="false">DATE(B1199,C1199,1)</f>
        <v>46113</v>
      </c>
      <c r="E1199" s="7" t="str">
        <f aca="false">CHOOSE(C1199,"ene","feb","mar","abr","may","jun","jul","ago","sep","oct","nov","dic")</f>
        <v>abr</v>
      </c>
      <c r="F1199" s="7" t="str">
        <f aca="false">CHOOSE(C1199,"enero","febrero","marzo","abril","mayo","junio","julio","agosto","septiembre","octubre","noviembre","diciembre")</f>
        <v>abril</v>
      </c>
      <c r="G1199" s="7" t="str">
        <f aca="false">E1199&amp;"-"&amp;RIGHT(B1199,2)</f>
        <v>abr-26</v>
      </c>
    </row>
    <row r="1200" customFormat="false" ht="15" hidden="false" customHeight="false" outlineLevel="0" collapsed="false">
      <c r="A1200" s="8" t="n">
        <f aca="false">A1199+1</f>
        <v>46125</v>
      </c>
      <c r="B1200" s="7" t="n">
        <f aca="false">YEAR(A1200)</f>
        <v>2026</v>
      </c>
      <c r="C1200" s="7" t="n">
        <f aca="false">MONTH(A1200)</f>
        <v>4</v>
      </c>
      <c r="D1200" s="8" t="n">
        <f aca="false">DATE(B1200,C1200,1)</f>
        <v>46113</v>
      </c>
      <c r="E1200" s="7" t="str">
        <f aca="false">CHOOSE(C1200,"ene","feb","mar","abr","may","jun","jul","ago","sep","oct","nov","dic")</f>
        <v>abr</v>
      </c>
      <c r="F1200" s="7" t="str">
        <f aca="false">CHOOSE(C1200,"enero","febrero","marzo","abril","mayo","junio","julio","agosto","septiembre","octubre","noviembre","diciembre")</f>
        <v>abril</v>
      </c>
      <c r="G1200" s="7" t="str">
        <f aca="false">E1200&amp;"-"&amp;RIGHT(B1200,2)</f>
        <v>abr-26</v>
      </c>
    </row>
    <row r="1201" customFormat="false" ht="15" hidden="false" customHeight="false" outlineLevel="0" collapsed="false">
      <c r="A1201" s="8" t="n">
        <f aca="false">A1200+1</f>
        <v>46126</v>
      </c>
      <c r="B1201" s="7" t="n">
        <f aca="false">YEAR(A1201)</f>
        <v>2026</v>
      </c>
      <c r="C1201" s="7" t="n">
        <f aca="false">MONTH(A1201)</f>
        <v>4</v>
      </c>
      <c r="D1201" s="8" t="n">
        <f aca="false">DATE(B1201,C1201,1)</f>
        <v>46113</v>
      </c>
      <c r="E1201" s="7" t="str">
        <f aca="false">CHOOSE(C1201,"ene","feb","mar","abr","may","jun","jul","ago","sep","oct","nov","dic")</f>
        <v>abr</v>
      </c>
      <c r="F1201" s="7" t="str">
        <f aca="false">CHOOSE(C1201,"enero","febrero","marzo","abril","mayo","junio","julio","agosto","septiembre","octubre","noviembre","diciembre")</f>
        <v>abril</v>
      </c>
      <c r="G1201" s="7" t="str">
        <f aca="false">E1201&amp;"-"&amp;RIGHT(B1201,2)</f>
        <v>abr-26</v>
      </c>
    </row>
    <row r="1202" customFormat="false" ht="15" hidden="false" customHeight="false" outlineLevel="0" collapsed="false">
      <c r="A1202" s="8" t="n">
        <f aca="false">A1201+1</f>
        <v>46127</v>
      </c>
      <c r="B1202" s="7" t="n">
        <f aca="false">YEAR(A1202)</f>
        <v>2026</v>
      </c>
      <c r="C1202" s="7" t="n">
        <f aca="false">MONTH(A1202)</f>
        <v>4</v>
      </c>
      <c r="D1202" s="8" t="n">
        <f aca="false">DATE(B1202,C1202,1)</f>
        <v>46113</v>
      </c>
      <c r="E1202" s="7" t="str">
        <f aca="false">CHOOSE(C1202,"ene","feb","mar","abr","may","jun","jul","ago","sep","oct","nov","dic")</f>
        <v>abr</v>
      </c>
      <c r="F1202" s="7" t="str">
        <f aca="false">CHOOSE(C1202,"enero","febrero","marzo","abril","mayo","junio","julio","agosto","septiembre","octubre","noviembre","diciembre")</f>
        <v>abril</v>
      </c>
      <c r="G1202" s="7" t="str">
        <f aca="false">E1202&amp;"-"&amp;RIGHT(B1202,2)</f>
        <v>abr-26</v>
      </c>
    </row>
    <row r="1203" customFormat="false" ht="15" hidden="false" customHeight="false" outlineLevel="0" collapsed="false">
      <c r="A1203" s="8" t="n">
        <f aca="false">A1202+1</f>
        <v>46128</v>
      </c>
      <c r="B1203" s="7" t="n">
        <f aca="false">YEAR(A1203)</f>
        <v>2026</v>
      </c>
      <c r="C1203" s="7" t="n">
        <f aca="false">MONTH(A1203)</f>
        <v>4</v>
      </c>
      <c r="D1203" s="8" t="n">
        <f aca="false">DATE(B1203,C1203,1)</f>
        <v>46113</v>
      </c>
      <c r="E1203" s="7" t="str">
        <f aca="false">CHOOSE(C1203,"ene","feb","mar","abr","may","jun","jul","ago","sep","oct","nov","dic")</f>
        <v>abr</v>
      </c>
      <c r="F1203" s="7" t="str">
        <f aca="false">CHOOSE(C1203,"enero","febrero","marzo","abril","mayo","junio","julio","agosto","septiembre","octubre","noviembre","diciembre")</f>
        <v>abril</v>
      </c>
      <c r="G1203" s="7" t="str">
        <f aca="false">E1203&amp;"-"&amp;RIGHT(B1203,2)</f>
        <v>abr-26</v>
      </c>
    </row>
    <row r="1204" customFormat="false" ht="15" hidden="false" customHeight="false" outlineLevel="0" collapsed="false">
      <c r="A1204" s="8" t="n">
        <f aca="false">A1203+1</f>
        <v>46129</v>
      </c>
      <c r="B1204" s="7" t="n">
        <f aca="false">YEAR(A1204)</f>
        <v>2026</v>
      </c>
      <c r="C1204" s="7" t="n">
        <f aca="false">MONTH(A1204)</f>
        <v>4</v>
      </c>
      <c r="D1204" s="8" t="n">
        <f aca="false">DATE(B1204,C1204,1)</f>
        <v>46113</v>
      </c>
      <c r="E1204" s="7" t="str">
        <f aca="false">CHOOSE(C1204,"ene","feb","mar","abr","may","jun","jul","ago","sep","oct","nov","dic")</f>
        <v>abr</v>
      </c>
      <c r="F1204" s="7" t="str">
        <f aca="false">CHOOSE(C1204,"enero","febrero","marzo","abril","mayo","junio","julio","agosto","septiembre","octubre","noviembre","diciembre")</f>
        <v>abril</v>
      </c>
      <c r="G1204" s="7" t="str">
        <f aca="false">E1204&amp;"-"&amp;RIGHT(B1204,2)</f>
        <v>abr-26</v>
      </c>
    </row>
    <row r="1205" customFormat="false" ht="15" hidden="false" customHeight="false" outlineLevel="0" collapsed="false">
      <c r="A1205" s="8" t="n">
        <f aca="false">A1204+1</f>
        <v>46130</v>
      </c>
      <c r="B1205" s="7" t="n">
        <f aca="false">YEAR(A1205)</f>
        <v>2026</v>
      </c>
      <c r="C1205" s="7" t="n">
        <f aca="false">MONTH(A1205)</f>
        <v>4</v>
      </c>
      <c r="D1205" s="8" t="n">
        <f aca="false">DATE(B1205,C1205,1)</f>
        <v>46113</v>
      </c>
      <c r="E1205" s="7" t="str">
        <f aca="false">CHOOSE(C1205,"ene","feb","mar","abr","may","jun","jul","ago","sep","oct","nov","dic")</f>
        <v>abr</v>
      </c>
      <c r="F1205" s="7" t="str">
        <f aca="false">CHOOSE(C1205,"enero","febrero","marzo","abril","mayo","junio","julio","agosto","septiembre","octubre","noviembre","diciembre")</f>
        <v>abril</v>
      </c>
      <c r="G1205" s="7" t="str">
        <f aca="false">E1205&amp;"-"&amp;RIGHT(B1205,2)</f>
        <v>abr-26</v>
      </c>
    </row>
    <row r="1206" customFormat="false" ht="15" hidden="false" customHeight="false" outlineLevel="0" collapsed="false">
      <c r="A1206" s="8" t="n">
        <f aca="false">A1205+1</f>
        <v>46131</v>
      </c>
      <c r="B1206" s="7" t="n">
        <f aca="false">YEAR(A1206)</f>
        <v>2026</v>
      </c>
      <c r="C1206" s="7" t="n">
        <f aca="false">MONTH(A1206)</f>
        <v>4</v>
      </c>
      <c r="D1206" s="8" t="n">
        <f aca="false">DATE(B1206,C1206,1)</f>
        <v>46113</v>
      </c>
      <c r="E1206" s="7" t="str">
        <f aca="false">CHOOSE(C1206,"ene","feb","mar","abr","may","jun","jul","ago","sep","oct","nov","dic")</f>
        <v>abr</v>
      </c>
      <c r="F1206" s="7" t="str">
        <f aca="false">CHOOSE(C1206,"enero","febrero","marzo","abril","mayo","junio","julio","agosto","septiembre","octubre","noviembre","diciembre")</f>
        <v>abril</v>
      </c>
      <c r="G1206" s="7" t="str">
        <f aca="false">E1206&amp;"-"&amp;RIGHT(B1206,2)</f>
        <v>abr-26</v>
      </c>
    </row>
    <row r="1207" customFormat="false" ht="15" hidden="false" customHeight="false" outlineLevel="0" collapsed="false">
      <c r="A1207" s="8" t="n">
        <f aca="false">A1206+1</f>
        <v>46132</v>
      </c>
      <c r="B1207" s="7" t="n">
        <f aca="false">YEAR(A1207)</f>
        <v>2026</v>
      </c>
      <c r="C1207" s="7" t="n">
        <f aca="false">MONTH(A1207)</f>
        <v>4</v>
      </c>
      <c r="D1207" s="8" t="n">
        <f aca="false">DATE(B1207,C1207,1)</f>
        <v>46113</v>
      </c>
      <c r="E1207" s="7" t="str">
        <f aca="false">CHOOSE(C1207,"ene","feb","mar","abr","may","jun","jul","ago","sep","oct","nov","dic")</f>
        <v>abr</v>
      </c>
      <c r="F1207" s="7" t="str">
        <f aca="false">CHOOSE(C1207,"enero","febrero","marzo","abril","mayo","junio","julio","agosto","septiembre","octubre","noviembre","diciembre")</f>
        <v>abril</v>
      </c>
      <c r="G1207" s="7" t="str">
        <f aca="false">E1207&amp;"-"&amp;RIGHT(B1207,2)</f>
        <v>abr-26</v>
      </c>
    </row>
    <row r="1208" customFormat="false" ht="15" hidden="false" customHeight="false" outlineLevel="0" collapsed="false">
      <c r="A1208" s="8" t="n">
        <f aca="false">A1207+1</f>
        <v>46133</v>
      </c>
      <c r="B1208" s="7" t="n">
        <f aca="false">YEAR(A1208)</f>
        <v>2026</v>
      </c>
      <c r="C1208" s="7" t="n">
        <f aca="false">MONTH(A1208)</f>
        <v>4</v>
      </c>
      <c r="D1208" s="8" t="n">
        <f aca="false">DATE(B1208,C1208,1)</f>
        <v>46113</v>
      </c>
      <c r="E1208" s="7" t="str">
        <f aca="false">CHOOSE(C1208,"ene","feb","mar","abr","may","jun","jul","ago","sep","oct","nov","dic")</f>
        <v>abr</v>
      </c>
      <c r="F1208" s="7" t="str">
        <f aca="false">CHOOSE(C1208,"enero","febrero","marzo","abril","mayo","junio","julio","agosto","septiembre","octubre","noviembre","diciembre")</f>
        <v>abril</v>
      </c>
      <c r="G1208" s="7" t="str">
        <f aca="false">E1208&amp;"-"&amp;RIGHT(B1208,2)</f>
        <v>abr-26</v>
      </c>
    </row>
    <row r="1209" customFormat="false" ht="15" hidden="false" customHeight="false" outlineLevel="0" collapsed="false">
      <c r="A1209" s="8" t="n">
        <f aca="false">A1208+1</f>
        <v>46134</v>
      </c>
      <c r="B1209" s="7" t="n">
        <f aca="false">YEAR(A1209)</f>
        <v>2026</v>
      </c>
      <c r="C1209" s="7" t="n">
        <f aca="false">MONTH(A1209)</f>
        <v>4</v>
      </c>
      <c r="D1209" s="8" t="n">
        <f aca="false">DATE(B1209,C1209,1)</f>
        <v>46113</v>
      </c>
      <c r="E1209" s="7" t="str">
        <f aca="false">CHOOSE(C1209,"ene","feb","mar","abr","may","jun","jul","ago","sep","oct","nov","dic")</f>
        <v>abr</v>
      </c>
      <c r="F1209" s="7" t="str">
        <f aca="false">CHOOSE(C1209,"enero","febrero","marzo","abril","mayo","junio","julio","agosto","septiembre","octubre","noviembre","diciembre")</f>
        <v>abril</v>
      </c>
      <c r="G1209" s="7" t="str">
        <f aca="false">E1209&amp;"-"&amp;RIGHT(B1209,2)</f>
        <v>abr-26</v>
      </c>
    </row>
    <row r="1210" customFormat="false" ht="15" hidden="false" customHeight="false" outlineLevel="0" collapsed="false">
      <c r="A1210" s="8" t="n">
        <f aca="false">A1209+1</f>
        <v>46135</v>
      </c>
      <c r="B1210" s="7" t="n">
        <f aca="false">YEAR(A1210)</f>
        <v>2026</v>
      </c>
      <c r="C1210" s="7" t="n">
        <f aca="false">MONTH(A1210)</f>
        <v>4</v>
      </c>
      <c r="D1210" s="8" t="n">
        <f aca="false">DATE(B1210,C1210,1)</f>
        <v>46113</v>
      </c>
      <c r="E1210" s="7" t="str">
        <f aca="false">CHOOSE(C1210,"ene","feb","mar","abr","may","jun","jul","ago","sep","oct","nov","dic")</f>
        <v>abr</v>
      </c>
      <c r="F1210" s="7" t="str">
        <f aca="false">CHOOSE(C1210,"enero","febrero","marzo","abril","mayo","junio","julio","agosto","septiembre","octubre","noviembre","diciembre")</f>
        <v>abril</v>
      </c>
      <c r="G1210" s="7" t="str">
        <f aca="false">E1210&amp;"-"&amp;RIGHT(B1210,2)</f>
        <v>abr-26</v>
      </c>
    </row>
    <row r="1211" customFormat="false" ht="15" hidden="false" customHeight="false" outlineLevel="0" collapsed="false">
      <c r="A1211" s="8" t="n">
        <f aca="false">A1210+1</f>
        <v>46136</v>
      </c>
      <c r="B1211" s="7" t="n">
        <f aca="false">YEAR(A1211)</f>
        <v>2026</v>
      </c>
      <c r="C1211" s="7" t="n">
        <f aca="false">MONTH(A1211)</f>
        <v>4</v>
      </c>
      <c r="D1211" s="8" t="n">
        <f aca="false">DATE(B1211,C1211,1)</f>
        <v>46113</v>
      </c>
      <c r="E1211" s="7" t="str">
        <f aca="false">CHOOSE(C1211,"ene","feb","mar","abr","may","jun","jul","ago","sep","oct","nov","dic")</f>
        <v>abr</v>
      </c>
      <c r="F1211" s="7" t="str">
        <f aca="false">CHOOSE(C1211,"enero","febrero","marzo","abril","mayo","junio","julio","agosto","septiembre","octubre","noviembre","diciembre")</f>
        <v>abril</v>
      </c>
      <c r="G1211" s="7" t="str">
        <f aca="false">E1211&amp;"-"&amp;RIGHT(B1211,2)</f>
        <v>abr-26</v>
      </c>
    </row>
    <row r="1212" customFormat="false" ht="15" hidden="false" customHeight="false" outlineLevel="0" collapsed="false">
      <c r="A1212" s="8" t="n">
        <f aca="false">A1211+1</f>
        <v>46137</v>
      </c>
      <c r="B1212" s="7" t="n">
        <f aca="false">YEAR(A1212)</f>
        <v>2026</v>
      </c>
      <c r="C1212" s="7" t="n">
        <f aca="false">MONTH(A1212)</f>
        <v>4</v>
      </c>
      <c r="D1212" s="8" t="n">
        <f aca="false">DATE(B1212,C1212,1)</f>
        <v>46113</v>
      </c>
      <c r="E1212" s="7" t="str">
        <f aca="false">CHOOSE(C1212,"ene","feb","mar","abr","may","jun","jul","ago","sep","oct","nov","dic")</f>
        <v>abr</v>
      </c>
      <c r="F1212" s="7" t="str">
        <f aca="false">CHOOSE(C1212,"enero","febrero","marzo","abril","mayo","junio","julio","agosto","septiembre","octubre","noviembre","diciembre")</f>
        <v>abril</v>
      </c>
      <c r="G1212" s="7" t="str">
        <f aca="false">E1212&amp;"-"&amp;RIGHT(B1212,2)</f>
        <v>abr-26</v>
      </c>
    </row>
    <row r="1213" customFormat="false" ht="15" hidden="false" customHeight="false" outlineLevel="0" collapsed="false">
      <c r="A1213" s="8" t="n">
        <f aca="false">A1212+1</f>
        <v>46138</v>
      </c>
      <c r="B1213" s="7" t="n">
        <f aca="false">YEAR(A1213)</f>
        <v>2026</v>
      </c>
      <c r="C1213" s="7" t="n">
        <f aca="false">MONTH(A1213)</f>
        <v>4</v>
      </c>
      <c r="D1213" s="8" t="n">
        <f aca="false">DATE(B1213,C1213,1)</f>
        <v>46113</v>
      </c>
      <c r="E1213" s="7" t="str">
        <f aca="false">CHOOSE(C1213,"ene","feb","mar","abr","may","jun","jul","ago","sep","oct","nov","dic")</f>
        <v>abr</v>
      </c>
      <c r="F1213" s="7" t="str">
        <f aca="false">CHOOSE(C1213,"enero","febrero","marzo","abril","mayo","junio","julio","agosto","septiembre","octubre","noviembre","diciembre")</f>
        <v>abril</v>
      </c>
      <c r="G1213" s="7" t="str">
        <f aca="false">E1213&amp;"-"&amp;RIGHT(B1213,2)</f>
        <v>abr-26</v>
      </c>
    </row>
    <row r="1214" customFormat="false" ht="15" hidden="false" customHeight="false" outlineLevel="0" collapsed="false">
      <c r="A1214" s="8" t="n">
        <f aca="false">A1213+1</f>
        <v>46139</v>
      </c>
      <c r="B1214" s="7" t="n">
        <f aca="false">YEAR(A1214)</f>
        <v>2026</v>
      </c>
      <c r="C1214" s="7" t="n">
        <f aca="false">MONTH(A1214)</f>
        <v>4</v>
      </c>
      <c r="D1214" s="8" t="n">
        <f aca="false">DATE(B1214,C1214,1)</f>
        <v>46113</v>
      </c>
      <c r="E1214" s="7" t="str">
        <f aca="false">CHOOSE(C1214,"ene","feb","mar","abr","may","jun","jul","ago","sep","oct","nov","dic")</f>
        <v>abr</v>
      </c>
      <c r="F1214" s="7" t="str">
        <f aca="false">CHOOSE(C1214,"enero","febrero","marzo","abril","mayo","junio","julio","agosto","septiembre","octubre","noviembre","diciembre")</f>
        <v>abril</v>
      </c>
      <c r="G1214" s="7" t="str">
        <f aca="false">E1214&amp;"-"&amp;RIGHT(B1214,2)</f>
        <v>abr-26</v>
      </c>
    </row>
    <row r="1215" customFormat="false" ht="15" hidden="false" customHeight="false" outlineLevel="0" collapsed="false">
      <c r="A1215" s="8" t="n">
        <f aca="false">A1214+1</f>
        <v>46140</v>
      </c>
      <c r="B1215" s="7" t="n">
        <f aca="false">YEAR(A1215)</f>
        <v>2026</v>
      </c>
      <c r="C1215" s="7" t="n">
        <f aca="false">MONTH(A1215)</f>
        <v>4</v>
      </c>
      <c r="D1215" s="8" t="n">
        <f aca="false">DATE(B1215,C1215,1)</f>
        <v>46113</v>
      </c>
      <c r="E1215" s="7" t="str">
        <f aca="false">CHOOSE(C1215,"ene","feb","mar","abr","may","jun","jul","ago","sep","oct","nov","dic")</f>
        <v>abr</v>
      </c>
      <c r="F1215" s="7" t="str">
        <f aca="false">CHOOSE(C1215,"enero","febrero","marzo","abril","mayo","junio","julio","agosto","septiembre","octubre","noviembre","diciembre")</f>
        <v>abril</v>
      </c>
      <c r="G1215" s="7" t="str">
        <f aca="false">E1215&amp;"-"&amp;RIGHT(B1215,2)</f>
        <v>abr-26</v>
      </c>
    </row>
    <row r="1216" customFormat="false" ht="15" hidden="false" customHeight="false" outlineLevel="0" collapsed="false">
      <c r="A1216" s="8" t="n">
        <f aca="false">A1215+1</f>
        <v>46141</v>
      </c>
      <c r="B1216" s="7" t="n">
        <f aca="false">YEAR(A1216)</f>
        <v>2026</v>
      </c>
      <c r="C1216" s="7" t="n">
        <f aca="false">MONTH(A1216)</f>
        <v>4</v>
      </c>
      <c r="D1216" s="8" t="n">
        <f aca="false">DATE(B1216,C1216,1)</f>
        <v>46113</v>
      </c>
      <c r="E1216" s="7" t="str">
        <f aca="false">CHOOSE(C1216,"ene","feb","mar","abr","may","jun","jul","ago","sep","oct","nov","dic")</f>
        <v>abr</v>
      </c>
      <c r="F1216" s="7" t="str">
        <f aca="false">CHOOSE(C1216,"enero","febrero","marzo","abril","mayo","junio","julio","agosto","septiembre","octubre","noviembre","diciembre")</f>
        <v>abril</v>
      </c>
      <c r="G1216" s="7" t="str">
        <f aca="false">E1216&amp;"-"&amp;RIGHT(B1216,2)</f>
        <v>abr-26</v>
      </c>
    </row>
    <row r="1217" customFormat="false" ht="15" hidden="false" customHeight="false" outlineLevel="0" collapsed="false">
      <c r="A1217" s="8" t="n">
        <f aca="false">A1216+1</f>
        <v>46142</v>
      </c>
      <c r="B1217" s="7" t="n">
        <f aca="false">YEAR(A1217)</f>
        <v>2026</v>
      </c>
      <c r="C1217" s="7" t="n">
        <f aca="false">MONTH(A1217)</f>
        <v>4</v>
      </c>
      <c r="D1217" s="8" t="n">
        <f aca="false">DATE(B1217,C1217,1)</f>
        <v>46113</v>
      </c>
      <c r="E1217" s="7" t="str">
        <f aca="false">CHOOSE(C1217,"ene","feb","mar","abr","may","jun","jul","ago","sep","oct","nov","dic")</f>
        <v>abr</v>
      </c>
      <c r="F1217" s="7" t="str">
        <f aca="false">CHOOSE(C1217,"enero","febrero","marzo","abril","mayo","junio","julio","agosto","septiembre","octubre","noviembre","diciembre")</f>
        <v>abril</v>
      </c>
      <c r="G1217" s="7" t="str">
        <f aca="false">E1217&amp;"-"&amp;RIGHT(B1217,2)</f>
        <v>abr-26</v>
      </c>
    </row>
    <row r="1218" customFormat="false" ht="15" hidden="false" customHeight="false" outlineLevel="0" collapsed="false">
      <c r="A1218" s="8" t="n">
        <f aca="false">A1217+1</f>
        <v>46143</v>
      </c>
      <c r="B1218" s="7" t="n">
        <f aca="false">YEAR(A1218)</f>
        <v>2026</v>
      </c>
      <c r="C1218" s="7" t="n">
        <f aca="false">MONTH(A1218)</f>
        <v>5</v>
      </c>
      <c r="D1218" s="8" t="n">
        <f aca="false">DATE(B1218,C1218,1)</f>
        <v>46143</v>
      </c>
      <c r="E1218" s="7" t="str">
        <f aca="false">CHOOSE(C1218,"ene","feb","mar","abr","may","jun","jul","ago","sep","oct","nov","dic")</f>
        <v>may</v>
      </c>
      <c r="F1218" s="7" t="str">
        <f aca="false">CHOOSE(C1218,"enero","febrero","marzo","abril","mayo","junio","julio","agosto","septiembre","octubre","noviembre","diciembre")</f>
        <v>mayo</v>
      </c>
      <c r="G1218" s="7" t="str">
        <f aca="false">E1218&amp;"-"&amp;RIGHT(B1218,2)</f>
        <v>may-26</v>
      </c>
    </row>
    <row r="1219" customFormat="false" ht="15" hidden="false" customHeight="false" outlineLevel="0" collapsed="false">
      <c r="A1219" s="8" t="n">
        <f aca="false">A1218+1</f>
        <v>46144</v>
      </c>
      <c r="B1219" s="7" t="n">
        <f aca="false">YEAR(A1219)</f>
        <v>2026</v>
      </c>
      <c r="C1219" s="7" t="n">
        <f aca="false">MONTH(A1219)</f>
        <v>5</v>
      </c>
      <c r="D1219" s="8" t="n">
        <f aca="false">DATE(B1219,C1219,1)</f>
        <v>46143</v>
      </c>
      <c r="E1219" s="7" t="str">
        <f aca="false">CHOOSE(C1219,"ene","feb","mar","abr","may","jun","jul","ago","sep","oct","nov","dic")</f>
        <v>may</v>
      </c>
      <c r="F1219" s="7" t="str">
        <f aca="false">CHOOSE(C1219,"enero","febrero","marzo","abril","mayo","junio","julio","agosto","septiembre","octubre","noviembre","diciembre")</f>
        <v>mayo</v>
      </c>
      <c r="G1219" s="7" t="str">
        <f aca="false">E1219&amp;"-"&amp;RIGHT(B1219,2)</f>
        <v>may-26</v>
      </c>
    </row>
    <row r="1220" customFormat="false" ht="15" hidden="false" customHeight="false" outlineLevel="0" collapsed="false">
      <c r="A1220" s="8" t="n">
        <f aca="false">A1219+1</f>
        <v>46145</v>
      </c>
      <c r="B1220" s="7" t="n">
        <f aca="false">YEAR(A1220)</f>
        <v>2026</v>
      </c>
      <c r="C1220" s="7" t="n">
        <f aca="false">MONTH(A1220)</f>
        <v>5</v>
      </c>
      <c r="D1220" s="8" t="n">
        <f aca="false">DATE(B1220,C1220,1)</f>
        <v>46143</v>
      </c>
      <c r="E1220" s="7" t="str">
        <f aca="false">CHOOSE(C1220,"ene","feb","mar","abr","may","jun","jul","ago","sep","oct","nov","dic")</f>
        <v>may</v>
      </c>
      <c r="F1220" s="7" t="str">
        <f aca="false">CHOOSE(C1220,"enero","febrero","marzo","abril","mayo","junio","julio","agosto","septiembre","octubre","noviembre","diciembre")</f>
        <v>mayo</v>
      </c>
      <c r="G1220" s="7" t="str">
        <f aca="false">E1220&amp;"-"&amp;RIGHT(B1220,2)</f>
        <v>may-26</v>
      </c>
    </row>
    <row r="1221" customFormat="false" ht="15" hidden="false" customHeight="false" outlineLevel="0" collapsed="false">
      <c r="A1221" s="8" t="n">
        <f aca="false">A1220+1</f>
        <v>46146</v>
      </c>
      <c r="B1221" s="7" t="n">
        <f aca="false">YEAR(A1221)</f>
        <v>2026</v>
      </c>
      <c r="C1221" s="7" t="n">
        <f aca="false">MONTH(A1221)</f>
        <v>5</v>
      </c>
      <c r="D1221" s="8" t="n">
        <f aca="false">DATE(B1221,C1221,1)</f>
        <v>46143</v>
      </c>
      <c r="E1221" s="7" t="str">
        <f aca="false">CHOOSE(C1221,"ene","feb","mar","abr","may","jun","jul","ago","sep","oct","nov","dic")</f>
        <v>may</v>
      </c>
      <c r="F1221" s="7" t="str">
        <f aca="false">CHOOSE(C1221,"enero","febrero","marzo","abril","mayo","junio","julio","agosto","septiembre","octubre","noviembre","diciembre")</f>
        <v>mayo</v>
      </c>
      <c r="G1221" s="7" t="str">
        <f aca="false">E1221&amp;"-"&amp;RIGHT(B1221,2)</f>
        <v>may-26</v>
      </c>
    </row>
    <row r="1222" customFormat="false" ht="15" hidden="false" customHeight="false" outlineLevel="0" collapsed="false">
      <c r="A1222" s="8" t="n">
        <f aca="false">A1221+1</f>
        <v>46147</v>
      </c>
      <c r="B1222" s="7" t="n">
        <f aca="false">YEAR(A1222)</f>
        <v>2026</v>
      </c>
      <c r="C1222" s="7" t="n">
        <f aca="false">MONTH(A1222)</f>
        <v>5</v>
      </c>
      <c r="D1222" s="8" t="n">
        <f aca="false">DATE(B1222,C1222,1)</f>
        <v>46143</v>
      </c>
      <c r="E1222" s="7" t="str">
        <f aca="false">CHOOSE(C1222,"ene","feb","mar","abr","may","jun","jul","ago","sep","oct","nov","dic")</f>
        <v>may</v>
      </c>
      <c r="F1222" s="7" t="str">
        <f aca="false">CHOOSE(C1222,"enero","febrero","marzo","abril","mayo","junio","julio","agosto","septiembre","octubre","noviembre","diciembre")</f>
        <v>mayo</v>
      </c>
      <c r="G1222" s="7" t="str">
        <f aca="false">E1222&amp;"-"&amp;RIGHT(B1222,2)</f>
        <v>may-26</v>
      </c>
    </row>
    <row r="1223" customFormat="false" ht="15" hidden="false" customHeight="false" outlineLevel="0" collapsed="false">
      <c r="A1223" s="8" t="n">
        <f aca="false">A1222+1</f>
        <v>46148</v>
      </c>
      <c r="B1223" s="7" t="n">
        <f aca="false">YEAR(A1223)</f>
        <v>2026</v>
      </c>
      <c r="C1223" s="7" t="n">
        <f aca="false">MONTH(A1223)</f>
        <v>5</v>
      </c>
      <c r="D1223" s="8" t="n">
        <f aca="false">DATE(B1223,C1223,1)</f>
        <v>46143</v>
      </c>
      <c r="E1223" s="7" t="str">
        <f aca="false">CHOOSE(C1223,"ene","feb","mar","abr","may","jun","jul","ago","sep","oct","nov","dic")</f>
        <v>may</v>
      </c>
      <c r="F1223" s="7" t="str">
        <f aca="false">CHOOSE(C1223,"enero","febrero","marzo","abril","mayo","junio","julio","agosto","septiembre","octubre","noviembre","diciembre")</f>
        <v>mayo</v>
      </c>
      <c r="G1223" s="7" t="str">
        <f aca="false">E1223&amp;"-"&amp;RIGHT(B1223,2)</f>
        <v>may-26</v>
      </c>
    </row>
    <row r="1224" customFormat="false" ht="15" hidden="false" customHeight="false" outlineLevel="0" collapsed="false">
      <c r="A1224" s="8" t="n">
        <f aca="false">A1223+1</f>
        <v>46149</v>
      </c>
      <c r="B1224" s="7" t="n">
        <f aca="false">YEAR(A1224)</f>
        <v>2026</v>
      </c>
      <c r="C1224" s="7" t="n">
        <f aca="false">MONTH(A1224)</f>
        <v>5</v>
      </c>
      <c r="D1224" s="8" t="n">
        <f aca="false">DATE(B1224,C1224,1)</f>
        <v>46143</v>
      </c>
      <c r="E1224" s="7" t="str">
        <f aca="false">CHOOSE(C1224,"ene","feb","mar","abr","may","jun","jul","ago","sep","oct","nov","dic")</f>
        <v>may</v>
      </c>
      <c r="F1224" s="7" t="str">
        <f aca="false">CHOOSE(C1224,"enero","febrero","marzo","abril","mayo","junio","julio","agosto","septiembre","octubre","noviembre","diciembre")</f>
        <v>mayo</v>
      </c>
      <c r="G1224" s="7" t="str">
        <f aca="false">E1224&amp;"-"&amp;RIGHT(B1224,2)</f>
        <v>may-26</v>
      </c>
    </row>
    <row r="1225" customFormat="false" ht="15" hidden="false" customHeight="false" outlineLevel="0" collapsed="false">
      <c r="A1225" s="8" t="n">
        <f aca="false">A1224+1</f>
        <v>46150</v>
      </c>
      <c r="B1225" s="7" t="n">
        <f aca="false">YEAR(A1225)</f>
        <v>2026</v>
      </c>
      <c r="C1225" s="7" t="n">
        <f aca="false">MONTH(A1225)</f>
        <v>5</v>
      </c>
      <c r="D1225" s="8" t="n">
        <f aca="false">DATE(B1225,C1225,1)</f>
        <v>46143</v>
      </c>
      <c r="E1225" s="7" t="str">
        <f aca="false">CHOOSE(C1225,"ene","feb","mar","abr","may","jun","jul","ago","sep","oct","nov","dic")</f>
        <v>may</v>
      </c>
      <c r="F1225" s="7" t="str">
        <f aca="false">CHOOSE(C1225,"enero","febrero","marzo","abril","mayo","junio","julio","agosto","septiembre","octubre","noviembre","diciembre")</f>
        <v>mayo</v>
      </c>
      <c r="G1225" s="7" t="str">
        <f aca="false">E1225&amp;"-"&amp;RIGHT(B1225,2)</f>
        <v>may-26</v>
      </c>
    </row>
    <row r="1226" customFormat="false" ht="15" hidden="false" customHeight="false" outlineLevel="0" collapsed="false">
      <c r="A1226" s="8" t="n">
        <f aca="false">A1225+1</f>
        <v>46151</v>
      </c>
      <c r="B1226" s="7" t="n">
        <f aca="false">YEAR(A1226)</f>
        <v>2026</v>
      </c>
      <c r="C1226" s="7" t="n">
        <f aca="false">MONTH(A1226)</f>
        <v>5</v>
      </c>
      <c r="D1226" s="8" t="n">
        <f aca="false">DATE(B1226,C1226,1)</f>
        <v>46143</v>
      </c>
      <c r="E1226" s="7" t="str">
        <f aca="false">CHOOSE(C1226,"ene","feb","mar","abr","may","jun","jul","ago","sep","oct","nov","dic")</f>
        <v>may</v>
      </c>
      <c r="F1226" s="7" t="str">
        <f aca="false">CHOOSE(C1226,"enero","febrero","marzo","abril","mayo","junio","julio","agosto","septiembre","octubre","noviembre","diciembre")</f>
        <v>mayo</v>
      </c>
      <c r="G1226" s="7" t="str">
        <f aca="false">E1226&amp;"-"&amp;RIGHT(B1226,2)</f>
        <v>may-26</v>
      </c>
    </row>
    <row r="1227" customFormat="false" ht="15" hidden="false" customHeight="false" outlineLevel="0" collapsed="false">
      <c r="A1227" s="8" t="n">
        <f aca="false">A1226+1</f>
        <v>46152</v>
      </c>
      <c r="B1227" s="7" t="n">
        <f aca="false">YEAR(A1227)</f>
        <v>2026</v>
      </c>
      <c r="C1227" s="7" t="n">
        <f aca="false">MONTH(A1227)</f>
        <v>5</v>
      </c>
      <c r="D1227" s="8" t="n">
        <f aca="false">DATE(B1227,C1227,1)</f>
        <v>46143</v>
      </c>
      <c r="E1227" s="7" t="str">
        <f aca="false">CHOOSE(C1227,"ene","feb","mar","abr","may","jun","jul","ago","sep","oct","nov","dic")</f>
        <v>may</v>
      </c>
      <c r="F1227" s="7" t="str">
        <f aca="false">CHOOSE(C1227,"enero","febrero","marzo","abril","mayo","junio","julio","agosto","septiembre","octubre","noviembre","diciembre")</f>
        <v>mayo</v>
      </c>
      <c r="G1227" s="7" t="str">
        <f aca="false">E1227&amp;"-"&amp;RIGHT(B1227,2)</f>
        <v>may-26</v>
      </c>
    </row>
    <row r="1228" customFormat="false" ht="15" hidden="false" customHeight="false" outlineLevel="0" collapsed="false">
      <c r="A1228" s="8" t="n">
        <f aca="false">A1227+1</f>
        <v>46153</v>
      </c>
      <c r="B1228" s="7" t="n">
        <f aca="false">YEAR(A1228)</f>
        <v>2026</v>
      </c>
      <c r="C1228" s="7" t="n">
        <f aca="false">MONTH(A1228)</f>
        <v>5</v>
      </c>
      <c r="D1228" s="8" t="n">
        <f aca="false">DATE(B1228,C1228,1)</f>
        <v>46143</v>
      </c>
      <c r="E1228" s="7" t="str">
        <f aca="false">CHOOSE(C1228,"ene","feb","mar","abr","may","jun","jul","ago","sep","oct","nov","dic")</f>
        <v>may</v>
      </c>
      <c r="F1228" s="7" t="str">
        <f aca="false">CHOOSE(C1228,"enero","febrero","marzo","abril","mayo","junio","julio","agosto","septiembre","octubre","noviembre","diciembre")</f>
        <v>mayo</v>
      </c>
      <c r="G1228" s="7" t="str">
        <f aca="false">E1228&amp;"-"&amp;RIGHT(B1228,2)</f>
        <v>may-26</v>
      </c>
    </row>
    <row r="1229" customFormat="false" ht="15" hidden="false" customHeight="false" outlineLevel="0" collapsed="false">
      <c r="A1229" s="8" t="n">
        <f aca="false">A1228+1</f>
        <v>46154</v>
      </c>
      <c r="B1229" s="7" t="n">
        <f aca="false">YEAR(A1229)</f>
        <v>2026</v>
      </c>
      <c r="C1229" s="7" t="n">
        <f aca="false">MONTH(A1229)</f>
        <v>5</v>
      </c>
      <c r="D1229" s="8" t="n">
        <f aca="false">DATE(B1229,C1229,1)</f>
        <v>46143</v>
      </c>
      <c r="E1229" s="7" t="str">
        <f aca="false">CHOOSE(C1229,"ene","feb","mar","abr","may","jun","jul","ago","sep","oct","nov","dic")</f>
        <v>may</v>
      </c>
      <c r="F1229" s="7" t="str">
        <f aca="false">CHOOSE(C1229,"enero","febrero","marzo","abril","mayo","junio","julio","agosto","septiembre","octubre","noviembre","diciembre")</f>
        <v>mayo</v>
      </c>
      <c r="G1229" s="7" t="str">
        <f aca="false">E1229&amp;"-"&amp;RIGHT(B1229,2)</f>
        <v>may-26</v>
      </c>
    </row>
    <row r="1230" customFormat="false" ht="15" hidden="false" customHeight="false" outlineLevel="0" collapsed="false">
      <c r="A1230" s="8" t="n">
        <f aca="false">A1229+1</f>
        <v>46155</v>
      </c>
      <c r="B1230" s="7" t="n">
        <f aca="false">YEAR(A1230)</f>
        <v>2026</v>
      </c>
      <c r="C1230" s="7" t="n">
        <f aca="false">MONTH(A1230)</f>
        <v>5</v>
      </c>
      <c r="D1230" s="8" t="n">
        <f aca="false">DATE(B1230,C1230,1)</f>
        <v>46143</v>
      </c>
      <c r="E1230" s="7" t="str">
        <f aca="false">CHOOSE(C1230,"ene","feb","mar","abr","may","jun","jul","ago","sep","oct","nov","dic")</f>
        <v>may</v>
      </c>
      <c r="F1230" s="7" t="str">
        <f aca="false">CHOOSE(C1230,"enero","febrero","marzo","abril","mayo","junio","julio","agosto","septiembre","octubre","noviembre","diciembre")</f>
        <v>mayo</v>
      </c>
      <c r="G1230" s="7" t="str">
        <f aca="false">E1230&amp;"-"&amp;RIGHT(B1230,2)</f>
        <v>may-26</v>
      </c>
    </row>
    <row r="1231" customFormat="false" ht="15" hidden="false" customHeight="false" outlineLevel="0" collapsed="false">
      <c r="A1231" s="8" t="n">
        <f aca="false">A1230+1</f>
        <v>46156</v>
      </c>
      <c r="B1231" s="7" t="n">
        <f aca="false">YEAR(A1231)</f>
        <v>2026</v>
      </c>
      <c r="C1231" s="7" t="n">
        <f aca="false">MONTH(A1231)</f>
        <v>5</v>
      </c>
      <c r="D1231" s="8" t="n">
        <f aca="false">DATE(B1231,C1231,1)</f>
        <v>46143</v>
      </c>
      <c r="E1231" s="7" t="str">
        <f aca="false">CHOOSE(C1231,"ene","feb","mar","abr","may","jun","jul","ago","sep","oct","nov","dic")</f>
        <v>may</v>
      </c>
      <c r="F1231" s="7" t="str">
        <f aca="false">CHOOSE(C1231,"enero","febrero","marzo","abril","mayo","junio","julio","agosto","septiembre","octubre","noviembre","diciembre")</f>
        <v>mayo</v>
      </c>
      <c r="G1231" s="7" t="str">
        <f aca="false">E1231&amp;"-"&amp;RIGHT(B1231,2)</f>
        <v>may-26</v>
      </c>
    </row>
    <row r="1232" customFormat="false" ht="15" hidden="false" customHeight="false" outlineLevel="0" collapsed="false">
      <c r="A1232" s="8" t="n">
        <f aca="false">A1231+1</f>
        <v>46157</v>
      </c>
      <c r="B1232" s="7" t="n">
        <f aca="false">YEAR(A1232)</f>
        <v>2026</v>
      </c>
      <c r="C1232" s="7" t="n">
        <f aca="false">MONTH(A1232)</f>
        <v>5</v>
      </c>
      <c r="D1232" s="8" t="n">
        <f aca="false">DATE(B1232,C1232,1)</f>
        <v>46143</v>
      </c>
      <c r="E1232" s="7" t="str">
        <f aca="false">CHOOSE(C1232,"ene","feb","mar","abr","may","jun","jul","ago","sep","oct","nov","dic")</f>
        <v>may</v>
      </c>
      <c r="F1232" s="7" t="str">
        <f aca="false">CHOOSE(C1232,"enero","febrero","marzo","abril","mayo","junio","julio","agosto","septiembre","octubre","noviembre","diciembre")</f>
        <v>mayo</v>
      </c>
      <c r="G1232" s="7" t="str">
        <f aca="false">E1232&amp;"-"&amp;RIGHT(B1232,2)</f>
        <v>may-26</v>
      </c>
    </row>
    <row r="1233" customFormat="false" ht="15" hidden="false" customHeight="false" outlineLevel="0" collapsed="false">
      <c r="A1233" s="8" t="n">
        <f aca="false">A1232+1</f>
        <v>46158</v>
      </c>
      <c r="B1233" s="7" t="n">
        <f aca="false">YEAR(A1233)</f>
        <v>2026</v>
      </c>
      <c r="C1233" s="7" t="n">
        <f aca="false">MONTH(A1233)</f>
        <v>5</v>
      </c>
      <c r="D1233" s="8" t="n">
        <f aca="false">DATE(B1233,C1233,1)</f>
        <v>46143</v>
      </c>
      <c r="E1233" s="7" t="str">
        <f aca="false">CHOOSE(C1233,"ene","feb","mar","abr","may","jun","jul","ago","sep","oct","nov","dic")</f>
        <v>may</v>
      </c>
      <c r="F1233" s="7" t="str">
        <f aca="false">CHOOSE(C1233,"enero","febrero","marzo","abril","mayo","junio","julio","agosto","septiembre","octubre","noviembre","diciembre")</f>
        <v>mayo</v>
      </c>
      <c r="G1233" s="7" t="str">
        <f aca="false">E1233&amp;"-"&amp;RIGHT(B1233,2)</f>
        <v>may-26</v>
      </c>
    </row>
    <row r="1234" customFormat="false" ht="15" hidden="false" customHeight="false" outlineLevel="0" collapsed="false">
      <c r="A1234" s="8" t="n">
        <f aca="false">A1233+1</f>
        <v>46159</v>
      </c>
      <c r="B1234" s="7" t="n">
        <f aca="false">YEAR(A1234)</f>
        <v>2026</v>
      </c>
      <c r="C1234" s="7" t="n">
        <f aca="false">MONTH(A1234)</f>
        <v>5</v>
      </c>
      <c r="D1234" s="8" t="n">
        <f aca="false">DATE(B1234,C1234,1)</f>
        <v>46143</v>
      </c>
      <c r="E1234" s="7" t="str">
        <f aca="false">CHOOSE(C1234,"ene","feb","mar","abr","may","jun","jul","ago","sep","oct","nov","dic")</f>
        <v>may</v>
      </c>
      <c r="F1234" s="7" t="str">
        <f aca="false">CHOOSE(C1234,"enero","febrero","marzo","abril","mayo","junio","julio","agosto","septiembre","octubre","noviembre","diciembre")</f>
        <v>mayo</v>
      </c>
      <c r="G1234" s="7" t="str">
        <f aca="false">E1234&amp;"-"&amp;RIGHT(B1234,2)</f>
        <v>may-26</v>
      </c>
    </row>
    <row r="1235" customFormat="false" ht="15" hidden="false" customHeight="false" outlineLevel="0" collapsed="false">
      <c r="A1235" s="8" t="n">
        <f aca="false">A1234+1</f>
        <v>46160</v>
      </c>
      <c r="B1235" s="7" t="n">
        <f aca="false">YEAR(A1235)</f>
        <v>2026</v>
      </c>
      <c r="C1235" s="7" t="n">
        <f aca="false">MONTH(A1235)</f>
        <v>5</v>
      </c>
      <c r="D1235" s="8" t="n">
        <f aca="false">DATE(B1235,C1235,1)</f>
        <v>46143</v>
      </c>
      <c r="E1235" s="7" t="str">
        <f aca="false">CHOOSE(C1235,"ene","feb","mar","abr","may","jun","jul","ago","sep","oct","nov","dic")</f>
        <v>may</v>
      </c>
      <c r="F1235" s="7" t="str">
        <f aca="false">CHOOSE(C1235,"enero","febrero","marzo","abril","mayo","junio","julio","agosto","septiembre","octubre","noviembre","diciembre")</f>
        <v>mayo</v>
      </c>
      <c r="G1235" s="7" t="str">
        <f aca="false">E1235&amp;"-"&amp;RIGHT(B1235,2)</f>
        <v>may-26</v>
      </c>
    </row>
    <row r="1236" customFormat="false" ht="15" hidden="false" customHeight="false" outlineLevel="0" collapsed="false">
      <c r="A1236" s="8" t="n">
        <f aca="false">A1235+1</f>
        <v>46161</v>
      </c>
      <c r="B1236" s="7" t="n">
        <f aca="false">YEAR(A1236)</f>
        <v>2026</v>
      </c>
      <c r="C1236" s="7" t="n">
        <f aca="false">MONTH(A1236)</f>
        <v>5</v>
      </c>
      <c r="D1236" s="8" t="n">
        <f aca="false">DATE(B1236,C1236,1)</f>
        <v>46143</v>
      </c>
      <c r="E1236" s="7" t="str">
        <f aca="false">CHOOSE(C1236,"ene","feb","mar","abr","may","jun","jul","ago","sep","oct","nov","dic")</f>
        <v>may</v>
      </c>
      <c r="F1236" s="7" t="str">
        <f aca="false">CHOOSE(C1236,"enero","febrero","marzo","abril","mayo","junio","julio","agosto","septiembre","octubre","noviembre","diciembre")</f>
        <v>mayo</v>
      </c>
      <c r="G1236" s="7" t="str">
        <f aca="false">E1236&amp;"-"&amp;RIGHT(B1236,2)</f>
        <v>may-26</v>
      </c>
    </row>
    <row r="1237" customFormat="false" ht="15" hidden="false" customHeight="false" outlineLevel="0" collapsed="false">
      <c r="A1237" s="8" t="n">
        <f aca="false">A1236+1</f>
        <v>46162</v>
      </c>
      <c r="B1237" s="7" t="n">
        <f aca="false">YEAR(A1237)</f>
        <v>2026</v>
      </c>
      <c r="C1237" s="7" t="n">
        <f aca="false">MONTH(A1237)</f>
        <v>5</v>
      </c>
      <c r="D1237" s="8" t="n">
        <f aca="false">DATE(B1237,C1237,1)</f>
        <v>46143</v>
      </c>
      <c r="E1237" s="7" t="str">
        <f aca="false">CHOOSE(C1237,"ene","feb","mar","abr","may","jun","jul","ago","sep","oct","nov","dic")</f>
        <v>may</v>
      </c>
      <c r="F1237" s="7" t="str">
        <f aca="false">CHOOSE(C1237,"enero","febrero","marzo","abril","mayo","junio","julio","agosto","septiembre","octubre","noviembre","diciembre")</f>
        <v>mayo</v>
      </c>
      <c r="G1237" s="7" t="str">
        <f aca="false">E1237&amp;"-"&amp;RIGHT(B1237,2)</f>
        <v>may-26</v>
      </c>
    </row>
    <row r="1238" customFormat="false" ht="15" hidden="false" customHeight="false" outlineLevel="0" collapsed="false">
      <c r="A1238" s="8" t="n">
        <f aca="false">A1237+1</f>
        <v>46163</v>
      </c>
      <c r="B1238" s="7" t="n">
        <f aca="false">YEAR(A1238)</f>
        <v>2026</v>
      </c>
      <c r="C1238" s="7" t="n">
        <f aca="false">MONTH(A1238)</f>
        <v>5</v>
      </c>
      <c r="D1238" s="8" t="n">
        <f aca="false">DATE(B1238,C1238,1)</f>
        <v>46143</v>
      </c>
      <c r="E1238" s="7" t="str">
        <f aca="false">CHOOSE(C1238,"ene","feb","mar","abr","may","jun","jul","ago","sep","oct","nov","dic")</f>
        <v>may</v>
      </c>
      <c r="F1238" s="7" t="str">
        <f aca="false">CHOOSE(C1238,"enero","febrero","marzo","abril","mayo","junio","julio","agosto","septiembre","octubre","noviembre","diciembre")</f>
        <v>mayo</v>
      </c>
      <c r="G1238" s="7" t="str">
        <f aca="false">E1238&amp;"-"&amp;RIGHT(B1238,2)</f>
        <v>may-26</v>
      </c>
    </row>
    <row r="1239" customFormat="false" ht="15" hidden="false" customHeight="false" outlineLevel="0" collapsed="false">
      <c r="A1239" s="8" t="n">
        <f aca="false">A1238+1</f>
        <v>46164</v>
      </c>
      <c r="B1239" s="7" t="n">
        <f aca="false">YEAR(A1239)</f>
        <v>2026</v>
      </c>
      <c r="C1239" s="7" t="n">
        <f aca="false">MONTH(A1239)</f>
        <v>5</v>
      </c>
      <c r="D1239" s="8" t="n">
        <f aca="false">DATE(B1239,C1239,1)</f>
        <v>46143</v>
      </c>
      <c r="E1239" s="7" t="str">
        <f aca="false">CHOOSE(C1239,"ene","feb","mar","abr","may","jun","jul","ago","sep","oct","nov","dic")</f>
        <v>may</v>
      </c>
      <c r="F1239" s="7" t="str">
        <f aca="false">CHOOSE(C1239,"enero","febrero","marzo","abril","mayo","junio","julio","agosto","septiembre","octubre","noviembre","diciembre")</f>
        <v>mayo</v>
      </c>
      <c r="G1239" s="7" t="str">
        <f aca="false">E1239&amp;"-"&amp;RIGHT(B1239,2)</f>
        <v>may-26</v>
      </c>
    </row>
    <row r="1240" customFormat="false" ht="15" hidden="false" customHeight="false" outlineLevel="0" collapsed="false">
      <c r="A1240" s="8" t="n">
        <f aca="false">A1239+1</f>
        <v>46165</v>
      </c>
      <c r="B1240" s="7" t="n">
        <f aca="false">YEAR(A1240)</f>
        <v>2026</v>
      </c>
      <c r="C1240" s="7" t="n">
        <f aca="false">MONTH(A1240)</f>
        <v>5</v>
      </c>
      <c r="D1240" s="8" t="n">
        <f aca="false">DATE(B1240,C1240,1)</f>
        <v>46143</v>
      </c>
      <c r="E1240" s="7" t="str">
        <f aca="false">CHOOSE(C1240,"ene","feb","mar","abr","may","jun","jul","ago","sep","oct","nov","dic")</f>
        <v>may</v>
      </c>
      <c r="F1240" s="7" t="str">
        <f aca="false">CHOOSE(C1240,"enero","febrero","marzo","abril","mayo","junio","julio","agosto","septiembre","octubre","noviembre","diciembre")</f>
        <v>mayo</v>
      </c>
      <c r="G1240" s="7" t="str">
        <f aca="false">E1240&amp;"-"&amp;RIGHT(B1240,2)</f>
        <v>may-26</v>
      </c>
    </row>
    <row r="1241" customFormat="false" ht="15" hidden="false" customHeight="false" outlineLevel="0" collapsed="false">
      <c r="A1241" s="8" t="n">
        <f aca="false">A1240+1</f>
        <v>46166</v>
      </c>
      <c r="B1241" s="7" t="n">
        <f aca="false">YEAR(A1241)</f>
        <v>2026</v>
      </c>
      <c r="C1241" s="7" t="n">
        <f aca="false">MONTH(A1241)</f>
        <v>5</v>
      </c>
      <c r="D1241" s="8" t="n">
        <f aca="false">DATE(B1241,C1241,1)</f>
        <v>46143</v>
      </c>
      <c r="E1241" s="7" t="str">
        <f aca="false">CHOOSE(C1241,"ene","feb","mar","abr","may","jun","jul","ago","sep","oct","nov","dic")</f>
        <v>may</v>
      </c>
      <c r="F1241" s="7" t="str">
        <f aca="false">CHOOSE(C1241,"enero","febrero","marzo","abril","mayo","junio","julio","agosto","septiembre","octubre","noviembre","diciembre")</f>
        <v>mayo</v>
      </c>
      <c r="G1241" s="7" t="str">
        <f aca="false">E1241&amp;"-"&amp;RIGHT(B1241,2)</f>
        <v>may-26</v>
      </c>
    </row>
    <row r="1242" customFormat="false" ht="15" hidden="false" customHeight="false" outlineLevel="0" collapsed="false">
      <c r="A1242" s="8" t="n">
        <f aca="false">A1241+1</f>
        <v>46167</v>
      </c>
      <c r="B1242" s="7" t="n">
        <f aca="false">YEAR(A1242)</f>
        <v>2026</v>
      </c>
      <c r="C1242" s="7" t="n">
        <f aca="false">MONTH(A1242)</f>
        <v>5</v>
      </c>
      <c r="D1242" s="8" t="n">
        <f aca="false">DATE(B1242,C1242,1)</f>
        <v>46143</v>
      </c>
      <c r="E1242" s="7" t="str">
        <f aca="false">CHOOSE(C1242,"ene","feb","mar","abr","may","jun","jul","ago","sep","oct","nov","dic")</f>
        <v>may</v>
      </c>
      <c r="F1242" s="7" t="str">
        <f aca="false">CHOOSE(C1242,"enero","febrero","marzo","abril","mayo","junio","julio","agosto","septiembre","octubre","noviembre","diciembre")</f>
        <v>mayo</v>
      </c>
      <c r="G1242" s="7" t="str">
        <f aca="false">E1242&amp;"-"&amp;RIGHT(B1242,2)</f>
        <v>may-26</v>
      </c>
    </row>
    <row r="1243" customFormat="false" ht="15" hidden="false" customHeight="false" outlineLevel="0" collapsed="false">
      <c r="A1243" s="8" t="n">
        <f aca="false">A1242+1</f>
        <v>46168</v>
      </c>
      <c r="B1243" s="7" t="n">
        <f aca="false">YEAR(A1243)</f>
        <v>2026</v>
      </c>
      <c r="C1243" s="7" t="n">
        <f aca="false">MONTH(A1243)</f>
        <v>5</v>
      </c>
      <c r="D1243" s="8" t="n">
        <f aca="false">DATE(B1243,C1243,1)</f>
        <v>46143</v>
      </c>
      <c r="E1243" s="7" t="str">
        <f aca="false">CHOOSE(C1243,"ene","feb","mar","abr","may","jun","jul","ago","sep","oct","nov","dic")</f>
        <v>may</v>
      </c>
      <c r="F1243" s="7" t="str">
        <f aca="false">CHOOSE(C1243,"enero","febrero","marzo","abril","mayo","junio","julio","agosto","septiembre","octubre","noviembre","diciembre")</f>
        <v>mayo</v>
      </c>
      <c r="G1243" s="7" t="str">
        <f aca="false">E1243&amp;"-"&amp;RIGHT(B1243,2)</f>
        <v>may-26</v>
      </c>
    </row>
    <row r="1244" customFormat="false" ht="15" hidden="false" customHeight="false" outlineLevel="0" collapsed="false">
      <c r="A1244" s="8" t="n">
        <f aca="false">A1243+1</f>
        <v>46169</v>
      </c>
      <c r="B1244" s="7" t="n">
        <f aca="false">YEAR(A1244)</f>
        <v>2026</v>
      </c>
      <c r="C1244" s="7" t="n">
        <f aca="false">MONTH(A1244)</f>
        <v>5</v>
      </c>
      <c r="D1244" s="8" t="n">
        <f aca="false">DATE(B1244,C1244,1)</f>
        <v>46143</v>
      </c>
      <c r="E1244" s="7" t="str">
        <f aca="false">CHOOSE(C1244,"ene","feb","mar","abr","may","jun","jul","ago","sep","oct","nov","dic")</f>
        <v>may</v>
      </c>
      <c r="F1244" s="7" t="str">
        <f aca="false">CHOOSE(C1244,"enero","febrero","marzo","abril","mayo","junio","julio","agosto","septiembre","octubre","noviembre","diciembre")</f>
        <v>mayo</v>
      </c>
      <c r="G1244" s="7" t="str">
        <f aca="false">E1244&amp;"-"&amp;RIGHT(B1244,2)</f>
        <v>may-26</v>
      </c>
    </row>
    <row r="1245" customFormat="false" ht="15" hidden="false" customHeight="false" outlineLevel="0" collapsed="false">
      <c r="A1245" s="8" t="n">
        <f aca="false">A1244+1</f>
        <v>46170</v>
      </c>
      <c r="B1245" s="7" t="n">
        <f aca="false">YEAR(A1245)</f>
        <v>2026</v>
      </c>
      <c r="C1245" s="7" t="n">
        <f aca="false">MONTH(A1245)</f>
        <v>5</v>
      </c>
      <c r="D1245" s="8" t="n">
        <f aca="false">DATE(B1245,C1245,1)</f>
        <v>46143</v>
      </c>
      <c r="E1245" s="7" t="str">
        <f aca="false">CHOOSE(C1245,"ene","feb","mar","abr","may","jun","jul","ago","sep","oct","nov","dic")</f>
        <v>may</v>
      </c>
      <c r="F1245" s="7" t="str">
        <f aca="false">CHOOSE(C1245,"enero","febrero","marzo","abril","mayo","junio","julio","agosto","septiembre","octubre","noviembre","diciembre")</f>
        <v>mayo</v>
      </c>
      <c r="G1245" s="7" t="str">
        <f aca="false">E1245&amp;"-"&amp;RIGHT(B1245,2)</f>
        <v>may-26</v>
      </c>
    </row>
    <row r="1246" customFormat="false" ht="15" hidden="false" customHeight="false" outlineLevel="0" collapsed="false">
      <c r="A1246" s="8" t="n">
        <f aca="false">A1245+1</f>
        <v>46171</v>
      </c>
      <c r="B1246" s="7" t="n">
        <f aca="false">YEAR(A1246)</f>
        <v>2026</v>
      </c>
      <c r="C1246" s="7" t="n">
        <f aca="false">MONTH(A1246)</f>
        <v>5</v>
      </c>
      <c r="D1246" s="8" t="n">
        <f aca="false">DATE(B1246,C1246,1)</f>
        <v>46143</v>
      </c>
      <c r="E1246" s="7" t="str">
        <f aca="false">CHOOSE(C1246,"ene","feb","mar","abr","may","jun","jul","ago","sep","oct","nov","dic")</f>
        <v>may</v>
      </c>
      <c r="F1246" s="7" t="str">
        <f aca="false">CHOOSE(C1246,"enero","febrero","marzo","abril","mayo","junio","julio","agosto","septiembre","octubre","noviembre","diciembre")</f>
        <v>mayo</v>
      </c>
      <c r="G1246" s="7" t="str">
        <f aca="false">E1246&amp;"-"&amp;RIGHT(B1246,2)</f>
        <v>may-26</v>
      </c>
    </row>
    <row r="1247" customFormat="false" ht="15" hidden="false" customHeight="false" outlineLevel="0" collapsed="false">
      <c r="A1247" s="8" t="n">
        <f aca="false">A1246+1</f>
        <v>46172</v>
      </c>
      <c r="B1247" s="7" t="n">
        <f aca="false">YEAR(A1247)</f>
        <v>2026</v>
      </c>
      <c r="C1247" s="7" t="n">
        <f aca="false">MONTH(A1247)</f>
        <v>5</v>
      </c>
      <c r="D1247" s="8" t="n">
        <f aca="false">DATE(B1247,C1247,1)</f>
        <v>46143</v>
      </c>
      <c r="E1247" s="7" t="str">
        <f aca="false">CHOOSE(C1247,"ene","feb","mar","abr","may","jun","jul","ago","sep","oct","nov","dic")</f>
        <v>may</v>
      </c>
      <c r="F1247" s="7" t="str">
        <f aca="false">CHOOSE(C1247,"enero","febrero","marzo","abril","mayo","junio","julio","agosto","septiembre","octubre","noviembre","diciembre")</f>
        <v>mayo</v>
      </c>
      <c r="G1247" s="7" t="str">
        <f aca="false">E1247&amp;"-"&amp;RIGHT(B1247,2)</f>
        <v>may-26</v>
      </c>
    </row>
    <row r="1248" customFormat="false" ht="15" hidden="false" customHeight="false" outlineLevel="0" collapsed="false">
      <c r="A1248" s="8" t="n">
        <f aca="false">A1247+1</f>
        <v>46173</v>
      </c>
      <c r="B1248" s="7" t="n">
        <f aca="false">YEAR(A1248)</f>
        <v>2026</v>
      </c>
      <c r="C1248" s="7" t="n">
        <f aca="false">MONTH(A1248)</f>
        <v>5</v>
      </c>
      <c r="D1248" s="8" t="n">
        <f aca="false">DATE(B1248,C1248,1)</f>
        <v>46143</v>
      </c>
      <c r="E1248" s="7" t="str">
        <f aca="false">CHOOSE(C1248,"ene","feb","mar","abr","may","jun","jul","ago","sep","oct","nov","dic")</f>
        <v>may</v>
      </c>
      <c r="F1248" s="7" t="str">
        <f aca="false">CHOOSE(C1248,"enero","febrero","marzo","abril","mayo","junio","julio","agosto","septiembre","octubre","noviembre","diciembre")</f>
        <v>mayo</v>
      </c>
      <c r="G1248" s="7" t="str">
        <f aca="false">E1248&amp;"-"&amp;RIGHT(B1248,2)</f>
        <v>may-26</v>
      </c>
    </row>
    <row r="1249" customFormat="false" ht="15" hidden="false" customHeight="false" outlineLevel="0" collapsed="false">
      <c r="A1249" s="8" t="n">
        <f aca="false">A1248+1</f>
        <v>46174</v>
      </c>
      <c r="B1249" s="7" t="n">
        <f aca="false">YEAR(A1249)</f>
        <v>2026</v>
      </c>
      <c r="C1249" s="7" t="n">
        <f aca="false">MONTH(A1249)</f>
        <v>6</v>
      </c>
      <c r="D1249" s="8" t="n">
        <f aca="false">DATE(B1249,C1249,1)</f>
        <v>46174</v>
      </c>
      <c r="E1249" s="7" t="str">
        <f aca="false">CHOOSE(C1249,"ene","feb","mar","abr","may","jun","jul","ago","sep","oct","nov","dic")</f>
        <v>jun</v>
      </c>
      <c r="F1249" s="7" t="str">
        <f aca="false">CHOOSE(C1249,"enero","febrero","marzo","abril","mayo","junio","julio","agosto","septiembre","octubre","noviembre","diciembre")</f>
        <v>junio</v>
      </c>
      <c r="G1249" s="7" t="str">
        <f aca="false">E1249&amp;"-"&amp;RIGHT(B1249,2)</f>
        <v>jun-26</v>
      </c>
    </row>
    <row r="1250" customFormat="false" ht="15" hidden="false" customHeight="false" outlineLevel="0" collapsed="false">
      <c r="A1250" s="8" t="n">
        <f aca="false">A1249+1</f>
        <v>46175</v>
      </c>
      <c r="B1250" s="7" t="n">
        <f aca="false">YEAR(A1250)</f>
        <v>2026</v>
      </c>
      <c r="C1250" s="7" t="n">
        <f aca="false">MONTH(A1250)</f>
        <v>6</v>
      </c>
      <c r="D1250" s="8" t="n">
        <f aca="false">DATE(B1250,C1250,1)</f>
        <v>46174</v>
      </c>
      <c r="E1250" s="7" t="str">
        <f aca="false">CHOOSE(C1250,"ene","feb","mar","abr","may","jun","jul","ago","sep","oct","nov","dic")</f>
        <v>jun</v>
      </c>
      <c r="F1250" s="7" t="str">
        <f aca="false">CHOOSE(C1250,"enero","febrero","marzo","abril","mayo","junio","julio","agosto","septiembre","octubre","noviembre","diciembre")</f>
        <v>junio</v>
      </c>
      <c r="G1250" s="7" t="str">
        <f aca="false">E1250&amp;"-"&amp;RIGHT(B1250,2)</f>
        <v>jun-26</v>
      </c>
    </row>
    <row r="1251" customFormat="false" ht="15" hidden="false" customHeight="false" outlineLevel="0" collapsed="false">
      <c r="A1251" s="8" t="n">
        <f aca="false">A1250+1</f>
        <v>46176</v>
      </c>
      <c r="B1251" s="7" t="n">
        <f aca="false">YEAR(A1251)</f>
        <v>2026</v>
      </c>
      <c r="C1251" s="7" t="n">
        <f aca="false">MONTH(A1251)</f>
        <v>6</v>
      </c>
      <c r="D1251" s="8" t="n">
        <f aca="false">DATE(B1251,C1251,1)</f>
        <v>46174</v>
      </c>
      <c r="E1251" s="7" t="str">
        <f aca="false">CHOOSE(C1251,"ene","feb","mar","abr","may","jun","jul","ago","sep","oct","nov","dic")</f>
        <v>jun</v>
      </c>
      <c r="F1251" s="7" t="str">
        <f aca="false">CHOOSE(C1251,"enero","febrero","marzo","abril","mayo","junio","julio","agosto","septiembre","octubre","noviembre","diciembre")</f>
        <v>junio</v>
      </c>
      <c r="G1251" s="7" t="str">
        <f aca="false">E1251&amp;"-"&amp;RIGHT(B1251,2)</f>
        <v>jun-26</v>
      </c>
    </row>
    <row r="1252" customFormat="false" ht="15" hidden="false" customHeight="false" outlineLevel="0" collapsed="false">
      <c r="A1252" s="8" t="n">
        <f aca="false">A1251+1</f>
        <v>46177</v>
      </c>
      <c r="B1252" s="7" t="n">
        <f aca="false">YEAR(A1252)</f>
        <v>2026</v>
      </c>
      <c r="C1252" s="7" t="n">
        <f aca="false">MONTH(A1252)</f>
        <v>6</v>
      </c>
      <c r="D1252" s="8" t="n">
        <f aca="false">DATE(B1252,C1252,1)</f>
        <v>46174</v>
      </c>
      <c r="E1252" s="7" t="str">
        <f aca="false">CHOOSE(C1252,"ene","feb","mar","abr","may","jun","jul","ago","sep","oct","nov","dic")</f>
        <v>jun</v>
      </c>
      <c r="F1252" s="7" t="str">
        <f aca="false">CHOOSE(C1252,"enero","febrero","marzo","abril","mayo","junio","julio","agosto","septiembre","octubre","noviembre","diciembre")</f>
        <v>junio</v>
      </c>
      <c r="G1252" s="7" t="str">
        <f aca="false">E1252&amp;"-"&amp;RIGHT(B1252,2)</f>
        <v>jun-26</v>
      </c>
    </row>
    <row r="1253" customFormat="false" ht="15" hidden="false" customHeight="false" outlineLevel="0" collapsed="false">
      <c r="A1253" s="8" t="n">
        <f aca="false">A1252+1</f>
        <v>46178</v>
      </c>
      <c r="B1253" s="7" t="n">
        <f aca="false">YEAR(A1253)</f>
        <v>2026</v>
      </c>
      <c r="C1253" s="7" t="n">
        <f aca="false">MONTH(A1253)</f>
        <v>6</v>
      </c>
      <c r="D1253" s="8" t="n">
        <f aca="false">DATE(B1253,C1253,1)</f>
        <v>46174</v>
      </c>
      <c r="E1253" s="7" t="str">
        <f aca="false">CHOOSE(C1253,"ene","feb","mar","abr","may","jun","jul","ago","sep","oct","nov","dic")</f>
        <v>jun</v>
      </c>
      <c r="F1253" s="7" t="str">
        <f aca="false">CHOOSE(C1253,"enero","febrero","marzo","abril","mayo","junio","julio","agosto","septiembre","octubre","noviembre","diciembre")</f>
        <v>junio</v>
      </c>
      <c r="G1253" s="7" t="str">
        <f aca="false">E1253&amp;"-"&amp;RIGHT(B1253,2)</f>
        <v>jun-26</v>
      </c>
    </row>
    <row r="1254" customFormat="false" ht="15" hidden="false" customHeight="false" outlineLevel="0" collapsed="false">
      <c r="A1254" s="8" t="n">
        <f aca="false">A1253+1</f>
        <v>46179</v>
      </c>
      <c r="B1254" s="7" t="n">
        <f aca="false">YEAR(A1254)</f>
        <v>2026</v>
      </c>
      <c r="C1254" s="7" t="n">
        <f aca="false">MONTH(A1254)</f>
        <v>6</v>
      </c>
      <c r="D1254" s="8" t="n">
        <f aca="false">DATE(B1254,C1254,1)</f>
        <v>46174</v>
      </c>
      <c r="E1254" s="7" t="str">
        <f aca="false">CHOOSE(C1254,"ene","feb","mar","abr","may","jun","jul","ago","sep","oct","nov","dic")</f>
        <v>jun</v>
      </c>
      <c r="F1254" s="7" t="str">
        <f aca="false">CHOOSE(C1254,"enero","febrero","marzo","abril","mayo","junio","julio","agosto","septiembre","octubre","noviembre","diciembre")</f>
        <v>junio</v>
      </c>
      <c r="G1254" s="7" t="str">
        <f aca="false">E1254&amp;"-"&amp;RIGHT(B1254,2)</f>
        <v>jun-26</v>
      </c>
    </row>
    <row r="1255" customFormat="false" ht="15" hidden="false" customHeight="false" outlineLevel="0" collapsed="false">
      <c r="A1255" s="8" t="n">
        <f aca="false">A1254+1</f>
        <v>46180</v>
      </c>
      <c r="B1255" s="7" t="n">
        <f aca="false">YEAR(A1255)</f>
        <v>2026</v>
      </c>
      <c r="C1255" s="7" t="n">
        <f aca="false">MONTH(A1255)</f>
        <v>6</v>
      </c>
      <c r="D1255" s="8" t="n">
        <f aca="false">DATE(B1255,C1255,1)</f>
        <v>46174</v>
      </c>
      <c r="E1255" s="7" t="str">
        <f aca="false">CHOOSE(C1255,"ene","feb","mar","abr","may","jun","jul","ago","sep","oct","nov","dic")</f>
        <v>jun</v>
      </c>
      <c r="F1255" s="7" t="str">
        <f aca="false">CHOOSE(C1255,"enero","febrero","marzo","abril","mayo","junio","julio","agosto","septiembre","octubre","noviembre","diciembre")</f>
        <v>junio</v>
      </c>
      <c r="G1255" s="7" t="str">
        <f aca="false">E1255&amp;"-"&amp;RIGHT(B1255,2)</f>
        <v>jun-26</v>
      </c>
    </row>
    <row r="1256" customFormat="false" ht="15" hidden="false" customHeight="false" outlineLevel="0" collapsed="false">
      <c r="A1256" s="8" t="n">
        <f aca="false">A1255+1</f>
        <v>46181</v>
      </c>
      <c r="B1256" s="7" t="n">
        <f aca="false">YEAR(A1256)</f>
        <v>2026</v>
      </c>
      <c r="C1256" s="7" t="n">
        <f aca="false">MONTH(A1256)</f>
        <v>6</v>
      </c>
      <c r="D1256" s="8" t="n">
        <f aca="false">DATE(B1256,C1256,1)</f>
        <v>46174</v>
      </c>
      <c r="E1256" s="7" t="str">
        <f aca="false">CHOOSE(C1256,"ene","feb","mar","abr","may","jun","jul","ago","sep","oct","nov","dic")</f>
        <v>jun</v>
      </c>
      <c r="F1256" s="7" t="str">
        <f aca="false">CHOOSE(C1256,"enero","febrero","marzo","abril","mayo","junio","julio","agosto","septiembre","octubre","noviembre","diciembre")</f>
        <v>junio</v>
      </c>
      <c r="G1256" s="7" t="str">
        <f aca="false">E1256&amp;"-"&amp;RIGHT(B1256,2)</f>
        <v>jun-26</v>
      </c>
    </row>
    <row r="1257" customFormat="false" ht="15" hidden="false" customHeight="false" outlineLevel="0" collapsed="false">
      <c r="A1257" s="8" t="n">
        <f aca="false">A1256+1</f>
        <v>46182</v>
      </c>
      <c r="B1257" s="7" t="n">
        <f aca="false">YEAR(A1257)</f>
        <v>2026</v>
      </c>
      <c r="C1257" s="7" t="n">
        <f aca="false">MONTH(A1257)</f>
        <v>6</v>
      </c>
      <c r="D1257" s="8" t="n">
        <f aca="false">DATE(B1257,C1257,1)</f>
        <v>46174</v>
      </c>
      <c r="E1257" s="7" t="str">
        <f aca="false">CHOOSE(C1257,"ene","feb","mar","abr","may","jun","jul","ago","sep","oct","nov","dic")</f>
        <v>jun</v>
      </c>
      <c r="F1257" s="7" t="str">
        <f aca="false">CHOOSE(C1257,"enero","febrero","marzo","abril","mayo","junio","julio","agosto","septiembre","octubre","noviembre","diciembre")</f>
        <v>junio</v>
      </c>
      <c r="G1257" s="7" t="str">
        <f aca="false">E1257&amp;"-"&amp;RIGHT(B1257,2)</f>
        <v>jun-26</v>
      </c>
    </row>
    <row r="1258" customFormat="false" ht="15" hidden="false" customHeight="false" outlineLevel="0" collapsed="false">
      <c r="A1258" s="8" t="n">
        <f aca="false">A1257+1</f>
        <v>46183</v>
      </c>
      <c r="B1258" s="7" t="n">
        <f aca="false">YEAR(A1258)</f>
        <v>2026</v>
      </c>
      <c r="C1258" s="7" t="n">
        <f aca="false">MONTH(A1258)</f>
        <v>6</v>
      </c>
      <c r="D1258" s="8" t="n">
        <f aca="false">DATE(B1258,C1258,1)</f>
        <v>46174</v>
      </c>
      <c r="E1258" s="7" t="str">
        <f aca="false">CHOOSE(C1258,"ene","feb","mar","abr","may","jun","jul","ago","sep","oct","nov","dic")</f>
        <v>jun</v>
      </c>
      <c r="F1258" s="7" t="str">
        <f aca="false">CHOOSE(C1258,"enero","febrero","marzo","abril","mayo","junio","julio","agosto","septiembre","octubre","noviembre","diciembre")</f>
        <v>junio</v>
      </c>
      <c r="G1258" s="7" t="str">
        <f aca="false">E1258&amp;"-"&amp;RIGHT(B1258,2)</f>
        <v>jun-26</v>
      </c>
    </row>
    <row r="1259" customFormat="false" ht="15" hidden="false" customHeight="false" outlineLevel="0" collapsed="false">
      <c r="A1259" s="8" t="n">
        <f aca="false">A1258+1</f>
        <v>46184</v>
      </c>
      <c r="B1259" s="7" t="n">
        <f aca="false">YEAR(A1259)</f>
        <v>2026</v>
      </c>
      <c r="C1259" s="7" t="n">
        <f aca="false">MONTH(A1259)</f>
        <v>6</v>
      </c>
      <c r="D1259" s="8" t="n">
        <f aca="false">DATE(B1259,C1259,1)</f>
        <v>46174</v>
      </c>
      <c r="E1259" s="7" t="str">
        <f aca="false">CHOOSE(C1259,"ene","feb","mar","abr","may","jun","jul","ago","sep","oct","nov","dic")</f>
        <v>jun</v>
      </c>
      <c r="F1259" s="7" t="str">
        <f aca="false">CHOOSE(C1259,"enero","febrero","marzo","abril","mayo","junio","julio","agosto","septiembre","octubre","noviembre","diciembre")</f>
        <v>junio</v>
      </c>
      <c r="G1259" s="7" t="str">
        <f aca="false">E1259&amp;"-"&amp;RIGHT(B1259,2)</f>
        <v>jun-26</v>
      </c>
    </row>
    <row r="1260" customFormat="false" ht="15" hidden="false" customHeight="false" outlineLevel="0" collapsed="false">
      <c r="A1260" s="8" t="n">
        <f aca="false">A1259+1</f>
        <v>46185</v>
      </c>
      <c r="B1260" s="7" t="n">
        <f aca="false">YEAR(A1260)</f>
        <v>2026</v>
      </c>
      <c r="C1260" s="7" t="n">
        <f aca="false">MONTH(A1260)</f>
        <v>6</v>
      </c>
      <c r="D1260" s="8" t="n">
        <f aca="false">DATE(B1260,C1260,1)</f>
        <v>46174</v>
      </c>
      <c r="E1260" s="7" t="str">
        <f aca="false">CHOOSE(C1260,"ene","feb","mar","abr","may","jun","jul","ago","sep","oct","nov","dic")</f>
        <v>jun</v>
      </c>
      <c r="F1260" s="7" t="str">
        <f aca="false">CHOOSE(C1260,"enero","febrero","marzo","abril","mayo","junio","julio","agosto","septiembre","octubre","noviembre","diciembre")</f>
        <v>junio</v>
      </c>
      <c r="G1260" s="7" t="str">
        <f aca="false">E1260&amp;"-"&amp;RIGHT(B1260,2)</f>
        <v>jun-26</v>
      </c>
    </row>
    <row r="1261" customFormat="false" ht="15" hidden="false" customHeight="false" outlineLevel="0" collapsed="false">
      <c r="A1261" s="8" t="n">
        <f aca="false">A1260+1</f>
        <v>46186</v>
      </c>
      <c r="B1261" s="7" t="n">
        <f aca="false">YEAR(A1261)</f>
        <v>2026</v>
      </c>
      <c r="C1261" s="7" t="n">
        <f aca="false">MONTH(A1261)</f>
        <v>6</v>
      </c>
      <c r="D1261" s="8" t="n">
        <f aca="false">DATE(B1261,C1261,1)</f>
        <v>46174</v>
      </c>
      <c r="E1261" s="7" t="str">
        <f aca="false">CHOOSE(C1261,"ene","feb","mar","abr","may","jun","jul","ago","sep","oct","nov","dic")</f>
        <v>jun</v>
      </c>
      <c r="F1261" s="7" t="str">
        <f aca="false">CHOOSE(C1261,"enero","febrero","marzo","abril","mayo","junio","julio","agosto","septiembre","octubre","noviembre","diciembre")</f>
        <v>junio</v>
      </c>
      <c r="G1261" s="7" t="str">
        <f aca="false">E1261&amp;"-"&amp;RIGHT(B1261,2)</f>
        <v>jun-26</v>
      </c>
    </row>
    <row r="1262" customFormat="false" ht="15" hidden="false" customHeight="false" outlineLevel="0" collapsed="false">
      <c r="A1262" s="8" t="n">
        <f aca="false">A1261+1</f>
        <v>46187</v>
      </c>
      <c r="B1262" s="7" t="n">
        <f aca="false">YEAR(A1262)</f>
        <v>2026</v>
      </c>
      <c r="C1262" s="7" t="n">
        <f aca="false">MONTH(A1262)</f>
        <v>6</v>
      </c>
      <c r="D1262" s="8" t="n">
        <f aca="false">DATE(B1262,C1262,1)</f>
        <v>46174</v>
      </c>
      <c r="E1262" s="7" t="str">
        <f aca="false">CHOOSE(C1262,"ene","feb","mar","abr","may","jun","jul","ago","sep","oct","nov","dic")</f>
        <v>jun</v>
      </c>
      <c r="F1262" s="7" t="str">
        <f aca="false">CHOOSE(C1262,"enero","febrero","marzo","abril","mayo","junio","julio","agosto","septiembre","octubre","noviembre","diciembre")</f>
        <v>junio</v>
      </c>
      <c r="G1262" s="7" t="str">
        <f aca="false">E1262&amp;"-"&amp;RIGHT(B1262,2)</f>
        <v>jun-26</v>
      </c>
    </row>
    <row r="1263" customFormat="false" ht="15" hidden="false" customHeight="false" outlineLevel="0" collapsed="false">
      <c r="A1263" s="8" t="n">
        <f aca="false">A1262+1</f>
        <v>46188</v>
      </c>
      <c r="B1263" s="7" t="n">
        <f aca="false">YEAR(A1263)</f>
        <v>2026</v>
      </c>
      <c r="C1263" s="7" t="n">
        <f aca="false">MONTH(A1263)</f>
        <v>6</v>
      </c>
      <c r="D1263" s="8" t="n">
        <f aca="false">DATE(B1263,C1263,1)</f>
        <v>46174</v>
      </c>
      <c r="E1263" s="7" t="str">
        <f aca="false">CHOOSE(C1263,"ene","feb","mar","abr","may","jun","jul","ago","sep","oct","nov","dic")</f>
        <v>jun</v>
      </c>
      <c r="F1263" s="7" t="str">
        <f aca="false">CHOOSE(C1263,"enero","febrero","marzo","abril","mayo","junio","julio","agosto","septiembre","octubre","noviembre","diciembre")</f>
        <v>junio</v>
      </c>
      <c r="G1263" s="7" t="str">
        <f aca="false">E1263&amp;"-"&amp;RIGHT(B1263,2)</f>
        <v>jun-26</v>
      </c>
    </row>
    <row r="1264" customFormat="false" ht="15" hidden="false" customHeight="false" outlineLevel="0" collapsed="false">
      <c r="A1264" s="8" t="n">
        <f aca="false">A1263+1</f>
        <v>46189</v>
      </c>
      <c r="B1264" s="7" t="n">
        <f aca="false">YEAR(A1264)</f>
        <v>2026</v>
      </c>
      <c r="C1264" s="7" t="n">
        <f aca="false">MONTH(A1264)</f>
        <v>6</v>
      </c>
      <c r="D1264" s="8" t="n">
        <f aca="false">DATE(B1264,C1264,1)</f>
        <v>46174</v>
      </c>
      <c r="E1264" s="7" t="str">
        <f aca="false">CHOOSE(C1264,"ene","feb","mar","abr","may","jun","jul","ago","sep","oct","nov","dic")</f>
        <v>jun</v>
      </c>
      <c r="F1264" s="7" t="str">
        <f aca="false">CHOOSE(C1264,"enero","febrero","marzo","abril","mayo","junio","julio","agosto","septiembre","octubre","noviembre","diciembre")</f>
        <v>junio</v>
      </c>
      <c r="G1264" s="7" t="str">
        <f aca="false">E1264&amp;"-"&amp;RIGHT(B1264,2)</f>
        <v>jun-26</v>
      </c>
    </row>
    <row r="1265" customFormat="false" ht="15" hidden="false" customHeight="false" outlineLevel="0" collapsed="false">
      <c r="A1265" s="8" t="n">
        <f aca="false">A1264+1</f>
        <v>46190</v>
      </c>
      <c r="B1265" s="7" t="n">
        <f aca="false">YEAR(A1265)</f>
        <v>2026</v>
      </c>
      <c r="C1265" s="7" t="n">
        <f aca="false">MONTH(A1265)</f>
        <v>6</v>
      </c>
      <c r="D1265" s="8" t="n">
        <f aca="false">DATE(B1265,C1265,1)</f>
        <v>46174</v>
      </c>
      <c r="E1265" s="7" t="str">
        <f aca="false">CHOOSE(C1265,"ene","feb","mar","abr","may","jun","jul","ago","sep","oct","nov","dic")</f>
        <v>jun</v>
      </c>
      <c r="F1265" s="7" t="str">
        <f aca="false">CHOOSE(C1265,"enero","febrero","marzo","abril","mayo","junio","julio","agosto","septiembre","octubre","noviembre","diciembre")</f>
        <v>junio</v>
      </c>
      <c r="G1265" s="7" t="str">
        <f aca="false">E1265&amp;"-"&amp;RIGHT(B1265,2)</f>
        <v>jun-26</v>
      </c>
    </row>
    <row r="1266" customFormat="false" ht="15" hidden="false" customHeight="false" outlineLevel="0" collapsed="false">
      <c r="A1266" s="8" t="n">
        <f aca="false">A1265+1</f>
        <v>46191</v>
      </c>
      <c r="B1266" s="7" t="n">
        <f aca="false">YEAR(A1266)</f>
        <v>2026</v>
      </c>
      <c r="C1266" s="7" t="n">
        <f aca="false">MONTH(A1266)</f>
        <v>6</v>
      </c>
      <c r="D1266" s="8" t="n">
        <f aca="false">DATE(B1266,C1266,1)</f>
        <v>46174</v>
      </c>
      <c r="E1266" s="7" t="str">
        <f aca="false">CHOOSE(C1266,"ene","feb","mar","abr","may","jun","jul","ago","sep","oct","nov","dic")</f>
        <v>jun</v>
      </c>
      <c r="F1266" s="7" t="str">
        <f aca="false">CHOOSE(C1266,"enero","febrero","marzo","abril","mayo","junio","julio","agosto","septiembre","octubre","noviembre","diciembre")</f>
        <v>junio</v>
      </c>
      <c r="G1266" s="7" t="str">
        <f aca="false">E1266&amp;"-"&amp;RIGHT(B1266,2)</f>
        <v>jun-26</v>
      </c>
    </row>
    <row r="1267" customFormat="false" ht="15" hidden="false" customHeight="false" outlineLevel="0" collapsed="false">
      <c r="A1267" s="8" t="n">
        <f aca="false">A1266+1</f>
        <v>46192</v>
      </c>
      <c r="B1267" s="7" t="n">
        <f aca="false">YEAR(A1267)</f>
        <v>2026</v>
      </c>
      <c r="C1267" s="7" t="n">
        <f aca="false">MONTH(A1267)</f>
        <v>6</v>
      </c>
      <c r="D1267" s="8" t="n">
        <f aca="false">DATE(B1267,C1267,1)</f>
        <v>46174</v>
      </c>
      <c r="E1267" s="7" t="str">
        <f aca="false">CHOOSE(C1267,"ene","feb","mar","abr","may","jun","jul","ago","sep","oct","nov","dic")</f>
        <v>jun</v>
      </c>
      <c r="F1267" s="7" t="str">
        <f aca="false">CHOOSE(C1267,"enero","febrero","marzo","abril","mayo","junio","julio","agosto","septiembre","octubre","noviembre","diciembre")</f>
        <v>junio</v>
      </c>
      <c r="G1267" s="7" t="str">
        <f aca="false">E1267&amp;"-"&amp;RIGHT(B1267,2)</f>
        <v>jun-26</v>
      </c>
    </row>
    <row r="1268" customFormat="false" ht="15" hidden="false" customHeight="false" outlineLevel="0" collapsed="false">
      <c r="A1268" s="8" t="n">
        <f aca="false">A1267+1</f>
        <v>46193</v>
      </c>
      <c r="B1268" s="7" t="n">
        <f aca="false">YEAR(A1268)</f>
        <v>2026</v>
      </c>
      <c r="C1268" s="7" t="n">
        <f aca="false">MONTH(A1268)</f>
        <v>6</v>
      </c>
      <c r="D1268" s="8" t="n">
        <f aca="false">DATE(B1268,C1268,1)</f>
        <v>46174</v>
      </c>
      <c r="E1268" s="7" t="str">
        <f aca="false">CHOOSE(C1268,"ene","feb","mar","abr","may","jun","jul","ago","sep","oct","nov","dic")</f>
        <v>jun</v>
      </c>
      <c r="F1268" s="7" t="str">
        <f aca="false">CHOOSE(C1268,"enero","febrero","marzo","abril","mayo","junio","julio","agosto","septiembre","octubre","noviembre","diciembre")</f>
        <v>junio</v>
      </c>
      <c r="G1268" s="7" t="str">
        <f aca="false">E1268&amp;"-"&amp;RIGHT(B1268,2)</f>
        <v>jun-26</v>
      </c>
    </row>
    <row r="1269" customFormat="false" ht="15" hidden="false" customHeight="false" outlineLevel="0" collapsed="false">
      <c r="A1269" s="8" t="n">
        <f aca="false">A1268+1</f>
        <v>46194</v>
      </c>
      <c r="B1269" s="7" t="n">
        <f aca="false">YEAR(A1269)</f>
        <v>2026</v>
      </c>
      <c r="C1269" s="7" t="n">
        <f aca="false">MONTH(A1269)</f>
        <v>6</v>
      </c>
      <c r="D1269" s="8" t="n">
        <f aca="false">DATE(B1269,C1269,1)</f>
        <v>46174</v>
      </c>
      <c r="E1269" s="7" t="str">
        <f aca="false">CHOOSE(C1269,"ene","feb","mar","abr","may","jun","jul","ago","sep","oct","nov","dic")</f>
        <v>jun</v>
      </c>
      <c r="F1269" s="7" t="str">
        <f aca="false">CHOOSE(C1269,"enero","febrero","marzo","abril","mayo","junio","julio","agosto","septiembre","octubre","noviembre","diciembre")</f>
        <v>junio</v>
      </c>
      <c r="G1269" s="7" t="str">
        <f aca="false">E1269&amp;"-"&amp;RIGHT(B1269,2)</f>
        <v>jun-26</v>
      </c>
    </row>
    <row r="1270" customFormat="false" ht="15" hidden="false" customHeight="false" outlineLevel="0" collapsed="false">
      <c r="A1270" s="8" t="n">
        <f aca="false">A1269+1</f>
        <v>46195</v>
      </c>
      <c r="B1270" s="7" t="n">
        <f aca="false">YEAR(A1270)</f>
        <v>2026</v>
      </c>
      <c r="C1270" s="7" t="n">
        <f aca="false">MONTH(A1270)</f>
        <v>6</v>
      </c>
      <c r="D1270" s="8" t="n">
        <f aca="false">DATE(B1270,C1270,1)</f>
        <v>46174</v>
      </c>
      <c r="E1270" s="7" t="str">
        <f aca="false">CHOOSE(C1270,"ene","feb","mar","abr","may","jun","jul","ago","sep","oct","nov","dic")</f>
        <v>jun</v>
      </c>
      <c r="F1270" s="7" t="str">
        <f aca="false">CHOOSE(C1270,"enero","febrero","marzo","abril","mayo","junio","julio","agosto","septiembre","octubre","noviembre","diciembre")</f>
        <v>junio</v>
      </c>
      <c r="G1270" s="7" t="str">
        <f aca="false">E1270&amp;"-"&amp;RIGHT(B1270,2)</f>
        <v>jun-26</v>
      </c>
    </row>
    <row r="1271" customFormat="false" ht="15" hidden="false" customHeight="false" outlineLevel="0" collapsed="false">
      <c r="A1271" s="8" t="n">
        <f aca="false">A1270+1</f>
        <v>46196</v>
      </c>
      <c r="B1271" s="7" t="n">
        <f aca="false">YEAR(A1271)</f>
        <v>2026</v>
      </c>
      <c r="C1271" s="7" t="n">
        <f aca="false">MONTH(A1271)</f>
        <v>6</v>
      </c>
      <c r="D1271" s="8" t="n">
        <f aca="false">DATE(B1271,C1271,1)</f>
        <v>46174</v>
      </c>
      <c r="E1271" s="7" t="str">
        <f aca="false">CHOOSE(C1271,"ene","feb","mar","abr","may","jun","jul","ago","sep","oct","nov","dic")</f>
        <v>jun</v>
      </c>
      <c r="F1271" s="7" t="str">
        <f aca="false">CHOOSE(C1271,"enero","febrero","marzo","abril","mayo","junio","julio","agosto","septiembre","octubre","noviembre","diciembre")</f>
        <v>junio</v>
      </c>
      <c r="G1271" s="7" t="str">
        <f aca="false">E1271&amp;"-"&amp;RIGHT(B1271,2)</f>
        <v>jun-26</v>
      </c>
    </row>
    <row r="1272" customFormat="false" ht="15" hidden="false" customHeight="false" outlineLevel="0" collapsed="false">
      <c r="A1272" s="8" t="n">
        <f aca="false">A1271+1</f>
        <v>46197</v>
      </c>
      <c r="B1272" s="7" t="n">
        <f aca="false">YEAR(A1272)</f>
        <v>2026</v>
      </c>
      <c r="C1272" s="7" t="n">
        <f aca="false">MONTH(A1272)</f>
        <v>6</v>
      </c>
      <c r="D1272" s="8" t="n">
        <f aca="false">DATE(B1272,C1272,1)</f>
        <v>46174</v>
      </c>
      <c r="E1272" s="7" t="str">
        <f aca="false">CHOOSE(C1272,"ene","feb","mar","abr","may","jun","jul","ago","sep","oct","nov","dic")</f>
        <v>jun</v>
      </c>
      <c r="F1272" s="7" t="str">
        <f aca="false">CHOOSE(C1272,"enero","febrero","marzo","abril","mayo","junio","julio","agosto","septiembre","octubre","noviembre","diciembre")</f>
        <v>junio</v>
      </c>
      <c r="G1272" s="7" t="str">
        <f aca="false">E1272&amp;"-"&amp;RIGHT(B1272,2)</f>
        <v>jun-26</v>
      </c>
    </row>
    <row r="1273" customFormat="false" ht="15" hidden="false" customHeight="false" outlineLevel="0" collapsed="false">
      <c r="A1273" s="8" t="n">
        <f aca="false">A1272+1</f>
        <v>46198</v>
      </c>
      <c r="B1273" s="7" t="n">
        <f aca="false">YEAR(A1273)</f>
        <v>2026</v>
      </c>
      <c r="C1273" s="7" t="n">
        <f aca="false">MONTH(A1273)</f>
        <v>6</v>
      </c>
      <c r="D1273" s="8" t="n">
        <f aca="false">DATE(B1273,C1273,1)</f>
        <v>46174</v>
      </c>
      <c r="E1273" s="7" t="str">
        <f aca="false">CHOOSE(C1273,"ene","feb","mar","abr","may","jun","jul","ago","sep","oct","nov","dic")</f>
        <v>jun</v>
      </c>
      <c r="F1273" s="7" t="str">
        <f aca="false">CHOOSE(C1273,"enero","febrero","marzo","abril","mayo","junio","julio","agosto","septiembre","octubre","noviembre","diciembre")</f>
        <v>junio</v>
      </c>
      <c r="G1273" s="7" t="str">
        <f aca="false">E1273&amp;"-"&amp;RIGHT(B1273,2)</f>
        <v>jun-26</v>
      </c>
    </row>
    <row r="1274" customFormat="false" ht="15" hidden="false" customHeight="false" outlineLevel="0" collapsed="false">
      <c r="A1274" s="8" t="n">
        <f aca="false">A1273+1</f>
        <v>46199</v>
      </c>
      <c r="B1274" s="7" t="n">
        <f aca="false">YEAR(A1274)</f>
        <v>2026</v>
      </c>
      <c r="C1274" s="7" t="n">
        <f aca="false">MONTH(A1274)</f>
        <v>6</v>
      </c>
      <c r="D1274" s="8" t="n">
        <f aca="false">DATE(B1274,C1274,1)</f>
        <v>46174</v>
      </c>
      <c r="E1274" s="7" t="str">
        <f aca="false">CHOOSE(C1274,"ene","feb","mar","abr","may","jun","jul","ago","sep","oct","nov","dic")</f>
        <v>jun</v>
      </c>
      <c r="F1274" s="7" t="str">
        <f aca="false">CHOOSE(C1274,"enero","febrero","marzo","abril","mayo","junio","julio","agosto","septiembre","octubre","noviembre","diciembre")</f>
        <v>junio</v>
      </c>
      <c r="G1274" s="7" t="str">
        <f aca="false">E1274&amp;"-"&amp;RIGHT(B1274,2)</f>
        <v>jun-26</v>
      </c>
    </row>
    <row r="1275" customFormat="false" ht="15" hidden="false" customHeight="false" outlineLevel="0" collapsed="false">
      <c r="A1275" s="8" t="n">
        <f aca="false">A1274+1</f>
        <v>46200</v>
      </c>
      <c r="B1275" s="7" t="n">
        <f aca="false">YEAR(A1275)</f>
        <v>2026</v>
      </c>
      <c r="C1275" s="7" t="n">
        <f aca="false">MONTH(A1275)</f>
        <v>6</v>
      </c>
      <c r="D1275" s="8" t="n">
        <f aca="false">DATE(B1275,C1275,1)</f>
        <v>46174</v>
      </c>
      <c r="E1275" s="7" t="str">
        <f aca="false">CHOOSE(C1275,"ene","feb","mar","abr","may","jun","jul","ago","sep","oct","nov","dic")</f>
        <v>jun</v>
      </c>
      <c r="F1275" s="7" t="str">
        <f aca="false">CHOOSE(C1275,"enero","febrero","marzo","abril","mayo","junio","julio","agosto","septiembre","octubre","noviembre","diciembre")</f>
        <v>junio</v>
      </c>
      <c r="G1275" s="7" t="str">
        <f aca="false">E1275&amp;"-"&amp;RIGHT(B1275,2)</f>
        <v>jun-26</v>
      </c>
    </row>
    <row r="1276" customFormat="false" ht="15" hidden="false" customHeight="false" outlineLevel="0" collapsed="false">
      <c r="A1276" s="8" t="n">
        <f aca="false">A1275+1</f>
        <v>46201</v>
      </c>
      <c r="B1276" s="7" t="n">
        <f aca="false">YEAR(A1276)</f>
        <v>2026</v>
      </c>
      <c r="C1276" s="7" t="n">
        <f aca="false">MONTH(A1276)</f>
        <v>6</v>
      </c>
      <c r="D1276" s="8" t="n">
        <f aca="false">DATE(B1276,C1276,1)</f>
        <v>46174</v>
      </c>
      <c r="E1276" s="7" t="str">
        <f aca="false">CHOOSE(C1276,"ene","feb","mar","abr","may","jun","jul","ago","sep","oct","nov","dic")</f>
        <v>jun</v>
      </c>
      <c r="F1276" s="7" t="str">
        <f aca="false">CHOOSE(C1276,"enero","febrero","marzo","abril","mayo","junio","julio","agosto","septiembre","octubre","noviembre","diciembre")</f>
        <v>junio</v>
      </c>
      <c r="G1276" s="7" t="str">
        <f aca="false">E1276&amp;"-"&amp;RIGHT(B1276,2)</f>
        <v>jun-26</v>
      </c>
    </row>
    <row r="1277" customFormat="false" ht="15" hidden="false" customHeight="false" outlineLevel="0" collapsed="false">
      <c r="A1277" s="8" t="n">
        <f aca="false">A1276+1</f>
        <v>46202</v>
      </c>
      <c r="B1277" s="7" t="n">
        <f aca="false">YEAR(A1277)</f>
        <v>2026</v>
      </c>
      <c r="C1277" s="7" t="n">
        <f aca="false">MONTH(A1277)</f>
        <v>6</v>
      </c>
      <c r="D1277" s="8" t="n">
        <f aca="false">DATE(B1277,C1277,1)</f>
        <v>46174</v>
      </c>
      <c r="E1277" s="7" t="str">
        <f aca="false">CHOOSE(C1277,"ene","feb","mar","abr","may","jun","jul","ago","sep","oct","nov","dic")</f>
        <v>jun</v>
      </c>
      <c r="F1277" s="7" t="str">
        <f aca="false">CHOOSE(C1277,"enero","febrero","marzo","abril","mayo","junio","julio","agosto","septiembre","octubre","noviembre","diciembre")</f>
        <v>junio</v>
      </c>
      <c r="G1277" s="7" t="str">
        <f aca="false">E1277&amp;"-"&amp;RIGHT(B1277,2)</f>
        <v>jun-26</v>
      </c>
    </row>
    <row r="1278" customFormat="false" ht="15" hidden="false" customHeight="false" outlineLevel="0" collapsed="false">
      <c r="A1278" s="8" t="n">
        <f aca="false">A1277+1</f>
        <v>46203</v>
      </c>
      <c r="B1278" s="7" t="n">
        <f aca="false">YEAR(A1278)</f>
        <v>2026</v>
      </c>
      <c r="C1278" s="7" t="n">
        <f aca="false">MONTH(A1278)</f>
        <v>6</v>
      </c>
      <c r="D1278" s="8" t="n">
        <f aca="false">DATE(B1278,C1278,1)</f>
        <v>46174</v>
      </c>
      <c r="E1278" s="7" t="str">
        <f aca="false">CHOOSE(C1278,"ene","feb","mar","abr","may","jun","jul","ago","sep","oct","nov","dic")</f>
        <v>jun</v>
      </c>
      <c r="F1278" s="7" t="str">
        <f aca="false">CHOOSE(C1278,"enero","febrero","marzo","abril","mayo","junio","julio","agosto","septiembre","octubre","noviembre","diciembre")</f>
        <v>junio</v>
      </c>
      <c r="G1278" s="7" t="str">
        <f aca="false">E1278&amp;"-"&amp;RIGHT(B1278,2)</f>
        <v>jun-26</v>
      </c>
    </row>
    <row r="1279" customFormat="false" ht="15" hidden="false" customHeight="false" outlineLevel="0" collapsed="false">
      <c r="A1279" s="8" t="n">
        <f aca="false">A1278+1</f>
        <v>46204</v>
      </c>
      <c r="B1279" s="7" t="n">
        <f aca="false">YEAR(A1279)</f>
        <v>2026</v>
      </c>
      <c r="C1279" s="7" t="n">
        <f aca="false">MONTH(A1279)</f>
        <v>7</v>
      </c>
      <c r="D1279" s="8" t="n">
        <f aca="false">DATE(B1279,C1279,1)</f>
        <v>46204</v>
      </c>
      <c r="E1279" s="7" t="str">
        <f aca="false">CHOOSE(C1279,"ene","feb","mar","abr","may","jun","jul","ago","sep","oct","nov","dic")</f>
        <v>jul</v>
      </c>
      <c r="F1279" s="7" t="str">
        <f aca="false">CHOOSE(C1279,"enero","febrero","marzo","abril","mayo","junio","julio","agosto","septiembre","octubre","noviembre","diciembre")</f>
        <v>julio</v>
      </c>
      <c r="G1279" s="7" t="str">
        <f aca="false">E1279&amp;"-"&amp;RIGHT(B1279,2)</f>
        <v>jul-26</v>
      </c>
    </row>
    <row r="1280" customFormat="false" ht="15" hidden="false" customHeight="false" outlineLevel="0" collapsed="false">
      <c r="A1280" s="8" t="n">
        <f aca="false">A1279+1</f>
        <v>46205</v>
      </c>
      <c r="B1280" s="7" t="n">
        <f aca="false">YEAR(A1280)</f>
        <v>2026</v>
      </c>
      <c r="C1280" s="7" t="n">
        <f aca="false">MONTH(A1280)</f>
        <v>7</v>
      </c>
      <c r="D1280" s="8" t="n">
        <f aca="false">DATE(B1280,C1280,1)</f>
        <v>46204</v>
      </c>
      <c r="E1280" s="7" t="str">
        <f aca="false">CHOOSE(C1280,"ene","feb","mar","abr","may","jun","jul","ago","sep","oct","nov","dic")</f>
        <v>jul</v>
      </c>
      <c r="F1280" s="7" t="str">
        <f aca="false">CHOOSE(C1280,"enero","febrero","marzo","abril","mayo","junio","julio","agosto","septiembre","octubre","noviembre","diciembre")</f>
        <v>julio</v>
      </c>
      <c r="G1280" s="7" t="str">
        <f aca="false">E1280&amp;"-"&amp;RIGHT(B1280,2)</f>
        <v>jul-26</v>
      </c>
    </row>
    <row r="1281" customFormat="false" ht="15" hidden="false" customHeight="false" outlineLevel="0" collapsed="false">
      <c r="A1281" s="8" t="n">
        <f aca="false">A1280+1</f>
        <v>46206</v>
      </c>
      <c r="B1281" s="7" t="n">
        <f aca="false">YEAR(A1281)</f>
        <v>2026</v>
      </c>
      <c r="C1281" s="7" t="n">
        <f aca="false">MONTH(A1281)</f>
        <v>7</v>
      </c>
      <c r="D1281" s="8" t="n">
        <f aca="false">DATE(B1281,C1281,1)</f>
        <v>46204</v>
      </c>
      <c r="E1281" s="7" t="str">
        <f aca="false">CHOOSE(C1281,"ene","feb","mar","abr","may","jun","jul","ago","sep","oct","nov","dic")</f>
        <v>jul</v>
      </c>
      <c r="F1281" s="7" t="str">
        <f aca="false">CHOOSE(C1281,"enero","febrero","marzo","abril","mayo","junio","julio","agosto","septiembre","octubre","noviembre","diciembre")</f>
        <v>julio</v>
      </c>
      <c r="G1281" s="7" t="str">
        <f aca="false">E1281&amp;"-"&amp;RIGHT(B1281,2)</f>
        <v>jul-26</v>
      </c>
    </row>
    <row r="1282" customFormat="false" ht="15" hidden="false" customHeight="false" outlineLevel="0" collapsed="false">
      <c r="A1282" s="8" t="n">
        <f aca="false">A1281+1</f>
        <v>46207</v>
      </c>
      <c r="B1282" s="7" t="n">
        <f aca="false">YEAR(A1282)</f>
        <v>2026</v>
      </c>
      <c r="C1282" s="7" t="n">
        <f aca="false">MONTH(A1282)</f>
        <v>7</v>
      </c>
      <c r="D1282" s="8" t="n">
        <f aca="false">DATE(B1282,C1282,1)</f>
        <v>46204</v>
      </c>
      <c r="E1282" s="7" t="str">
        <f aca="false">CHOOSE(C1282,"ene","feb","mar","abr","may","jun","jul","ago","sep","oct","nov","dic")</f>
        <v>jul</v>
      </c>
      <c r="F1282" s="7" t="str">
        <f aca="false">CHOOSE(C1282,"enero","febrero","marzo","abril","mayo","junio","julio","agosto","septiembre","octubre","noviembre","diciembre")</f>
        <v>julio</v>
      </c>
      <c r="G1282" s="7" t="str">
        <f aca="false">E1282&amp;"-"&amp;RIGHT(B1282,2)</f>
        <v>jul-26</v>
      </c>
    </row>
    <row r="1283" customFormat="false" ht="15" hidden="false" customHeight="false" outlineLevel="0" collapsed="false">
      <c r="A1283" s="8" t="n">
        <f aca="false">A1282+1</f>
        <v>46208</v>
      </c>
      <c r="B1283" s="7" t="n">
        <f aca="false">YEAR(A1283)</f>
        <v>2026</v>
      </c>
      <c r="C1283" s="7" t="n">
        <f aca="false">MONTH(A1283)</f>
        <v>7</v>
      </c>
      <c r="D1283" s="8" t="n">
        <f aca="false">DATE(B1283,C1283,1)</f>
        <v>46204</v>
      </c>
      <c r="E1283" s="7" t="str">
        <f aca="false">CHOOSE(C1283,"ene","feb","mar","abr","may","jun","jul","ago","sep","oct","nov","dic")</f>
        <v>jul</v>
      </c>
      <c r="F1283" s="7" t="str">
        <f aca="false">CHOOSE(C1283,"enero","febrero","marzo","abril","mayo","junio","julio","agosto","septiembre","octubre","noviembre","diciembre")</f>
        <v>julio</v>
      </c>
      <c r="G1283" s="7" t="str">
        <f aca="false">E1283&amp;"-"&amp;RIGHT(B1283,2)</f>
        <v>jul-26</v>
      </c>
    </row>
    <row r="1284" customFormat="false" ht="15" hidden="false" customHeight="false" outlineLevel="0" collapsed="false">
      <c r="A1284" s="8" t="n">
        <f aca="false">A1283+1</f>
        <v>46209</v>
      </c>
      <c r="B1284" s="7" t="n">
        <f aca="false">YEAR(A1284)</f>
        <v>2026</v>
      </c>
      <c r="C1284" s="7" t="n">
        <f aca="false">MONTH(A1284)</f>
        <v>7</v>
      </c>
      <c r="D1284" s="8" t="n">
        <f aca="false">DATE(B1284,C1284,1)</f>
        <v>46204</v>
      </c>
      <c r="E1284" s="7" t="str">
        <f aca="false">CHOOSE(C1284,"ene","feb","mar","abr","may","jun","jul","ago","sep","oct","nov","dic")</f>
        <v>jul</v>
      </c>
      <c r="F1284" s="7" t="str">
        <f aca="false">CHOOSE(C1284,"enero","febrero","marzo","abril","mayo","junio","julio","agosto","septiembre","octubre","noviembre","diciembre")</f>
        <v>julio</v>
      </c>
      <c r="G1284" s="7" t="str">
        <f aca="false">E1284&amp;"-"&amp;RIGHT(B1284,2)</f>
        <v>jul-26</v>
      </c>
    </row>
    <row r="1285" customFormat="false" ht="15" hidden="false" customHeight="false" outlineLevel="0" collapsed="false">
      <c r="A1285" s="8" t="n">
        <f aca="false">A1284+1</f>
        <v>46210</v>
      </c>
      <c r="B1285" s="7" t="n">
        <f aca="false">YEAR(A1285)</f>
        <v>2026</v>
      </c>
      <c r="C1285" s="7" t="n">
        <f aca="false">MONTH(A1285)</f>
        <v>7</v>
      </c>
      <c r="D1285" s="8" t="n">
        <f aca="false">DATE(B1285,C1285,1)</f>
        <v>46204</v>
      </c>
      <c r="E1285" s="7" t="str">
        <f aca="false">CHOOSE(C1285,"ene","feb","mar","abr","may","jun","jul","ago","sep","oct","nov","dic")</f>
        <v>jul</v>
      </c>
      <c r="F1285" s="7" t="str">
        <f aca="false">CHOOSE(C1285,"enero","febrero","marzo","abril","mayo","junio","julio","agosto","septiembre","octubre","noviembre","diciembre")</f>
        <v>julio</v>
      </c>
      <c r="G1285" s="7" t="str">
        <f aca="false">E1285&amp;"-"&amp;RIGHT(B1285,2)</f>
        <v>jul-26</v>
      </c>
    </row>
    <row r="1286" customFormat="false" ht="15" hidden="false" customHeight="false" outlineLevel="0" collapsed="false">
      <c r="A1286" s="8" t="n">
        <f aca="false">A1285+1</f>
        <v>46211</v>
      </c>
      <c r="B1286" s="7" t="n">
        <f aca="false">YEAR(A1286)</f>
        <v>2026</v>
      </c>
      <c r="C1286" s="7" t="n">
        <f aca="false">MONTH(A1286)</f>
        <v>7</v>
      </c>
      <c r="D1286" s="8" t="n">
        <f aca="false">DATE(B1286,C1286,1)</f>
        <v>46204</v>
      </c>
      <c r="E1286" s="7" t="str">
        <f aca="false">CHOOSE(C1286,"ene","feb","mar","abr","may","jun","jul","ago","sep","oct","nov","dic")</f>
        <v>jul</v>
      </c>
      <c r="F1286" s="7" t="str">
        <f aca="false">CHOOSE(C1286,"enero","febrero","marzo","abril","mayo","junio","julio","agosto","septiembre","octubre","noviembre","diciembre")</f>
        <v>julio</v>
      </c>
      <c r="G1286" s="7" t="str">
        <f aca="false">E1286&amp;"-"&amp;RIGHT(B1286,2)</f>
        <v>jul-26</v>
      </c>
    </row>
    <row r="1287" customFormat="false" ht="15" hidden="false" customHeight="false" outlineLevel="0" collapsed="false">
      <c r="A1287" s="8" t="n">
        <f aca="false">A1286+1</f>
        <v>46212</v>
      </c>
      <c r="B1287" s="7" t="n">
        <f aca="false">YEAR(A1287)</f>
        <v>2026</v>
      </c>
      <c r="C1287" s="7" t="n">
        <f aca="false">MONTH(A1287)</f>
        <v>7</v>
      </c>
      <c r="D1287" s="8" t="n">
        <f aca="false">DATE(B1287,C1287,1)</f>
        <v>46204</v>
      </c>
      <c r="E1287" s="7" t="str">
        <f aca="false">CHOOSE(C1287,"ene","feb","mar","abr","may","jun","jul","ago","sep","oct","nov","dic")</f>
        <v>jul</v>
      </c>
      <c r="F1287" s="7" t="str">
        <f aca="false">CHOOSE(C1287,"enero","febrero","marzo","abril","mayo","junio","julio","agosto","septiembre","octubre","noviembre","diciembre")</f>
        <v>julio</v>
      </c>
      <c r="G1287" s="7" t="str">
        <f aca="false">E1287&amp;"-"&amp;RIGHT(B1287,2)</f>
        <v>jul-26</v>
      </c>
    </row>
    <row r="1288" customFormat="false" ht="15" hidden="false" customHeight="false" outlineLevel="0" collapsed="false">
      <c r="A1288" s="8" t="n">
        <f aca="false">A1287+1</f>
        <v>46213</v>
      </c>
      <c r="B1288" s="7" t="n">
        <f aca="false">YEAR(A1288)</f>
        <v>2026</v>
      </c>
      <c r="C1288" s="7" t="n">
        <f aca="false">MONTH(A1288)</f>
        <v>7</v>
      </c>
      <c r="D1288" s="8" t="n">
        <f aca="false">DATE(B1288,C1288,1)</f>
        <v>46204</v>
      </c>
      <c r="E1288" s="7" t="str">
        <f aca="false">CHOOSE(C1288,"ene","feb","mar","abr","may","jun","jul","ago","sep","oct","nov","dic")</f>
        <v>jul</v>
      </c>
      <c r="F1288" s="7" t="str">
        <f aca="false">CHOOSE(C1288,"enero","febrero","marzo","abril","mayo","junio","julio","agosto","septiembre","octubre","noviembre","diciembre")</f>
        <v>julio</v>
      </c>
      <c r="G1288" s="7" t="str">
        <f aca="false">E1288&amp;"-"&amp;RIGHT(B1288,2)</f>
        <v>jul-26</v>
      </c>
    </row>
    <row r="1289" customFormat="false" ht="15" hidden="false" customHeight="false" outlineLevel="0" collapsed="false">
      <c r="A1289" s="8" t="n">
        <f aca="false">A1288+1</f>
        <v>46214</v>
      </c>
      <c r="B1289" s="7" t="n">
        <f aca="false">YEAR(A1289)</f>
        <v>2026</v>
      </c>
      <c r="C1289" s="7" t="n">
        <f aca="false">MONTH(A1289)</f>
        <v>7</v>
      </c>
      <c r="D1289" s="8" t="n">
        <f aca="false">DATE(B1289,C1289,1)</f>
        <v>46204</v>
      </c>
      <c r="E1289" s="7" t="str">
        <f aca="false">CHOOSE(C1289,"ene","feb","mar","abr","may","jun","jul","ago","sep","oct","nov","dic")</f>
        <v>jul</v>
      </c>
      <c r="F1289" s="7" t="str">
        <f aca="false">CHOOSE(C1289,"enero","febrero","marzo","abril","mayo","junio","julio","agosto","septiembre","octubre","noviembre","diciembre")</f>
        <v>julio</v>
      </c>
      <c r="G1289" s="7" t="str">
        <f aca="false">E1289&amp;"-"&amp;RIGHT(B1289,2)</f>
        <v>jul-26</v>
      </c>
    </row>
    <row r="1290" customFormat="false" ht="15" hidden="false" customHeight="false" outlineLevel="0" collapsed="false">
      <c r="A1290" s="8" t="n">
        <f aca="false">A1289+1</f>
        <v>46215</v>
      </c>
      <c r="B1290" s="7" t="n">
        <f aca="false">YEAR(A1290)</f>
        <v>2026</v>
      </c>
      <c r="C1290" s="7" t="n">
        <f aca="false">MONTH(A1290)</f>
        <v>7</v>
      </c>
      <c r="D1290" s="8" t="n">
        <f aca="false">DATE(B1290,C1290,1)</f>
        <v>46204</v>
      </c>
      <c r="E1290" s="7" t="str">
        <f aca="false">CHOOSE(C1290,"ene","feb","mar","abr","may","jun","jul","ago","sep","oct","nov","dic")</f>
        <v>jul</v>
      </c>
      <c r="F1290" s="7" t="str">
        <f aca="false">CHOOSE(C1290,"enero","febrero","marzo","abril","mayo","junio","julio","agosto","septiembre","octubre","noviembre","diciembre")</f>
        <v>julio</v>
      </c>
      <c r="G1290" s="7" t="str">
        <f aca="false">E1290&amp;"-"&amp;RIGHT(B1290,2)</f>
        <v>jul-26</v>
      </c>
    </row>
    <row r="1291" customFormat="false" ht="15" hidden="false" customHeight="false" outlineLevel="0" collapsed="false">
      <c r="A1291" s="8" t="n">
        <f aca="false">A1290+1</f>
        <v>46216</v>
      </c>
      <c r="B1291" s="7" t="n">
        <f aca="false">YEAR(A1291)</f>
        <v>2026</v>
      </c>
      <c r="C1291" s="7" t="n">
        <f aca="false">MONTH(A1291)</f>
        <v>7</v>
      </c>
      <c r="D1291" s="8" t="n">
        <f aca="false">DATE(B1291,C1291,1)</f>
        <v>46204</v>
      </c>
      <c r="E1291" s="7" t="str">
        <f aca="false">CHOOSE(C1291,"ene","feb","mar","abr","may","jun","jul","ago","sep","oct","nov","dic")</f>
        <v>jul</v>
      </c>
      <c r="F1291" s="7" t="str">
        <f aca="false">CHOOSE(C1291,"enero","febrero","marzo","abril","mayo","junio","julio","agosto","septiembre","octubre","noviembre","diciembre")</f>
        <v>julio</v>
      </c>
      <c r="G1291" s="7" t="str">
        <f aca="false">E1291&amp;"-"&amp;RIGHT(B1291,2)</f>
        <v>jul-26</v>
      </c>
    </row>
    <row r="1292" customFormat="false" ht="15" hidden="false" customHeight="false" outlineLevel="0" collapsed="false">
      <c r="A1292" s="8" t="n">
        <f aca="false">A1291+1</f>
        <v>46217</v>
      </c>
      <c r="B1292" s="7" t="n">
        <f aca="false">YEAR(A1292)</f>
        <v>2026</v>
      </c>
      <c r="C1292" s="7" t="n">
        <f aca="false">MONTH(A1292)</f>
        <v>7</v>
      </c>
      <c r="D1292" s="8" t="n">
        <f aca="false">DATE(B1292,C1292,1)</f>
        <v>46204</v>
      </c>
      <c r="E1292" s="7" t="str">
        <f aca="false">CHOOSE(C1292,"ene","feb","mar","abr","may","jun","jul","ago","sep","oct","nov","dic")</f>
        <v>jul</v>
      </c>
      <c r="F1292" s="7" t="str">
        <f aca="false">CHOOSE(C1292,"enero","febrero","marzo","abril","mayo","junio","julio","agosto","septiembre","octubre","noviembre","diciembre")</f>
        <v>julio</v>
      </c>
      <c r="G1292" s="7" t="str">
        <f aca="false">E1292&amp;"-"&amp;RIGHT(B1292,2)</f>
        <v>jul-26</v>
      </c>
    </row>
    <row r="1293" customFormat="false" ht="15" hidden="false" customHeight="false" outlineLevel="0" collapsed="false">
      <c r="A1293" s="8" t="n">
        <f aca="false">A1292+1</f>
        <v>46218</v>
      </c>
      <c r="B1293" s="7" t="n">
        <f aca="false">YEAR(A1293)</f>
        <v>2026</v>
      </c>
      <c r="C1293" s="7" t="n">
        <f aca="false">MONTH(A1293)</f>
        <v>7</v>
      </c>
      <c r="D1293" s="8" t="n">
        <f aca="false">DATE(B1293,C1293,1)</f>
        <v>46204</v>
      </c>
      <c r="E1293" s="7" t="str">
        <f aca="false">CHOOSE(C1293,"ene","feb","mar","abr","may","jun","jul","ago","sep","oct","nov","dic")</f>
        <v>jul</v>
      </c>
      <c r="F1293" s="7" t="str">
        <f aca="false">CHOOSE(C1293,"enero","febrero","marzo","abril","mayo","junio","julio","agosto","septiembre","octubre","noviembre","diciembre")</f>
        <v>julio</v>
      </c>
      <c r="G1293" s="7" t="str">
        <f aca="false">E1293&amp;"-"&amp;RIGHT(B1293,2)</f>
        <v>jul-26</v>
      </c>
    </row>
    <row r="1294" customFormat="false" ht="15" hidden="false" customHeight="false" outlineLevel="0" collapsed="false">
      <c r="A1294" s="8" t="n">
        <f aca="false">A1293+1</f>
        <v>46219</v>
      </c>
      <c r="B1294" s="7" t="n">
        <f aca="false">YEAR(A1294)</f>
        <v>2026</v>
      </c>
      <c r="C1294" s="7" t="n">
        <f aca="false">MONTH(A1294)</f>
        <v>7</v>
      </c>
      <c r="D1294" s="8" t="n">
        <f aca="false">DATE(B1294,C1294,1)</f>
        <v>46204</v>
      </c>
      <c r="E1294" s="7" t="str">
        <f aca="false">CHOOSE(C1294,"ene","feb","mar","abr","may","jun","jul","ago","sep","oct","nov","dic")</f>
        <v>jul</v>
      </c>
      <c r="F1294" s="7" t="str">
        <f aca="false">CHOOSE(C1294,"enero","febrero","marzo","abril","mayo","junio","julio","agosto","septiembre","octubre","noviembre","diciembre")</f>
        <v>julio</v>
      </c>
      <c r="G1294" s="7" t="str">
        <f aca="false">E1294&amp;"-"&amp;RIGHT(B1294,2)</f>
        <v>jul-26</v>
      </c>
    </row>
    <row r="1295" customFormat="false" ht="15" hidden="false" customHeight="false" outlineLevel="0" collapsed="false">
      <c r="A1295" s="8" t="n">
        <f aca="false">A1294+1</f>
        <v>46220</v>
      </c>
      <c r="B1295" s="7" t="n">
        <f aca="false">YEAR(A1295)</f>
        <v>2026</v>
      </c>
      <c r="C1295" s="7" t="n">
        <f aca="false">MONTH(A1295)</f>
        <v>7</v>
      </c>
      <c r="D1295" s="8" t="n">
        <f aca="false">DATE(B1295,C1295,1)</f>
        <v>46204</v>
      </c>
      <c r="E1295" s="7" t="str">
        <f aca="false">CHOOSE(C1295,"ene","feb","mar","abr","may","jun","jul","ago","sep","oct","nov","dic")</f>
        <v>jul</v>
      </c>
      <c r="F1295" s="7" t="str">
        <f aca="false">CHOOSE(C1295,"enero","febrero","marzo","abril","mayo","junio","julio","agosto","septiembre","octubre","noviembre","diciembre")</f>
        <v>julio</v>
      </c>
      <c r="G1295" s="7" t="str">
        <f aca="false">E1295&amp;"-"&amp;RIGHT(B1295,2)</f>
        <v>jul-26</v>
      </c>
    </row>
    <row r="1296" customFormat="false" ht="15" hidden="false" customHeight="false" outlineLevel="0" collapsed="false">
      <c r="A1296" s="8" t="n">
        <f aca="false">A1295+1</f>
        <v>46221</v>
      </c>
      <c r="B1296" s="7" t="n">
        <f aca="false">YEAR(A1296)</f>
        <v>2026</v>
      </c>
      <c r="C1296" s="7" t="n">
        <f aca="false">MONTH(A1296)</f>
        <v>7</v>
      </c>
      <c r="D1296" s="8" t="n">
        <f aca="false">DATE(B1296,C1296,1)</f>
        <v>46204</v>
      </c>
      <c r="E1296" s="7" t="str">
        <f aca="false">CHOOSE(C1296,"ene","feb","mar","abr","may","jun","jul","ago","sep","oct","nov","dic")</f>
        <v>jul</v>
      </c>
      <c r="F1296" s="7" t="str">
        <f aca="false">CHOOSE(C1296,"enero","febrero","marzo","abril","mayo","junio","julio","agosto","septiembre","octubre","noviembre","diciembre")</f>
        <v>julio</v>
      </c>
      <c r="G1296" s="7" t="str">
        <f aca="false">E1296&amp;"-"&amp;RIGHT(B1296,2)</f>
        <v>jul-26</v>
      </c>
    </row>
    <row r="1297" customFormat="false" ht="15" hidden="false" customHeight="false" outlineLevel="0" collapsed="false">
      <c r="A1297" s="8" t="n">
        <f aca="false">A1296+1</f>
        <v>46222</v>
      </c>
      <c r="B1297" s="7" t="n">
        <f aca="false">YEAR(A1297)</f>
        <v>2026</v>
      </c>
      <c r="C1297" s="7" t="n">
        <f aca="false">MONTH(A1297)</f>
        <v>7</v>
      </c>
      <c r="D1297" s="8" t="n">
        <f aca="false">DATE(B1297,C1297,1)</f>
        <v>46204</v>
      </c>
      <c r="E1297" s="7" t="str">
        <f aca="false">CHOOSE(C1297,"ene","feb","mar","abr","may","jun","jul","ago","sep","oct","nov","dic")</f>
        <v>jul</v>
      </c>
      <c r="F1297" s="7" t="str">
        <f aca="false">CHOOSE(C1297,"enero","febrero","marzo","abril","mayo","junio","julio","agosto","septiembre","octubre","noviembre","diciembre")</f>
        <v>julio</v>
      </c>
      <c r="G1297" s="7" t="str">
        <f aca="false">E1297&amp;"-"&amp;RIGHT(B1297,2)</f>
        <v>jul-26</v>
      </c>
    </row>
    <row r="1298" customFormat="false" ht="15" hidden="false" customHeight="false" outlineLevel="0" collapsed="false">
      <c r="A1298" s="8" t="n">
        <f aca="false">A1297+1</f>
        <v>46223</v>
      </c>
      <c r="B1298" s="7" t="n">
        <f aca="false">YEAR(A1298)</f>
        <v>2026</v>
      </c>
      <c r="C1298" s="7" t="n">
        <f aca="false">MONTH(A1298)</f>
        <v>7</v>
      </c>
      <c r="D1298" s="8" t="n">
        <f aca="false">DATE(B1298,C1298,1)</f>
        <v>46204</v>
      </c>
      <c r="E1298" s="7" t="str">
        <f aca="false">CHOOSE(C1298,"ene","feb","mar","abr","may","jun","jul","ago","sep","oct","nov","dic")</f>
        <v>jul</v>
      </c>
      <c r="F1298" s="7" t="str">
        <f aca="false">CHOOSE(C1298,"enero","febrero","marzo","abril","mayo","junio","julio","agosto","septiembre","octubre","noviembre","diciembre")</f>
        <v>julio</v>
      </c>
      <c r="G1298" s="7" t="str">
        <f aca="false">E1298&amp;"-"&amp;RIGHT(B1298,2)</f>
        <v>jul-26</v>
      </c>
    </row>
    <row r="1299" customFormat="false" ht="15" hidden="false" customHeight="false" outlineLevel="0" collapsed="false">
      <c r="A1299" s="8" t="n">
        <f aca="false">A1298+1</f>
        <v>46224</v>
      </c>
      <c r="B1299" s="7" t="n">
        <f aca="false">YEAR(A1299)</f>
        <v>2026</v>
      </c>
      <c r="C1299" s="7" t="n">
        <f aca="false">MONTH(A1299)</f>
        <v>7</v>
      </c>
      <c r="D1299" s="8" t="n">
        <f aca="false">DATE(B1299,C1299,1)</f>
        <v>46204</v>
      </c>
      <c r="E1299" s="7" t="str">
        <f aca="false">CHOOSE(C1299,"ene","feb","mar","abr","may","jun","jul","ago","sep","oct","nov","dic")</f>
        <v>jul</v>
      </c>
      <c r="F1299" s="7" t="str">
        <f aca="false">CHOOSE(C1299,"enero","febrero","marzo","abril","mayo","junio","julio","agosto","septiembre","octubre","noviembre","diciembre")</f>
        <v>julio</v>
      </c>
      <c r="G1299" s="7" t="str">
        <f aca="false">E1299&amp;"-"&amp;RIGHT(B1299,2)</f>
        <v>jul-26</v>
      </c>
    </row>
    <row r="1300" customFormat="false" ht="15" hidden="false" customHeight="false" outlineLevel="0" collapsed="false">
      <c r="A1300" s="8" t="n">
        <f aca="false">A1299+1</f>
        <v>46225</v>
      </c>
      <c r="B1300" s="7" t="n">
        <f aca="false">YEAR(A1300)</f>
        <v>2026</v>
      </c>
      <c r="C1300" s="7" t="n">
        <f aca="false">MONTH(A1300)</f>
        <v>7</v>
      </c>
      <c r="D1300" s="8" t="n">
        <f aca="false">DATE(B1300,C1300,1)</f>
        <v>46204</v>
      </c>
      <c r="E1300" s="7" t="str">
        <f aca="false">CHOOSE(C1300,"ene","feb","mar","abr","may","jun","jul","ago","sep","oct","nov","dic")</f>
        <v>jul</v>
      </c>
      <c r="F1300" s="7" t="str">
        <f aca="false">CHOOSE(C1300,"enero","febrero","marzo","abril","mayo","junio","julio","agosto","septiembre","octubre","noviembre","diciembre")</f>
        <v>julio</v>
      </c>
      <c r="G1300" s="7" t="str">
        <f aca="false">E1300&amp;"-"&amp;RIGHT(B1300,2)</f>
        <v>jul-26</v>
      </c>
    </row>
    <row r="1301" customFormat="false" ht="15" hidden="false" customHeight="false" outlineLevel="0" collapsed="false">
      <c r="A1301" s="8" t="n">
        <f aca="false">A1300+1</f>
        <v>46226</v>
      </c>
      <c r="B1301" s="7" t="n">
        <f aca="false">YEAR(A1301)</f>
        <v>2026</v>
      </c>
      <c r="C1301" s="7" t="n">
        <f aca="false">MONTH(A1301)</f>
        <v>7</v>
      </c>
      <c r="D1301" s="8" t="n">
        <f aca="false">DATE(B1301,C1301,1)</f>
        <v>46204</v>
      </c>
      <c r="E1301" s="7" t="str">
        <f aca="false">CHOOSE(C1301,"ene","feb","mar","abr","may","jun","jul","ago","sep","oct","nov","dic")</f>
        <v>jul</v>
      </c>
      <c r="F1301" s="7" t="str">
        <f aca="false">CHOOSE(C1301,"enero","febrero","marzo","abril","mayo","junio","julio","agosto","septiembre","octubre","noviembre","diciembre")</f>
        <v>julio</v>
      </c>
      <c r="G1301" s="7" t="str">
        <f aca="false">E1301&amp;"-"&amp;RIGHT(B1301,2)</f>
        <v>jul-26</v>
      </c>
    </row>
    <row r="1302" customFormat="false" ht="15" hidden="false" customHeight="false" outlineLevel="0" collapsed="false">
      <c r="A1302" s="8" t="n">
        <f aca="false">A1301+1</f>
        <v>46227</v>
      </c>
      <c r="B1302" s="7" t="n">
        <f aca="false">YEAR(A1302)</f>
        <v>2026</v>
      </c>
      <c r="C1302" s="7" t="n">
        <f aca="false">MONTH(A1302)</f>
        <v>7</v>
      </c>
      <c r="D1302" s="8" t="n">
        <f aca="false">DATE(B1302,C1302,1)</f>
        <v>46204</v>
      </c>
      <c r="E1302" s="7" t="str">
        <f aca="false">CHOOSE(C1302,"ene","feb","mar","abr","may","jun","jul","ago","sep","oct","nov","dic")</f>
        <v>jul</v>
      </c>
      <c r="F1302" s="7" t="str">
        <f aca="false">CHOOSE(C1302,"enero","febrero","marzo","abril","mayo","junio","julio","agosto","septiembre","octubre","noviembre","diciembre")</f>
        <v>julio</v>
      </c>
      <c r="G1302" s="7" t="str">
        <f aca="false">E1302&amp;"-"&amp;RIGHT(B1302,2)</f>
        <v>jul-26</v>
      </c>
    </row>
    <row r="1303" customFormat="false" ht="15" hidden="false" customHeight="false" outlineLevel="0" collapsed="false">
      <c r="A1303" s="8" t="n">
        <f aca="false">A1302+1</f>
        <v>46228</v>
      </c>
      <c r="B1303" s="7" t="n">
        <f aca="false">YEAR(A1303)</f>
        <v>2026</v>
      </c>
      <c r="C1303" s="7" t="n">
        <f aca="false">MONTH(A1303)</f>
        <v>7</v>
      </c>
      <c r="D1303" s="8" t="n">
        <f aca="false">DATE(B1303,C1303,1)</f>
        <v>46204</v>
      </c>
      <c r="E1303" s="7" t="str">
        <f aca="false">CHOOSE(C1303,"ene","feb","mar","abr","may","jun","jul","ago","sep","oct","nov","dic")</f>
        <v>jul</v>
      </c>
      <c r="F1303" s="7" t="str">
        <f aca="false">CHOOSE(C1303,"enero","febrero","marzo","abril","mayo","junio","julio","agosto","septiembre","octubre","noviembre","diciembre")</f>
        <v>julio</v>
      </c>
      <c r="G1303" s="7" t="str">
        <f aca="false">E1303&amp;"-"&amp;RIGHT(B1303,2)</f>
        <v>jul-26</v>
      </c>
    </row>
    <row r="1304" customFormat="false" ht="15" hidden="false" customHeight="false" outlineLevel="0" collapsed="false">
      <c r="A1304" s="8" t="n">
        <f aca="false">A1303+1</f>
        <v>46229</v>
      </c>
      <c r="B1304" s="7" t="n">
        <f aca="false">YEAR(A1304)</f>
        <v>2026</v>
      </c>
      <c r="C1304" s="7" t="n">
        <f aca="false">MONTH(A1304)</f>
        <v>7</v>
      </c>
      <c r="D1304" s="8" t="n">
        <f aca="false">DATE(B1304,C1304,1)</f>
        <v>46204</v>
      </c>
      <c r="E1304" s="7" t="str">
        <f aca="false">CHOOSE(C1304,"ene","feb","mar","abr","may","jun","jul","ago","sep","oct","nov","dic")</f>
        <v>jul</v>
      </c>
      <c r="F1304" s="7" t="str">
        <f aca="false">CHOOSE(C1304,"enero","febrero","marzo","abril","mayo","junio","julio","agosto","septiembre","octubre","noviembre","diciembre")</f>
        <v>julio</v>
      </c>
      <c r="G1304" s="7" t="str">
        <f aca="false">E1304&amp;"-"&amp;RIGHT(B1304,2)</f>
        <v>jul-26</v>
      </c>
    </row>
    <row r="1305" customFormat="false" ht="15" hidden="false" customHeight="false" outlineLevel="0" collapsed="false">
      <c r="A1305" s="8" t="n">
        <f aca="false">A1304+1</f>
        <v>46230</v>
      </c>
      <c r="B1305" s="7" t="n">
        <f aca="false">YEAR(A1305)</f>
        <v>2026</v>
      </c>
      <c r="C1305" s="7" t="n">
        <f aca="false">MONTH(A1305)</f>
        <v>7</v>
      </c>
      <c r="D1305" s="8" t="n">
        <f aca="false">DATE(B1305,C1305,1)</f>
        <v>46204</v>
      </c>
      <c r="E1305" s="7" t="str">
        <f aca="false">CHOOSE(C1305,"ene","feb","mar","abr","may","jun","jul","ago","sep","oct","nov","dic")</f>
        <v>jul</v>
      </c>
      <c r="F1305" s="7" t="str">
        <f aca="false">CHOOSE(C1305,"enero","febrero","marzo","abril","mayo","junio","julio","agosto","septiembre","octubre","noviembre","diciembre")</f>
        <v>julio</v>
      </c>
      <c r="G1305" s="7" t="str">
        <f aca="false">E1305&amp;"-"&amp;RIGHT(B1305,2)</f>
        <v>jul-26</v>
      </c>
    </row>
    <row r="1306" customFormat="false" ht="15" hidden="false" customHeight="false" outlineLevel="0" collapsed="false">
      <c r="A1306" s="8" t="n">
        <f aca="false">A1305+1</f>
        <v>46231</v>
      </c>
      <c r="B1306" s="7" t="n">
        <f aca="false">YEAR(A1306)</f>
        <v>2026</v>
      </c>
      <c r="C1306" s="7" t="n">
        <f aca="false">MONTH(A1306)</f>
        <v>7</v>
      </c>
      <c r="D1306" s="8" t="n">
        <f aca="false">DATE(B1306,C1306,1)</f>
        <v>46204</v>
      </c>
      <c r="E1306" s="7" t="str">
        <f aca="false">CHOOSE(C1306,"ene","feb","mar","abr","may","jun","jul","ago","sep","oct","nov","dic")</f>
        <v>jul</v>
      </c>
      <c r="F1306" s="7" t="str">
        <f aca="false">CHOOSE(C1306,"enero","febrero","marzo","abril","mayo","junio","julio","agosto","septiembre","octubre","noviembre","diciembre")</f>
        <v>julio</v>
      </c>
      <c r="G1306" s="7" t="str">
        <f aca="false">E1306&amp;"-"&amp;RIGHT(B1306,2)</f>
        <v>jul-26</v>
      </c>
    </row>
    <row r="1307" customFormat="false" ht="15" hidden="false" customHeight="false" outlineLevel="0" collapsed="false">
      <c r="A1307" s="8" t="n">
        <f aca="false">A1306+1</f>
        <v>46232</v>
      </c>
      <c r="B1307" s="7" t="n">
        <f aca="false">YEAR(A1307)</f>
        <v>2026</v>
      </c>
      <c r="C1307" s="7" t="n">
        <f aca="false">MONTH(A1307)</f>
        <v>7</v>
      </c>
      <c r="D1307" s="8" t="n">
        <f aca="false">DATE(B1307,C1307,1)</f>
        <v>46204</v>
      </c>
      <c r="E1307" s="7" t="str">
        <f aca="false">CHOOSE(C1307,"ene","feb","mar","abr","may","jun","jul","ago","sep","oct","nov","dic")</f>
        <v>jul</v>
      </c>
      <c r="F1307" s="7" t="str">
        <f aca="false">CHOOSE(C1307,"enero","febrero","marzo","abril","mayo","junio","julio","agosto","septiembre","octubre","noviembre","diciembre")</f>
        <v>julio</v>
      </c>
      <c r="G1307" s="7" t="str">
        <f aca="false">E1307&amp;"-"&amp;RIGHT(B1307,2)</f>
        <v>jul-26</v>
      </c>
    </row>
    <row r="1308" customFormat="false" ht="15" hidden="false" customHeight="false" outlineLevel="0" collapsed="false">
      <c r="A1308" s="8" t="n">
        <f aca="false">A1307+1</f>
        <v>46233</v>
      </c>
      <c r="B1308" s="7" t="n">
        <f aca="false">YEAR(A1308)</f>
        <v>2026</v>
      </c>
      <c r="C1308" s="7" t="n">
        <f aca="false">MONTH(A1308)</f>
        <v>7</v>
      </c>
      <c r="D1308" s="8" t="n">
        <f aca="false">DATE(B1308,C1308,1)</f>
        <v>46204</v>
      </c>
      <c r="E1308" s="7" t="str">
        <f aca="false">CHOOSE(C1308,"ene","feb","mar","abr","may","jun","jul","ago","sep","oct","nov","dic")</f>
        <v>jul</v>
      </c>
      <c r="F1308" s="7" t="str">
        <f aca="false">CHOOSE(C1308,"enero","febrero","marzo","abril","mayo","junio","julio","agosto","septiembre","octubre","noviembre","diciembre")</f>
        <v>julio</v>
      </c>
      <c r="G1308" s="7" t="str">
        <f aca="false">E1308&amp;"-"&amp;RIGHT(B1308,2)</f>
        <v>jul-26</v>
      </c>
    </row>
    <row r="1309" customFormat="false" ht="15" hidden="false" customHeight="false" outlineLevel="0" collapsed="false">
      <c r="A1309" s="8" t="n">
        <f aca="false">A1308+1</f>
        <v>46234</v>
      </c>
      <c r="B1309" s="7" t="n">
        <f aca="false">YEAR(A1309)</f>
        <v>2026</v>
      </c>
      <c r="C1309" s="7" t="n">
        <f aca="false">MONTH(A1309)</f>
        <v>7</v>
      </c>
      <c r="D1309" s="8" t="n">
        <f aca="false">DATE(B1309,C1309,1)</f>
        <v>46204</v>
      </c>
      <c r="E1309" s="7" t="str">
        <f aca="false">CHOOSE(C1309,"ene","feb","mar","abr","may","jun","jul","ago","sep","oct","nov","dic")</f>
        <v>jul</v>
      </c>
      <c r="F1309" s="7" t="str">
        <f aca="false">CHOOSE(C1309,"enero","febrero","marzo","abril","mayo","junio","julio","agosto","septiembre","octubre","noviembre","diciembre")</f>
        <v>julio</v>
      </c>
      <c r="G1309" s="7" t="str">
        <f aca="false">E1309&amp;"-"&amp;RIGHT(B1309,2)</f>
        <v>jul-26</v>
      </c>
    </row>
    <row r="1310" customFormat="false" ht="15" hidden="false" customHeight="false" outlineLevel="0" collapsed="false">
      <c r="A1310" s="8" t="n">
        <f aca="false">A1309+1</f>
        <v>46235</v>
      </c>
      <c r="B1310" s="7" t="n">
        <f aca="false">YEAR(A1310)</f>
        <v>2026</v>
      </c>
      <c r="C1310" s="7" t="n">
        <f aca="false">MONTH(A1310)</f>
        <v>8</v>
      </c>
      <c r="D1310" s="8" t="n">
        <f aca="false">DATE(B1310,C1310,1)</f>
        <v>46235</v>
      </c>
      <c r="E1310" s="7" t="str">
        <f aca="false">CHOOSE(C1310,"ene","feb","mar","abr","may","jun","jul","ago","sep","oct","nov","dic")</f>
        <v>ago</v>
      </c>
      <c r="F1310" s="7" t="str">
        <f aca="false">CHOOSE(C1310,"enero","febrero","marzo","abril","mayo","junio","julio","agosto","septiembre","octubre","noviembre","diciembre")</f>
        <v>agosto</v>
      </c>
      <c r="G1310" s="7" t="str">
        <f aca="false">E1310&amp;"-"&amp;RIGHT(B1310,2)</f>
        <v>ago-26</v>
      </c>
    </row>
    <row r="1311" customFormat="false" ht="15" hidden="false" customHeight="false" outlineLevel="0" collapsed="false">
      <c r="A1311" s="8" t="n">
        <f aca="false">A1310+1</f>
        <v>46236</v>
      </c>
      <c r="B1311" s="7" t="n">
        <f aca="false">YEAR(A1311)</f>
        <v>2026</v>
      </c>
      <c r="C1311" s="7" t="n">
        <f aca="false">MONTH(A1311)</f>
        <v>8</v>
      </c>
      <c r="D1311" s="8" t="n">
        <f aca="false">DATE(B1311,C1311,1)</f>
        <v>46235</v>
      </c>
      <c r="E1311" s="7" t="str">
        <f aca="false">CHOOSE(C1311,"ene","feb","mar","abr","may","jun","jul","ago","sep","oct","nov","dic")</f>
        <v>ago</v>
      </c>
      <c r="F1311" s="7" t="str">
        <f aca="false">CHOOSE(C1311,"enero","febrero","marzo","abril","mayo","junio","julio","agosto","septiembre","octubre","noviembre","diciembre")</f>
        <v>agosto</v>
      </c>
      <c r="G1311" s="7" t="str">
        <f aca="false">E1311&amp;"-"&amp;RIGHT(B1311,2)</f>
        <v>ago-26</v>
      </c>
    </row>
    <row r="1312" customFormat="false" ht="15" hidden="false" customHeight="false" outlineLevel="0" collapsed="false">
      <c r="A1312" s="8" t="n">
        <f aca="false">A1311+1</f>
        <v>46237</v>
      </c>
      <c r="B1312" s="7" t="n">
        <f aca="false">YEAR(A1312)</f>
        <v>2026</v>
      </c>
      <c r="C1312" s="7" t="n">
        <f aca="false">MONTH(A1312)</f>
        <v>8</v>
      </c>
      <c r="D1312" s="8" t="n">
        <f aca="false">DATE(B1312,C1312,1)</f>
        <v>46235</v>
      </c>
      <c r="E1312" s="7" t="str">
        <f aca="false">CHOOSE(C1312,"ene","feb","mar","abr","may","jun","jul","ago","sep","oct","nov","dic")</f>
        <v>ago</v>
      </c>
      <c r="F1312" s="7" t="str">
        <f aca="false">CHOOSE(C1312,"enero","febrero","marzo","abril","mayo","junio","julio","agosto","septiembre","octubre","noviembre","diciembre")</f>
        <v>agosto</v>
      </c>
      <c r="G1312" s="7" t="str">
        <f aca="false">E1312&amp;"-"&amp;RIGHT(B1312,2)</f>
        <v>ago-26</v>
      </c>
    </row>
    <row r="1313" customFormat="false" ht="15" hidden="false" customHeight="false" outlineLevel="0" collapsed="false">
      <c r="A1313" s="8" t="n">
        <f aca="false">A1312+1</f>
        <v>46238</v>
      </c>
      <c r="B1313" s="7" t="n">
        <f aca="false">YEAR(A1313)</f>
        <v>2026</v>
      </c>
      <c r="C1313" s="7" t="n">
        <f aca="false">MONTH(A1313)</f>
        <v>8</v>
      </c>
      <c r="D1313" s="8" t="n">
        <f aca="false">DATE(B1313,C1313,1)</f>
        <v>46235</v>
      </c>
      <c r="E1313" s="7" t="str">
        <f aca="false">CHOOSE(C1313,"ene","feb","mar","abr","may","jun","jul","ago","sep","oct","nov","dic")</f>
        <v>ago</v>
      </c>
      <c r="F1313" s="7" t="str">
        <f aca="false">CHOOSE(C1313,"enero","febrero","marzo","abril","mayo","junio","julio","agosto","septiembre","octubre","noviembre","diciembre")</f>
        <v>agosto</v>
      </c>
      <c r="G1313" s="7" t="str">
        <f aca="false">E1313&amp;"-"&amp;RIGHT(B1313,2)</f>
        <v>ago-26</v>
      </c>
    </row>
    <row r="1314" customFormat="false" ht="15" hidden="false" customHeight="false" outlineLevel="0" collapsed="false">
      <c r="A1314" s="8" t="n">
        <f aca="false">A1313+1</f>
        <v>46239</v>
      </c>
      <c r="B1314" s="7" t="n">
        <f aca="false">YEAR(A1314)</f>
        <v>2026</v>
      </c>
      <c r="C1314" s="7" t="n">
        <f aca="false">MONTH(A1314)</f>
        <v>8</v>
      </c>
      <c r="D1314" s="8" t="n">
        <f aca="false">DATE(B1314,C1314,1)</f>
        <v>46235</v>
      </c>
      <c r="E1314" s="7" t="str">
        <f aca="false">CHOOSE(C1314,"ene","feb","mar","abr","may","jun","jul","ago","sep","oct","nov","dic")</f>
        <v>ago</v>
      </c>
      <c r="F1314" s="7" t="str">
        <f aca="false">CHOOSE(C1314,"enero","febrero","marzo","abril","mayo","junio","julio","agosto","septiembre","octubre","noviembre","diciembre")</f>
        <v>agosto</v>
      </c>
      <c r="G1314" s="7" t="str">
        <f aca="false">E1314&amp;"-"&amp;RIGHT(B1314,2)</f>
        <v>ago-26</v>
      </c>
    </row>
    <row r="1315" customFormat="false" ht="15" hidden="false" customHeight="false" outlineLevel="0" collapsed="false">
      <c r="A1315" s="8" t="n">
        <f aca="false">A1314+1</f>
        <v>46240</v>
      </c>
      <c r="B1315" s="7" t="n">
        <f aca="false">YEAR(A1315)</f>
        <v>2026</v>
      </c>
      <c r="C1315" s="7" t="n">
        <f aca="false">MONTH(A1315)</f>
        <v>8</v>
      </c>
      <c r="D1315" s="8" t="n">
        <f aca="false">DATE(B1315,C1315,1)</f>
        <v>46235</v>
      </c>
      <c r="E1315" s="7" t="str">
        <f aca="false">CHOOSE(C1315,"ene","feb","mar","abr","may","jun","jul","ago","sep","oct","nov","dic")</f>
        <v>ago</v>
      </c>
      <c r="F1315" s="7" t="str">
        <f aca="false">CHOOSE(C1315,"enero","febrero","marzo","abril","mayo","junio","julio","agosto","septiembre","octubre","noviembre","diciembre")</f>
        <v>agosto</v>
      </c>
      <c r="G1315" s="7" t="str">
        <f aca="false">E1315&amp;"-"&amp;RIGHT(B1315,2)</f>
        <v>ago-26</v>
      </c>
    </row>
    <row r="1316" customFormat="false" ht="15" hidden="false" customHeight="false" outlineLevel="0" collapsed="false">
      <c r="A1316" s="8" t="n">
        <f aca="false">A1315+1</f>
        <v>46241</v>
      </c>
      <c r="B1316" s="7" t="n">
        <f aca="false">YEAR(A1316)</f>
        <v>2026</v>
      </c>
      <c r="C1316" s="7" t="n">
        <f aca="false">MONTH(A1316)</f>
        <v>8</v>
      </c>
      <c r="D1316" s="8" t="n">
        <f aca="false">DATE(B1316,C1316,1)</f>
        <v>46235</v>
      </c>
      <c r="E1316" s="7" t="str">
        <f aca="false">CHOOSE(C1316,"ene","feb","mar","abr","may","jun","jul","ago","sep","oct","nov","dic")</f>
        <v>ago</v>
      </c>
      <c r="F1316" s="7" t="str">
        <f aca="false">CHOOSE(C1316,"enero","febrero","marzo","abril","mayo","junio","julio","agosto","septiembre","octubre","noviembre","diciembre")</f>
        <v>agosto</v>
      </c>
      <c r="G1316" s="7" t="str">
        <f aca="false">E1316&amp;"-"&amp;RIGHT(B1316,2)</f>
        <v>ago-26</v>
      </c>
    </row>
    <row r="1317" customFormat="false" ht="15" hidden="false" customHeight="false" outlineLevel="0" collapsed="false">
      <c r="A1317" s="8" t="n">
        <f aca="false">A1316+1</f>
        <v>46242</v>
      </c>
      <c r="B1317" s="7" t="n">
        <f aca="false">YEAR(A1317)</f>
        <v>2026</v>
      </c>
      <c r="C1317" s="7" t="n">
        <f aca="false">MONTH(A1317)</f>
        <v>8</v>
      </c>
      <c r="D1317" s="8" t="n">
        <f aca="false">DATE(B1317,C1317,1)</f>
        <v>46235</v>
      </c>
      <c r="E1317" s="7" t="str">
        <f aca="false">CHOOSE(C1317,"ene","feb","mar","abr","may","jun","jul","ago","sep","oct","nov","dic")</f>
        <v>ago</v>
      </c>
      <c r="F1317" s="7" t="str">
        <f aca="false">CHOOSE(C1317,"enero","febrero","marzo","abril","mayo","junio","julio","agosto","septiembre","octubre","noviembre","diciembre")</f>
        <v>agosto</v>
      </c>
      <c r="G1317" s="7" t="str">
        <f aca="false">E1317&amp;"-"&amp;RIGHT(B1317,2)</f>
        <v>ago-26</v>
      </c>
    </row>
    <row r="1318" customFormat="false" ht="15" hidden="false" customHeight="false" outlineLevel="0" collapsed="false">
      <c r="A1318" s="8" t="n">
        <f aca="false">A1317+1</f>
        <v>46243</v>
      </c>
      <c r="B1318" s="7" t="n">
        <f aca="false">YEAR(A1318)</f>
        <v>2026</v>
      </c>
      <c r="C1318" s="7" t="n">
        <f aca="false">MONTH(A1318)</f>
        <v>8</v>
      </c>
      <c r="D1318" s="8" t="n">
        <f aca="false">DATE(B1318,C1318,1)</f>
        <v>46235</v>
      </c>
      <c r="E1318" s="7" t="str">
        <f aca="false">CHOOSE(C1318,"ene","feb","mar","abr","may","jun","jul","ago","sep","oct","nov","dic")</f>
        <v>ago</v>
      </c>
      <c r="F1318" s="7" t="str">
        <f aca="false">CHOOSE(C1318,"enero","febrero","marzo","abril","mayo","junio","julio","agosto","septiembre","octubre","noviembre","diciembre")</f>
        <v>agosto</v>
      </c>
      <c r="G1318" s="7" t="str">
        <f aca="false">E1318&amp;"-"&amp;RIGHT(B1318,2)</f>
        <v>ago-26</v>
      </c>
    </row>
    <row r="1319" customFormat="false" ht="15" hidden="false" customHeight="false" outlineLevel="0" collapsed="false">
      <c r="A1319" s="8" t="n">
        <f aca="false">A1318+1</f>
        <v>46244</v>
      </c>
      <c r="B1319" s="7" t="n">
        <f aca="false">YEAR(A1319)</f>
        <v>2026</v>
      </c>
      <c r="C1319" s="7" t="n">
        <f aca="false">MONTH(A1319)</f>
        <v>8</v>
      </c>
      <c r="D1319" s="8" t="n">
        <f aca="false">DATE(B1319,C1319,1)</f>
        <v>46235</v>
      </c>
      <c r="E1319" s="7" t="str">
        <f aca="false">CHOOSE(C1319,"ene","feb","mar","abr","may","jun","jul","ago","sep","oct","nov","dic")</f>
        <v>ago</v>
      </c>
      <c r="F1319" s="7" t="str">
        <f aca="false">CHOOSE(C1319,"enero","febrero","marzo","abril","mayo","junio","julio","agosto","septiembre","octubre","noviembre","diciembre")</f>
        <v>agosto</v>
      </c>
      <c r="G1319" s="7" t="str">
        <f aca="false">E1319&amp;"-"&amp;RIGHT(B1319,2)</f>
        <v>ago-26</v>
      </c>
    </row>
    <row r="1320" customFormat="false" ht="15" hidden="false" customHeight="false" outlineLevel="0" collapsed="false">
      <c r="A1320" s="8" t="n">
        <f aca="false">A1319+1</f>
        <v>46245</v>
      </c>
      <c r="B1320" s="7" t="n">
        <f aca="false">YEAR(A1320)</f>
        <v>2026</v>
      </c>
      <c r="C1320" s="7" t="n">
        <f aca="false">MONTH(A1320)</f>
        <v>8</v>
      </c>
      <c r="D1320" s="8" t="n">
        <f aca="false">DATE(B1320,C1320,1)</f>
        <v>46235</v>
      </c>
      <c r="E1320" s="7" t="str">
        <f aca="false">CHOOSE(C1320,"ene","feb","mar","abr","may","jun","jul","ago","sep","oct","nov","dic")</f>
        <v>ago</v>
      </c>
      <c r="F1320" s="7" t="str">
        <f aca="false">CHOOSE(C1320,"enero","febrero","marzo","abril","mayo","junio","julio","agosto","septiembre","octubre","noviembre","diciembre")</f>
        <v>agosto</v>
      </c>
      <c r="G1320" s="7" t="str">
        <f aca="false">E1320&amp;"-"&amp;RIGHT(B1320,2)</f>
        <v>ago-26</v>
      </c>
    </row>
    <row r="1321" customFormat="false" ht="15" hidden="false" customHeight="false" outlineLevel="0" collapsed="false">
      <c r="A1321" s="8" t="n">
        <f aca="false">A1320+1</f>
        <v>46246</v>
      </c>
      <c r="B1321" s="7" t="n">
        <f aca="false">YEAR(A1321)</f>
        <v>2026</v>
      </c>
      <c r="C1321" s="7" t="n">
        <f aca="false">MONTH(A1321)</f>
        <v>8</v>
      </c>
      <c r="D1321" s="8" t="n">
        <f aca="false">DATE(B1321,C1321,1)</f>
        <v>46235</v>
      </c>
      <c r="E1321" s="7" t="str">
        <f aca="false">CHOOSE(C1321,"ene","feb","mar","abr","may","jun","jul","ago","sep","oct","nov","dic")</f>
        <v>ago</v>
      </c>
      <c r="F1321" s="7" t="str">
        <f aca="false">CHOOSE(C1321,"enero","febrero","marzo","abril","mayo","junio","julio","agosto","septiembre","octubre","noviembre","diciembre")</f>
        <v>agosto</v>
      </c>
      <c r="G1321" s="7" t="str">
        <f aca="false">E1321&amp;"-"&amp;RIGHT(B1321,2)</f>
        <v>ago-26</v>
      </c>
    </row>
    <row r="1322" customFormat="false" ht="15" hidden="false" customHeight="false" outlineLevel="0" collapsed="false">
      <c r="A1322" s="8" t="n">
        <f aca="false">A1321+1</f>
        <v>46247</v>
      </c>
      <c r="B1322" s="7" t="n">
        <f aca="false">YEAR(A1322)</f>
        <v>2026</v>
      </c>
      <c r="C1322" s="7" t="n">
        <f aca="false">MONTH(A1322)</f>
        <v>8</v>
      </c>
      <c r="D1322" s="8" t="n">
        <f aca="false">DATE(B1322,C1322,1)</f>
        <v>46235</v>
      </c>
      <c r="E1322" s="7" t="str">
        <f aca="false">CHOOSE(C1322,"ene","feb","mar","abr","may","jun","jul","ago","sep","oct","nov","dic")</f>
        <v>ago</v>
      </c>
      <c r="F1322" s="7" t="str">
        <f aca="false">CHOOSE(C1322,"enero","febrero","marzo","abril","mayo","junio","julio","agosto","septiembre","octubre","noviembre","diciembre")</f>
        <v>agosto</v>
      </c>
      <c r="G1322" s="7" t="str">
        <f aca="false">E1322&amp;"-"&amp;RIGHT(B1322,2)</f>
        <v>ago-26</v>
      </c>
    </row>
    <row r="1323" customFormat="false" ht="15" hidden="false" customHeight="false" outlineLevel="0" collapsed="false">
      <c r="A1323" s="8" t="n">
        <f aca="false">A1322+1</f>
        <v>46248</v>
      </c>
      <c r="B1323" s="7" t="n">
        <f aca="false">YEAR(A1323)</f>
        <v>2026</v>
      </c>
      <c r="C1323" s="7" t="n">
        <f aca="false">MONTH(A1323)</f>
        <v>8</v>
      </c>
      <c r="D1323" s="8" t="n">
        <f aca="false">DATE(B1323,C1323,1)</f>
        <v>46235</v>
      </c>
      <c r="E1323" s="7" t="str">
        <f aca="false">CHOOSE(C1323,"ene","feb","mar","abr","may","jun","jul","ago","sep","oct","nov","dic")</f>
        <v>ago</v>
      </c>
      <c r="F1323" s="7" t="str">
        <f aca="false">CHOOSE(C1323,"enero","febrero","marzo","abril","mayo","junio","julio","agosto","septiembre","octubre","noviembre","diciembre")</f>
        <v>agosto</v>
      </c>
      <c r="G1323" s="7" t="str">
        <f aca="false">E1323&amp;"-"&amp;RIGHT(B1323,2)</f>
        <v>ago-26</v>
      </c>
    </row>
    <row r="1324" customFormat="false" ht="15" hidden="false" customHeight="false" outlineLevel="0" collapsed="false">
      <c r="A1324" s="8" t="n">
        <f aca="false">A1323+1</f>
        <v>46249</v>
      </c>
      <c r="B1324" s="7" t="n">
        <f aca="false">YEAR(A1324)</f>
        <v>2026</v>
      </c>
      <c r="C1324" s="7" t="n">
        <f aca="false">MONTH(A1324)</f>
        <v>8</v>
      </c>
      <c r="D1324" s="8" t="n">
        <f aca="false">DATE(B1324,C1324,1)</f>
        <v>46235</v>
      </c>
      <c r="E1324" s="7" t="str">
        <f aca="false">CHOOSE(C1324,"ene","feb","mar","abr","may","jun","jul","ago","sep","oct","nov","dic")</f>
        <v>ago</v>
      </c>
      <c r="F1324" s="7" t="str">
        <f aca="false">CHOOSE(C1324,"enero","febrero","marzo","abril","mayo","junio","julio","agosto","septiembre","octubre","noviembre","diciembre")</f>
        <v>agosto</v>
      </c>
      <c r="G1324" s="7" t="str">
        <f aca="false">E1324&amp;"-"&amp;RIGHT(B1324,2)</f>
        <v>ago-26</v>
      </c>
    </row>
    <row r="1325" customFormat="false" ht="15" hidden="false" customHeight="false" outlineLevel="0" collapsed="false">
      <c r="A1325" s="8" t="n">
        <f aca="false">A1324+1</f>
        <v>46250</v>
      </c>
      <c r="B1325" s="7" t="n">
        <f aca="false">YEAR(A1325)</f>
        <v>2026</v>
      </c>
      <c r="C1325" s="7" t="n">
        <f aca="false">MONTH(A1325)</f>
        <v>8</v>
      </c>
      <c r="D1325" s="8" t="n">
        <f aca="false">DATE(B1325,C1325,1)</f>
        <v>46235</v>
      </c>
      <c r="E1325" s="7" t="str">
        <f aca="false">CHOOSE(C1325,"ene","feb","mar","abr","may","jun","jul","ago","sep","oct","nov","dic")</f>
        <v>ago</v>
      </c>
      <c r="F1325" s="7" t="str">
        <f aca="false">CHOOSE(C1325,"enero","febrero","marzo","abril","mayo","junio","julio","agosto","septiembre","octubre","noviembre","diciembre")</f>
        <v>agosto</v>
      </c>
      <c r="G1325" s="7" t="str">
        <f aca="false">E1325&amp;"-"&amp;RIGHT(B1325,2)</f>
        <v>ago-26</v>
      </c>
    </row>
    <row r="1326" customFormat="false" ht="15" hidden="false" customHeight="false" outlineLevel="0" collapsed="false">
      <c r="A1326" s="8" t="n">
        <f aca="false">A1325+1</f>
        <v>46251</v>
      </c>
      <c r="B1326" s="7" t="n">
        <f aca="false">YEAR(A1326)</f>
        <v>2026</v>
      </c>
      <c r="C1326" s="7" t="n">
        <f aca="false">MONTH(A1326)</f>
        <v>8</v>
      </c>
      <c r="D1326" s="8" t="n">
        <f aca="false">DATE(B1326,C1326,1)</f>
        <v>46235</v>
      </c>
      <c r="E1326" s="7" t="str">
        <f aca="false">CHOOSE(C1326,"ene","feb","mar","abr","may","jun","jul","ago","sep","oct","nov","dic")</f>
        <v>ago</v>
      </c>
      <c r="F1326" s="7" t="str">
        <f aca="false">CHOOSE(C1326,"enero","febrero","marzo","abril","mayo","junio","julio","agosto","septiembre","octubre","noviembre","diciembre")</f>
        <v>agosto</v>
      </c>
      <c r="G1326" s="7" t="str">
        <f aca="false">E1326&amp;"-"&amp;RIGHT(B1326,2)</f>
        <v>ago-26</v>
      </c>
    </row>
    <row r="1327" customFormat="false" ht="15" hidden="false" customHeight="false" outlineLevel="0" collapsed="false">
      <c r="A1327" s="8" t="n">
        <f aca="false">A1326+1</f>
        <v>46252</v>
      </c>
      <c r="B1327" s="7" t="n">
        <f aca="false">YEAR(A1327)</f>
        <v>2026</v>
      </c>
      <c r="C1327" s="7" t="n">
        <f aca="false">MONTH(A1327)</f>
        <v>8</v>
      </c>
      <c r="D1327" s="8" t="n">
        <f aca="false">DATE(B1327,C1327,1)</f>
        <v>46235</v>
      </c>
      <c r="E1327" s="7" t="str">
        <f aca="false">CHOOSE(C1327,"ene","feb","mar","abr","may","jun","jul","ago","sep","oct","nov","dic")</f>
        <v>ago</v>
      </c>
      <c r="F1327" s="7" t="str">
        <f aca="false">CHOOSE(C1327,"enero","febrero","marzo","abril","mayo","junio","julio","agosto","septiembre","octubre","noviembre","diciembre")</f>
        <v>agosto</v>
      </c>
      <c r="G1327" s="7" t="str">
        <f aca="false">E1327&amp;"-"&amp;RIGHT(B1327,2)</f>
        <v>ago-26</v>
      </c>
    </row>
    <row r="1328" customFormat="false" ht="15" hidden="false" customHeight="false" outlineLevel="0" collapsed="false">
      <c r="A1328" s="8" t="n">
        <f aca="false">A1327+1</f>
        <v>46253</v>
      </c>
      <c r="B1328" s="7" t="n">
        <f aca="false">YEAR(A1328)</f>
        <v>2026</v>
      </c>
      <c r="C1328" s="7" t="n">
        <f aca="false">MONTH(A1328)</f>
        <v>8</v>
      </c>
      <c r="D1328" s="8" t="n">
        <f aca="false">DATE(B1328,C1328,1)</f>
        <v>46235</v>
      </c>
      <c r="E1328" s="7" t="str">
        <f aca="false">CHOOSE(C1328,"ene","feb","mar","abr","may","jun","jul","ago","sep","oct","nov","dic")</f>
        <v>ago</v>
      </c>
      <c r="F1328" s="7" t="str">
        <f aca="false">CHOOSE(C1328,"enero","febrero","marzo","abril","mayo","junio","julio","agosto","septiembre","octubre","noviembre","diciembre")</f>
        <v>agosto</v>
      </c>
      <c r="G1328" s="7" t="str">
        <f aca="false">E1328&amp;"-"&amp;RIGHT(B1328,2)</f>
        <v>ago-26</v>
      </c>
    </row>
    <row r="1329" customFormat="false" ht="15" hidden="false" customHeight="false" outlineLevel="0" collapsed="false">
      <c r="A1329" s="8" t="n">
        <f aca="false">A1328+1</f>
        <v>46254</v>
      </c>
      <c r="B1329" s="7" t="n">
        <f aca="false">YEAR(A1329)</f>
        <v>2026</v>
      </c>
      <c r="C1329" s="7" t="n">
        <f aca="false">MONTH(A1329)</f>
        <v>8</v>
      </c>
      <c r="D1329" s="8" t="n">
        <f aca="false">DATE(B1329,C1329,1)</f>
        <v>46235</v>
      </c>
      <c r="E1329" s="7" t="str">
        <f aca="false">CHOOSE(C1329,"ene","feb","mar","abr","may","jun","jul","ago","sep","oct","nov","dic")</f>
        <v>ago</v>
      </c>
      <c r="F1329" s="7" t="str">
        <f aca="false">CHOOSE(C1329,"enero","febrero","marzo","abril","mayo","junio","julio","agosto","septiembre","octubre","noviembre","diciembre")</f>
        <v>agosto</v>
      </c>
      <c r="G1329" s="7" t="str">
        <f aca="false">E1329&amp;"-"&amp;RIGHT(B1329,2)</f>
        <v>ago-26</v>
      </c>
    </row>
    <row r="1330" customFormat="false" ht="15" hidden="false" customHeight="false" outlineLevel="0" collapsed="false">
      <c r="A1330" s="8" t="n">
        <f aca="false">A1329+1</f>
        <v>46255</v>
      </c>
      <c r="B1330" s="7" t="n">
        <f aca="false">YEAR(A1330)</f>
        <v>2026</v>
      </c>
      <c r="C1330" s="7" t="n">
        <f aca="false">MONTH(A1330)</f>
        <v>8</v>
      </c>
      <c r="D1330" s="8" t="n">
        <f aca="false">DATE(B1330,C1330,1)</f>
        <v>46235</v>
      </c>
      <c r="E1330" s="7" t="str">
        <f aca="false">CHOOSE(C1330,"ene","feb","mar","abr","may","jun","jul","ago","sep","oct","nov","dic")</f>
        <v>ago</v>
      </c>
      <c r="F1330" s="7" t="str">
        <f aca="false">CHOOSE(C1330,"enero","febrero","marzo","abril","mayo","junio","julio","agosto","septiembre","octubre","noviembre","diciembre")</f>
        <v>agosto</v>
      </c>
      <c r="G1330" s="7" t="str">
        <f aca="false">E1330&amp;"-"&amp;RIGHT(B1330,2)</f>
        <v>ago-26</v>
      </c>
    </row>
    <row r="1331" customFormat="false" ht="15" hidden="false" customHeight="false" outlineLevel="0" collapsed="false">
      <c r="A1331" s="8" t="n">
        <f aca="false">A1330+1</f>
        <v>46256</v>
      </c>
      <c r="B1331" s="7" t="n">
        <f aca="false">YEAR(A1331)</f>
        <v>2026</v>
      </c>
      <c r="C1331" s="7" t="n">
        <f aca="false">MONTH(A1331)</f>
        <v>8</v>
      </c>
      <c r="D1331" s="8" t="n">
        <f aca="false">DATE(B1331,C1331,1)</f>
        <v>46235</v>
      </c>
      <c r="E1331" s="7" t="str">
        <f aca="false">CHOOSE(C1331,"ene","feb","mar","abr","may","jun","jul","ago","sep","oct","nov","dic")</f>
        <v>ago</v>
      </c>
      <c r="F1331" s="7" t="str">
        <f aca="false">CHOOSE(C1331,"enero","febrero","marzo","abril","mayo","junio","julio","agosto","septiembre","octubre","noviembre","diciembre")</f>
        <v>agosto</v>
      </c>
      <c r="G1331" s="7" t="str">
        <f aca="false">E1331&amp;"-"&amp;RIGHT(B1331,2)</f>
        <v>ago-26</v>
      </c>
    </row>
    <row r="1332" customFormat="false" ht="15" hidden="false" customHeight="false" outlineLevel="0" collapsed="false">
      <c r="A1332" s="8" t="n">
        <f aca="false">A1331+1</f>
        <v>46257</v>
      </c>
      <c r="B1332" s="7" t="n">
        <f aca="false">YEAR(A1332)</f>
        <v>2026</v>
      </c>
      <c r="C1332" s="7" t="n">
        <f aca="false">MONTH(A1332)</f>
        <v>8</v>
      </c>
      <c r="D1332" s="8" t="n">
        <f aca="false">DATE(B1332,C1332,1)</f>
        <v>46235</v>
      </c>
      <c r="E1332" s="7" t="str">
        <f aca="false">CHOOSE(C1332,"ene","feb","mar","abr","may","jun","jul","ago","sep","oct","nov","dic")</f>
        <v>ago</v>
      </c>
      <c r="F1332" s="7" t="str">
        <f aca="false">CHOOSE(C1332,"enero","febrero","marzo","abril","mayo","junio","julio","agosto","septiembre","octubre","noviembre","diciembre")</f>
        <v>agosto</v>
      </c>
      <c r="G1332" s="7" t="str">
        <f aca="false">E1332&amp;"-"&amp;RIGHT(B1332,2)</f>
        <v>ago-26</v>
      </c>
    </row>
    <row r="1333" customFormat="false" ht="15" hidden="false" customHeight="false" outlineLevel="0" collapsed="false">
      <c r="A1333" s="8" t="n">
        <f aca="false">A1332+1</f>
        <v>46258</v>
      </c>
      <c r="B1333" s="7" t="n">
        <f aca="false">YEAR(A1333)</f>
        <v>2026</v>
      </c>
      <c r="C1333" s="7" t="n">
        <f aca="false">MONTH(A1333)</f>
        <v>8</v>
      </c>
      <c r="D1333" s="8" t="n">
        <f aca="false">DATE(B1333,C1333,1)</f>
        <v>46235</v>
      </c>
      <c r="E1333" s="7" t="str">
        <f aca="false">CHOOSE(C1333,"ene","feb","mar","abr","may","jun","jul","ago","sep","oct","nov","dic")</f>
        <v>ago</v>
      </c>
      <c r="F1333" s="7" t="str">
        <f aca="false">CHOOSE(C1333,"enero","febrero","marzo","abril","mayo","junio","julio","agosto","septiembre","octubre","noviembre","diciembre")</f>
        <v>agosto</v>
      </c>
      <c r="G1333" s="7" t="str">
        <f aca="false">E1333&amp;"-"&amp;RIGHT(B1333,2)</f>
        <v>ago-26</v>
      </c>
    </row>
    <row r="1334" customFormat="false" ht="15" hidden="false" customHeight="false" outlineLevel="0" collapsed="false">
      <c r="A1334" s="8" t="n">
        <f aca="false">A1333+1</f>
        <v>46259</v>
      </c>
      <c r="B1334" s="7" t="n">
        <f aca="false">YEAR(A1334)</f>
        <v>2026</v>
      </c>
      <c r="C1334" s="7" t="n">
        <f aca="false">MONTH(A1334)</f>
        <v>8</v>
      </c>
      <c r="D1334" s="8" t="n">
        <f aca="false">DATE(B1334,C1334,1)</f>
        <v>46235</v>
      </c>
      <c r="E1334" s="7" t="str">
        <f aca="false">CHOOSE(C1334,"ene","feb","mar","abr","may","jun","jul","ago","sep","oct","nov","dic")</f>
        <v>ago</v>
      </c>
      <c r="F1334" s="7" t="str">
        <f aca="false">CHOOSE(C1334,"enero","febrero","marzo","abril","mayo","junio","julio","agosto","septiembre","octubre","noviembre","diciembre")</f>
        <v>agosto</v>
      </c>
      <c r="G1334" s="7" t="str">
        <f aca="false">E1334&amp;"-"&amp;RIGHT(B1334,2)</f>
        <v>ago-26</v>
      </c>
    </row>
    <row r="1335" customFormat="false" ht="15" hidden="false" customHeight="false" outlineLevel="0" collapsed="false">
      <c r="A1335" s="8" t="n">
        <f aca="false">A1334+1</f>
        <v>46260</v>
      </c>
      <c r="B1335" s="7" t="n">
        <f aca="false">YEAR(A1335)</f>
        <v>2026</v>
      </c>
      <c r="C1335" s="7" t="n">
        <f aca="false">MONTH(A1335)</f>
        <v>8</v>
      </c>
      <c r="D1335" s="8" t="n">
        <f aca="false">DATE(B1335,C1335,1)</f>
        <v>46235</v>
      </c>
      <c r="E1335" s="7" t="str">
        <f aca="false">CHOOSE(C1335,"ene","feb","mar","abr","may","jun","jul","ago","sep","oct","nov","dic")</f>
        <v>ago</v>
      </c>
      <c r="F1335" s="7" t="str">
        <f aca="false">CHOOSE(C1335,"enero","febrero","marzo","abril","mayo","junio","julio","agosto","septiembre","octubre","noviembre","diciembre")</f>
        <v>agosto</v>
      </c>
      <c r="G1335" s="7" t="str">
        <f aca="false">E1335&amp;"-"&amp;RIGHT(B1335,2)</f>
        <v>ago-26</v>
      </c>
    </row>
    <row r="1336" customFormat="false" ht="15" hidden="false" customHeight="false" outlineLevel="0" collapsed="false">
      <c r="A1336" s="8" t="n">
        <f aca="false">A1335+1</f>
        <v>46261</v>
      </c>
      <c r="B1336" s="7" t="n">
        <f aca="false">YEAR(A1336)</f>
        <v>2026</v>
      </c>
      <c r="C1336" s="7" t="n">
        <f aca="false">MONTH(A1336)</f>
        <v>8</v>
      </c>
      <c r="D1336" s="8" t="n">
        <f aca="false">DATE(B1336,C1336,1)</f>
        <v>46235</v>
      </c>
      <c r="E1336" s="7" t="str">
        <f aca="false">CHOOSE(C1336,"ene","feb","mar","abr","may","jun","jul","ago","sep","oct","nov","dic")</f>
        <v>ago</v>
      </c>
      <c r="F1336" s="7" t="str">
        <f aca="false">CHOOSE(C1336,"enero","febrero","marzo","abril","mayo","junio","julio","agosto","septiembre","octubre","noviembre","diciembre")</f>
        <v>agosto</v>
      </c>
      <c r="G1336" s="7" t="str">
        <f aca="false">E1336&amp;"-"&amp;RIGHT(B1336,2)</f>
        <v>ago-26</v>
      </c>
    </row>
    <row r="1337" customFormat="false" ht="15" hidden="false" customHeight="false" outlineLevel="0" collapsed="false">
      <c r="A1337" s="8" t="n">
        <f aca="false">A1336+1</f>
        <v>46262</v>
      </c>
      <c r="B1337" s="7" t="n">
        <f aca="false">YEAR(A1337)</f>
        <v>2026</v>
      </c>
      <c r="C1337" s="7" t="n">
        <f aca="false">MONTH(A1337)</f>
        <v>8</v>
      </c>
      <c r="D1337" s="8" t="n">
        <f aca="false">DATE(B1337,C1337,1)</f>
        <v>46235</v>
      </c>
      <c r="E1337" s="7" t="str">
        <f aca="false">CHOOSE(C1337,"ene","feb","mar","abr","may","jun","jul","ago","sep","oct","nov","dic")</f>
        <v>ago</v>
      </c>
      <c r="F1337" s="7" t="str">
        <f aca="false">CHOOSE(C1337,"enero","febrero","marzo","abril","mayo","junio","julio","agosto","septiembre","octubre","noviembre","diciembre")</f>
        <v>agosto</v>
      </c>
      <c r="G1337" s="7" t="str">
        <f aca="false">E1337&amp;"-"&amp;RIGHT(B1337,2)</f>
        <v>ago-26</v>
      </c>
    </row>
    <row r="1338" customFormat="false" ht="15" hidden="false" customHeight="false" outlineLevel="0" collapsed="false">
      <c r="A1338" s="8" t="n">
        <f aca="false">A1337+1</f>
        <v>46263</v>
      </c>
      <c r="B1338" s="7" t="n">
        <f aca="false">YEAR(A1338)</f>
        <v>2026</v>
      </c>
      <c r="C1338" s="7" t="n">
        <f aca="false">MONTH(A1338)</f>
        <v>8</v>
      </c>
      <c r="D1338" s="8" t="n">
        <f aca="false">DATE(B1338,C1338,1)</f>
        <v>46235</v>
      </c>
      <c r="E1338" s="7" t="str">
        <f aca="false">CHOOSE(C1338,"ene","feb","mar","abr","may","jun","jul","ago","sep","oct","nov","dic")</f>
        <v>ago</v>
      </c>
      <c r="F1338" s="7" t="str">
        <f aca="false">CHOOSE(C1338,"enero","febrero","marzo","abril","mayo","junio","julio","agosto","septiembre","octubre","noviembre","diciembre")</f>
        <v>agosto</v>
      </c>
      <c r="G1338" s="7" t="str">
        <f aca="false">E1338&amp;"-"&amp;RIGHT(B1338,2)</f>
        <v>ago-26</v>
      </c>
    </row>
    <row r="1339" customFormat="false" ht="15" hidden="false" customHeight="false" outlineLevel="0" collapsed="false">
      <c r="A1339" s="8" t="n">
        <f aca="false">A1338+1</f>
        <v>46264</v>
      </c>
      <c r="B1339" s="7" t="n">
        <f aca="false">YEAR(A1339)</f>
        <v>2026</v>
      </c>
      <c r="C1339" s="7" t="n">
        <f aca="false">MONTH(A1339)</f>
        <v>8</v>
      </c>
      <c r="D1339" s="8" t="n">
        <f aca="false">DATE(B1339,C1339,1)</f>
        <v>46235</v>
      </c>
      <c r="E1339" s="7" t="str">
        <f aca="false">CHOOSE(C1339,"ene","feb","mar","abr","may","jun","jul","ago","sep","oct","nov","dic")</f>
        <v>ago</v>
      </c>
      <c r="F1339" s="7" t="str">
        <f aca="false">CHOOSE(C1339,"enero","febrero","marzo","abril","mayo","junio","julio","agosto","septiembre","octubre","noviembre","diciembre")</f>
        <v>agosto</v>
      </c>
      <c r="G1339" s="7" t="str">
        <f aca="false">E1339&amp;"-"&amp;RIGHT(B1339,2)</f>
        <v>ago-26</v>
      </c>
    </row>
    <row r="1340" customFormat="false" ht="15" hidden="false" customHeight="false" outlineLevel="0" collapsed="false">
      <c r="A1340" s="8" t="n">
        <f aca="false">A1339+1</f>
        <v>46265</v>
      </c>
      <c r="B1340" s="7" t="n">
        <f aca="false">YEAR(A1340)</f>
        <v>2026</v>
      </c>
      <c r="C1340" s="7" t="n">
        <f aca="false">MONTH(A1340)</f>
        <v>8</v>
      </c>
      <c r="D1340" s="8" t="n">
        <f aca="false">DATE(B1340,C1340,1)</f>
        <v>46235</v>
      </c>
      <c r="E1340" s="7" t="str">
        <f aca="false">CHOOSE(C1340,"ene","feb","mar","abr","may","jun","jul","ago","sep","oct","nov","dic")</f>
        <v>ago</v>
      </c>
      <c r="F1340" s="7" t="str">
        <f aca="false">CHOOSE(C1340,"enero","febrero","marzo","abril","mayo","junio","julio","agosto","septiembre","octubre","noviembre","diciembre")</f>
        <v>agosto</v>
      </c>
      <c r="G1340" s="7" t="str">
        <f aca="false">E1340&amp;"-"&amp;RIGHT(B1340,2)</f>
        <v>ago-26</v>
      </c>
    </row>
    <row r="1341" customFormat="false" ht="15" hidden="false" customHeight="false" outlineLevel="0" collapsed="false">
      <c r="A1341" s="8" t="n">
        <f aca="false">A1340+1</f>
        <v>46266</v>
      </c>
      <c r="B1341" s="7" t="n">
        <f aca="false">YEAR(A1341)</f>
        <v>2026</v>
      </c>
      <c r="C1341" s="7" t="n">
        <f aca="false">MONTH(A1341)</f>
        <v>9</v>
      </c>
      <c r="D1341" s="8" t="n">
        <f aca="false">DATE(B1341,C1341,1)</f>
        <v>46266</v>
      </c>
      <c r="E1341" s="7" t="str">
        <f aca="false">CHOOSE(C1341,"ene","feb","mar","abr","may","jun","jul","ago","sep","oct","nov","dic")</f>
        <v>sep</v>
      </c>
      <c r="F1341" s="7" t="str">
        <f aca="false">CHOOSE(C1341,"enero","febrero","marzo","abril","mayo","junio","julio","agosto","septiembre","octubre","noviembre","diciembre")</f>
        <v>septiembre</v>
      </c>
      <c r="G1341" s="7" t="str">
        <f aca="false">E1341&amp;"-"&amp;RIGHT(B1341,2)</f>
        <v>sep-26</v>
      </c>
    </row>
    <row r="1342" customFormat="false" ht="15" hidden="false" customHeight="false" outlineLevel="0" collapsed="false">
      <c r="A1342" s="8" t="n">
        <f aca="false">A1341+1</f>
        <v>46267</v>
      </c>
      <c r="B1342" s="7" t="n">
        <f aca="false">YEAR(A1342)</f>
        <v>2026</v>
      </c>
      <c r="C1342" s="7" t="n">
        <f aca="false">MONTH(A1342)</f>
        <v>9</v>
      </c>
      <c r="D1342" s="8" t="n">
        <f aca="false">DATE(B1342,C1342,1)</f>
        <v>46266</v>
      </c>
      <c r="E1342" s="7" t="str">
        <f aca="false">CHOOSE(C1342,"ene","feb","mar","abr","may","jun","jul","ago","sep","oct","nov","dic")</f>
        <v>sep</v>
      </c>
      <c r="F1342" s="7" t="str">
        <f aca="false">CHOOSE(C1342,"enero","febrero","marzo","abril","mayo","junio","julio","agosto","septiembre","octubre","noviembre","diciembre")</f>
        <v>septiembre</v>
      </c>
      <c r="G1342" s="7" t="str">
        <f aca="false">E1342&amp;"-"&amp;RIGHT(B1342,2)</f>
        <v>sep-26</v>
      </c>
    </row>
    <row r="1343" customFormat="false" ht="15" hidden="false" customHeight="false" outlineLevel="0" collapsed="false">
      <c r="A1343" s="8" t="n">
        <f aca="false">A1342+1</f>
        <v>46268</v>
      </c>
      <c r="B1343" s="7" t="n">
        <f aca="false">YEAR(A1343)</f>
        <v>2026</v>
      </c>
      <c r="C1343" s="7" t="n">
        <f aca="false">MONTH(A1343)</f>
        <v>9</v>
      </c>
      <c r="D1343" s="8" t="n">
        <f aca="false">DATE(B1343,C1343,1)</f>
        <v>46266</v>
      </c>
      <c r="E1343" s="7" t="str">
        <f aca="false">CHOOSE(C1343,"ene","feb","mar","abr","may","jun","jul","ago","sep","oct","nov","dic")</f>
        <v>sep</v>
      </c>
      <c r="F1343" s="7" t="str">
        <f aca="false">CHOOSE(C1343,"enero","febrero","marzo","abril","mayo","junio","julio","agosto","septiembre","octubre","noviembre","diciembre")</f>
        <v>septiembre</v>
      </c>
      <c r="G1343" s="7" t="str">
        <f aca="false">E1343&amp;"-"&amp;RIGHT(B1343,2)</f>
        <v>sep-26</v>
      </c>
    </row>
    <row r="1344" customFormat="false" ht="15" hidden="false" customHeight="false" outlineLevel="0" collapsed="false">
      <c r="A1344" s="8" t="n">
        <f aca="false">A1343+1</f>
        <v>46269</v>
      </c>
      <c r="B1344" s="7" t="n">
        <f aca="false">YEAR(A1344)</f>
        <v>2026</v>
      </c>
      <c r="C1344" s="7" t="n">
        <f aca="false">MONTH(A1344)</f>
        <v>9</v>
      </c>
      <c r="D1344" s="8" t="n">
        <f aca="false">DATE(B1344,C1344,1)</f>
        <v>46266</v>
      </c>
      <c r="E1344" s="7" t="str">
        <f aca="false">CHOOSE(C1344,"ene","feb","mar","abr","may","jun","jul","ago","sep","oct","nov","dic")</f>
        <v>sep</v>
      </c>
      <c r="F1344" s="7" t="str">
        <f aca="false">CHOOSE(C1344,"enero","febrero","marzo","abril","mayo","junio","julio","agosto","septiembre","octubre","noviembre","diciembre")</f>
        <v>septiembre</v>
      </c>
      <c r="G1344" s="7" t="str">
        <f aca="false">E1344&amp;"-"&amp;RIGHT(B1344,2)</f>
        <v>sep-26</v>
      </c>
    </row>
    <row r="1345" customFormat="false" ht="15" hidden="false" customHeight="false" outlineLevel="0" collapsed="false">
      <c r="A1345" s="8" t="n">
        <f aca="false">A1344+1</f>
        <v>46270</v>
      </c>
      <c r="B1345" s="7" t="n">
        <f aca="false">YEAR(A1345)</f>
        <v>2026</v>
      </c>
      <c r="C1345" s="7" t="n">
        <f aca="false">MONTH(A1345)</f>
        <v>9</v>
      </c>
      <c r="D1345" s="8" t="n">
        <f aca="false">DATE(B1345,C1345,1)</f>
        <v>46266</v>
      </c>
      <c r="E1345" s="7" t="str">
        <f aca="false">CHOOSE(C1345,"ene","feb","mar","abr","may","jun","jul","ago","sep","oct","nov","dic")</f>
        <v>sep</v>
      </c>
      <c r="F1345" s="7" t="str">
        <f aca="false">CHOOSE(C1345,"enero","febrero","marzo","abril","mayo","junio","julio","agosto","septiembre","octubre","noviembre","diciembre")</f>
        <v>septiembre</v>
      </c>
      <c r="G1345" s="7" t="str">
        <f aca="false">E1345&amp;"-"&amp;RIGHT(B1345,2)</f>
        <v>sep-26</v>
      </c>
    </row>
    <row r="1346" customFormat="false" ht="15" hidden="false" customHeight="false" outlineLevel="0" collapsed="false">
      <c r="A1346" s="8" t="n">
        <f aca="false">A1345+1</f>
        <v>46271</v>
      </c>
      <c r="B1346" s="7" t="n">
        <f aca="false">YEAR(A1346)</f>
        <v>2026</v>
      </c>
      <c r="C1346" s="7" t="n">
        <f aca="false">MONTH(A1346)</f>
        <v>9</v>
      </c>
      <c r="D1346" s="8" t="n">
        <f aca="false">DATE(B1346,C1346,1)</f>
        <v>46266</v>
      </c>
      <c r="E1346" s="7" t="str">
        <f aca="false">CHOOSE(C1346,"ene","feb","mar","abr","may","jun","jul","ago","sep","oct","nov","dic")</f>
        <v>sep</v>
      </c>
      <c r="F1346" s="7" t="str">
        <f aca="false">CHOOSE(C1346,"enero","febrero","marzo","abril","mayo","junio","julio","agosto","septiembre","octubre","noviembre","diciembre")</f>
        <v>septiembre</v>
      </c>
      <c r="G1346" s="7" t="str">
        <f aca="false">E1346&amp;"-"&amp;RIGHT(B1346,2)</f>
        <v>sep-26</v>
      </c>
    </row>
    <row r="1347" customFormat="false" ht="15" hidden="false" customHeight="false" outlineLevel="0" collapsed="false">
      <c r="A1347" s="8" t="n">
        <f aca="false">A1346+1</f>
        <v>46272</v>
      </c>
      <c r="B1347" s="7" t="n">
        <f aca="false">YEAR(A1347)</f>
        <v>2026</v>
      </c>
      <c r="C1347" s="7" t="n">
        <f aca="false">MONTH(A1347)</f>
        <v>9</v>
      </c>
      <c r="D1347" s="8" t="n">
        <f aca="false">DATE(B1347,C1347,1)</f>
        <v>46266</v>
      </c>
      <c r="E1347" s="7" t="str">
        <f aca="false">CHOOSE(C1347,"ene","feb","mar","abr","may","jun","jul","ago","sep","oct","nov","dic")</f>
        <v>sep</v>
      </c>
      <c r="F1347" s="7" t="str">
        <f aca="false">CHOOSE(C1347,"enero","febrero","marzo","abril","mayo","junio","julio","agosto","septiembre","octubre","noviembre","diciembre")</f>
        <v>septiembre</v>
      </c>
      <c r="G1347" s="7" t="str">
        <f aca="false">E1347&amp;"-"&amp;RIGHT(B1347,2)</f>
        <v>sep-26</v>
      </c>
    </row>
    <row r="1348" customFormat="false" ht="15" hidden="false" customHeight="false" outlineLevel="0" collapsed="false">
      <c r="A1348" s="8" t="n">
        <f aca="false">A1347+1</f>
        <v>46273</v>
      </c>
      <c r="B1348" s="7" t="n">
        <f aca="false">YEAR(A1348)</f>
        <v>2026</v>
      </c>
      <c r="C1348" s="7" t="n">
        <f aca="false">MONTH(A1348)</f>
        <v>9</v>
      </c>
      <c r="D1348" s="8" t="n">
        <f aca="false">DATE(B1348,C1348,1)</f>
        <v>46266</v>
      </c>
      <c r="E1348" s="7" t="str">
        <f aca="false">CHOOSE(C1348,"ene","feb","mar","abr","may","jun","jul","ago","sep","oct","nov","dic")</f>
        <v>sep</v>
      </c>
      <c r="F1348" s="7" t="str">
        <f aca="false">CHOOSE(C1348,"enero","febrero","marzo","abril","mayo","junio","julio","agosto","septiembre","octubre","noviembre","diciembre")</f>
        <v>septiembre</v>
      </c>
      <c r="G1348" s="7" t="str">
        <f aca="false">E1348&amp;"-"&amp;RIGHT(B1348,2)</f>
        <v>sep-26</v>
      </c>
    </row>
    <row r="1349" customFormat="false" ht="15" hidden="false" customHeight="false" outlineLevel="0" collapsed="false">
      <c r="A1349" s="8" t="n">
        <f aca="false">A1348+1</f>
        <v>46274</v>
      </c>
      <c r="B1349" s="7" t="n">
        <f aca="false">YEAR(A1349)</f>
        <v>2026</v>
      </c>
      <c r="C1349" s="7" t="n">
        <f aca="false">MONTH(A1349)</f>
        <v>9</v>
      </c>
      <c r="D1349" s="8" t="n">
        <f aca="false">DATE(B1349,C1349,1)</f>
        <v>46266</v>
      </c>
      <c r="E1349" s="7" t="str">
        <f aca="false">CHOOSE(C1349,"ene","feb","mar","abr","may","jun","jul","ago","sep","oct","nov","dic")</f>
        <v>sep</v>
      </c>
      <c r="F1349" s="7" t="str">
        <f aca="false">CHOOSE(C1349,"enero","febrero","marzo","abril","mayo","junio","julio","agosto","septiembre","octubre","noviembre","diciembre")</f>
        <v>septiembre</v>
      </c>
      <c r="G1349" s="7" t="str">
        <f aca="false">E1349&amp;"-"&amp;RIGHT(B1349,2)</f>
        <v>sep-26</v>
      </c>
    </row>
    <row r="1350" customFormat="false" ht="15" hidden="false" customHeight="false" outlineLevel="0" collapsed="false">
      <c r="A1350" s="8" t="n">
        <f aca="false">A1349+1</f>
        <v>46275</v>
      </c>
      <c r="B1350" s="7" t="n">
        <f aca="false">YEAR(A1350)</f>
        <v>2026</v>
      </c>
      <c r="C1350" s="7" t="n">
        <f aca="false">MONTH(A1350)</f>
        <v>9</v>
      </c>
      <c r="D1350" s="8" t="n">
        <f aca="false">DATE(B1350,C1350,1)</f>
        <v>46266</v>
      </c>
      <c r="E1350" s="7" t="str">
        <f aca="false">CHOOSE(C1350,"ene","feb","mar","abr","may","jun","jul","ago","sep","oct","nov","dic")</f>
        <v>sep</v>
      </c>
      <c r="F1350" s="7" t="str">
        <f aca="false">CHOOSE(C1350,"enero","febrero","marzo","abril","mayo","junio","julio","agosto","septiembre","octubre","noviembre","diciembre")</f>
        <v>septiembre</v>
      </c>
      <c r="G1350" s="7" t="str">
        <f aca="false">E1350&amp;"-"&amp;RIGHT(B1350,2)</f>
        <v>sep-26</v>
      </c>
    </row>
    <row r="1351" customFormat="false" ht="15" hidden="false" customHeight="false" outlineLevel="0" collapsed="false">
      <c r="A1351" s="8" t="n">
        <f aca="false">A1350+1</f>
        <v>46276</v>
      </c>
      <c r="B1351" s="7" t="n">
        <f aca="false">YEAR(A1351)</f>
        <v>2026</v>
      </c>
      <c r="C1351" s="7" t="n">
        <f aca="false">MONTH(A1351)</f>
        <v>9</v>
      </c>
      <c r="D1351" s="8" t="n">
        <f aca="false">DATE(B1351,C1351,1)</f>
        <v>46266</v>
      </c>
      <c r="E1351" s="7" t="str">
        <f aca="false">CHOOSE(C1351,"ene","feb","mar","abr","may","jun","jul","ago","sep","oct","nov","dic")</f>
        <v>sep</v>
      </c>
      <c r="F1351" s="7" t="str">
        <f aca="false">CHOOSE(C1351,"enero","febrero","marzo","abril","mayo","junio","julio","agosto","septiembre","octubre","noviembre","diciembre")</f>
        <v>septiembre</v>
      </c>
      <c r="G1351" s="7" t="str">
        <f aca="false">E1351&amp;"-"&amp;RIGHT(B1351,2)</f>
        <v>sep-26</v>
      </c>
    </row>
    <row r="1352" customFormat="false" ht="15" hidden="false" customHeight="false" outlineLevel="0" collapsed="false">
      <c r="A1352" s="8" t="n">
        <f aca="false">A1351+1</f>
        <v>46277</v>
      </c>
      <c r="B1352" s="7" t="n">
        <f aca="false">YEAR(A1352)</f>
        <v>2026</v>
      </c>
      <c r="C1352" s="7" t="n">
        <f aca="false">MONTH(A1352)</f>
        <v>9</v>
      </c>
      <c r="D1352" s="8" t="n">
        <f aca="false">DATE(B1352,C1352,1)</f>
        <v>46266</v>
      </c>
      <c r="E1352" s="7" t="str">
        <f aca="false">CHOOSE(C1352,"ene","feb","mar","abr","may","jun","jul","ago","sep","oct","nov","dic")</f>
        <v>sep</v>
      </c>
      <c r="F1352" s="7" t="str">
        <f aca="false">CHOOSE(C1352,"enero","febrero","marzo","abril","mayo","junio","julio","agosto","septiembre","octubre","noviembre","diciembre")</f>
        <v>septiembre</v>
      </c>
      <c r="G1352" s="7" t="str">
        <f aca="false">E1352&amp;"-"&amp;RIGHT(B1352,2)</f>
        <v>sep-26</v>
      </c>
    </row>
    <row r="1353" customFormat="false" ht="15" hidden="false" customHeight="false" outlineLevel="0" collapsed="false">
      <c r="A1353" s="8" t="n">
        <f aca="false">A1352+1</f>
        <v>46278</v>
      </c>
      <c r="B1353" s="7" t="n">
        <f aca="false">YEAR(A1353)</f>
        <v>2026</v>
      </c>
      <c r="C1353" s="7" t="n">
        <f aca="false">MONTH(A1353)</f>
        <v>9</v>
      </c>
      <c r="D1353" s="8" t="n">
        <f aca="false">DATE(B1353,C1353,1)</f>
        <v>46266</v>
      </c>
      <c r="E1353" s="7" t="str">
        <f aca="false">CHOOSE(C1353,"ene","feb","mar","abr","may","jun","jul","ago","sep","oct","nov","dic")</f>
        <v>sep</v>
      </c>
      <c r="F1353" s="7" t="str">
        <f aca="false">CHOOSE(C1353,"enero","febrero","marzo","abril","mayo","junio","julio","agosto","septiembre","octubre","noviembre","diciembre")</f>
        <v>septiembre</v>
      </c>
      <c r="G1353" s="7" t="str">
        <f aca="false">E1353&amp;"-"&amp;RIGHT(B1353,2)</f>
        <v>sep-26</v>
      </c>
    </row>
    <row r="1354" customFormat="false" ht="15" hidden="false" customHeight="false" outlineLevel="0" collapsed="false">
      <c r="A1354" s="8" t="n">
        <f aca="false">A1353+1</f>
        <v>46279</v>
      </c>
      <c r="B1354" s="7" t="n">
        <f aca="false">YEAR(A1354)</f>
        <v>2026</v>
      </c>
      <c r="C1354" s="7" t="n">
        <f aca="false">MONTH(A1354)</f>
        <v>9</v>
      </c>
      <c r="D1354" s="8" t="n">
        <f aca="false">DATE(B1354,C1354,1)</f>
        <v>46266</v>
      </c>
      <c r="E1354" s="7" t="str">
        <f aca="false">CHOOSE(C1354,"ene","feb","mar","abr","may","jun","jul","ago","sep","oct","nov","dic")</f>
        <v>sep</v>
      </c>
      <c r="F1354" s="7" t="str">
        <f aca="false">CHOOSE(C1354,"enero","febrero","marzo","abril","mayo","junio","julio","agosto","septiembre","octubre","noviembre","diciembre")</f>
        <v>septiembre</v>
      </c>
      <c r="G1354" s="7" t="str">
        <f aca="false">E1354&amp;"-"&amp;RIGHT(B1354,2)</f>
        <v>sep-26</v>
      </c>
    </row>
    <row r="1355" customFormat="false" ht="15" hidden="false" customHeight="false" outlineLevel="0" collapsed="false">
      <c r="A1355" s="8" t="n">
        <f aca="false">A1354+1</f>
        <v>46280</v>
      </c>
      <c r="B1355" s="7" t="n">
        <f aca="false">YEAR(A1355)</f>
        <v>2026</v>
      </c>
      <c r="C1355" s="7" t="n">
        <f aca="false">MONTH(A1355)</f>
        <v>9</v>
      </c>
      <c r="D1355" s="8" t="n">
        <f aca="false">DATE(B1355,C1355,1)</f>
        <v>46266</v>
      </c>
      <c r="E1355" s="7" t="str">
        <f aca="false">CHOOSE(C1355,"ene","feb","mar","abr","may","jun","jul","ago","sep","oct","nov","dic")</f>
        <v>sep</v>
      </c>
      <c r="F1355" s="7" t="str">
        <f aca="false">CHOOSE(C1355,"enero","febrero","marzo","abril","mayo","junio","julio","agosto","septiembre","octubre","noviembre","diciembre")</f>
        <v>septiembre</v>
      </c>
      <c r="G1355" s="7" t="str">
        <f aca="false">E1355&amp;"-"&amp;RIGHT(B1355,2)</f>
        <v>sep-26</v>
      </c>
    </row>
    <row r="1356" customFormat="false" ht="15" hidden="false" customHeight="false" outlineLevel="0" collapsed="false">
      <c r="A1356" s="8" t="n">
        <f aca="false">A1355+1</f>
        <v>46281</v>
      </c>
      <c r="B1356" s="7" t="n">
        <f aca="false">YEAR(A1356)</f>
        <v>2026</v>
      </c>
      <c r="C1356" s="7" t="n">
        <f aca="false">MONTH(A1356)</f>
        <v>9</v>
      </c>
      <c r="D1356" s="8" t="n">
        <f aca="false">DATE(B1356,C1356,1)</f>
        <v>46266</v>
      </c>
      <c r="E1356" s="7" t="str">
        <f aca="false">CHOOSE(C1356,"ene","feb","mar","abr","may","jun","jul","ago","sep","oct","nov","dic")</f>
        <v>sep</v>
      </c>
      <c r="F1356" s="7" t="str">
        <f aca="false">CHOOSE(C1356,"enero","febrero","marzo","abril","mayo","junio","julio","agosto","septiembre","octubre","noviembre","diciembre")</f>
        <v>septiembre</v>
      </c>
      <c r="G1356" s="7" t="str">
        <f aca="false">E1356&amp;"-"&amp;RIGHT(B1356,2)</f>
        <v>sep-26</v>
      </c>
    </row>
    <row r="1357" customFormat="false" ht="15" hidden="false" customHeight="false" outlineLevel="0" collapsed="false">
      <c r="A1357" s="8" t="n">
        <f aca="false">A1356+1</f>
        <v>46282</v>
      </c>
      <c r="B1357" s="7" t="n">
        <f aca="false">YEAR(A1357)</f>
        <v>2026</v>
      </c>
      <c r="C1357" s="7" t="n">
        <f aca="false">MONTH(A1357)</f>
        <v>9</v>
      </c>
      <c r="D1357" s="8" t="n">
        <f aca="false">DATE(B1357,C1357,1)</f>
        <v>46266</v>
      </c>
      <c r="E1357" s="7" t="str">
        <f aca="false">CHOOSE(C1357,"ene","feb","mar","abr","may","jun","jul","ago","sep","oct","nov","dic")</f>
        <v>sep</v>
      </c>
      <c r="F1357" s="7" t="str">
        <f aca="false">CHOOSE(C1357,"enero","febrero","marzo","abril","mayo","junio","julio","agosto","septiembre","octubre","noviembre","diciembre")</f>
        <v>septiembre</v>
      </c>
      <c r="G1357" s="7" t="str">
        <f aca="false">E1357&amp;"-"&amp;RIGHT(B1357,2)</f>
        <v>sep-26</v>
      </c>
    </row>
    <row r="1358" customFormat="false" ht="15" hidden="false" customHeight="false" outlineLevel="0" collapsed="false">
      <c r="A1358" s="8" t="n">
        <f aca="false">A1357+1</f>
        <v>46283</v>
      </c>
      <c r="B1358" s="7" t="n">
        <f aca="false">YEAR(A1358)</f>
        <v>2026</v>
      </c>
      <c r="C1358" s="7" t="n">
        <f aca="false">MONTH(A1358)</f>
        <v>9</v>
      </c>
      <c r="D1358" s="8" t="n">
        <f aca="false">DATE(B1358,C1358,1)</f>
        <v>46266</v>
      </c>
      <c r="E1358" s="7" t="str">
        <f aca="false">CHOOSE(C1358,"ene","feb","mar","abr","may","jun","jul","ago","sep","oct","nov","dic")</f>
        <v>sep</v>
      </c>
      <c r="F1358" s="7" t="str">
        <f aca="false">CHOOSE(C1358,"enero","febrero","marzo","abril","mayo","junio","julio","agosto","septiembre","octubre","noviembre","diciembre")</f>
        <v>septiembre</v>
      </c>
      <c r="G1358" s="7" t="str">
        <f aca="false">E1358&amp;"-"&amp;RIGHT(B1358,2)</f>
        <v>sep-26</v>
      </c>
    </row>
    <row r="1359" customFormat="false" ht="15" hidden="false" customHeight="false" outlineLevel="0" collapsed="false">
      <c r="A1359" s="8" t="n">
        <f aca="false">A1358+1</f>
        <v>46284</v>
      </c>
      <c r="B1359" s="7" t="n">
        <f aca="false">YEAR(A1359)</f>
        <v>2026</v>
      </c>
      <c r="C1359" s="7" t="n">
        <f aca="false">MONTH(A1359)</f>
        <v>9</v>
      </c>
      <c r="D1359" s="8" t="n">
        <f aca="false">DATE(B1359,C1359,1)</f>
        <v>46266</v>
      </c>
      <c r="E1359" s="7" t="str">
        <f aca="false">CHOOSE(C1359,"ene","feb","mar","abr","may","jun","jul","ago","sep","oct","nov","dic")</f>
        <v>sep</v>
      </c>
      <c r="F1359" s="7" t="str">
        <f aca="false">CHOOSE(C1359,"enero","febrero","marzo","abril","mayo","junio","julio","agosto","septiembre","octubre","noviembre","diciembre")</f>
        <v>septiembre</v>
      </c>
      <c r="G1359" s="7" t="str">
        <f aca="false">E1359&amp;"-"&amp;RIGHT(B1359,2)</f>
        <v>sep-26</v>
      </c>
    </row>
    <row r="1360" customFormat="false" ht="15" hidden="false" customHeight="false" outlineLevel="0" collapsed="false">
      <c r="A1360" s="8" t="n">
        <f aca="false">A1359+1</f>
        <v>46285</v>
      </c>
      <c r="B1360" s="7" t="n">
        <f aca="false">YEAR(A1360)</f>
        <v>2026</v>
      </c>
      <c r="C1360" s="7" t="n">
        <f aca="false">MONTH(A1360)</f>
        <v>9</v>
      </c>
      <c r="D1360" s="8" t="n">
        <f aca="false">DATE(B1360,C1360,1)</f>
        <v>46266</v>
      </c>
      <c r="E1360" s="7" t="str">
        <f aca="false">CHOOSE(C1360,"ene","feb","mar","abr","may","jun","jul","ago","sep","oct","nov","dic")</f>
        <v>sep</v>
      </c>
      <c r="F1360" s="7" t="str">
        <f aca="false">CHOOSE(C1360,"enero","febrero","marzo","abril","mayo","junio","julio","agosto","septiembre","octubre","noviembre","diciembre")</f>
        <v>septiembre</v>
      </c>
      <c r="G1360" s="7" t="str">
        <f aca="false">E1360&amp;"-"&amp;RIGHT(B1360,2)</f>
        <v>sep-26</v>
      </c>
    </row>
    <row r="1361" customFormat="false" ht="15" hidden="false" customHeight="false" outlineLevel="0" collapsed="false">
      <c r="A1361" s="8" t="n">
        <f aca="false">A1360+1</f>
        <v>46286</v>
      </c>
      <c r="B1361" s="7" t="n">
        <f aca="false">YEAR(A1361)</f>
        <v>2026</v>
      </c>
      <c r="C1361" s="7" t="n">
        <f aca="false">MONTH(A1361)</f>
        <v>9</v>
      </c>
      <c r="D1361" s="8" t="n">
        <f aca="false">DATE(B1361,C1361,1)</f>
        <v>46266</v>
      </c>
      <c r="E1361" s="7" t="str">
        <f aca="false">CHOOSE(C1361,"ene","feb","mar","abr","may","jun","jul","ago","sep","oct","nov","dic")</f>
        <v>sep</v>
      </c>
      <c r="F1361" s="7" t="str">
        <f aca="false">CHOOSE(C1361,"enero","febrero","marzo","abril","mayo","junio","julio","agosto","septiembre","octubre","noviembre","diciembre")</f>
        <v>septiembre</v>
      </c>
      <c r="G1361" s="7" t="str">
        <f aca="false">E1361&amp;"-"&amp;RIGHT(B1361,2)</f>
        <v>sep-26</v>
      </c>
    </row>
    <row r="1362" customFormat="false" ht="15" hidden="false" customHeight="false" outlineLevel="0" collapsed="false">
      <c r="A1362" s="8" t="n">
        <f aca="false">A1361+1</f>
        <v>46287</v>
      </c>
      <c r="B1362" s="7" t="n">
        <f aca="false">YEAR(A1362)</f>
        <v>2026</v>
      </c>
      <c r="C1362" s="7" t="n">
        <f aca="false">MONTH(A1362)</f>
        <v>9</v>
      </c>
      <c r="D1362" s="8" t="n">
        <f aca="false">DATE(B1362,C1362,1)</f>
        <v>46266</v>
      </c>
      <c r="E1362" s="7" t="str">
        <f aca="false">CHOOSE(C1362,"ene","feb","mar","abr","may","jun","jul","ago","sep","oct","nov","dic")</f>
        <v>sep</v>
      </c>
      <c r="F1362" s="7" t="str">
        <f aca="false">CHOOSE(C1362,"enero","febrero","marzo","abril","mayo","junio","julio","agosto","septiembre","octubre","noviembre","diciembre")</f>
        <v>septiembre</v>
      </c>
      <c r="G1362" s="7" t="str">
        <f aca="false">E1362&amp;"-"&amp;RIGHT(B1362,2)</f>
        <v>sep-26</v>
      </c>
    </row>
    <row r="1363" customFormat="false" ht="15" hidden="false" customHeight="false" outlineLevel="0" collapsed="false">
      <c r="A1363" s="8" t="n">
        <f aca="false">A1362+1</f>
        <v>46288</v>
      </c>
      <c r="B1363" s="7" t="n">
        <f aca="false">YEAR(A1363)</f>
        <v>2026</v>
      </c>
      <c r="C1363" s="7" t="n">
        <f aca="false">MONTH(A1363)</f>
        <v>9</v>
      </c>
      <c r="D1363" s="8" t="n">
        <f aca="false">DATE(B1363,C1363,1)</f>
        <v>46266</v>
      </c>
      <c r="E1363" s="7" t="str">
        <f aca="false">CHOOSE(C1363,"ene","feb","mar","abr","may","jun","jul","ago","sep","oct","nov","dic")</f>
        <v>sep</v>
      </c>
      <c r="F1363" s="7" t="str">
        <f aca="false">CHOOSE(C1363,"enero","febrero","marzo","abril","mayo","junio","julio","agosto","septiembre","octubre","noviembre","diciembre")</f>
        <v>septiembre</v>
      </c>
      <c r="G1363" s="7" t="str">
        <f aca="false">E1363&amp;"-"&amp;RIGHT(B1363,2)</f>
        <v>sep-26</v>
      </c>
    </row>
    <row r="1364" customFormat="false" ht="15" hidden="false" customHeight="false" outlineLevel="0" collapsed="false">
      <c r="A1364" s="8" t="n">
        <f aca="false">A1363+1</f>
        <v>46289</v>
      </c>
      <c r="B1364" s="7" t="n">
        <f aca="false">YEAR(A1364)</f>
        <v>2026</v>
      </c>
      <c r="C1364" s="7" t="n">
        <f aca="false">MONTH(A1364)</f>
        <v>9</v>
      </c>
      <c r="D1364" s="8" t="n">
        <f aca="false">DATE(B1364,C1364,1)</f>
        <v>46266</v>
      </c>
      <c r="E1364" s="7" t="str">
        <f aca="false">CHOOSE(C1364,"ene","feb","mar","abr","may","jun","jul","ago","sep","oct","nov","dic")</f>
        <v>sep</v>
      </c>
      <c r="F1364" s="7" t="str">
        <f aca="false">CHOOSE(C1364,"enero","febrero","marzo","abril","mayo","junio","julio","agosto","septiembre","octubre","noviembre","diciembre")</f>
        <v>septiembre</v>
      </c>
      <c r="G1364" s="7" t="str">
        <f aca="false">E1364&amp;"-"&amp;RIGHT(B1364,2)</f>
        <v>sep-26</v>
      </c>
    </row>
    <row r="1365" customFormat="false" ht="15" hidden="false" customHeight="false" outlineLevel="0" collapsed="false">
      <c r="A1365" s="8" t="n">
        <f aca="false">A1364+1</f>
        <v>46290</v>
      </c>
      <c r="B1365" s="7" t="n">
        <f aca="false">YEAR(A1365)</f>
        <v>2026</v>
      </c>
      <c r="C1365" s="7" t="n">
        <f aca="false">MONTH(A1365)</f>
        <v>9</v>
      </c>
      <c r="D1365" s="8" t="n">
        <f aca="false">DATE(B1365,C1365,1)</f>
        <v>46266</v>
      </c>
      <c r="E1365" s="7" t="str">
        <f aca="false">CHOOSE(C1365,"ene","feb","mar","abr","may","jun","jul","ago","sep","oct","nov","dic")</f>
        <v>sep</v>
      </c>
      <c r="F1365" s="7" t="str">
        <f aca="false">CHOOSE(C1365,"enero","febrero","marzo","abril","mayo","junio","julio","agosto","septiembre","octubre","noviembre","diciembre")</f>
        <v>septiembre</v>
      </c>
      <c r="G1365" s="7" t="str">
        <f aca="false">E1365&amp;"-"&amp;RIGHT(B1365,2)</f>
        <v>sep-26</v>
      </c>
    </row>
    <row r="1366" customFormat="false" ht="15" hidden="false" customHeight="false" outlineLevel="0" collapsed="false">
      <c r="A1366" s="8" t="n">
        <f aca="false">A1365+1</f>
        <v>46291</v>
      </c>
      <c r="B1366" s="7" t="n">
        <f aca="false">YEAR(A1366)</f>
        <v>2026</v>
      </c>
      <c r="C1366" s="7" t="n">
        <f aca="false">MONTH(A1366)</f>
        <v>9</v>
      </c>
      <c r="D1366" s="8" t="n">
        <f aca="false">DATE(B1366,C1366,1)</f>
        <v>46266</v>
      </c>
      <c r="E1366" s="7" t="str">
        <f aca="false">CHOOSE(C1366,"ene","feb","mar","abr","may","jun","jul","ago","sep","oct","nov","dic")</f>
        <v>sep</v>
      </c>
      <c r="F1366" s="7" t="str">
        <f aca="false">CHOOSE(C1366,"enero","febrero","marzo","abril","mayo","junio","julio","agosto","septiembre","octubre","noviembre","diciembre")</f>
        <v>septiembre</v>
      </c>
      <c r="G1366" s="7" t="str">
        <f aca="false">E1366&amp;"-"&amp;RIGHT(B1366,2)</f>
        <v>sep-26</v>
      </c>
    </row>
    <row r="1367" customFormat="false" ht="15" hidden="false" customHeight="false" outlineLevel="0" collapsed="false">
      <c r="A1367" s="8" t="n">
        <f aca="false">A1366+1</f>
        <v>46292</v>
      </c>
      <c r="B1367" s="7" t="n">
        <f aca="false">YEAR(A1367)</f>
        <v>2026</v>
      </c>
      <c r="C1367" s="7" t="n">
        <f aca="false">MONTH(A1367)</f>
        <v>9</v>
      </c>
      <c r="D1367" s="8" t="n">
        <f aca="false">DATE(B1367,C1367,1)</f>
        <v>46266</v>
      </c>
      <c r="E1367" s="7" t="str">
        <f aca="false">CHOOSE(C1367,"ene","feb","mar","abr","may","jun","jul","ago","sep","oct","nov","dic")</f>
        <v>sep</v>
      </c>
      <c r="F1367" s="7" t="str">
        <f aca="false">CHOOSE(C1367,"enero","febrero","marzo","abril","mayo","junio","julio","agosto","septiembre","octubre","noviembre","diciembre")</f>
        <v>septiembre</v>
      </c>
      <c r="G1367" s="7" t="str">
        <f aca="false">E1367&amp;"-"&amp;RIGHT(B1367,2)</f>
        <v>sep-26</v>
      </c>
    </row>
    <row r="1368" customFormat="false" ht="15" hidden="false" customHeight="false" outlineLevel="0" collapsed="false">
      <c r="A1368" s="8" t="n">
        <f aca="false">A1367+1</f>
        <v>46293</v>
      </c>
      <c r="B1368" s="7" t="n">
        <f aca="false">YEAR(A1368)</f>
        <v>2026</v>
      </c>
      <c r="C1368" s="7" t="n">
        <f aca="false">MONTH(A1368)</f>
        <v>9</v>
      </c>
      <c r="D1368" s="8" t="n">
        <f aca="false">DATE(B1368,C1368,1)</f>
        <v>46266</v>
      </c>
      <c r="E1368" s="7" t="str">
        <f aca="false">CHOOSE(C1368,"ene","feb","mar","abr","may","jun","jul","ago","sep","oct","nov","dic")</f>
        <v>sep</v>
      </c>
      <c r="F1368" s="7" t="str">
        <f aca="false">CHOOSE(C1368,"enero","febrero","marzo","abril","mayo","junio","julio","agosto","septiembre","octubre","noviembre","diciembre")</f>
        <v>septiembre</v>
      </c>
      <c r="G1368" s="7" t="str">
        <f aca="false">E1368&amp;"-"&amp;RIGHT(B1368,2)</f>
        <v>sep-26</v>
      </c>
    </row>
    <row r="1369" customFormat="false" ht="15" hidden="false" customHeight="false" outlineLevel="0" collapsed="false">
      <c r="A1369" s="8" t="n">
        <f aca="false">A1368+1</f>
        <v>46294</v>
      </c>
      <c r="B1369" s="7" t="n">
        <f aca="false">YEAR(A1369)</f>
        <v>2026</v>
      </c>
      <c r="C1369" s="7" t="n">
        <f aca="false">MONTH(A1369)</f>
        <v>9</v>
      </c>
      <c r="D1369" s="8" t="n">
        <f aca="false">DATE(B1369,C1369,1)</f>
        <v>46266</v>
      </c>
      <c r="E1369" s="7" t="str">
        <f aca="false">CHOOSE(C1369,"ene","feb","mar","abr","may","jun","jul","ago","sep","oct","nov","dic")</f>
        <v>sep</v>
      </c>
      <c r="F1369" s="7" t="str">
        <f aca="false">CHOOSE(C1369,"enero","febrero","marzo","abril","mayo","junio","julio","agosto","septiembre","octubre","noviembre","diciembre")</f>
        <v>septiembre</v>
      </c>
      <c r="G1369" s="7" t="str">
        <f aca="false">E1369&amp;"-"&amp;RIGHT(B1369,2)</f>
        <v>sep-26</v>
      </c>
    </row>
    <row r="1370" customFormat="false" ht="15" hidden="false" customHeight="false" outlineLevel="0" collapsed="false">
      <c r="A1370" s="8" t="n">
        <f aca="false">A1369+1</f>
        <v>46295</v>
      </c>
      <c r="B1370" s="7" t="n">
        <f aca="false">YEAR(A1370)</f>
        <v>2026</v>
      </c>
      <c r="C1370" s="7" t="n">
        <f aca="false">MONTH(A1370)</f>
        <v>9</v>
      </c>
      <c r="D1370" s="8" t="n">
        <f aca="false">DATE(B1370,C1370,1)</f>
        <v>46266</v>
      </c>
      <c r="E1370" s="7" t="str">
        <f aca="false">CHOOSE(C1370,"ene","feb","mar","abr","may","jun","jul","ago","sep","oct","nov","dic")</f>
        <v>sep</v>
      </c>
      <c r="F1370" s="7" t="str">
        <f aca="false">CHOOSE(C1370,"enero","febrero","marzo","abril","mayo","junio","julio","agosto","septiembre","octubre","noviembre","diciembre")</f>
        <v>septiembre</v>
      </c>
      <c r="G1370" s="7" t="str">
        <f aca="false">E1370&amp;"-"&amp;RIGHT(B1370,2)</f>
        <v>sep-26</v>
      </c>
    </row>
    <row r="1371" customFormat="false" ht="15" hidden="false" customHeight="false" outlineLevel="0" collapsed="false">
      <c r="A1371" s="8" t="n">
        <f aca="false">A1370+1</f>
        <v>46296</v>
      </c>
      <c r="B1371" s="7" t="n">
        <f aca="false">YEAR(A1371)</f>
        <v>2026</v>
      </c>
      <c r="C1371" s="7" t="n">
        <f aca="false">MONTH(A1371)</f>
        <v>10</v>
      </c>
      <c r="D1371" s="8" t="n">
        <f aca="false">DATE(B1371,C1371,1)</f>
        <v>46296</v>
      </c>
      <c r="E1371" s="7" t="str">
        <f aca="false">CHOOSE(C1371,"ene","feb","mar","abr","may","jun","jul","ago","sep","oct","nov","dic")</f>
        <v>oct</v>
      </c>
      <c r="F1371" s="7" t="str">
        <f aca="false">CHOOSE(C1371,"enero","febrero","marzo","abril","mayo","junio","julio","agosto","septiembre","octubre","noviembre","diciembre")</f>
        <v>octubre</v>
      </c>
      <c r="G1371" s="7" t="str">
        <f aca="false">E1371&amp;"-"&amp;RIGHT(B1371,2)</f>
        <v>oct-26</v>
      </c>
    </row>
    <row r="1372" customFormat="false" ht="15" hidden="false" customHeight="false" outlineLevel="0" collapsed="false">
      <c r="A1372" s="8" t="n">
        <f aca="false">A1371+1</f>
        <v>46297</v>
      </c>
      <c r="B1372" s="7" t="n">
        <f aca="false">YEAR(A1372)</f>
        <v>2026</v>
      </c>
      <c r="C1372" s="7" t="n">
        <f aca="false">MONTH(A1372)</f>
        <v>10</v>
      </c>
      <c r="D1372" s="8" t="n">
        <f aca="false">DATE(B1372,C1372,1)</f>
        <v>46296</v>
      </c>
      <c r="E1372" s="7" t="str">
        <f aca="false">CHOOSE(C1372,"ene","feb","mar","abr","may","jun","jul","ago","sep","oct","nov","dic")</f>
        <v>oct</v>
      </c>
      <c r="F1372" s="7" t="str">
        <f aca="false">CHOOSE(C1372,"enero","febrero","marzo","abril","mayo","junio","julio","agosto","septiembre","octubre","noviembre","diciembre")</f>
        <v>octubre</v>
      </c>
      <c r="G1372" s="7" t="str">
        <f aca="false">E1372&amp;"-"&amp;RIGHT(B1372,2)</f>
        <v>oct-26</v>
      </c>
    </row>
    <row r="1373" customFormat="false" ht="15" hidden="false" customHeight="false" outlineLevel="0" collapsed="false">
      <c r="A1373" s="8" t="n">
        <f aca="false">A1372+1</f>
        <v>46298</v>
      </c>
      <c r="B1373" s="7" t="n">
        <f aca="false">YEAR(A1373)</f>
        <v>2026</v>
      </c>
      <c r="C1373" s="7" t="n">
        <f aca="false">MONTH(A1373)</f>
        <v>10</v>
      </c>
      <c r="D1373" s="8" t="n">
        <f aca="false">DATE(B1373,C1373,1)</f>
        <v>46296</v>
      </c>
      <c r="E1373" s="7" t="str">
        <f aca="false">CHOOSE(C1373,"ene","feb","mar","abr","may","jun","jul","ago","sep","oct","nov","dic")</f>
        <v>oct</v>
      </c>
      <c r="F1373" s="7" t="str">
        <f aca="false">CHOOSE(C1373,"enero","febrero","marzo","abril","mayo","junio","julio","agosto","septiembre","octubre","noviembre","diciembre")</f>
        <v>octubre</v>
      </c>
      <c r="G1373" s="7" t="str">
        <f aca="false">E1373&amp;"-"&amp;RIGHT(B1373,2)</f>
        <v>oct-26</v>
      </c>
    </row>
    <row r="1374" customFormat="false" ht="15" hidden="false" customHeight="false" outlineLevel="0" collapsed="false">
      <c r="A1374" s="8" t="n">
        <f aca="false">A1373+1</f>
        <v>46299</v>
      </c>
      <c r="B1374" s="7" t="n">
        <f aca="false">YEAR(A1374)</f>
        <v>2026</v>
      </c>
      <c r="C1374" s="7" t="n">
        <f aca="false">MONTH(A1374)</f>
        <v>10</v>
      </c>
      <c r="D1374" s="8" t="n">
        <f aca="false">DATE(B1374,C1374,1)</f>
        <v>46296</v>
      </c>
      <c r="E1374" s="7" t="str">
        <f aca="false">CHOOSE(C1374,"ene","feb","mar","abr","may","jun","jul","ago","sep","oct","nov","dic")</f>
        <v>oct</v>
      </c>
      <c r="F1374" s="7" t="str">
        <f aca="false">CHOOSE(C1374,"enero","febrero","marzo","abril","mayo","junio","julio","agosto","septiembre","octubre","noviembre","diciembre")</f>
        <v>octubre</v>
      </c>
      <c r="G1374" s="7" t="str">
        <f aca="false">E1374&amp;"-"&amp;RIGHT(B1374,2)</f>
        <v>oct-26</v>
      </c>
    </row>
    <row r="1375" customFormat="false" ht="15" hidden="false" customHeight="false" outlineLevel="0" collapsed="false">
      <c r="A1375" s="8" t="n">
        <f aca="false">A1374+1</f>
        <v>46300</v>
      </c>
      <c r="B1375" s="7" t="n">
        <f aca="false">YEAR(A1375)</f>
        <v>2026</v>
      </c>
      <c r="C1375" s="7" t="n">
        <f aca="false">MONTH(A1375)</f>
        <v>10</v>
      </c>
      <c r="D1375" s="8" t="n">
        <f aca="false">DATE(B1375,C1375,1)</f>
        <v>46296</v>
      </c>
      <c r="E1375" s="7" t="str">
        <f aca="false">CHOOSE(C1375,"ene","feb","mar","abr","may","jun","jul","ago","sep","oct","nov","dic")</f>
        <v>oct</v>
      </c>
      <c r="F1375" s="7" t="str">
        <f aca="false">CHOOSE(C1375,"enero","febrero","marzo","abril","mayo","junio","julio","agosto","septiembre","octubre","noviembre","diciembre")</f>
        <v>octubre</v>
      </c>
      <c r="G1375" s="7" t="str">
        <f aca="false">E1375&amp;"-"&amp;RIGHT(B1375,2)</f>
        <v>oct-26</v>
      </c>
    </row>
    <row r="1376" customFormat="false" ht="15" hidden="false" customHeight="false" outlineLevel="0" collapsed="false">
      <c r="A1376" s="8" t="n">
        <f aca="false">A1375+1</f>
        <v>46301</v>
      </c>
      <c r="B1376" s="7" t="n">
        <f aca="false">YEAR(A1376)</f>
        <v>2026</v>
      </c>
      <c r="C1376" s="7" t="n">
        <f aca="false">MONTH(A1376)</f>
        <v>10</v>
      </c>
      <c r="D1376" s="8" t="n">
        <f aca="false">DATE(B1376,C1376,1)</f>
        <v>46296</v>
      </c>
      <c r="E1376" s="7" t="str">
        <f aca="false">CHOOSE(C1376,"ene","feb","mar","abr","may","jun","jul","ago","sep","oct","nov","dic")</f>
        <v>oct</v>
      </c>
      <c r="F1376" s="7" t="str">
        <f aca="false">CHOOSE(C1376,"enero","febrero","marzo","abril","mayo","junio","julio","agosto","septiembre","octubre","noviembre","diciembre")</f>
        <v>octubre</v>
      </c>
      <c r="G1376" s="7" t="str">
        <f aca="false">E1376&amp;"-"&amp;RIGHT(B1376,2)</f>
        <v>oct-26</v>
      </c>
    </row>
    <row r="1377" customFormat="false" ht="15" hidden="false" customHeight="false" outlineLevel="0" collapsed="false">
      <c r="A1377" s="8" t="n">
        <f aca="false">A1376+1</f>
        <v>46302</v>
      </c>
      <c r="B1377" s="7" t="n">
        <f aca="false">YEAR(A1377)</f>
        <v>2026</v>
      </c>
      <c r="C1377" s="7" t="n">
        <f aca="false">MONTH(A1377)</f>
        <v>10</v>
      </c>
      <c r="D1377" s="8" t="n">
        <f aca="false">DATE(B1377,C1377,1)</f>
        <v>46296</v>
      </c>
      <c r="E1377" s="7" t="str">
        <f aca="false">CHOOSE(C1377,"ene","feb","mar","abr","may","jun","jul","ago","sep","oct","nov","dic")</f>
        <v>oct</v>
      </c>
      <c r="F1377" s="7" t="str">
        <f aca="false">CHOOSE(C1377,"enero","febrero","marzo","abril","mayo","junio","julio","agosto","septiembre","octubre","noviembre","diciembre")</f>
        <v>octubre</v>
      </c>
      <c r="G1377" s="7" t="str">
        <f aca="false">E1377&amp;"-"&amp;RIGHT(B1377,2)</f>
        <v>oct-26</v>
      </c>
    </row>
    <row r="1378" customFormat="false" ht="15" hidden="false" customHeight="false" outlineLevel="0" collapsed="false">
      <c r="A1378" s="8" t="n">
        <f aca="false">A1377+1</f>
        <v>46303</v>
      </c>
      <c r="B1378" s="7" t="n">
        <f aca="false">YEAR(A1378)</f>
        <v>2026</v>
      </c>
      <c r="C1378" s="7" t="n">
        <f aca="false">MONTH(A1378)</f>
        <v>10</v>
      </c>
      <c r="D1378" s="8" t="n">
        <f aca="false">DATE(B1378,C1378,1)</f>
        <v>46296</v>
      </c>
      <c r="E1378" s="7" t="str">
        <f aca="false">CHOOSE(C1378,"ene","feb","mar","abr","may","jun","jul","ago","sep","oct","nov","dic")</f>
        <v>oct</v>
      </c>
      <c r="F1378" s="7" t="str">
        <f aca="false">CHOOSE(C1378,"enero","febrero","marzo","abril","mayo","junio","julio","agosto","septiembre","octubre","noviembre","diciembre")</f>
        <v>octubre</v>
      </c>
      <c r="G1378" s="7" t="str">
        <f aca="false">E1378&amp;"-"&amp;RIGHT(B1378,2)</f>
        <v>oct-26</v>
      </c>
    </row>
    <row r="1379" customFormat="false" ht="15" hidden="false" customHeight="false" outlineLevel="0" collapsed="false">
      <c r="A1379" s="8" t="n">
        <f aca="false">A1378+1</f>
        <v>46304</v>
      </c>
      <c r="B1379" s="7" t="n">
        <f aca="false">YEAR(A1379)</f>
        <v>2026</v>
      </c>
      <c r="C1379" s="7" t="n">
        <f aca="false">MONTH(A1379)</f>
        <v>10</v>
      </c>
      <c r="D1379" s="8" t="n">
        <f aca="false">DATE(B1379,C1379,1)</f>
        <v>46296</v>
      </c>
      <c r="E1379" s="7" t="str">
        <f aca="false">CHOOSE(C1379,"ene","feb","mar","abr","may","jun","jul","ago","sep","oct","nov","dic")</f>
        <v>oct</v>
      </c>
      <c r="F1379" s="7" t="str">
        <f aca="false">CHOOSE(C1379,"enero","febrero","marzo","abril","mayo","junio","julio","agosto","septiembre","octubre","noviembre","diciembre")</f>
        <v>octubre</v>
      </c>
      <c r="G1379" s="7" t="str">
        <f aca="false">E1379&amp;"-"&amp;RIGHT(B1379,2)</f>
        <v>oct-26</v>
      </c>
    </row>
    <row r="1380" customFormat="false" ht="15" hidden="false" customHeight="false" outlineLevel="0" collapsed="false">
      <c r="A1380" s="8" t="n">
        <f aca="false">A1379+1</f>
        <v>46305</v>
      </c>
      <c r="B1380" s="7" t="n">
        <f aca="false">YEAR(A1380)</f>
        <v>2026</v>
      </c>
      <c r="C1380" s="7" t="n">
        <f aca="false">MONTH(A1380)</f>
        <v>10</v>
      </c>
      <c r="D1380" s="8" t="n">
        <f aca="false">DATE(B1380,C1380,1)</f>
        <v>46296</v>
      </c>
      <c r="E1380" s="7" t="str">
        <f aca="false">CHOOSE(C1380,"ene","feb","mar","abr","may","jun","jul","ago","sep","oct","nov","dic")</f>
        <v>oct</v>
      </c>
      <c r="F1380" s="7" t="str">
        <f aca="false">CHOOSE(C1380,"enero","febrero","marzo","abril","mayo","junio","julio","agosto","septiembre","octubre","noviembre","diciembre")</f>
        <v>octubre</v>
      </c>
      <c r="G1380" s="7" t="str">
        <f aca="false">E1380&amp;"-"&amp;RIGHT(B1380,2)</f>
        <v>oct-26</v>
      </c>
    </row>
    <row r="1381" customFormat="false" ht="15" hidden="false" customHeight="false" outlineLevel="0" collapsed="false">
      <c r="A1381" s="8" t="n">
        <f aca="false">A1380+1</f>
        <v>46306</v>
      </c>
      <c r="B1381" s="7" t="n">
        <f aca="false">YEAR(A1381)</f>
        <v>2026</v>
      </c>
      <c r="C1381" s="7" t="n">
        <f aca="false">MONTH(A1381)</f>
        <v>10</v>
      </c>
      <c r="D1381" s="8" t="n">
        <f aca="false">DATE(B1381,C1381,1)</f>
        <v>46296</v>
      </c>
      <c r="E1381" s="7" t="str">
        <f aca="false">CHOOSE(C1381,"ene","feb","mar","abr","may","jun","jul","ago","sep","oct","nov","dic")</f>
        <v>oct</v>
      </c>
      <c r="F1381" s="7" t="str">
        <f aca="false">CHOOSE(C1381,"enero","febrero","marzo","abril","mayo","junio","julio","agosto","septiembre","octubre","noviembre","diciembre")</f>
        <v>octubre</v>
      </c>
      <c r="G1381" s="7" t="str">
        <f aca="false">E1381&amp;"-"&amp;RIGHT(B1381,2)</f>
        <v>oct-26</v>
      </c>
    </row>
    <row r="1382" customFormat="false" ht="15" hidden="false" customHeight="false" outlineLevel="0" collapsed="false">
      <c r="A1382" s="8" t="n">
        <f aca="false">A1381+1</f>
        <v>46307</v>
      </c>
      <c r="B1382" s="7" t="n">
        <f aca="false">YEAR(A1382)</f>
        <v>2026</v>
      </c>
      <c r="C1382" s="7" t="n">
        <f aca="false">MONTH(A1382)</f>
        <v>10</v>
      </c>
      <c r="D1382" s="8" t="n">
        <f aca="false">DATE(B1382,C1382,1)</f>
        <v>46296</v>
      </c>
      <c r="E1382" s="7" t="str">
        <f aca="false">CHOOSE(C1382,"ene","feb","mar","abr","may","jun","jul","ago","sep","oct","nov","dic")</f>
        <v>oct</v>
      </c>
      <c r="F1382" s="7" t="str">
        <f aca="false">CHOOSE(C1382,"enero","febrero","marzo","abril","mayo","junio","julio","agosto","septiembre","octubre","noviembre","diciembre")</f>
        <v>octubre</v>
      </c>
      <c r="G1382" s="7" t="str">
        <f aca="false">E1382&amp;"-"&amp;RIGHT(B1382,2)</f>
        <v>oct-26</v>
      </c>
    </row>
    <row r="1383" customFormat="false" ht="15" hidden="false" customHeight="false" outlineLevel="0" collapsed="false">
      <c r="A1383" s="8" t="n">
        <f aca="false">A1382+1</f>
        <v>46308</v>
      </c>
      <c r="B1383" s="7" t="n">
        <f aca="false">YEAR(A1383)</f>
        <v>2026</v>
      </c>
      <c r="C1383" s="7" t="n">
        <f aca="false">MONTH(A1383)</f>
        <v>10</v>
      </c>
      <c r="D1383" s="8" t="n">
        <f aca="false">DATE(B1383,C1383,1)</f>
        <v>46296</v>
      </c>
      <c r="E1383" s="7" t="str">
        <f aca="false">CHOOSE(C1383,"ene","feb","mar","abr","may","jun","jul","ago","sep","oct","nov","dic")</f>
        <v>oct</v>
      </c>
      <c r="F1383" s="7" t="str">
        <f aca="false">CHOOSE(C1383,"enero","febrero","marzo","abril","mayo","junio","julio","agosto","septiembre","octubre","noviembre","diciembre")</f>
        <v>octubre</v>
      </c>
      <c r="G1383" s="7" t="str">
        <f aca="false">E1383&amp;"-"&amp;RIGHT(B1383,2)</f>
        <v>oct-26</v>
      </c>
    </row>
    <row r="1384" customFormat="false" ht="15" hidden="false" customHeight="false" outlineLevel="0" collapsed="false">
      <c r="A1384" s="8" t="n">
        <f aca="false">A1383+1</f>
        <v>46309</v>
      </c>
      <c r="B1384" s="7" t="n">
        <f aca="false">YEAR(A1384)</f>
        <v>2026</v>
      </c>
      <c r="C1384" s="7" t="n">
        <f aca="false">MONTH(A1384)</f>
        <v>10</v>
      </c>
      <c r="D1384" s="8" t="n">
        <f aca="false">DATE(B1384,C1384,1)</f>
        <v>46296</v>
      </c>
      <c r="E1384" s="7" t="str">
        <f aca="false">CHOOSE(C1384,"ene","feb","mar","abr","may","jun","jul","ago","sep","oct","nov","dic")</f>
        <v>oct</v>
      </c>
      <c r="F1384" s="7" t="str">
        <f aca="false">CHOOSE(C1384,"enero","febrero","marzo","abril","mayo","junio","julio","agosto","septiembre","octubre","noviembre","diciembre")</f>
        <v>octubre</v>
      </c>
      <c r="G1384" s="7" t="str">
        <f aca="false">E1384&amp;"-"&amp;RIGHT(B1384,2)</f>
        <v>oct-26</v>
      </c>
    </row>
    <row r="1385" customFormat="false" ht="15" hidden="false" customHeight="false" outlineLevel="0" collapsed="false">
      <c r="A1385" s="8" t="n">
        <f aca="false">A1384+1</f>
        <v>46310</v>
      </c>
      <c r="B1385" s="7" t="n">
        <f aca="false">YEAR(A1385)</f>
        <v>2026</v>
      </c>
      <c r="C1385" s="7" t="n">
        <f aca="false">MONTH(A1385)</f>
        <v>10</v>
      </c>
      <c r="D1385" s="8" t="n">
        <f aca="false">DATE(B1385,C1385,1)</f>
        <v>46296</v>
      </c>
      <c r="E1385" s="7" t="str">
        <f aca="false">CHOOSE(C1385,"ene","feb","mar","abr","may","jun","jul","ago","sep","oct","nov","dic")</f>
        <v>oct</v>
      </c>
      <c r="F1385" s="7" t="str">
        <f aca="false">CHOOSE(C1385,"enero","febrero","marzo","abril","mayo","junio","julio","agosto","septiembre","octubre","noviembre","diciembre")</f>
        <v>octubre</v>
      </c>
      <c r="G1385" s="7" t="str">
        <f aca="false">E1385&amp;"-"&amp;RIGHT(B1385,2)</f>
        <v>oct-26</v>
      </c>
    </row>
    <row r="1386" customFormat="false" ht="15" hidden="false" customHeight="false" outlineLevel="0" collapsed="false">
      <c r="A1386" s="8" t="n">
        <f aca="false">A1385+1</f>
        <v>46311</v>
      </c>
      <c r="B1386" s="7" t="n">
        <f aca="false">YEAR(A1386)</f>
        <v>2026</v>
      </c>
      <c r="C1386" s="7" t="n">
        <f aca="false">MONTH(A1386)</f>
        <v>10</v>
      </c>
      <c r="D1386" s="8" t="n">
        <f aca="false">DATE(B1386,C1386,1)</f>
        <v>46296</v>
      </c>
      <c r="E1386" s="7" t="str">
        <f aca="false">CHOOSE(C1386,"ene","feb","mar","abr","may","jun","jul","ago","sep","oct","nov","dic")</f>
        <v>oct</v>
      </c>
      <c r="F1386" s="7" t="str">
        <f aca="false">CHOOSE(C1386,"enero","febrero","marzo","abril","mayo","junio","julio","agosto","septiembre","octubre","noviembre","diciembre")</f>
        <v>octubre</v>
      </c>
      <c r="G1386" s="7" t="str">
        <f aca="false">E1386&amp;"-"&amp;RIGHT(B1386,2)</f>
        <v>oct-26</v>
      </c>
    </row>
    <row r="1387" customFormat="false" ht="15" hidden="false" customHeight="false" outlineLevel="0" collapsed="false">
      <c r="A1387" s="8" t="n">
        <f aca="false">A1386+1</f>
        <v>46312</v>
      </c>
      <c r="B1387" s="7" t="n">
        <f aca="false">YEAR(A1387)</f>
        <v>2026</v>
      </c>
      <c r="C1387" s="7" t="n">
        <f aca="false">MONTH(A1387)</f>
        <v>10</v>
      </c>
      <c r="D1387" s="8" t="n">
        <f aca="false">DATE(B1387,C1387,1)</f>
        <v>46296</v>
      </c>
      <c r="E1387" s="7" t="str">
        <f aca="false">CHOOSE(C1387,"ene","feb","mar","abr","may","jun","jul","ago","sep","oct","nov","dic")</f>
        <v>oct</v>
      </c>
      <c r="F1387" s="7" t="str">
        <f aca="false">CHOOSE(C1387,"enero","febrero","marzo","abril","mayo","junio","julio","agosto","septiembre","octubre","noviembre","diciembre")</f>
        <v>octubre</v>
      </c>
      <c r="G1387" s="7" t="str">
        <f aca="false">E1387&amp;"-"&amp;RIGHT(B1387,2)</f>
        <v>oct-26</v>
      </c>
    </row>
    <row r="1388" customFormat="false" ht="15" hidden="false" customHeight="false" outlineLevel="0" collapsed="false">
      <c r="A1388" s="8" t="n">
        <f aca="false">A1387+1</f>
        <v>46313</v>
      </c>
      <c r="B1388" s="7" t="n">
        <f aca="false">YEAR(A1388)</f>
        <v>2026</v>
      </c>
      <c r="C1388" s="7" t="n">
        <f aca="false">MONTH(A1388)</f>
        <v>10</v>
      </c>
      <c r="D1388" s="8" t="n">
        <f aca="false">DATE(B1388,C1388,1)</f>
        <v>46296</v>
      </c>
      <c r="E1388" s="7" t="str">
        <f aca="false">CHOOSE(C1388,"ene","feb","mar","abr","may","jun","jul","ago","sep","oct","nov","dic")</f>
        <v>oct</v>
      </c>
      <c r="F1388" s="7" t="str">
        <f aca="false">CHOOSE(C1388,"enero","febrero","marzo","abril","mayo","junio","julio","agosto","septiembre","octubre","noviembre","diciembre")</f>
        <v>octubre</v>
      </c>
      <c r="G1388" s="7" t="str">
        <f aca="false">E1388&amp;"-"&amp;RIGHT(B1388,2)</f>
        <v>oct-26</v>
      </c>
    </row>
    <row r="1389" customFormat="false" ht="15" hidden="false" customHeight="false" outlineLevel="0" collapsed="false">
      <c r="A1389" s="8" t="n">
        <f aca="false">A1388+1</f>
        <v>46314</v>
      </c>
      <c r="B1389" s="7" t="n">
        <f aca="false">YEAR(A1389)</f>
        <v>2026</v>
      </c>
      <c r="C1389" s="7" t="n">
        <f aca="false">MONTH(A1389)</f>
        <v>10</v>
      </c>
      <c r="D1389" s="8" t="n">
        <f aca="false">DATE(B1389,C1389,1)</f>
        <v>46296</v>
      </c>
      <c r="E1389" s="7" t="str">
        <f aca="false">CHOOSE(C1389,"ene","feb","mar","abr","may","jun","jul","ago","sep","oct","nov","dic")</f>
        <v>oct</v>
      </c>
      <c r="F1389" s="7" t="str">
        <f aca="false">CHOOSE(C1389,"enero","febrero","marzo","abril","mayo","junio","julio","agosto","septiembre","octubre","noviembre","diciembre")</f>
        <v>octubre</v>
      </c>
      <c r="G1389" s="7" t="str">
        <f aca="false">E1389&amp;"-"&amp;RIGHT(B1389,2)</f>
        <v>oct-26</v>
      </c>
    </row>
    <row r="1390" customFormat="false" ht="15" hidden="false" customHeight="false" outlineLevel="0" collapsed="false">
      <c r="A1390" s="8" t="n">
        <f aca="false">A1389+1</f>
        <v>46315</v>
      </c>
      <c r="B1390" s="7" t="n">
        <f aca="false">YEAR(A1390)</f>
        <v>2026</v>
      </c>
      <c r="C1390" s="7" t="n">
        <f aca="false">MONTH(A1390)</f>
        <v>10</v>
      </c>
      <c r="D1390" s="8" t="n">
        <f aca="false">DATE(B1390,C1390,1)</f>
        <v>46296</v>
      </c>
      <c r="E1390" s="7" t="str">
        <f aca="false">CHOOSE(C1390,"ene","feb","mar","abr","may","jun","jul","ago","sep","oct","nov","dic")</f>
        <v>oct</v>
      </c>
      <c r="F1390" s="7" t="str">
        <f aca="false">CHOOSE(C1390,"enero","febrero","marzo","abril","mayo","junio","julio","agosto","septiembre","octubre","noviembre","diciembre")</f>
        <v>octubre</v>
      </c>
      <c r="G1390" s="7" t="str">
        <f aca="false">E1390&amp;"-"&amp;RIGHT(B1390,2)</f>
        <v>oct-26</v>
      </c>
    </row>
    <row r="1391" customFormat="false" ht="15" hidden="false" customHeight="false" outlineLevel="0" collapsed="false">
      <c r="A1391" s="8" t="n">
        <f aca="false">A1390+1</f>
        <v>46316</v>
      </c>
      <c r="B1391" s="7" t="n">
        <f aca="false">YEAR(A1391)</f>
        <v>2026</v>
      </c>
      <c r="C1391" s="7" t="n">
        <f aca="false">MONTH(A1391)</f>
        <v>10</v>
      </c>
      <c r="D1391" s="8" t="n">
        <f aca="false">DATE(B1391,C1391,1)</f>
        <v>46296</v>
      </c>
      <c r="E1391" s="7" t="str">
        <f aca="false">CHOOSE(C1391,"ene","feb","mar","abr","may","jun","jul","ago","sep","oct","nov","dic")</f>
        <v>oct</v>
      </c>
      <c r="F1391" s="7" t="str">
        <f aca="false">CHOOSE(C1391,"enero","febrero","marzo","abril","mayo","junio","julio","agosto","septiembre","octubre","noviembre","diciembre")</f>
        <v>octubre</v>
      </c>
      <c r="G1391" s="7" t="str">
        <f aca="false">E1391&amp;"-"&amp;RIGHT(B1391,2)</f>
        <v>oct-26</v>
      </c>
    </row>
    <row r="1392" customFormat="false" ht="15" hidden="false" customHeight="false" outlineLevel="0" collapsed="false">
      <c r="A1392" s="8" t="n">
        <f aca="false">A1391+1</f>
        <v>46317</v>
      </c>
      <c r="B1392" s="7" t="n">
        <f aca="false">YEAR(A1392)</f>
        <v>2026</v>
      </c>
      <c r="C1392" s="7" t="n">
        <f aca="false">MONTH(A1392)</f>
        <v>10</v>
      </c>
      <c r="D1392" s="8" t="n">
        <f aca="false">DATE(B1392,C1392,1)</f>
        <v>46296</v>
      </c>
      <c r="E1392" s="7" t="str">
        <f aca="false">CHOOSE(C1392,"ene","feb","mar","abr","may","jun","jul","ago","sep","oct","nov","dic")</f>
        <v>oct</v>
      </c>
      <c r="F1392" s="7" t="str">
        <f aca="false">CHOOSE(C1392,"enero","febrero","marzo","abril","mayo","junio","julio","agosto","septiembre","octubre","noviembre","diciembre")</f>
        <v>octubre</v>
      </c>
      <c r="G1392" s="7" t="str">
        <f aca="false">E1392&amp;"-"&amp;RIGHT(B1392,2)</f>
        <v>oct-26</v>
      </c>
    </row>
    <row r="1393" customFormat="false" ht="15" hidden="false" customHeight="false" outlineLevel="0" collapsed="false">
      <c r="A1393" s="8" t="n">
        <f aca="false">A1392+1</f>
        <v>46318</v>
      </c>
      <c r="B1393" s="7" t="n">
        <f aca="false">YEAR(A1393)</f>
        <v>2026</v>
      </c>
      <c r="C1393" s="7" t="n">
        <f aca="false">MONTH(A1393)</f>
        <v>10</v>
      </c>
      <c r="D1393" s="8" t="n">
        <f aca="false">DATE(B1393,C1393,1)</f>
        <v>46296</v>
      </c>
      <c r="E1393" s="7" t="str">
        <f aca="false">CHOOSE(C1393,"ene","feb","mar","abr","may","jun","jul","ago","sep","oct","nov","dic")</f>
        <v>oct</v>
      </c>
      <c r="F1393" s="7" t="str">
        <f aca="false">CHOOSE(C1393,"enero","febrero","marzo","abril","mayo","junio","julio","agosto","septiembre","octubre","noviembre","diciembre")</f>
        <v>octubre</v>
      </c>
      <c r="G1393" s="7" t="str">
        <f aca="false">E1393&amp;"-"&amp;RIGHT(B1393,2)</f>
        <v>oct-26</v>
      </c>
    </row>
    <row r="1394" customFormat="false" ht="15" hidden="false" customHeight="false" outlineLevel="0" collapsed="false">
      <c r="A1394" s="8" t="n">
        <f aca="false">A1393+1</f>
        <v>46319</v>
      </c>
      <c r="B1394" s="7" t="n">
        <f aca="false">YEAR(A1394)</f>
        <v>2026</v>
      </c>
      <c r="C1394" s="7" t="n">
        <f aca="false">MONTH(A1394)</f>
        <v>10</v>
      </c>
      <c r="D1394" s="8" t="n">
        <f aca="false">DATE(B1394,C1394,1)</f>
        <v>46296</v>
      </c>
      <c r="E1394" s="7" t="str">
        <f aca="false">CHOOSE(C1394,"ene","feb","mar","abr","may","jun","jul","ago","sep","oct","nov","dic")</f>
        <v>oct</v>
      </c>
      <c r="F1394" s="7" t="str">
        <f aca="false">CHOOSE(C1394,"enero","febrero","marzo","abril","mayo","junio","julio","agosto","septiembre","octubre","noviembre","diciembre")</f>
        <v>octubre</v>
      </c>
      <c r="G1394" s="7" t="str">
        <f aca="false">E1394&amp;"-"&amp;RIGHT(B1394,2)</f>
        <v>oct-26</v>
      </c>
    </row>
    <row r="1395" customFormat="false" ht="15" hidden="false" customHeight="false" outlineLevel="0" collapsed="false">
      <c r="A1395" s="8" t="n">
        <f aca="false">A1394+1</f>
        <v>46320</v>
      </c>
      <c r="B1395" s="7" t="n">
        <f aca="false">YEAR(A1395)</f>
        <v>2026</v>
      </c>
      <c r="C1395" s="7" t="n">
        <f aca="false">MONTH(A1395)</f>
        <v>10</v>
      </c>
      <c r="D1395" s="8" t="n">
        <f aca="false">DATE(B1395,C1395,1)</f>
        <v>46296</v>
      </c>
      <c r="E1395" s="7" t="str">
        <f aca="false">CHOOSE(C1395,"ene","feb","mar","abr","may","jun","jul","ago","sep","oct","nov","dic")</f>
        <v>oct</v>
      </c>
      <c r="F1395" s="7" t="str">
        <f aca="false">CHOOSE(C1395,"enero","febrero","marzo","abril","mayo","junio","julio","agosto","septiembre","octubre","noviembre","diciembre")</f>
        <v>octubre</v>
      </c>
      <c r="G1395" s="7" t="str">
        <f aca="false">E1395&amp;"-"&amp;RIGHT(B1395,2)</f>
        <v>oct-26</v>
      </c>
    </row>
    <row r="1396" customFormat="false" ht="15" hidden="false" customHeight="false" outlineLevel="0" collapsed="false">
      <c r="A1396" s="8" t="n">
        <f aca="false">A1395+1</f>
        <v>46321</v>
      </c>
      <c r="B1396" s="7" t="n">
        <f aca="false">YEAR(A1396)</f>
        <v>2026</v>
      </c>
      <c r="C1396" s="7" t="n">
        <f aca="false">MONTH(A1396)</f>
        <v>10</v>
      </c>
      <c r="D1396" s="8" t="n">
        <f aca="false">DATE(B1396,C1396,1)</f>
        <v>46296</v>
      </c>
      <c r="E1396" s="7" t="str">
        <f aca="false">CHOOSE(C1396,"ene","feb","mar","abr","may","jun","jul","ago","sep","oct","nov","dic")</f>
        <v>oct</v>
      </c>
      <c r="F1396" s="7" t="str">
        <f aca="false">CHOOSE(C1396,"enero","febrero","marzo","abril","mayo","junio","julio","agosto","septiembre","octubre","noviembre","diciembre")</f>
        <v>octubre</v>
      </c>
      <c r="G1396" s="7" t="str">
        <f aca="false">E1396&amp;"-"&amp;RIGHT(B1396,2)</f>
        <v>oct-26</v>
      </c>
    </row>
    <row r="1397" customFormat="false" ht="15" hidden="false" customHeight="false" outlineLevel="0" collapsed="false">
      <c r="A1397" s="8" t="n">
        <f aca="false">A1396+1</f>
        <v>46322</v>
      </c>
      <c r="B1397" s="7" t="n">
        <f aca="false">YEAR(A1397)</f>
        <v>2026</v>
      </c>
      <c r="C1397" s="7" t="n">
        <f aca="false">MONTH(A1397)</f>
        <v>10</v>
      </c>
      <c r="D1397" s="8" t="n">
        <f aca="false">DATE(B1397,C1397,1)</f>
        <v>46296</v>
      </c>
      <c r="E1397" s="7" t="str">
        <f aca="false">CHOOSE(C1397,"ene","feb","mar","abr","may","jun","jul","ago","sep","oct","nov","dic")</f>
        <v>oct</v>
      </c>
      <c r="F1397" s="7" t="str">
        <f aca="false">CHOOSE(C1397,"enero","febrero","marzo","abril","mayo","junio","julio","agosto","septiembre","octubre","noviembre","diciembre")</f>
        <v>octubre</v>
      </c>
      <c r="G1397" s="7" t="str">
        <f aca="false">E1397&amp;"-"&amp;RIGHT(B1397,2)</f>
        <v>oct-26</v>
      </c>
    </row>
    <row r="1398" customFormat="false" ht="15" hidden="false" customHeight="false" outlineLevel="0" collapsed="false">
      <c r="A1398" s="8" t="n">
        <f aca="false">A1397+1</f>
        <v>46323</v>
      </c>
      <c r="B1398" s="7" t="n">
        <f aca="false">YEAR(A1398)</f>
        <v>2026</v>
      </c>
      <c r="C1398" s="7" t="n">
        <f aca="false">MONTH(A1398)</f>
        <v>10</v>
      </c>
      <c r="D1398" s="8" t="n">
        <f aca="false">DATE(B1398,C1398,1)</f>
        <v>46296</v>
      </c>
      <c r="E1398" s="7" t="str">
        <f aca="false">CHOOSE(C1398,"ene","feb","mar","abr","may","jun","jul","ago","sep","oct","nov","dic")</f>
        <v>oct</v>
      </c>
      <c r="F1398" s="7" t="str">
        <f aca="false">CHOOSE(C1398,"enero","febrero","marzo","abril","mayo","junio","julio","agosto","septiembre","octubre","noviembre","diciembre")</f>
        <v>octubre</v>
      </c>
      <c r="G1398" s="7" t="str">
        <f aca="false">E1398&amp;"-"&amp;RIGHT(B1398,2)</f>
        <v>oct-26</v>
      </c>
    </row>
    <row r="1399" customFormat="false" ht="15" hidden="false" customHeight="false" outlineLevel="0" collapsed="false">
      <c r="A1399" s="8" t="n">
        <f aca="false">A1398+1</f>
        <v>46324</v>
      </c>
      <c r="B1399" s="7" t="n">
        <f aca="false">YEAR(A1399)</f>
        <v>2026</v>
      </c>
      <c r="C1399" s="7" t="n">
        <f aca="false">MONTH(A1399)</f>
        <v>10</v>
      </c>
      <c r="D1399" s="8" t="n">
        <f aca="false">DATE(B1399,C1399,1)</f>
        <v>46296</v>
      </c>
      <c r="E1399" s="7" t="str">
        <f aca="false">CHOOSE(C1399,"ene","feb","mar","abr","may","jun","jul","ago","sep","oct","nov","dic")</f>
        <v>oct</v>
      </c>
      <c r="F1399" s="7" t="str">
        <f aca="false">CHOOSE(C1399,"enero","febrero","marzo","abril","mayo","junio","julio","agosto","septiembre","octubre","noviembre","diciembre")</f>
        <v>octubre</v>
      </c>
      <c r="G1399" s="7" t="str">
        <f aca="false">E1399&amp;"-"&amp;RIGHT(B1399,2)</f>
        <v>oct-26</v>
      </c>
    </row>
    <row r="1400" customFormat="false" ht="15" hidden="false" customHeight="false" outlineLevel="0" collapsed="false">
      <c r="A1400" s="8" t="n">
        <f aca="false">A1399+1</f>
        <v>46325</v>
      </c>
      <c r="B1400" s="7" t="n">
        <f aca="false">YEAR(A1400)</f>
        <v>2026</v>
      </c>
      <c r="C1400" s="7" t="n">
        <f aca="false">MONTH(A1400)</f>
        <v>10</v>
      </c>
      <c r="D1400" s="8" t="n">
        <f aca="false">DATE(B1400,C1400,1)</f>
        <v>46296</v>
      </c>
      <c r="E1400" s="7" t="str">
        <f aca="false">CHOOSE(C1400,"ene","feb","mar","abr","may","jun","jul","ago","sep","oct","nov","dic")</f>
        <v>oct</v>
      </c>
      <c r="F1400" s="7" t="str">
        <f aca="false">CHOOSE(C1400,"enero","febrero","marzo","abril","mayo","junio","julio","agosto","septiembre","octubre","noviembre","diciembre")</f>
        <v>octubre</v>
      </c>
      <c r="G1400" s="7" t="str">
        <f aca="false">E1400&amp;"-"&amp;RIGHT(B1400,2)</f>
        <v>oct-26</v>
      </c>
    </row>
    <row r="1401" customFormat="false" ht="15" hidden="false" customHeight="false" outlineLevel="0" collapsed="false">
      <c r="A1401" s="8" t="n">
        <f aca="false">A1400+1</f>
        <v>46326</v>
      </c>
      <c r="B1401" s="7" t="n">
        <f aca="false">YEAR(A1401)</f>
        <v>2026</v>
      </c>
      <c r="C1401" s="7" t="n">
        <f aca="false">MONTH(A1401)</f>
        <v>10</v>
      </c>
      <c r="D1401" s="8" t="n">
        <f aca="false">DATE(B1401,C1401,1)</f>
        <v>46296</v>
      </c>
      <c r="E1401" s="7" t="str">
        <f aca="false">CHOOSE(C1401,"ene","feb","mar","abr","may","jun","jul","ago","sep","oct","nov","dic")</f>
        <v>oct</v>
      </c>
      <c r="F1401" s="7" t="str">
        <f aca="false">CHOOSE(C1401,"enero","febrero","marzo","abril","mayo","junio","julio","agosto","septiembre","octubre","noviembre","diciembre")</f>
        <v>octubre</v>
      </c>
      <c r="G1401" s="7" t="str">
        <f aca="false">E1401&amp;"-"&amp;RIGHT(B1401,2)</f>
        <v>oct-26</v>
      </c>
    </row>
    <row r="1402" customFormat="false" ht="15" hidden="false" customHeight="false" outlineLevel="0" collapsed="false">
      <c r="A1402" s="8" t="n">
        <f aca="false">A1401+1</f>
        <v>46327</v>
      </c>
      <c r="B1402" s="7" t="n">
        <f aca="false">YEAR(A1402)</f>
        <v>2026</v>
      </c>
      <c r="C1402" s="7" t="n">
        <f aca="false">MONTH(A1402)</f>
        <v>11</v>
      </c>
      <c r="D1402" s="8" t="n">
        <f aca="false">DATE(B1402,C1402,1)</f>
        <v>46327</v>
      </c>
      <c r="E1402" s="7" t="str">
        <f aca="false">CHOOSE(C1402,"ene","feb","mar","abr","may","jun","jul","ago","sep","oct","nov","dic")</f>
        <v>nov</v>
      </c>
      <c r="F1402" s="7" t="str">
        <f aca="false">CHOOSE(C1402,"enero","febrero","marzo","abril","mayo","junio","julio","agosto","septiembre","octubre","noviembre","diciembre")</f>
        <v>noviembre</v>
      </c>
      <c r="G1402" s="7" t="str">
        <f aca="false">E1402&amp;"-"&amp;RIGHT(B1402,2)</f>
        <v>nov-26</v>
      </c>
    </row>
    <row r="1403" customFormat="false" ht="15" hidden="false" customHeight="false" outlineLevel="0" collapsed="false">
      <c r="A1403" s="8" t="n">
        <f aca="false">A1402+1</f>
        <v>46328</v>
      </c>
      <c r="B1403" s="7" t="n">
        <f aca="false">YEAR(A1403)</f>
        <v>2026</v>
      </c>
      <c r="C1403" s="7" t="n">
        <f aca="false">MONTH(A1403)</f>
        <v>11</v>
      </c>
      <c r="D1403" s="8" t="n">
        <f aca="false">DATE(B1403,C1403,1)</f>
        <v>46327</v>
      </c>
      <c r="E1403" s="7" t="str">
        <f aca="false">CHOOSE(C1403,"ene","feb","mar","abr","may","jun","jul","ago","sep","oct","nov","dic")</f>
        <v>nov</v>
      </c>
      <c r="F1403" s="7" t="str">
        <f aca="false">CHOOSE(C1403,"enero","febrero","marzo","abril","mayo","junio","julio","agosto","septiembre","octubre","noviembre","diciembre")</f>
        <v>noviembre</v>
      </c>
      <c r="G1403" s="7" t="str">
        <f aca="false">E1403&amp;"-"&amp;RIGHT(B1403,2)</f>
        <v>nov-26</v>
      </c>
    </row>
    <row r="1404" customFormat="false" ht="15" hidden="false" customHeight="false" outlineLevel="0" collapsed="false">
      <c r="A1404" s="8" t="n">
        <f aca="false">A1403+1</f>
        <v>46329</v>
      </c>
      <c r="B1404" s="7" t="n">
        <f aca="false">YEAR(A1404)</f>
        <v>2026</v>
      </c>
      <c r="C1404" s="7" t="n">
        <f aca="false">MONTH(A1404)</f>
        <v>11</v>
      </c>
      <c r="D1404" s="8" t="n">
        <f aca="false">DATE(B1404,C1404,1)</f>
        <v>46327</v>
      </c>
      <c r="E1404" s="7" t="str">
        <f aca="false">CHOOSE(C1404,"ene","feb","mar","abr","may","jun","jul","ago","sep","oct","nov","dic")</f>
        <v>nov</v>
      </c>
      <c r="F1404" s="7" t="str">
        <f aca="false">CHOOSE(C1404,"enero","febrero","marzo","abril","mayo","junio","julio","agosto","septiembre","octubre","noviembre","diciembre")</f>
        <v>noviembre</v>
      </c>
      <c r="G1404" s="7" t="str">
        <f aca="false">E1404&amp;"-"&amp;RIGHT(B1404,2)</f>
        <v>nov-26</v>
      </c>
    </row>
    <row r="1405" customFormat="false" ht="15" hidden="false" customHeight="false" outlineLevel="0" collapsed="false">
      <c r="A1405" s="8" t="n">
        <f aca="false">A1404+1</f>
        <v>46330</v>
      </c>
      <c r="B1405" s="7" t="n">
        <f aca="false">YEAR(A1405)</f>
        <v>2026</v>
      </c>
      <c r="C1405" s="7" t="n">
        <f aca="false">MONTH(A1405)</f>
        <v>11</v>
      </c>
      <c r="D1405" s="8" t="n">
        <f aca="false">DATE(B1405,C1405,1)</f>
        <v>46327</v>
      </c>
      <c r="E1405" s="7" t="str">
        <f aca="false">CHOOSE(C1405,"ene","feb","mar","abr","may","jun","jul","ago","sep","oct","nov","dic")</f>
        <v>nov</v>
      </c>
      <c r="F1405" s="7" t="str">
        <f aca="false">CHOOSE(C1405,"enero","febrero","marzo","abril","mayo","junio","julio","agosto","septiembre","octubre","noviembre","diciembre")</f>
        <v>noviembre</v>
      </c>
      <c r="G1405" s="7" t="str">
        <f aca="false">E1405&amp;"-"&amp;RIGHT(B1405,2)</f>
        <v>nov-26</v>
      </c>
    </row>
    <row r="1406" customFormat="false" ht="15" hidden="false" customHeight="false" outlineLevel="0" collapsed="false">
      <c r="A1406" s="8" t="n">
        <f aca="false">A1405+1</f>
        <v>46331</v>
      </c>
      <c r="B1406" s="7" t="n">
        <f aca="false">YEAR(A1406)</f>
        <v>2026</v>
      </c>
      <c r="C1406" s="7" t="n">
        <f aca="false">MONTH(A1406)</f>
        <v>11</v>
      </c>
      <c r="D1406" s="8" t="n">
        <f aca="false">DATE(B1406,C1406,1)</f>
        <v>46327</v>
      </c>
      <c r="E1406" s="7" t="str">
        <f aca="false">CHOOSE(C1406,"ene","feb","mar","abr","may","jun","jul","ago","sep","oct","nov","dic")</f>
        <v>nov</v>
      </c>
      <c r="F1406" s="7" t="str">
        <f aca="false">CHOOSE(C1406,"enero","febrero","marzo","abril","mayo","junio","julio","agosto","septiembre","octubre","noviembre","diciembre")</f>
        <v>noviembre</v>
      </c>
      <c r="G1406" s="7" t="str">
        <f aca="false">E1406&amp;"-"&amp;RIGHT(B1406,2)</f>
        <v>nov-26</v>
      </c>
    </row>
    <row r="1407" customFormat="false" ht="15" hidden="false" customHeight="false" outlineLevel="0" collapsed="false">
      <c r="A1407" s="8" t="n">
        <f aca="false">A1406+1</f>
        <v>46332</v>
      </c>
      <c r="B1407" s="7" t="n">
        <f aca="false">YEAR(A1407)</f>
        <v>2026</v>
      </c>
      <c r="C1407" s="7" t="n">
        <f aca="false">MONTH(A1407)</f>
        <v>11</v>
      </c>
      <c r="D1407" s="8" t="n">
        <f aca="false">DATE(B1407,C1407,1)</f>
        <v>46327</v>
      </c>
      <c r="E1407" s="7" t="str">
        <f aca="false">CHOOSE(C1407,"ene","feb","mar","abr","may","jun","jul","ago","sep","oct","nov","dic")</f>
        <v>nov</v>
      </c>
      <c r="F1407" s="7" t="str">
        <f aca="false">CHOOSE(C1407,"enero","febrero","marzo","abril","mayo","junio","julio","agosto","septiembre","octubre","noviembre","diciembre")</f>
        <v>noviembre</v>
      </c>
      <c r="G1407" s="7" t="str">
        <f aca="false">E1407&amp;"-"&amp;RIGHT(B1407,2)</f>
        <v>nov-26</v>
      </c>
    </row>
    <row r="1408" customFormat="false" ht="15" hidden="false" customHeight="false" outlineLevel="0" collapsed="false">
      <c r="A1408" s="8" t="n">
        <f aca="false">A1407+1</f>
        <v>46333</v>
      </c>
      <c r="B1408" s="7" t="n">
        <f aca="false">YEAR(A1408)</f>
        <v>2026</v>
      </c>
      <c r="C1408" s="7" t="n">
        <f aca="false">MONTH(A1408)</f>
        <v>11</v>
      </c>
      <c r="D1408" s="8" t="n">
        <f aca="false">DATE(B1408,C1408,1)</f>
        <v>46327</v>
      </c>
      <c r="E1408" s="7" t="str">
        <f aca="false">CHOOSE(C1408,"ene","feb","mar","abr","may","jun","jul","ago","sep","oct","nov","dic")</f>
        <v>nov</v>
      </c>
      <c r="F1408" s="7" t="str">
        <f aca="false">CHOOSE(C1408,"enero","febrero","marzo","abril","mayo","junio","julio","agosto","septiembre","octubre","noviembre","diciembre")</f>
        <v>noviembre</v>
      </c>
      <c r="G1408" s="7" t="str">
        <f aca="false">E1408&amp;"-"&amp;RIGHT(B1408,2)</f>
        <v>nov-26</v>
      </c>
    </row>
    <row r="1409" customFormat="false" ht="15" hidden="false" customHeight="false" outlineLevel="0" collapsed="false">
      <c r="A1409" s="8" t="n">
        <f aca="false">A1408+1</f>
        <v>46334</v>
      </c>
      <c r="B1409" s="7" t="n">
        <f aca="false">YEAR(A1409)</f>
        <v>2026</v>
      </c>
      <c r="C1409" s="7" t="n">
        <f aca="false">MONTH(A1409)</f>
        <v>11</v>
      </c>
      <c r="D1409" s="8" t="n">
        <f aca="false">DATE(B1409,C1409,1)</f>
        <v>46327</v>
      </c>
      <c r="E1409" s="7" t="str">
        <f aca="false">CHOOSE(C1409,"ene","feb","mar","abr","may","jun","jul","ago","sep","oct","nov","dic")</f>
        <v>nov</v>
      </c>
      <c r="F1409" s="7" t="str">
        <f aca="false">CHOOSE(C1409,"enero","febrero","marzo","abril","mayo","junio","julio","agosto","septiembre","octubre","noviembre","diciembre")</f>
        <v>noviembre</v>
      </c>
      <c r="G1409" s="7" t="str">
        <f aca="false">E1409&amp;"-"&amp;RIGHT(B1409,2)</f>
        <v>nov-26</v>
      </c>
    </row>
    <row r="1410" customFormat="false" ht="15" hidden="false" customHeight="false" outlineLevel="0" collapsed="false">
      <c r="A1410" s="8" t="n">
        <f aca="false">A1409+1</f>
        <v>46335</v>
      </c>
      <c r="B1410" s="7" t="n">
        <f aca="false">YEAR(A1410)</f>
        <v>2026</v>
      </c>
      <c r="C1410" s="7" t="n">
        <f aca="false">MONTH(A1410)</f>
        <v>11</v>
      </c>
      <c r="D1410" s="8" t="n">
        <f aca="false">DATE(B1410,C1410,1)</f>
        <v>46327</v>
      </c>
      <c r="E1410" s="7" t="str">
        <f aca="false">CHOOSE(C1410,"ene","feb","mar","abr","may","jun","jul","ago","sep","oct","nov","dic")</f>
        <v>nov</v>
      </c>
      <c r="F1410" s="7" t="str">
        <f aca="false">CHOOSE(C1410,"enero","febrero","marzo","abril","mayo","junio","julio","agosto","septiembre","octubre","noviembre","diciembre")</f>
        <v>noviembre</v>
      </c>
      <c r="G1410" s="7" t="str">
        <f aca="false">E1410&amp;"-"&amp;RIGHT(B1410,2)</f>
        <v>nov-26</v>
      </c>
    </row>
    <row r="1411" customFormat="false" ht="15" hidden="false" customHeight="false" outlineLevel="0" collapsed="false">
      <c r="A1411" s="8" t="n">
        <f aca="false">A1410+1</f>
        <v>46336</v>
      </c>
      <c r="B1411" s="7" t="n">
        <f aca="false">YEAR(A1411)</f>
        <v>2026</v>
      </c>
      <c r="C1411" s="7" t="n">
        <f aca="false">MONTH(A1411)</f>
        <v>11</v>
      </c>
      <c r="D1411" s="8" t="n">
        <f aca="false">DATE(B1411,C1411,1)</f>
        <v>46327</v>
      </c>
      <c r="E1411" s="7" t="str">
        <f aca="false">CHOOSE(C1411,"ene","feb","mar","abr","may","jun","jul","ago","sep","oct","nov","dic")</f>
        <v>nov</v>
      </c>
      <c r="F1411" s="7" t="str">
        <f aca="false">CHOOSE(C1411,"enero","febrero","marzo","abril","mayo","junio","julio","agosto","septiembre","octubre","noviembre","diciembre")</f>
        <v>noviembre</v>
      </c>
      <c r="G1411" s="7" t="str">
        <f aca="false">E1411&amp;"-"&amp;RIGHT(B1411,2)</f>
        <v>nov-26</v>
      </c>
    </row>
    <row r="1412" customFormat="false" ht="15" hidden="false" customHeight="false" outlineLevel="0" collapsed="false">
      <c r="A1412" s="8" t="n">
        <f aca="false">A1411+1</f>
        <v>46337</v>
      </c>
      <c r="B1412" s="7" t="n">
        <f aca="false">YEAR(A1412)</f>
        <v>2026</v>
      </c>
      <c r="C1412" s="7" t="n">
        <f aca="false">MONTH(A1412)</f>
        <v>11</v>
      </c>
      <c r="D1412" s="8" t="n">
        <f aca="false">DATE(B1412,C1412,1)</f>
        <v>46327</v>
      </c>
      <c r="E1412" s="7" t="str">
        <f aca="false">CHOOSE(C1412,"ene","feb","mar","abr","may","jun","jul","ago","sep","oct","nov","dic")</f>
        <v>nov</v>
      </c>
      <c r="F1412" s="7" t="str">
        <f aca="false">CHOOSE(C1412,"enero","febrero","marzo","abril","mayo","junio","julio","agosto","septiembre","octubre","noviembre","diciembre")</f>
        <v>noviembre</v>
      </c>
      <c r="G1412" s="7" t="str">
        <f aca="false">E1412&amp;"-"&amp;RIGHT(B1412,2)</f>
        <v>nov-26</v>
      </c>
    </row>
    <row r="1413" customFormat="false" ht="15" hidden="false" customHeight="false" outlineLevel="0" collapsed="false">
      <c r="A1413" s="8" t="n">
        <f aca="false">A1412+1</f>
        <v>46338</v>
      </c>
      <c r="B1413" s="7" t="n">
        <f aca="false">YEAR(A1413)</f>
        <v>2026</v>
      </c>
      <c r="C1413" s="7" t="n">
        <f aca="false">MONTH(A1413)</f>
        <v>11</v>
      </c>
      <c r="D1413" s="8" t="n">
        <f aca="false">DATE(B1413,C1413,1)</f>
        <v>46327</v>
      </c>
      <c r="E1413" s="7" t="str">
        <f aca="false">CHOOSE(C1413,"ene","feb","mar","abr","may","jun","jul","ago","sep","oct","nov","dic")</f>
        <v>nov</v>
      </c>
      <c r="F1413" s="7" t="str">
        <f aca="false">CHOOSE(C1413,"enero","febrero","marzo","abril","mayo","junio","julio","agosto","septiembre","octubre","noviembre","diciembre")</f>
        <v>noviembre</v>
      </c>
      <c r="G1413" s="7" t="str">
        <f aca="false">E1413&amp;"-"&amp;RIGHT(B1413,2)</f>
        <v>nov-26</v>
      </c>
    </row>
    <row r="1414" customFormat="false" ht="15" hidden="false" customHeight="false" outlineLevel="0" collapsed="false">
      <c r="A1414" s="8" t="n">
        <f aca="false">A1413+1</f>
        <v>46339</v>
      </c>
      <c r="B1414" s="7" t="n">
        <f aca="false">YEAR(A1414)</f>
        <v>2026</v>
      </c>
      <c r="C1414" s="7" t="n">
        <f aca="false">MONTH(A1414)</f>
        <v>11</v>
      </c>
      <c r="D1414" s="8" t="n">
        <f aca="false">DATE(B1414,C1414,1)</f>
        <v>46327</v>
      </c>
      <c r="E1414" s="7" t="str">
        <f aca="false">CHOOSE(C1414,"ene","feb","mar","abr","may","jun","jul","ago","sep","oct","nov","dic")</f>
        <v>nov</v>
      </c>
      <c r="F1414" s="7" t="str">
        <f aca="false">CHOOSE(C1414,"enero","febrero","marzo","abril","mayo","junio","julio","agosto","septiembre","octubre","noviembre","diciembre")</f>
        <v>noviembre</v>
      </c>
      <c r="G1414" s="7" t="str">
        <f aca="false">E1414&amp;"-"&amp;RIGHT(B1414,2)</f>
        <v>nov-26</v>
      </c>
    </row>
    <row r="1415" customFormat="false" ht="15" hidden="false" customHeight="false" outlineLevel="0" collapsed="false">
      <c r="A1415" s="8" t="n">
        <f aca="false">A1414+1</f>
        <v>46340</v>
      </c>
      <c r="B1415" s="7" t="n">
        <f aca="false">YEAR(A1415)</f>
        <v>2026</v>
      </c>
      <c r="C1415" s="7" t="n">
        <f aca="false">MONTH(A1415)</f>
        <v>11</v>
      </c>
      <c r="D1415" s="8" t="n">
        <f aca="false">DATE(B1415,C1415,1)</f>
        <v>46327</v>
      </c>
      <c r="E1415" s="7" t="str">
        <f aca="false">CHOOSE(C1415,"ene","feb","mar","abr","may","jun","jul","ago","sep","oct","nov","dic")</f>
        <v>nov</v>
      </c>
      <c r="F1415" s="7" t="str">
        <f aca="false">CHOOSE(C1415,"enero","febrero","marzo","abril","mayo","junio","julio","agosto","septiembre","octubre","noviembre","diciembre")</f>
        <v>noviembre</v>
      </c>
      <c r="G1415" s="7" t="str">
        <f aca="false">E1415&amp;"-"&amp;RIGHT(B1415,2)</f>
        <v>nov-26</v>
      </c>
    </row>
    <row r="1416" customFormat="false" ht="15" hidden="false" customHeight="false" outlineLevel="0" collapsed="false">
      <c r="A1416" s="8" t="n">
        <f aca="false">A1415+1</f>
        <v>46341</v>
      </c>
      <c r="B1416" s="7" t="n">
        <f aca="false">YEAR(A1416)</f>
        <v>2026</v>
      </c>
      <c r="C1416" s="7" t="n">
        <f aca="false">MONTH(A1416)</f>
        <v>11</v>
      </c>
      <c r="D1416" s="8" t="n">
        <f aca="false">DATE(B1416,C1416,1)</f>
        <v>46327</v>
      </c>
      <c r="E1416" s="7" t="str">
        <f aca="false">CHOOSE(C1416,"ene","feb","mar","abr","may","jun","jul","ago","sep","oct","nov","dic")</f>
        <v>nov</v>
      </c>
      <c r="F1416" s="7" t="str">
        <f aca="false">CHOOSE(C1416,"enero","febrero","marzo","abril","mayo","junio","julio","agosto","septiembre","octubre","noviembre","diciembre")</f>
        <v>noviembre</v>
      </c>
      <c r="G1416" s="7" t="str">
        <f aca="false">E1416&amp;"-"&amp;RIGHT(B1416,2)</f>
        <v>nov-26</v>
      </c>
    </row>
    <row r="1417" customFormat="false" ht="15" hidden="false" customHeight="false" outlineLevel="0" collapsed="false">
      <c r="A1417" s="8" t="n">
        <f aca="false">A1416+1</f>
        <v>46342</v>
      </c>
      <c r="B1417" s="7" t="n">
        <f aca="false">YEAR(A1417)</f>
        <v>2026</v>
      </c>
      <c r="C1417" s="7" t="n">
        <f aca="false">MONTH(A1417)</f>
        <v>11</v>
      </c>
      <c r="D1417" s="8" t="n">
        <f aca="false">DATE(B1417,C1417,1)</f>
        <v>46327</v>
      </c>
      <c r="E1417" s="7" t="str">
        <f aca="false">CHOOSE(C1417,"ene","feb","mar","abr","may","jun","jul","ago","sep","oct","nov","dic")</f>
        <v>nov</v>
      </c>
      <c r="F1417" s="7" t="str">
        <f aca="false">CHOOSE(C1417,"enero","febrero","marzo","abril","mayo","junio","julio","agosto","septiembre","octubre","noviembre","diciembre")</f>
        <v>noviembre</v>
      </c>
      <c r="G1417" s="7" t="str">
        <f aca="false">E1417&amp;"-"&amp;RIGHT(B1417,2)</f>
        <v>nov-26</v>
      </c>
    </row>
    <row r="1418" customFormat="false" ht="15" hidden="false" customHeight="false" outlineLevel="0" collapsed="false">
      <c r="A1418" s="8" t="n">
        <f aca="false">A1417+1</f>
        <v>46343</v>
      </c>
      <c r="B1418" s="7" t="n">
        <f aca="false">YEAR(A1418)</f>
        <v>2026</v>
      </c>
      <c r="C1418" s="7" t="n">
        <f aca="false">MONTH(A1418)</f>
        <v>11</v>
      </c>
      <c r="D1418" s="8" t="n">
        <f aca="false">DATE(B1418,C1418,1)</f>
        <v>46327</v>
      </c>
      <c r="E1418" s="7" t="str">
        <f aca="false">CHOOSE(C1418,"ene","feb","mar","abr","may","jun","jul","ago","sep","oct","nov","dic")</f>
        <v>nov</v>
      </c>
      <c r="F1418" s="7" t="str">
        <f aca="false">CHOOSE(C1418,"enero","febrero","marzo","abril","mayo","junio","julio","agosto","septiembre","octubre","noviembre","diciembre")</f>
        <v>noviembre</v>
      </c>
      <c r="G1418" s="7" t="str">
        <f aca="false">E1418&amp;"-"&amp;RIGHT(B1418,2)</f>
        <v>nov-26</v>
      </c>
    </row>
    <row r="1419" customFormat="false" ht="15" hidden="false" customHeight="false" outlineLevel="0" collapsed="false">
      <c r="A1419" s="8" t="n">
        <f aca="false">A1418+1</f>
        <v>46344</v>
      </c>
      <c r="B1419" s="7" t="n">
        <f aca="false">YEAR(A1419)</f>
        <v>2026</v>
      </c>
      <c r="C1419" s="7" t="n">
        <f aca="false">MONTH(A1419)</f>
        <v>11</v>
      </c>
      <c r="D1419" s="8" t="n">
        <f aca="false">DATE(B1419,C1419,1)</f>
        <v>46327</v>
      </c>
      <c r="E1419" s="7" t="str">
        <f aca="false">CHOOSE(C1419,"ene","feb","mar","abr","may","jun","jul","ago","sep","oct","nov","dic")</f>
        <v>nov</v>
      </c>
      <c r="F1419" s="7" t="str">
        <f aca="false">CHOOSE(C1419,"enero","febrero","marzo","abril","mayo","junio","julio","agosto","septiembre","octubre","noviembre","diciembre")</f>
        <v>noviembre</v>
      </c>
      <c r="G1419" s="7" t="str">
        <f aca="false">E1419&amp;"-"&amp;RIGHT(B1419,2)</f>
        <v>nov-26</v>
      </c>
    </row>
    <row r="1420" customFormat="false" ht="15" hidden="false" customHeight="false" outlineLevel="0" collapsed="false">
      <c r="A1420" s="8" t="n">
        <f aca="false">A1419+1</f>
        <v>46345</v>
      </c>
      <c r="B1420" s="7" t="n">
        <f aca="false">YEAR(A1420)</f>
        <v>2026</v>
      </c>
      <c r="C1420" s="7" t="n">
        <f aca="false">MONTH(A1420)</f>
        <v>11</v>
      </c>
      <c r="D1420" s="8" t="n">
        <f aca="false">DATE(B1420,C1420,1)</f>
        <v>46327</v>
      </c>
      <c r="E1420" s="7" t="str">
        <f aca="false">CHOOSE(C1420,"ene","feb","mar","abr","may","jun","jul","ago","sep","oct","nov","dic")</f>
        <v>nov</v>
      </c>
      <c r="F1420" s="7" t="str">
        <f aca="false">CHOOSE(C1420,"enero","febrero","marzo","abril","mayo","junio","julio","agosto","septiembre","octubre","noviembre","diciembre")</f>
        <v>noviembre</v>
      </c>
      <c r="G1420" s="7" t="str">
        <f aca="false">E1420&amp;"-"&amp;RIGHT(B1420,2)</f>
        <v>nov-26</v>
      </c>
    </row>
    <row r="1421" customFormat="false" ht="15" hidden="false" customHeight="false" outlineLevel="0" collapsed="false">
      <c r="A1421" s="8" t="n">
        <f aca="false">A1420+1</f>
        <v>46346</v>
      </c>
      <c r="B1421" s="7" t="n">
        <f aca="false">YEAR(A1421)</f>
        <v>2026</v>
      </c>
      <c r="C1421" s="7" t="n">
        <f aca="false">MONTH(A1421)</f>
        <v>11</v>
      </c>
      <c r="D1421" s="8" t="n">
        <f aca="false">DATE(B1421,C1421,1)</f>
        <v>46327</v>
      </c>
      <c r="E1421" s="7" t="str">
        <f aca="false">CHOOSE(C1421,"ene","feb","mar","abr","may","jun","jul","ago","sep","oct","nov","dic")</f>
        <v>nov</v>
      </c>
      <c r="F1421" s="7" t="str">
        <f aca="false">CHOOSE(C1421,"enero","febrero","marzo","abril","mayo","junio","julio","agosto","septiembre","octubre","noviembre","diciembre")</f>
        <v>noviembre</v>
      </c>
      <c r="G1421" s="7" t="str">
        <f aca="false">E1421&amp;"-"&amp;RIGHT(B1421,2)</f>
        <v>nov-26</v>
      </c>
    </row>
    <row r="1422" customFormat="false" ht="15" hidden="false" customHeight="false" outlineLevel="0" collapsed="false">
      <c r="A1422" s="8" t="n">
        <f aca="false">A1421+1</f>
        <v>46347</v>
      </c>
      <c r="B1422" s="7" t="n">
        <f aca="false">YEAR(A1422)</f>
        <v>2026</v>
      </c>
      <c r="C1422" s="7" t="n">
        <f aca="false">MONTH(A1422)</f>
        <v>11</v>
      </c>
      <c r="D1422" s="8" t="n">
        <f aca="false">DATE(B1422,C1422,1)</f>
        <v>46327</v>
      </c>
      <c r="E1422" s="7" t="str">
        <f aca="false">CHOOSE(C1422,"ene","feb","mar","abr","may","jun","jul","ago","sep","oct","nov","dic")</f>
        <v>nov</v>
      </c>
      <c r="F1422" s="7" t="str">
        <f aca="false">CHOOSE(C1422,"enero","febrero","marzo","abril","mayo","junio","julio","agosto","septiembre","octubre","noviembre","diciembre")</f>
        <v>noviembre</v>
      </c>
      <c r="G1422" s="7" t="str">
        <f aca="false">E1422&amp;"-"&amp;RIGHT(B1422,2)</f>
        <v>nov-26</v>
      </c>
    </row>
    <row r="1423" customFormat="false" ht="15" hidden="false" customHeight="false" outlineLevel="0" collapsed="false">
      <c r="A1423" s="8" t="n">
        <f aca="false">A1422+1</f>
        <v>46348</v>
      </c>
      <c r="B1423" s="7" t="n">
        <f aca="false">YEAR(A1423)</f>
        <v>2026</v>
      </c>
      <c r="C1423" s="7" t="n">
        <f aca="false">MONTH(A1423)</f>
        <v>11</v>
      </c>
      <c r="D1423" s="8" t="n">
        <f aca="false">DATE(B1423,C1423,1)</f>
        <v>46327</v>
      </c>
      <c r="E1423" s="7" t="str">
        <f aca="false">CHOOSE(C1423,"ene","feb","mar","abr","may","jun","jul","ago","sep","oct","nov","dic")</f>
        <v>nov</v>
      </c>
      <c r="F1423" s="7" t="str">
        <f aca="false">CHOOSE(C1423,"enero","febrero","marzo","abril","mayo","junio","julio","agosto","septiembre","octubre","noviembre","diciembre")</f>
        <v>noviembre</v>
      </c>
      <c r="G1423" s="7" t="str">
        <f aca="false">E1423&amp;"-"&amp;RIGHT(B1423,2)</f>
        <v>nov-26</v>
      </c>
    </row>
    <row r="1424" customFormat="false" ht="15" hidden="false" customHeight="false" outlineLevel="0" collapsed="false">
      <c r="A1424" s="8" t="n">
        <f aca="false">A1423+1</f>
        <v>46349</v>
      </c>
      <c r="B1424" s="7" t="n">
        <f aca="false">YEAR(A1424)</f>
        <v>2026</v>
      </c>
      <c r="C1424" s="7" t="n">
        <f aca="false">MONTH(A1424)</f>
        <v>11</v>
      </c>
      <c r="D1424" s="8" t="n">
        <f aca="false">DATE(B1424,C1424,1)</f>
        <v>46327</v>
      </c>
      <c r="E1424" s="7" t="str">
        <f aca="false">CHOOSE(C1424,"ene","feb","mar","abr","may","jun","jul","ago","sep","oct","nov","dic")</f>
        <v>nov</v>
      </c>
      <c r="F1424" s="7" t="str">
        <f aca="false">CHOOSE(C1424,"enero","febrero","marzo","abril","mayo","junio","julio","agosto","septiembre","octubre","noviembre","diciembre")</f>
        <v>noviembre</v>
      </c>
      <c r="G1424" s="7" t="str">
        <f aca="false">E1424&amp;"-"&amp;RIGHT(B1424,2)</f>
        <v>nov-26</v>
      </c>
    </row>
    <row r="1425" customFormat="false" ht="15" hidden="false" customHeight="false" outlineLevel="0" collapsed="false">
      <c r="A1425" s="8" t="n">
        <f aca="false">A1424+1</f>
        <v>46350</v>
      </c>
      <c r="B1425" s="7" t="n">
        <f aca="false">YEAR(A1425)</f>
        <v>2026</v>
      </c>
      <c r="C1425" s="7" t="n">
        <f aca="false">MONTH(A1425)</f>
        <v>11</v>
      </c>
      <c r="D1425" s="8" t="n">
        <f aca="false">DATE(B1425,C1425,1)</f>
        <v>46327</v>
      </c>
      <c r="E1425" s="7" t="str">
        <f aca="false">CHOOSE(C1425,"ene","feb","mar","abr","may","jun","jul","ago","sep","oct","nov","dic")</f>
        <v>nov</v>
      </c>
      <c r="F1425" s="7" t="str">
        <f aca="false">CHOOSE(C1425,"enero","febrero","marzo","abril","mayo","junio","julio","agosto","septiembre","octubre","noviembre","diciembre")</f>
        <v>noviembre</v>
      </c>
      <c r="G1425" s="7" t="str">
        <f aca="false">E1425&amp;"-"&amp;RIGHT(B1425,2)</f>
        <v>nov-26</v>
      </c>
    </row>
    <row r="1426" customFormat="false" ht="15" hidden="false" customHeight="false" outlineLevel="0" collapsed="false">
      <c r="A1426" s="8" t="n">
        <f aca="false">A1425+1</f>
        <v>46351</v>
      </c>
      <c r="B1426" s="7" t="n">
        <f aca="false">YEAR(A1426)</f>
        <v>2026</v>
      </c>
      <c r="C1426" s="7" t="n">
        <f aca="false">MONTH(A1426)</f>
        <v>11</v>
      </c>
      <c r="D1426" s="8" t="n">
        <f aca="false">DATE(B1426,C1426,1)</f>
        <v>46327</v>
      </c>
      <c r="E1426" s="7" t="str">
        <f aca="false">CHOOSE(C1426,"ene","feb","mar","abr","may","jun","jul","ago","sep","oct","nov","dic")</f>
        <v>nov</v>
      </c>
      <c r="F1426" s="7" t="str">
        <f aca="false">CHOOSE(C1426,"enero","febrero","marzo","abril","mayo","junio","julio","agosto","septiembre","octubre","noviembre","diciembre")</f>
        <v>noviembre</v>
      </c>
      <c r="G1426" s="7" t="str">
        <f aca="false">E1426&amp;"-"&amp;RIGHT(B1426,2)</f>
        <v>nov-26</v>
      </c>
    </row>
    <row r="1427" customFormat="false" ht="15" hidden="false" customHeight="false" outlineLevel="0" collapsed="false">
      <c r="A1427" s="8" t="n">
        <f aca="false">A1426+1</f>
        <v>46352</v>
      </c>
      <c r="B1427" s="7" t="n">
        <f aca="false">YEAR(A1427)</f>
        <v>2026</v>
      </c>
      <c r="C1427" s="7" t="n">
        <f aca="false">MONTH(A1427)</f>
        <v>11</v>
      </c>
      <c r="D1427" s="8" t="n">
        <f aca="false">DATE(B1427,C1427,1)</f>
        <v>46327</v>
      </c>
      <c r="E1427" s="7" t="str">
        <f aca="false">CHOOSE(C1427,"ene","feb","mar","abr","may","jun","jul","ago","sep","oct","nov","dic")</f>
        <v>nov</v>
      </c>
      <c r="F1427" s="7" t="str">
        <f aca="false">CHOOSE(C1427,"enero","febrero","marzo","abril","mayo","junio","julio","agosto","septiembre","octubre","noviembre","diciembre")</f>
        <v>noviembre</v>
      </c>
      <c r="G1427" s="7" t="str">
        <f aca="false">E1427&amp;"-"&amp;RIGHT(B1427,2)</f>
        <v>nov-26</v>
      </c>
    </row>
    <row r="1428" customFormat="false" ht="15" hidden="false" customHeight="false" outlineLevel="0" collapsed="false">
      <c r="A1428" s="8" t="n">
        <f aca="false">A1427+1</f>
        <v>46353</v>
      </c>
      <c r="B1428" s="7" t="n">
        <f aca="false">YEAR(A1428)</f>
        <v>2026</v>
      </c>
      <c r="C1428" s="7" t="n">
        <f aca="false">MONTH(A1428)</f>
        <v>11</v>
      </c>
      <c r="D1428" s="8" t="n">
        <f aca="false">DATE(B1428,C1428,1)</f>
        <v>46327</v>
      </c>
      <c r="E1428" s="7" t="str">
        <f aca="false">CHOOSE(C1428,"ene","feb","mar","abr","may","jun","jul","ago","sep","oct","nov","dic")</f>
        <v>nov</v>
      </c>
      <c r="F1428" s="7" t="str">
        <f aca="false">CHOOSE(C1428,"enero","febrero","marzo","abril","mayo","junio","julio","agosto","septiembre","octubre","noviembre","diciembre")</f>
        <v>noviembre</v>
      </c>
      <c r="G1428" s="7" t="str">
        <f aca="false">E1428&amp;"-"&amp;RIGHT(B1428,2)</f>
        <v>nov-26</v>
      </c>
    </row>
    <row r="1429" customFormat="false" ht="15" hidden="false" customHeight="false" outlineLevel="0" collapsed="false">
      <c r="A1429" s="8" t="n">
        <f aca="false">A1428+1</f>
        <v>46354</v>
      </c>
      <c r="B1429" s="7" t="n">
        <f aca="false">YEAR(A1429)</f>
        <v>2026</v>
      </c>
      <c r="C1429" s="7" t="n">
        <f aca="false">MONTH(A1429)</f>
        <v>11</v>
      </c>
      <c r="D1429" s="8" t="n">
        <f aca="false">DATE(B1429,C1429,1)</f>
        <v>46327</v>
      </c>
      <c r="E1429" s="7" t="str">
        <f aca="false">CHOOSE(C1429,"ene","feb","mar","abr","may","jun","jul","ago","sep","oct","nov","dic")</f>
        <v>nov</v>
      </c>
      <c r="F1429" s="7" t="str">
        <f aca="false">CHOOSE(C1429,"enero","febrero","marzo","abril","mayo","junio","julio","agosto","septiembre","octubre","noviembre","diciembre")</f>
        <v>noviembre</v>
      </c>
      <c r="G1429" s="7" t="str">
        <f aca="false">E1429&amp;"-"&amp;RIGHT(B1429,2)</f>
        <v>nov-26</v>
      </c>
    </row>
    <row r="1430" customFormat="false" ht="15" hidden="false" customHeight="false" outlineLevel="0" collapsed="false">
      <c r="A1430" s="8" t="n">
        <f aca="false">A1429+1</f>
        <v>46355</v>
      </c>
      <c r="B1430" s="7" t="n">
        <f aca="false">YEAR(A1430)</f>
        <v>2026</v>
      </c>
      <c r="C1430" s="7" t="n">
        <f aca="false">MONTH(A1430)</f>
        <v>11</v>
      </c>
      <c r="D1430" s="8" t="n">
        <f aca="false">DATE(B1430,C1430,1)</f>
        <v>46327</v>
      </c>
      <c r="E1430" s="7" t="str">
        <f aca="false">CHOOSE(C1430,"ene","feb","mar","abr","may","jun","jul","ago","sep","oct","nov","dic")</f>
        <v>nov</v>
      </c>
      <c r="F1430" s="7" t="str">
        <f aca="false">CHOOSE(C1430,"enero","febrero","marzo","abril","mayo","junio","julio","agosto","septiembre","octubre","noviembre","diciembre")</f>
        <v>noviembre</v>
      </c>
      <c r="G1430" s="7" t="str">
        <f aca="false">E1430&amp;"-"&amp;RIGHT(B1430,2)</f>
        <v>nov-26</v>
      </c>
    </row>
    <row r="1431" customFormat="false" ht="15" hidden="false" customHeight="false" outlineLevel="0" collapsed="false">
      <c r="A1431" s="8" t="n">
        <f aca="false">A1430+1</f>
        <v>46356</v>
      </c>
      <c r="B1431" s="7" t="n">
        <f aca="false">YEAR(A1431)</f>
        <v>2026</v>
      </c>
      <c r="C1431" s="7" t="n">
        <f aca="false">MONTH(A1431)</f>
        <v>11</v>
      </c>
      <c r="D1431" s="8" t="n">
        <f aca="false">DATE(B1431,C1431,1)</f>
        <v>46327</v>
      </c>
      <c r="E1431" s="7" t="str">
        <f aca="false">CHOOSE(C1431,"ene","feb","mar","abr","may","jun","jul","ago","sep","oct","nov","dic")</f>
        <v>nov</v>
      </c>
      <c r="F1431" s="7" t="str">
        <f aca="false">CHOOSE(C1431,"enero","febrero","marzo","abril","mayo","junio","julio","agosto","septiembre","octubre","noviembre","diciembre")</f>
        <v>noviembre</v>
      </c>
      <c r="G1431" s="7" t="str">
        <f aca="false">E1431&amp;"-"&amp;RIGHT(B1431,2)</f>
        <v>nov-26</v>
      </c>
    </row>
    <row r="1432" customFormat="false" ht="15" hidden="false" customHeight="false" outlineLevel="0" collapsed="false">
      <c r="A1432" s="8" t="n">
        <f aca="false">A1431+1</f>
        <v>46357</v>
      </c>
      <c r="B1432" s="7" t="n">
        <f aca="false">YEAR(A1432)</f>
        <v>2026</v>
      </c>
      <c r="C1432" s="7" t="n">
        <f aca="false">MONTH(A1432)</f>
        <v>12</v>
      </c>
      <c r="D1432" s="8" t="n">
        <f aca="false">DATE(B1432,C1432,1)</f>
        <v>46357</v>
      </c>
      <c r="E1432" s="7" t="str">
        <f aca="false">CHOOSE(C1432,"ene","feb","mar","abr","may","jun","jul","ago","sep","oct","nov","dic")</f>
        <v>dic</v>
      </c>
      <c r="F1432" s="7" t="str">
        <f aca="false">CHOOSE(C1432,"enero","febrero","marzo","abril","mayo","junio","julio","agosto","septiembre","octubre","noviembre","diciembre")</f>
        <v>diciembre</v>
      </c>
      <c r="G1432" s="7" t="str">
        <f aca="false">E1432&amp;"-"&amp;RIGHT(B1432,2)</f>
        <v>dic-26</v>
      </c>
    </row>
    <row r="1433" customFormat="false" ht="15" hidden="false" customHeight="false" outlineLevel="0" collapsed="false">
      <c r="A1433" s="8" t="n">
        <f aca="false">A1432+1</f>
        <v>46358</v>
      </c>
      <c r="B1433" s="7" t="n">
        <f aca="false">YEAR(A1433)</f>
        <v>2026</v>
      </c>
      <c r="C1433" s="7" t="n">
        <f aca="false">MONTH(A1433)</f>
        <v>12</v>
      </c>
      <c r="D1433" s="8" t="n">
        <f aca="false">DATE(B1433,C1433,1)</f>
        <v>46357</v>
      </c>
      <c r="E1433" s="7" t="str">
        <f aca="false">CHOOSE(C1433,"ene","feb","mar","abr","may","jun","jul","ago","sep","oct","nov","dic")</f>
        <v>dic</v>
      </c>
      <c r="F1433" s="7" t="str">
        <f aca="false">CHOOSE(C1433,"enero","febrero","marzo","abril","mayo","junio","julio","agosto","septiembre","octubre","noviembre","diciembre")</f>
        <v>diciembre</v>
      </c>
      <c r="G1433" s="7" t="str">
        <f aca="false">E1433&amp;"-"&amp;RIGHT(B1433,2)</f>
        <v>dic-26</v>
      </c>
    </row>
    <row r="1434" customFormat="false" ht="15" hidden="false" customHeight="false" outlineLevel="0" collapsed="false">
      <c r="A1434" s="8" t="n">
        <f aca="false">A1433+1</f>
        <v>46359</v>
      </c>
      <c r="B1434" s="7" t="n">
        <f aca="false">YEAR(A1434)</f>
        <v>2026</v>
      </c>
      <c r="C1434" s="7" t="n">
        <f aca="false">MONTH(A1434)</f>
        <v>12</v>
      </c>
      <c r="D1434" s="8" t="n">
        <f aca="false">DATE(B1434,C1434,1)</f>
        <v>46357</v>
      </c>
      <c r="E1434" s="7" t="str">
        <f aca="false">CHOOSE(C1434,"ene","feb","mar","abr","may","jun","jul","ago","sep","oct","nov","dic")</f>
        <v>dic</v>
      </c>
      <c r="F1434" s="7" t="str">
        <f aca="false">CHOOSE(C1434,"enero","febrero","marzo","abril","mayo","junio","julio","agosto","septiembre","octubre","noviembre","diciembre")</f>
        <v>diciembre</v>
      </c>
      <c r="G1434" s="7" t="str">
        <f aca="false">E1434&amp;"-"&amp;RIGHT(B1434,2)</f>
        <v>dic-26</v>
      </c>
    </row>
    <row r="1435" customFormat="false" ht="15" hidden="false" customHeight="false" outlineLevel="0" collapsed="false">
      <c r="A1435" s="8" t="n">
        <f aca="false">A1434+1</f>
        <v>46360</v>
      </c>
      <c r="B1435" s="7" t="n">
        <f aca="false">YEAR(A1435)</f>
        <v>2026</v>
      </c>
      <c r="C1435" s="7" t="n">
        <f aca="false">MONTH(A1435)</f>
        <v>12</v>
      </c>
      <c r="D1435" s="8" t="n">
        <f aca="false">DATE(B1435,C1435,1)</f>
        <v>46357</v>
      </c>
      <c r="E1435" s="7" t="str">
        <f aca="false">CHOOSE(C1435,"ene","feb","mar","abr","may","jun","jul","ago","sep","oct","nov","dic")</f>
        <v>dic</v>
      </c>
      <c r="F1435" s="7" t="str">
        <f aca="false">CHOOSE(C1435,"enero","febrero","marzo","abril","mayo","junio","julio","agosto","septiembre","octubre","noviembre","diciembre")</f>
        <v>diciembre</v>
      </c>
      <c r="G1435" s="7" t="str">
        <f aca="false">E1435&amp;"-"&amp;RIGHT(B1435,2)</f>
        <v>dic-26</v>
      </c>
    </row>
    <row r="1436" customFormat="false" ht="15" hidden="false" customHeight="false" outlineLevel="0" collapsed="false">
      <c r="A1436" s="8" t="n">
        <f aca="false">A1435+1</f>
        <v>46361</v>
      </c>
      <c r="B1436" s="7" t="n">
        <f aca="false">YEAR(A1436)</f>
        <v>2026</v>
      </c>
      <c r="C1436" s="7" t="n">
        <f aca="false">MONTH(A1436)</f>
        <v>12</v>
      </c>
      <c r="D1436" s="8" t="n">
        <f aca="false">DATE(B1436,C1436,1)</f>
        <v>46357</v>
      </c>
      <c r="E1436" s="7" t="str">
        <f aca="false">CHOOSE(C1436,"ene","feb","mar","abr","may","jun","jul","ago","sep","oct","nov","dic")</f>
        <v>dic</v>
      </c>
      <c r="F1436" s="7" t="str">
        <f aca="false">CHOOSE(C1436,"enero","febrero","marzo","abril","mayo","junio","julio","agosto","septiembre","octubre","noviembre","diciembre")</f>
        <v>diciembre</v>
      </c>
      <c r="G1436" s="7" t="str">
        <f aca="false">E1436&amp;"-"&amp;RIGHT(B1436,2)</f>
        <v>dic-26</v>
      </c>
    </row>
    <row r="1437" customFormat="false" ht="15" hidden="false" customHeight="false" outlineLevel="0" collapsed="false">
      <c r="A1437" s="8" t="n">
        <f aca="false">A1436+1</f>
        <v>46362</v>
      </c>
      <c r="B1437" s="7" t="n">
        <f aca="false">YEAR(A1437)</f>
        <v>2026</v>
      </c>
      <c r="C1437" s="7" t="n">
        <f aca="false">MONTH(A1437)</f>
        <v>12</v>
      </c>
      <c r="D1437" s="8" t="n">
        <f aca="false">DATE(B1437,C1437,1)</f>
        <v>46357</v>
      </c>
      <c r="E1437" s="7" t="str">
        <f aca="false">CHOOSE(C1437,"ene","feb","mar","abr","may","jun","jul","ago","sep","oct","nov","dic")</f>
        <v>dic</v>
      </c>
      <c r="F1437" s="7" t="str">
        <f aca="false">CHOOSE(C1437,"enero","febrero","marzo","abril","mayo","junio","julio","agosto","septiembre","octubre","noviembre","diciembre")</f>
        <v>diciembre</v>
      </c>
      <c r="G1437" s="7" t="str">
        <f aca="false">E1437&amp;"-"&amp;RIGHT(B1437,2)</f>
        <v>dic-26</v>
      </c>
    </row>
    <row r="1438" customFormat="false" ht="15" hidden="false" customHeight="false" outlineLevel="0" collapsed="false">
      <c r="A1438" s="8" t="n">
        <f aca="false">A1437+1</f>
        <v>46363</v>
      </c>
      <c r="B1438" s="7" t="n">
        <f aca="false">YEAR(A1438)</f>
        <v>2026</v>
      </c>
      <c r="C1438" s="7" t="n">
        <f aca="false">MONTH(A1438)</f>
        <v>12</v>
      </c>
      <c r="D1438" s="8" t="n">
        <f aca="false">DATE(B1438,C1438,1)</f>
        <v>46357</v>
      </c>
      <c r="E1438" s="7" t="str">
        <f aca="false">CHOOSE(C1438,"ene","feb","mar","abr","may","jun","jul","ago","sep","oct","nov","dic")</f>
        <v>dic</v>
      </c>
      <c r="F1438" s="7" t="str">
        <f aca="false">CHOOSE(C1438,"enero","febrero","marzo","abril","mayo","junio","julio","agosto","septiembre","octubre","noviembre","diciembre")</f>
        <v>diciembre</v>
      </c>
      <c r="G1438" s="7" t="str">
        <f aca="false">E1438&amp;"-"&amp;RIGHT(B1438,2)</f>
        <v>dic-26</v>
      </c>
    </row>
    <row r="1439" customFormat="false" ht="15" hidden="false" customHeight="false" outlineLevel="0" collapsed="false">
      <c r="A1439" s="8" t="n">
        <f aca="false">A1438+1</f>
        <v>46364</v>
      </c>
      <c r="B1439" s="7" t="n">
        <f aca="false">YEAR(A1439)</f>
        <v>2026</v>
      </c>
      <c r="C1439" s="7" t="n">
        <f aca="false">MONTH(A1439)</f>
        <v>12</v>
      </c>
      <c r="D1439" s="8" t="n">
        <f aca="false">DATE(B1439,C1439,1)</f>
        <v>46357</v>
      </c>
      <c r="E1439" s="7" t="str">
        <f aca="false">CHOOSE(C1439,"ene","feb","mar","abr","may","jun","jul","ago","sep","oct","nov","dic")</f>
        <v>dic</v>
      </c>
      <c r="F1439" s="7" t="str">
        <f aca="false">CHOOSE(C1439,"enero","febrero","marzo","abril","mayo","junio","julio","agosto","septiembre","octubre","noviembre","diciembre")</f>
        <v>diciembre</v>
      </c>
      <c r="G1439" s="7" t="str">
        <f aca="false">E1439&amp;"-"&amp;RIGHT(B1439,2)</f>
        <v>dic-26</v>
      </c>
    </row>
    <row r="1440" customFormat="false" ht="15" hidden="false" customHeight="false" outlineLevel="0" collapsed="false">
      <c r="A1440" s="8" t="n">
        <f aca="false">A1439+1</f>
        <v>46365</v>
      </c>
      <c r="B1440" s="7" t="n">
        <f aca="false">YEAR(A1440)</f>
        <v>2026</v>
      </c>
      <c r="C1440" s="7" t="n">
        <f aca="false">MONTH(A1440)</f>
        <v>12</v>
      </c>
      <c r="D1440" s="8" t="n">
        <f aca="false">DATE(B1440,C1440,1)</f>
        <v>46357</v>
      </c>
      <c r="E1440" s="7" t="str">
        <f aca="false">CHOOSE(C1440,"ene","feb","mar","abr","may","jun","jul","ago","sep","oct","nov","dic")</f>
        <v>dic</v>
      </c>
      <c r="F1440" s="7" t="str">
        <f aca="false">CHOOSE(C1440,"enero","febrero","marzo","abril","mayo","junio","julio","agosto","septiembre","octubre","noviembre","diciembre")</f>
        <v>diciembre</v>
      </c>
      <c r="G1440" s="7" t="str">
        <f aca="false">E1440&amp;"-"&amp;RIGHT(B1440,2)</f>
        <v>dic-26</v>
      </c>
    </row>
    <row r="1441" customFormat="false" ht="15" hidden="false" customHeight="false" outlineLevel="0" collapsed="false">
      <c r="A1441" s="8" t="n">
        <f aca="false">A1440+1</f>
        <v>46366</v>
      </c>
      <c r="B1441" s="7" t="n">
        <f aca="false">YEAR(A1441)</f>
        <v>2026</v>
      </c>
      <c r="C1441" s="7" t="n">
        <f aca="false">MONTH(A1441)</f>
        <v>12</v>
      </c>
      <c r="D1441" s="8" t="n">
        <f aca="false">DATE(B1441,C1441,1)</f>
        <v>46357</v>
      </c>
      <c r="E1441" s="7" t="str">
        <f aca="false">CHOOSE(C1441,"ene","feb","mar","abr","may","jun","jul","ago","sep","oct","nov","dic")</f>
        <v>dic</v>
      </c>
      <c r="F1441" s="7" t="str">
        <f aca="false">CHOOSE(C1441,"enero","febrero","marzo","abril","mayo","junio","julio","agosto","septiembre","octubre","noviembre","diciembre")</f>
        <v>diciembre</v>
      </c>
      <c r="G1441" s="7" t="str">
        <f aca="false">E1441&amp;"-"&amp;RIGHT(B1441,2)</f>
        <v>dic-26</v>
      </c>
    </row>
    <row r="1442" customFormat="false" ht="15" hidden="false" customHeight="false" outlineLevel="0" collapsed="false">
      <c r="A1442" s="8" t="n">
        <f aca="false">A1441+1</f>
        <v>46367</v>
      </c>
      <c r="B1442" s="7" t="n">
        <f aca="false">YEAR(A1442)</f>
        <v>2026</v>
      </c>
      <c r="C1442" s="7" t="n">
        <f aca="false">MONTH(A1442)</f>
        <v>12</v>
      </c>
      <c r="D1442" s="8" t="n">
        <f aca="false">DATE(B1442,C1442,1)</f>
        <v>46357</v>
      </c>
      <c r="E1442" s="7" t="str">
        <f aca="false">CHOOSE(C1442,"ene","feb","mar","abr","may","jun","jul","ago","sep","oct","nov","dic")</f>
        <v>dic</v>
      </c>
      <c r="F1442" s="7" t="str">
        <f aca="false">CHOOSE(C1442,"enero","febrero","marzo","abril","mayo","junio","julio","agosto","septiembre","octubre","noviembre","diciembre")</f>
        <v>diciembre</v>
      </c>
      <c r="G1442" s="7" t="str">
        <f aca="false">E1442&amp;"-"&amp;RIGHT(B1442,2)</f>
        <v>dic-26</v>
      </c>
    </row>
    <row r="1443" customFormat="false" ht="15" hidden="false" customHeight="false" outlineLevel="0" collapsed="false">
      <c r="A1443" s="8" t="n">
        <f aca="false">A1442+1</f>
        <v>46368</v>
      </c>
      <c r="B1443" s="7" t="n">
        <f aca="false">YEAR(A1443)</f>
        <v>2026</v>
      </c>
      <c r="C1443" s="7" t="n">
        <f aca="false">MONTH(A1443)</f>
        <v>12</v>
      </c>
      <c r="D1443" s="8" t="n">
        <f aca="false">DATE(B1443,C1443,1)</f>
        <v>46357</v>
      </c>
      <c r="E1443" s="7" t="str">
        <f aca="false">CHOOSE(C1443,"ene","feb","mar","abr","may","jun","jul","ago","sep","oct","nov","dic")</f>
        <v>dic</v>
      </c>
      <c r="F1443" s="7" t="str">
        <f aca="false">CHOOSE(C1443,"enero","febrero","marzo","abril","mayo","junio","julio","agosto","septiembre","octubre","noviembre","diciembre")</f>
        <v>diciembre</v>
      </c>
      <c r="G1443" s="7" t="str">
        <f aca="false">E1443&amp;"-"&amp;RIGHT(B1443,2)</f>
        <v>dic-26</v>
      </c>
    </row>
    <row r="1444" customFormat="false" ht="15" hidden="false" customHeight="false" outlineLevel="0" collapsed="false">
      <c r="A1444" s="8" t="n">
        <f aca="false">A1443+1</f>
        <v>46369</v>
      </c>
      <c r="B1444" s="7" t="n">
        <f aca="false">YEAR(A1444)</f>
        <v>2026</v>
      </c>
      <c r="C1444" s="7" t="n">
        <f aca="false">MONTH(A1444)</f>
        <v>12</v>
      </c>
      <c r="D1444" s="8" t="n">
        <f aca="false">DATE(B1444,C1444,1)</f>
        <v>46357</v>
      </c>
      <c r="E1444" s="7" t="str">
        <f aca="false">CHOOSE(C1444,"ene","feb","mar","abr","may","jun","jul","ago","sep","oct","nov","dic")</f>
        <v>dic</v>
      </c>
      <c r="F1444" s="7" t="str">
        <f aca="false">CHOOSE(C1444,"enero","febrero","marzo","abril","mayo","junio","julio","agosto","septiembre","octubre","noviembre","diciembre")</f>
        <v>diciembre</v>
      </c>
      <c r="G1444" s="7" t="str">
        <f aca="false">E1444&amp;"-"&amp;RIGHT(B1444,2)</f>
        <v>dic-26</v>
      </c>
    </row>
    <row r="1445" customFormat="false" ht="15" hidden="false" customHeight="false" outlineLevel="0" collapsed="false">
      <c r="A1445" s="8" t="n">
        <f aca="false">A1444+1</f>
        <v>46370</v>
      </c>
      <c r="B1445" s="7" t="n">
        <f aca="false">YEAR(A1445)</f>
        <v>2026</v>
      </c>
      <c r="C1445" s="7" t="n">
        <f aca="false">MONTH(A1445)</f>
        <v>12</v>
      </c>
      <c r="D1445" s="8" t="n">
        <f aca="false">DATE(B1445,C1445,1)</f>
        <v>46357</v>
      </c>
      <c r="E1445" s="7" t="str">
        <f aca="false">CHOOSE(C1445,"ene","feb","mar","abr","may","jun","jul","ago","sep","oct","nov","dic")</f>
        <v>dic</v>
      </c>
      <c r="F1445" s="7" t="str">
        <f aca="false">CHOOSE(C1445,"enero","febrero","marzo","abril","mayo","junio","julio","agosto","septiembre","octubre","noviembre","diciembre")</f>
        <v>diciembre</v>
      </c>
      <c r="G1445" s="7" t="str">
        <f aca="false">E1445&amp;"-"&amp;RIGHT(B1445,2)</f>
        <v>dic-26</v>
      </c>
    </row>
    <row r="1446" customFormat="false" ht="15" hidden="false" customHeight="false" outlineLevel="0" collapsed="false">
      <c r="A1446" s="8" t="n">
        <f aca="false">A1445+1</f>
        <v>46371</v>
      </c>
      <c r="B1446" s="7" t="n">
        <f aca="false">YEAR(A1446)</f>
        <v>2026</v>
      </c>
      <c r="C1446" s="7" t="n">
        <f aca="false">MONTH(A1446)</f>
        <v>12</v>
      </c>
      <c r="D1446" s="8" t="n">
        <f aca="false">DATE(B1446,C1446,1)</f>
        <v>46357</v>
      </c>
      <c r="E1446" s="7" t="str">
        <f aca="false">CHOOSE(C1446,"ene","feb","mar","abr","may","jun","jul","ago","sep","oct","nov","dic")</f>
        <v>dic</v>
      </c>
      <c r="F1446" s="7" t="str">
        <f aca="false">CHOOSE(C1446,"enero","febrero","marzo","abril","mayo","junio","julio","agosto","septiembre","octubre","noviembre","diciembre")</f>
        <v>diciembre</v>
      </c>
      <c r="G1446" s="7" t="str">
        <f aca="false">E1446&amp;"-"&amp;RIGHT(B1446,2)</f>
        <v>dic-26</v>
      </c>
    </row>
    <row r="1447" customFormat="false" ht="15" hidden="false" customHeight="false" outlineLevel="0" collapsed="false">
      <c r="A1447" s="8" t="n">
        <f aca="false">A1446+1</f>
        <v>46372</v>
      </c>
      <c r="B1447" s="7" t="n">
        <f aca="false">YEAR(A1447)</f>
        <v>2026</v>
      </c>
      <c r="C1447" s="7" t="n">
        <f aca="false">MONTH(A1447)</f>
        <v>12</v>
      </c>
      <c r="D1447" s="8" t="n">
        <f aca="false">DATE(B1447,C1447,1)</f>
        <v>46357</v>
      </c>
      <c r="E1447" s="7" t="str">
        <f aca="false">CHOOSE(C1447,"ene","feb","mar","abr","may","jun","jul","ago","sep","oct","nov","dic")</f>
        <v>dic</v>
      </c>
      <c r="F1447" s="7" t="str">
        <f aca="false">CHOOSE(C1447,"enero","febrero","marzo","abril","mayo","junio","julio","agosto","septiembre","octubre","noviembre","diciembre")</f>
        <v>diciembre</v>
      </c>
      <c r="G1447" s="7" t="str">
        <f aca="false">E1447&amp;"-"&amp;RIGHT(B1447,2)</f>
        <v>dic-26</v>
      </c>
    </row>
    <row r="1448" customFormat="false" ht="15" hidden="false" customHeight="false" outlineLevel="0" collapsed="false">
      <c r="A1448" s="8" t="n">
        <f aca="false">A1447+1</f>
        <v>46373</v>
      </c>
      <c r="B1448" s="7" t="n">
        <f aca="false">YEAR(A1448)</f>
        <v>2026</v>
      </c>
      <c r="C1448" s="7" t="n">
        <f aca="false">MONTH(A1448)</f>
        <v>12</v>
      </c>
      <c r="D1448" s="8" t="n">
        <f aca="false">DATE(B1448,C1448,1)</f>
        <v>46357</v>
      </c>
      <c r="E1448" s="7" t="str">
        <f aca="false">CHOOSE(C1448,"ene","feb","mar","abr","may","jun","jul","ago","sep","oct","nov","dic")</f>
        <v>dic</v>
      </c>
      <c r="F1448" s="7" t="str">
        <f aca="false">CHOOSE(C1448,"enero","febrero","marzo","abril","mayo","junio","julio","agosto","septiembre","octubre","noviembre","diciembre")</f>
        <v>diciembre</v>
      </c>
      <c r="G1448" s="7" t="str">
        <f aca="false">E1448&amp;"-"&amp;RIGHT(B1448,2)</f>
        <v>dic-26</v>
      </c>
    </row>
    <row r="1449" customFormat="false" ht="15" hidden="false" customHeight="false" outlineLevel="0" collapsed="false">
      <c r="A1449" s="8" t="n">
        <f aca="false">A1448+1</f>
        <v>46374</v>
      </c>
      <c r="B1449" s="7" t="n">
        <f aca="false">YEAR(A1449)</f>
        <v>2026</v>
      </c>
      <c r="C1449" s="7" t="n">
        <f aca="false">MONTH(A1449)</f>
        <v>12</v>
      </c>
      <c r="D1449" s="8" t="n">
        <f aca="false">DATE(B1449,C1449,1)</f>
        <v>46357</v>
      </c>
      <c r="E1449" s="7" t="str">
        <f aca="false">CHOOSE(C1449,"ene","feb","mar","abr","may","jun","jul","ago","sep","oct","nov","dic")</f>
        <v>dic</v>
      </c>
      <c r="F1449" s="7" t="str">
        <f aca="false">CHOOSE(C1449,"enero","febrero","marzo","abril","mayo","junio","julio","agosto","septiembre","octubre","noviembre","diciembre")</f>
        <v>diciembre</v>
      </c>
      <c r="G1449" s="7" t="str">
        <f aca="false">E1449&amp;"-"&amp;RIGHT(B1449,2)</f>
        <v>dic-26</v>
      </c>
    </row>
    <row r="1450" customFormat="false" ht="15" hidden="false" customHeight="false" outlineLevel="0" collapsed="false">
      <c r="A1450" s="8" t="n">
        <f aca="false">A1449+1</f>
        <v>46375</v>
      </c>
      <c r="B1450" s="7" t="n">
        <f aca="false">YEAR(A1450)</f>
        <v>2026</v>
      </c>
      <c r="C1450" s="7" t="n">
        <f aca="false">MONTH(A1450)</f>
        <v>12</v>
      </c>
      <c r="D1450" s="8" t="n">
        <f aca="false">DATE(B1450,C1450,1)</f>
        <v>46357</v>
      </c>
      <c r="E1450" s="7" t="str">
        <f aca="false">CHOOSE(C1450,"ene","feb","mar","abr","may","jun","jul","ago","sep","oct","nov","dic")</f>
        <v>dic</v>
      </c>
      <c r="F1450" s="7" t="str">
        <f aca="false">CHOOSE(C1450,"enero","febrero","marzo","abril","mayo","junio","julio","agosto","septiembre","octubre","noviembre","diciembre")</f>
        <v>diciembre</v>
      </c>
      <c r="G1450" s="7" t="str">
        <f aca="false">E1450&amp;"-"&amp;RIGHT(B1450,2)</f>
        <v>dic-26</v>
      </c>
    </row>
    <row r="1451" customFormat="false" ht="15" hidden="false" customHeight="false" outlineLevel="0" collapsed="false">
      <c r="A1451" s="8" t="n">
        <f aca="false">A1450+1</f>
        <v>46376</v>
      </c>
      <c r="B1451" s="7" t="n">
        <f aca="false">YEAR(A1451)</f>
        <v>2026</v>
      </c>
      <c r="C1451" s="7" t="n">
        <f aca="false">MONTH(A1451)</f>
        <v>12</v>
      </c>
      <c r="D1451" s="8" t="n">
        <f aca="false">DATE(B1451,C1451,1)</f>
        <v>46357</v>
      </c>
      <c r="E1451" s="7" t="str">
        <f aca="false">CHOOSE(C1451,"ene","feb","mar","abr","may","jun","jul","ago","sep","oct","nov","dic")</f>
        <v>dic</v>
      </c>
      <c r="F1451" s="7" t="str">
        <f aca="false">CHOOSE(C1451,"enero","febrero","marzo","abril","mayo","junio","julio","agosto","septiembre","octubre","noviembre","diciembre")</f>
        <v>diciembre</v>
      </c>
      <c r="G1451" s="7" t="str">
        <f aca="false">E1451&amp;"-"&amp;RIGHT(B1451,2)</f>
        <v>dic-26</v>
      </c>
    </row>
    <row r="1452" customFormat="false" ht="15" hidden="false" customHeight="false" outlineLevel="0" collapsed="false">
      <c r="A1452" s="8" t="n">
        <f aca="false">A1451+1</f>
        <v>46377</v>
      </c>
      <c r="B1452" s="7" t="n">
        <f aca="false">YEAR(A1452)</f>
        <v>2026</v>
      </c>
      <c r="C1452" s="7" t="n">
        <f aca="false">MONTH(A1452)</f>
        <v>12</v>
      </c>
      <c r="D1452" s="8" t="n">
        <f aca="false">DATE(B1452,C1452,1)</f>
        <v>46357</v>
      </c>
      <c r="E1452" s="7" t="str">
        <f aca="false">CHOOSE(C1452,"ene","feb","mar","abr","may","jun","jul","ago","sep","oct","nov","dic")</f>
        <v>dic</v>
      </c>
      <c r="F1452" s="7" t="str">
        <f aca="false">CHOOSE(C1452,"enero","febrero","marzo","abril","mayo","junio","julio","agosto","septiembre","octubre","noviembre","diciembre")</f>
        <v>diciembre</v>
      </c>
      <c r="G1452" s="7" t="str">
        <f aca="false">E1452&amp;"-"&amp;RIGHT(B1452,2)</f>
        <v>dic-26</v>
      </c>
    </row>
    <row r="1453" customFormat="false" ht="15" hidden="false" customHeight="false" outlineLevel="0" collapsed="false">
      <c r="A1453" s="8" t="n">
        <f aca="false">A1452+1</f>
        <v>46378</v>
      </c>
      <c r="B1453" s="7" t="n">
        <f aca="false">YEAR(A1453)</f>
        <v>2026</v>
      </c>
      <c r="C1453" s="7" t="n">
        <f aca="false">MONTH(A1453)</f>
        <v>12</v>
      </c>
      <c r="D1453" s="8" t="n">
        <f aca="false">DATE(B1453,C1453,1)</f>
        <v>46357</v>
      </c>
      <c r="E1453" s="7" t="str">
        <f aca="false">CHOOSE(C1453,"ene","feb","mar","abr","may","jun","jul","ago","sep","oct","nov","dic")</f>
        <v>dic</v>
      </c>
      <c r="F1453" s="7" t="str">
        <f aca="false">CHOOSE(C1453,"enero","febrero","marzo","abril","mayo","junio","julio","agosto","septiembre","octubre","noviembre","diciembre")</f>
        <v>diciembre</v>
      </c>
      <c r="G1453" s="7" t="str">
        <f aca="false">E1453&amp;"-"&amp;RIGHT(B1453,2)</f>
        <v>dic-26</v>
      </c>
    </row>
    <row r="1454" customFormat="false" ht="15" hidden="false" customHeight="false" outlineLevel="0" collapsed="false">
      <c r="A1454" s="8" t="n">
        <f aca="false">A1453+1</f>
        <v>46379</v>
      </c>
      <c r="B1454" s="7" t="n">
        <f aca="false">YEAR(A1454)</f>
        <v>2026</v>
      </c>
      <c r="C1454" s="7" t="n">
        <f aca="false">MONTH(A1454)</f>
        <v>12</v>
      </c>
      <c r="D1454" s="8" t="n">
        <f aca="false">DATE(B1454,C1454,1)</f>
        <v>46357</v>
      </c>
      <c r="E1454" s="7" t="str">
        <f aca="false">CHOOSE(C1454,"ene","feb","mar","abr","may","jun","jul","ago","sep","oct","nov","dic")</f>
        <v>dic</v>
      </c>
      <c r="F1454" s="7" t="str">
        <f aca="false">CHOOSE(C1454,"enero","febrero","marzo","abril","mayo","junio","julio","agosto","septiembre","octubre","noviembre","diciembre")</f>
        <v>diciembre</v>
      </c>
      <c r="G1454" s="7" t="str">
        <f aca="false">E1454&amp;"-"&amp;RIGHT(B1454,2)</f>
        <v>dic-26</v>
      </c>
    </row>
    <row r="1455" customFormat="false" ht="15" hidden="false" customHeight="false" outlineLevel="0" collapsed="false">
      <c r="A1455" s="8" t="n">
        <f aca="false">A1454+1</f>
        <v>46380</v>
      </c>
      <c r="B1455" s="7" t="n">
        <f aca="false">YEAR(A1455)</f>
        <v>2026</v>
      </c>
      <c r="C1455" s="7" t="n">
        <f aca="false">MONTH(A1455)</f>
        <v>12</v>
      </c>
      <c r="D1455" s="8" t="n">
        <f aca="false">DATE(B1455,C1455,1)</f>
        <v>46357</v>
      </c>
      <c r="E1455" s="7" t="str">
        <f aca="false">CHOOSE(C1455,"ene","feb","mar","abr","may","jun","jul","ago","sep","oct","nov","dic")</f>
        <v>dic</v>
      </c>
      <c r="F1455" s="7" t="str">
        <f aca="false">CHOOSE(C1455,"enero","febrero","marzo","abril","mayo","junio","julio","agosto","septiembre","octubre","noviembre","diciembre")</f>
        <v>diciembre</v>
      </c>
      <c r="G1455" s="7" t="str">
        <f aca="false">E1455&amp;"-"&amp;RIGHT(B1455,2)</f>
        <v>dic-26</v>
      </c>
    </row>
    <row r="1456" customFormat="false" ht="15" hidden="false" customHeight="false" outlineLevel="0" collapsed="false">
      <c r="A1456" s="8" t="n">
        <f aca="false">A1455+1</f>
        <v>46381</v>
      </c>
      <c r="B1456" s="7" t="n">
        <f aca="false">YEAR(A1456)</f>
        <v>2026</v>
      </c>
      <c r="C1456" s="7" t="n">
        <f aca="false">MONTH(A1456)</f>
        <v>12</v>
      </c>
      <c r="D1456" s="8" t="n">
        <f aca="false">DATE(B1456,C1456,1)</f>
        <v>46357</v>
      </c>
      <c r="E1456" s="7" t="str">
        <f aca="false">CHOOSE(C1456,"ene","feb","mar","abr","may","jun","jul","ago","sep","oct","nov","dic")</f>
        <v>dic</v>
      </c>
      <c r="F1456" s="7" t="str">
        <f aca="false">CHOOSE(C1456,"enero","febrero","marzo","abril","mayo","junio","julio","agosto","septiembre","octubre","noviembre","diciembre")</f>
        <v>diciembre</v>
      </c>
      <c r="G1456" s="7" t="str">
        <f aca="false">E1456&amp;"-"&amp;RIGHT(B1456,2)</f>
        <v>dic-26</v>
      </c>
    </row>
    <row r="1457" customFormat="false" ht="15" hidden="false" customHeight="false" outlineLevel="0" collapsed="false">
      <c r="A1457" s="8" t="n">
        <f aca="false">A1456+1</f>
        <v>46382</v>
      </c>
      <c r="B1457" s="7" t="n">
        <f aca="false">YEAR(A1457)</f>
        <v>2026</v>
      </c>
      <c r="C1457" s="7" t="n">
        <f aca="false">MONTH(A1457)</f>
        <v>12</v>
      </c>
      <c r="D1457" s="8" t="n">
        <f aca="false">DATE(B1457,C1457,1)</f>
        <v>46357</v>
      </c>
      <c r="E1457" s="7" t="str">
        <f aca="false">CHOOSE(C1457,"ene","feb","mar","abr","may","jun","jul","ago","sep","oct","nov","dic")</f>
        <v>dic</v>
      </c>
      <c r="F1457" s="7" t="str">
        <f aca="false">CHOOSE(C1457,"enero","febrero","marzo","abril","mayo","junio","julio","agosto","septiembre","octubre","noviembre","diciembre")</f>
        <v>diciembre</v>
      </c>
      <c r="G1457" s="7" t="str">
        <f aca="false">E1457&amp;"-"&amp;RIGHT(B1457,2)</f>
        <v>dic-26</v>
      </c>
    </row>
    <row r="1458" customFormat="false" ht="15" hidden="false" customHeight="false" outlineLevel="0" collapsed="false">
      <c r="A1458" s="8" t="n">
        <f aca="false">A1457+1</f>
        <v>46383</v>
      </c>
      <c r="B1458" s="7" t="n">
        <f aca="false">YEAR(A1458)</f>
        <v>2026</v>
      </c>
      <c r="C1458" s="7" t="n">
        <f aca="false">MONTH(A1458)</f>
        <v>12</v>
      </c>
      <c r="D1458" s="8" t="n">
        <f aca="false">DATE(B1458,C1458,1)</f>
        <v>46357</v>
      </c>
      <c r="E1458" s="7" t="str">
        <f aca="false">CHOOSE(C1458,"ene","feb","mar","abr","may","jun","jul","ago","sep","oct","nov","dic")</f>
        <v>dic</v>
      </c>
      <c r="F1458" s="7" t="str">
        <f aca="false">CHOOSE(C1458,"enero","febrero","marzo","abril","mayo","junio","julio","agosto","septiembre","octubre","noviembre","diciembre")</f>
        <v>diciembre</v>
      </c>
      <c r="G1458" s="7" t="str">
        <f aca="false">E1458&amp;"-"&amp;RIGHT(B1458,2)</f>
        <v>dic-26</v>
      </c>
    </row>
    <row r="1459" customFormat="false" ht="15" hidden="false" customHeight="false" outlineLevel="0" collapsed="false">
      <c r="A1459" s="8" t="n">
        <f aca="false">A1458+1</f>
        <v>46384</v>
      </c>
      <c r="B1459" s="7" t="n">
        <f aca="false">YEAR(A1459)</f>
        <v>2026</v>
      </c>
      <c r="C1459" s="7" t="n">
        <f aca="false">MONTH(A1459)</f>
        <v>12</v>
      </c>
      <c r="D1459" s="8" t="n">
        <f aca="false">DATE(B1459,C1459,1)</f>
        <v>46357</v>
      </c>
      <c r="E1459" s="7" t="str">
        <f aca="false">CHOOSE(C1459,"ene","feb","mar","abr","may","jun","jul","ago","sep","oct","nov","dic")</f>
        <v>dic</v>
      </c>
      <c r="F1459" s="7" t="str">
        <f aca="false">CHOOSE(C1459,"enero","febrero","marzo","abril","mayo","junio","julio","agosto","septiembre","octubre","noviembre","diciembre")</f>
        <v>diciembre</v>
      </c>
      <c r="G1459" s="7" t="str">
        <f aca="false">E1459&amp;"-"&amp;RIGHT(B1459,2)</f>
        <v>dic-26</v>
      </c>
    </row>
    <row r="1460" customFormat="false" ht="15" hidden="false" customHeight="false" outlineLevel="0" collapsed="false">
      <c r="A1460" s="8" t="n">
        <f aca="false">A1459+1</f>
        <v>46385</v>
      </c>
      <c r="B1460" s="7" t="n">
        <f aca="false">YEAR(A1460)</f>
        <v>2026</v>
      </c>
      <c r="C1460" s="7" t="n">
        <f aca="false">MONTH(A1460)</f>
        <v>12</v>
      </c>
      <c r="D1460" s="8" t="n">
        <f aca="false">DATE(B1460,C1460,1)</f>
        <v>46357</v>
      </c>
      <c r="E1460" s="7" t="str">
        <f aca="false">CHOOSE(C1460,"ene","feb","mar","abr","may","jun","jul","ago","sep","oct","nov","dic")</f>
        <v>dic</v>
      </c>
      <c r="F1460" s="7" t="str">
        <f aca="false">CHOOSE(C1460,"enero","febrero","marzo","abril","mayo","junio","julio","agosto","septiembre","octubre","noviembre","diciembre")</f>
        <v>diciembre</v>
      </c>
      <c r="G1460" s="7" t="str">
        <f aca="false">E1460&amp;"-"&amp;RIGHT(B1460,2)</f>
        <v>dic-26</v>
      </c>
    </row>
    <row r="1461" customFormat="false" ht="15" hidden="false" customHeight="false" outlineLevel="0" collapsed="false">
      <c r="A1461" s="8" t="n">
        <f aca="false">A1460+1</f>
        <v>46386</v>
      </c>
      <c r="B1461" s="7" t="n">
        <f aca="false">YEAR(A1461)</f>
        <v>2026</v>
      </c>
      <c r="C1461" s="7" t="n">
        <f aca="false">MONTH(A1461)</f>
        <v>12</v>
      </c>
      <c r="D1461" s="8" t="n">
        <f aca="false">DATE(B1461,C1461,1)</f>
        <v>46357</v>
      </c>
      <c r="E1461" s="7" t="str">
        <f aca="false">CHOOSE(C1461,"ene","feb","mar","abr","may","jun","jul","ago","sep","oct","nov","dic")</f>
        <v>dic</v>
      </c>
      <c r="F1461" s="7" t="str">
        <f aca="false">CHOOSE(C1461,"enero","febrero","marzo","abril","mayo","junio","julio","agosto","septiembre","octubre","noviembre","diciembre")</f>
        <v>diciembre</v>
      </c>
      <c r="G1461" s="7" t="str">
        <f aca="false">E1461&amp;"-"&amp;RIGHT(B1461,2)</f>
        <v>dic-26</v>
      </c>
    </row>
    <row r="1462" customFormat="false" ht="15" hidden="false" customHeight="false" outlineLevel="0" collapsed="false">
      <c r="A1462" s="8" t="n">
        <f aca="false">A1461+1</f>
        <v>46387</v>
      </c>
      <c r="B1462" s="7" t="n">
        <f aca="false">YEAR(A1462)</f>
        <v>2026</v>
      </c>
      <c r="C1462" s="7" t="n">
        <f aca="false">MONTH(A1462)</f>
        <v>12</v>
      </c>
      <c r="D1462" s="8" t="n">
        <f aca="false">DATE(B1462,C1462,1)</f>
        <v>46357</v>
      </c>
      <c r="E1462" s="7" t="str">
        <f aca="false">CHOOSE(C1462,"ene","feb","mar","abr","may","jun","jul","ago","sep","oct","nov","dic")</f>
        <v>dic</v>
      </c>
      <c r="F1462" s="7" t="str">
        <f aca="false">CHOOSE(C1462,"enero","febrero","marzo","abril","mayo","junio","julio","agosto","septiembre","octubre","noviembre","diciembre")</f>
        <v>diciembre</v>
      </c>
      <c r="G1462" s="7" t="str">
        <f aca="false">E1462&amp;"-"&amp;RIGHT(B1462,2)</f>
        <v>dic-26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2026-10-06T13:51:33Z</dcterms:created>
  <dc:creator>openpyxl</dc:creator>
  <dc:description/>
  <dc:language>en-US</dc:language>
  <cp:lastModifiedBy/>
  <dcterms:modified xsi:type="dcterms:W3CDTF">2026-10-06T13:51:33Z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