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ía" sheetId="1" state="visible" r:id="rId3"/>
    <sheet name="Parámetros" sheetId="2" state="visible" r:id="rId4"/>
    <sheet name="F_Hitos" sheetId="3" state="visible" r:id="rId5"/>
    <sheet name="Tablas del Modelo" sheetId="4" state="visible" r:id="rId6"/>
    <sheet name="Columnas Calculadas" sheetId="5" state="visible" r:id="rId7"/>
    <sheet name="Medidas DAX" sheetId="6" state="visible" r:id="rId8"/>
    <sheet name="Calendario y Cortes" sheetId="7" state="visible" r:id="rId9"/>
    <sheet name="Visuales del Dashboard" sheetId="8" state="visible" r:id="rId10"/>
    <sheet name="Semáforo y Formato" sheetId="9" state="visible" r:id="rId11"/>
    <sheet name="Reglas NIST" sheetId="10" state="visible" r:id="rId12"/>
    <sheet name="Validación" sheetId="11" state="visible" r:id="rId13"/>
  </sheets>
  <definedNames>
    <definedName function="false" hidden="true" localSheetId="2" name="_xlnm._FilterDatabase" vbProcedure="false">F_Hitos!$A$1:$R$178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<sst xmlns="http://schemas.openxmlformats.org/spreadsheetml/2006/main" count="1928" uniqueCount="1014">
  <si>
    <t xml:space="preserve">Gestión de Identidades 2026 — Especificación del modelo de datos y DAX</t>
  </si>
  <si>
    <t xml:space="preserve">Todo lo necesario para reconstruir en Power BI el dashboard ejecutivo del PDF. Fecha de corte de referencia: 17/09/2026.</t>
  </si>
  <si>
    <t xml:space="preserve">Hoja</t>
  </si>
  <si>
    <t xml:space="preserve">Contenido</t>
  </si>
  <si>
    <t xml:space="preserve">Cómo usarla</t>
  </si>
  <si>
    <t xml:space="preserve">Parámetros</t>
  </si>
  <si>
    <t xml:space="preserve">Fecha de corte y metas de cada KPI.</t>
  </si>
  <si>
    <t xml:space="preserve">Única hoja editable. Cambiar la fecha de corte recalcula toda la hoja F_Hitos y la validación. En Power BI se replica como tabla desconectada D_Parametros.</t>
  </si>
  <si>
    <t xml:space="preserve">F_Hitos</t>
  </si>
  <si>
    <t xml:space="preserve">Los 177 hitos con las 6 columnas calculadas implementadas en fórmula Excel viva.</t>
  </si>
  <si>
    <t xml:space="preserve">Sirve como prueba de concepto y como fuente si se trabaja solo en Excel. Las columnas M a R se recalculan solas.</t>
  </si>
  <si>
    <t xml:space="preserve">Tablas del Modelo</t>
  </si>
  <si>
    <t xml:space="preserve">Esquema estrella: tablas, campos, tipo de dato y relaciones.</t>
  </si>
  <si>
    <t xml:space="preserve">Construir en este orden: dimensiones, hechos, relaciones, columnas calculadas, medidas.</t>
  </si>
  <si>
    <t xml:space="preserve">Columnas Calculadas</t>
  </si>
  <si>
    <t xml:space="preserve">7 columnas con su DAX y su equivalente en fórmula Excel.</t>
  </si>
  <si>
    <t xml:space="preserve">Crear en Power BI como columnas calculadas sobre F_Hitos, nunca como medidas: se usan para filtrar y segmentar.</t>
  </si>
  <si>
    <t xml:space="preserve">Medidas DAX</t>
  </si>
  <si>
    <t xml:space="preserve">26 medidas organizadas por carpeta, con formato, interpretación y valor esperado al corte.</t>
  </si>
  <si>
    <t xml:space="preserve">Copiar el DAX tal cual. Verificar cada valor contra la columna "Valor al corte".</t>
  </si>
  <si>
    <t xml:space="preserve">Calendario y Cortes</t>
  </si>
  <si>
    <t xml:space="preserve">DAX de D_Calendario y D_Corte (snapshots mensuales).</t>
  </si>
  <si>
    <t xml:space="preserve">D_Corte es lo único que hoy no existe en el origen y es obligatorio para el KPI de tendencia.</t>
  </si>
  <si>
    <t xml:space="preserve">Visuales del Dashboard</t>
  </si>
  <si>
    <t xml:space="preserve">Los 12 visuales del PDF con sus campos, medidas y formato condicional.</t>
  </si>
  <si>
    <t xml:space="preserve">Una fila por visual: qué tipo usar, qué va en cada área de datos y cómo pintarlo.</t>
  </si>
  <si>
    <t xml:space="preserve">Semáforo y Formato</t>
  </si>
  <si>
    <t xml:space="preserve">Reglas de color, umbrales y medidas de color dinámico.</t>
  </si>
  <si>
    <t xml:space="preserve">Un solo criterio de semáforo para todo el informe.</t>
  </si>
  <si>
    <t xml:space="preserve">Reglas NIST</t>
  </si>
  <si>
    <t xml:space="preserve">Reglas de palabra clave que generan la clasificación NIST propuesta.</t>
  </si>
  <si>
    <t xml:space="preserve">La columna NIST viene vacía en el origen; estas reglas la reconstruyen. Requiere validación del área.</t>
  </si>
  <si>
    <t xml:space="preserve">Validación</t>
  </si>
  <si>
    <t xml:space="preserve">18 cifras de control calculadas en vivo sobre F_Hitos.</t>
  </si>
  <si>
    <t xml:space="preserve">Si una medida DAX no coincide con estos valores, el error está en el modelo, no en el visual.</t>
  </si>
  <si>
    <t xml:space="preserve">Orden de implementación sugerido</t>
  </si>
  <si>
    <t xml:space="preserve">#</t>
  </si>
  <si>
    <t xml:space="preserve">Paso</t>
  </si>
  <si>
    <t xml:space="preserve">Detalle</t>
  </si>
  <si>
    <t xml:space="preserve">1</t>
  </si>
  <si>
    <t xml:space="preserve">Saneamiento del origen</t>
  </si>
  <si>
    <t xml:space="preserve">Completar NIST, criticidad y las 22 fechas fin de planificación faltantes. Desdoblar la columna Encargado (hasta 3 nombres por celda) en una tabla puente.</t>
  </si>
  <si>
    <t xml:space="preserve">2</t>
  </si>
  <si>
    <t xml:space="preserve">Carga y modelo</t>
  </si>
  <si>
    <t xml:space="preserve">Crear las dimensiones y F_Hitos, marcar D_Calendario como tabla de fechas y establecer las 5 relaciones.</t>
  </si>
  <si>
    <t xml:space="preserve">3</t>
  </si>
  <si>
    <t xml:space="preserve">Columnas calculadas</t>
  </si>
  <si>
    <t xml:space="preserve">Las 7 columnas de la hoja correspondiente. Validar Estado y Avance_Esperado antes de seguir.</t>
  </si>
  <si>
    <t xml:space="preserve">4</t>
  </si>
  <si>
    <t xml:space="preserve">Medidas base</t>
  </si>
  <si>
    <t xml:space="preserve">Las 12 medidas de las carpetas 00_Base y 01_Avance. Contrastar con la hoja Validación.</t>
  </si>
  <si>
    <t xml:space="preserve">5</t>
  </si>
  <si>
    <t xml:space="preserve">Medidas de KPI y riesgo</t>
  </si>
  <si>
    <t xml:space="preserve">Carpetas 02_KPI, 03_Riesgo y 04_Tendencia.</t>
  </si>
  <si>
    <t xml:space="preserve">6</t>
  </si>
  <si>
    <t xml:space="preserve">Visuales</t>
  </si>
  <si>
    <t xml:space="preserve">Construir página por página siguiendo la hoja Visuales del Dashboard.</t>
  </si>
  <si>
    <t xml:space="preserve">7</t>
  </si>
  <si>
    <t xml:space="preserve">Snapshot mensual</t>
  </si>
  <si>
    <t xml:space="preserve">Programar la escritura de D_Corte el último día hábil de cada mes; sin esto no hay tendencia ni curva histórica.</t>
  </si>
  <si>
    <t xml:space="preserve">Parámetros del tablero</t>
  </si>
  <si>
    <t xml:space="preserve">Celdas amarillas = editables. Todo el libro y las medidas DAX las referencian.</t>
  </si>
  <si>
    <t xml:space="preserve">Parámetro</t>
  </si>
  <si>
    <t xml:space="preserve">Valor</t>
  </si>
  <si>
    <t xml:space="preserve">Nombre en Power BI</t>
  </si>
  <si>
    <t xml:space="preserve">Uso</t>
  </si>
  <si>
    <t xml:space="preserve">Fecha de corte</t>
  </si>
  <si>
    <t xml:space="preserve">2026-09-17</t>
  </si>
  <si>
    <t xml:space="preserve">Corte</t>
  </si>
  <si>
    <t xml:space="preserve">Base de Avance_Esperado, Estado y Días_Vencidos. En DAX se resuelve con MAX(D_Corte[Fecha_Corte]).</t>
  </si>
  <si>
    <t xml:space="preserve">Meta ICP</t>
  </si>
  <si>
    <t xml:space="preserve">Meta_ICP</t>
  </si>
  <si>
    <t xml:space="preserve">Umbral verde del índice de cumplimiento.</t>
  </si>
  <si>
    <t xml:space="preserve">Meta % hitos atrasados</t>
  </si>
  <si>
    <t xml:space="preserve">Meta_Atrasados</t>
  </si>
  <si>
    <t xml:space="preserve">Máximo tolerado de hitos vencidos.</t>
  </si>
  <si>
    <t xml:space="preserve">Meta días de atraso</t>
  </si>
  <si>
    <t xml:space="preserve">Meta_Dias</t>
  </si>
  <si>
    <t xml:space="preserve">Máximo tolerado de desviación promedio.</t>
  </si>
  <si>
    <t xml:space="preserve">Meta % críticos completados</t>
  </si>
  <si>
    <t xml:space="preserve">Meta_Criticos</t>
  </si>
  <si>
    <t xml:space="preserve">Mínimo de hitos de proyecto, riesgo y auditoría cerrados.</t>
  </si>
  <si>
    <t xml:space="preserve">Meta SLA de cierre en fecha</t>
  </si>
  <si>
    <t xml:space="preserve">Meta_SLA</t>
  </si>
  <si>
    <t xml:space="preserve">Mínimo de hitos cerrados dentro de su fecha planificada.</t>
  </si>
  <si>
    <t xml:space="preserve">Meta desviación (pp)</t>
  </si>
  <si>
    <t xml:space="preserve">Meta_Desviacion</t>
  </si>
  <si>
    <t xml:space="preserve">Brecha máxima tolerada entre avance real y esperado.</t>
  </si>
  <si>
    <t xml:space="preserve">Tolerancia ámbar</t>
  </si>
  <si>
    <t xml:space="preserve">Tol_Ambar</t>
  </si>
  <si>
    <t xml:space="preserve">Un KPI hasta 15% bajo su meta es ámbar; más abajo, rojo.</t>
  </si>
  <si>
    <t xml:space="preserve">Inicio del Q4</t>
  </si>
  <si>
    <t xml:space="preserve">2026-10-01</t>
  </si>
  <si>
    <t xml:space="preserve">Inicio_Q4</t>
  </si>
  <si>
    <t xml:space="preserve">Corte para la medida de carga pendiente del último trimestre.</t>
  </si>
  <si>
    <t xml:space="preserve">Periodo</t>
  </si>
  <si>
    <t xml:space="preserve">Frente</t>
  </si>
  <si>
    <t xml:space="preserve">Hito</t>
  </si>
  <si>
    <t xml:space="preserve">Tipo_Actividad</t>
  </si>
  <si>
    <t xml:space="preserve">Responsable_Principal</t>
  </si>
  <si>
    <t xml:space="preserve">Encargados</t>
  </si>
  <si>
    <t xml:space="preserve">Fecha_Inicio</t>
  </si>
  <si>
    <t xml:space="preserve">Fecha_Fin_Plan</t>
  </si>
  <si>
    <t xml:space="preserve">Fecha_Fin_Real</t>
  </si>
  <si>
    <t xml:space="preserve">Avance_Real</t>
  </si>
  <si>
    <t xml:space="preserve">NIST_Propuesto</t>
  </si>
  <si>
    <t xml:space="preserve">Observacion</t>
  </si>
  <si>
    <t xml:space="preserve">Avance_Esperado</t>
  </si>
  <si>
    <t xml:space="preserve">Desviacion_pp</t>
  </si>
  <si>
    <t xml:space="preserve">Estado</t>
  </si>
  <si>
    <t xml:space="preserve">Dias_Vencidos</t>
  </si>
  <si>
    <t xml:space="preserve">Es_Critica</t>
  </si>
  <si>
    <t xml:space="preserve">Cerrado_En_Fecha</t>
  </si>
  <si>
    <t xml:space="preserve">Gestor de Identidades Sailpoint | Fase 1</t>
  </si>
  <si>
    <t xml:space="preserve">Integración con fuente autoritativa de internos Success Factors | Conector nativo</t>
  </si>
  <si>
    <t xml:space="preserve">Iniciativa</t>
  </si>
  <si>
    <t xml:space="preserve">Ana María Vergara</t>
  </si>
  <si>
    <t xml:space="preserve">PROTECT</t>
  </si>
  <si>
    <t xml:space="preserve">Integración aplicaciones conectadas: AD, EntraID, Bancs, Siglo21, RHDS y Logiflow</t>
  </si>
  <si>
    <t xml:space="preserve">Implementación módulo usuarios externos y genéricos NERM</t>
  </si>
  <si>
    <t xml:space="preserve">Depuración accesos acorde al cargo Red de Agencias</t>
  </si>
  <si>
    <t xml:space="preserve">Ana María Fierro</t>
  </si>
  <si>
    <t xml:space="preserve">Depuración accesos acorde al cargo Microfinanzas | Tecnología | Banca Personas</t>
  </si>
  <si>
    <t xml:space="preserve">Implementación modelo de accesos basado en roles</t>
  </si>
  <si>
    <t xml:space="preserve">Richard Requelme</t>
  </si>
  <si>
    <t xml:space="preserve">Eliminación de accesos a personal de Negocios (Red de Agencias) para cambiar perfiles globales y centros de costos directamente.</t>
  </si>
  <si>
    <t xml:space="preserve">Gestionaban 1478 requerimientos al mes, que pasaron a GI.</t>
  </si>
  <si>
    <t xml:space="preserve">Gestor de Identidades Sailpoint | Fase 2</t>
  </si>
  <si>
    <t xml:space="preserve">Inactivar cuentas de usuarios por vacaciones/licencias/maternidad, etc. (Flujo y revisión RRHH)</t>
  </si>
  <si>
    <t xml:space="preserve">Dependencia de revisión con RRHH.  Se realizará el acercamiento para validar la factibilidad de implementación</t>
  </si>
  <si>
    <t xml:space="preserve">Evaluación automatización y Monitoreo de Accesos VPN Integrado a ISC SailPoint</t>
  </si>
  <si>
    <t xml:space="preserve">Jhonny Barreiro</t>
  </si>
  <si>
    <t xml:space="preserve">DETECT</t>
  </si>
  <si>
    <t xml:space="preserve">en diseño de definiciones</t>
  </si>
  <si>
    <t xml:space="preserve">Implementar la deshabilitación automática en SailPoint para el offboarding de internos</t>
  </si>
  <si>
    <t xml:space="preserve">Flujo implementado dependencia con "end date" consumido desde SSFF</t>
  </si>
  <si>
    <t xml:space="preserve">Ajustar las notificaciones generadas por ISC para retirar informaión sensible.  Ajustar formatos</t>
  </si>
  <si>
    <t xml:space="preserve">Mejora</t>
  </si>
  <si>
    <t xml:space="preserve">- Revisión integral de datos sensibles en comunicados fueron retirados
- Flujo notificación onboarding de usuarios externos revisado e implementado
- Fecha fin vigencia externos (comunicado).</t>
  </si>
  <si>
    <t xml:space="preserve">Revisión duplicidad tickets generados desde ISC</t>
  </si>
  <si>
    <t xml:space="preserve">- En proceso de revisión dependencia con la marca SailPoint
- Se requiere soporte del proveedor Heaven a espera de apertura de adenda de servicios
- 16 Sept 2026 se realizaron las pruebas en ambiente de test y se desplegaron de forma exitosa.  Se sol</t>
  </si>
  <si>
    <t xml:space="preserve">Ajustar configuración para catálogo "Cambio Centro Costos" reducción generación tickets </t>
  </si>
  <si>
    <t xml:space="preserve">Se implemento el ajuste en SailPoint para que solo consuma las aplicaciones en las que se debe generar un cambio en el centro de costos</t>
  </si>
  <si>
    <t xml:space="preserve">Cambio de dominio de sailpoint.com a pichincha.com para las notificaciones generadas.</t>
  </si>
  <si>
    <t xml:space="preserve">Sincronización Campo AD Manager</t>
  </si>
  <si>
    <t xml:space="preserve">Depuración usuarios duplicados en AD | Identificación y corrección de inconsistencias asociadas a la causa raíz</t>
  </si>
  <si>
    <t xml:space="preserve">Incidencia</t>
  </si>
  <si>
    <t xml:space="preserve">RESPOND</t>
  </si>
  <si>
    <t xml:space="preserve">108 usuarios duplicados. Se incluye en el control mensual de TCS.</t>
  </si>
  <si>
    <t xml:space="preserve">Modificación campo "Last Name" en Externos y revisar novedad en los apellidos que se envia desde ISC hacia el AD.</t>
  </si>
  <si>
    <t xml:space="preserve">Ana María Vergara
Jhonny Barreiro</t>
  </si>
  <si>
    <t xml:space="preserve">Revisión de Fusion: Integración de aplicación - Revisión de lectura y aprovisionamiento automatizado por Sailpoint a Fusion</t>
  </si>
  <si>
    <t xml:space="preserve">Richard Requelme
Ana María Vergara</t>
  </si>
  <si>
    <t xml:space="preserve">15- sep - Se crearon los roles, pendiente análisis de Assertiva para creación de APs
17-Ago - Se ejecutaron las pruebas del conector, fueron exitosas. Pendiente confirmar roles con Agencia y Dueño de app
Se encendio el conector en modo lectura, se l</t>
  </si>
  <si>
    <t xml:space="preserve">Análisis integración Monitoreo de Fraude</t>
  </si>
  <si>
    <t xml:space="preserve">Proyecto</t>
  </si>
  <si>
    <t xml:space="preserve">Ana María Vergara
Richard Requelme
Jhonny Barreiro</t>
  </si>
  <si>
    <t xml:space="preserve">- 17-ago- Se corrigio el esquema y está pendiente del lado del dueño del aplicativo la confirmación de la integración total (auth + autorización) 
Monitoreo Fraude: Acercamiento con el proyecto en revisión de integración con Entra ID (autenticación)</t>
  </si>
  <si>
    <t xml:space="preserve">Análisis integración AS400 - GAF</t>
  </si>
  <si>
    <t xml:space="preserve">IDENTIFY</t>
  </si>
  <si>
    <t xml:space="preserve">- GAF: Solicitud interdependencia a la célula.  En etapa de evaluación
- 17/08/2026 Se identificó la necesidad de construir un microservicio para disponibilizar la información que consume SailPoint.  El proveedor NTTData compartió una proforma para l</t>
  </si>
  <si>
    <t xml:space="preserve">Análisis integración PIVI - CAO (Interdin)</t>
  </si>
  <si>
    <t xml:space="preserve">- PIVI | CAO: Solicitud interdependencia a la célula.  En etapa de evaluación
- 17/08/2026 La célula de Interdin - William Correa comunica que por temas de capacidad no es viable contar con el análisis técnico de integración por lo que quedaría en ba</t>
  </si>
  <si>
    <t xml:space="preserve">Reemplazo microservicios Bancs, Siglo21, Logiflow</t>
  </si>
  <si>
    <t xml:space="preserve">- Microservicio Bancs: con retraso
- Microservicio Siglo21: dependencia de micro de bancs
- Microservicio Logiflow: En proceso.  Pruebas funcionales 18/08/2026</t>
  </si>
  <si>
    <t xml:space="preserve">Integración automática CRM Salesforce.  Análisis construcción roles automáticos</t>
  </si>
  <si>
    <t xml:space="preserve"> - 15- sept- quitar el CSV
-17 ago - Se remite los roles validados (con agencia y con el dueño del app) para creación de roles y proceder con el encendido
 CRM: Conector implementado, activo modo lectura</t>
  </si>
  <si>
    <t xml:space="preserve">Diferencia hora comunicados generados por Sailpoint</t>
  </si>
  <si>
    <t xml:space="preserve">Diferencia de 5 horas aprox entre la fecha y hora de la notificación y la fecha y hora reales de envío del correo
Ticket de soporte generado para atención de Assertiva #3260 21/07/2026
Comunicado con diferencia de hora corregido</t>
  </si>
  <si>
    <t xml:space="preserve">Soporte Assertiva: Flujo Genéricos ATM´s | #2953 (Eliminación)</t>
  </si>
  <si>
    <t xml:space="preserve">Se configura para que se elimine automáticamente el genérico en AD, BANCS y Siglo una vez ingresado por el flujo de eliminación.</t>
  </si>
  <si>
    <t xml:space="preserve">Corrección de roles reportados con inconsistencia</t>
  </si>
  <si>
    <t xml:space="preserve">Operación</t>
  </si>
  <si>
    <t xml:space="preserve">- Las sesiones de revisión de roles se generan una vez al mes con el equipo de Assertiva, se analiza y se realiza las correcciones reportadas
- Actividad ejecutada bajo demanda</t>
  </si>
  <si>
    <t xml:space="preserve">Revisión, Ajustes y Corrección Implementación Rol Ejecutivo Integral 2.0</t>
  </si>
  <si>
    <t xml:space="preserve">- Revisión integral del proceso del levantamiento de roles para el piloto Ejecutivo Integral 2.0
- Corrección de roles asociados
- Sesión y comunicación con los responsables del proyecto piloto
- Procesamiento de 130 usuarios bajo este esquema
- Comu</t>
  </si>
  <si>
    <t xml:space="preserve">Revisión y correlación de cuentas huérfanas en AD</t>
  </si>
  <si>
    <t xml:space="preserve">Ana María Vergara
Richard Requelme
Bryan Uyana</t>
  </si>
  <si>
    <t xml:space="preserve">Se genero el ticket #3446 para identificar la causa raiz</t>
  </si>
  <si>
    <t xml:space="preserve">Cambio en el ciclo de vida de offboarding para usuarios internos y externos en AD.  (No se mantendrán por 30 días, se eliminará el mismo día).</t>
  </si>
  <si>
    <t xml:space="preserve">- Solicitud soporte Assertiva ticket #3089
- Análisis de impacto sobre identidades VIP o excepcionadas
- Se mantendrá una sesión el viernes 24/06/2026 con el equipo de Assertiva para realizar pruebas sobre el grupo de excepción de AD, para garantizar</t>
  </si>
  <si>
    <t xml:space="preserve">Deshabilitación automática baja colaborador</t>
  </si>
  <si>
    <t xml:space="preserve">- Solicitud Soporte Assertiva #2762
- Proceso implementado operativo.  Depedencia con la carga en SSFF del atributo "end date"</t>
  </si>
  <si>
    <t xml:space="preserve">Flujo de Deshabilitación de Cuentas/permisos - Usuarios Cesantes /Crossboarding- Conector BANCS</t>
  </si>
  <si>
    <t xml:space="preserve">Richard Requelme
Bryan Uyana</t>
  </si>
  <si>
    <t xml:space="preserve">Se levanto un workflow ya establecido para cuentas cesantes y que haga el reprocesamiento. Sin embargo toca ajustar la configuración para el crossboarding</t>
  </si>
  <si>
    <t xml:space="preserve">Revisión y correlación de cuentas huérfanas en Bancs</t>
  </si>
  <si>
    <t xml:space="preserve">Se deshabilito cuentas cesantes. Sin embargo, se debe regularizar la información de las cuentas no correlacionadas para el control en vuelo</t>
  </si>
  <si>
    <t xml:space="preserve">Asociación de cuentas privilegiadas (ENTRAID y AD) -priv.- y no el nominado (sailpoint)
Correlacionar las cuentas priv. a la identidad del usuario en Sailpoint</t>
  </si>
  <si>
    <t xml:space="preserve">-15 de sept - se enciende el conector nuevo de privc
En la reunión de seguimiento con Assertiva se reviso este tema, y se vio dos opciones para trabajar este tema, se genero un ticket a Assertiva para regularizar. Para las privc, se evalua ajustes en</t>
  </si>
  <si>
    <t xml:space="preserve">Certificación de Accesos: Accesos usuarios</t>
  </si>
  <si>
    <t xml:space="preserve">Depuración de cuentas de usuarios priv. y privc.</t>
  </si>
  <si>
    <t xml:space="preserve">Flujo de Deshabilitación de Cuentas/permisos - Usuarios Cesantes /Crossboarding- Conector RHDS</t>
  </si>
  <si>
    <t xml:space="preserve">Se tiene el análisis de las cuentas no correlacionadas. Se debe determinar causa raíz y corrección.</t>
  </si>
  <si>
    <t xml:space="preserve">Revisión y correlación de cuentas huérfanas RHDS</t>
  </si>
  <si>
    <t xml:space="preserve">Regularización de Roles</t>
  </si>
  <si>
    <t xml:space="preserve">Regularización de Accesos y Permisos Crowstrike. Desde la aplicación hacia ISC Sailpoint</t>
  </si>
  <si>
    <t xml:space="preserve">Se incia con Valerai Tandazo la depuracion de accesos en Crowstrike, Fase 1 en la aplicación. Fase 2 en ISC actualmente en la aplicación</t>
  </si>
  <si>
    <t xml:space="preserve">Regularización de Accesos y Permisos Firewall Checkpoint. Desde la aplicación hacia ISC Sailpoint</t>
  </si>
  <si>
    <t xml:space="preserve">Se incia con Maria Peñaherrera la depuracion de accesos en Firewall Checkpoint, Fase 1 en la aplicación. Fase 2 en ISC actualmente en la aplicación</t>
  </si>
  <si>
    <t xml:space="preserve">Gestión de accesos y permisos</t>
  </si>
  <si>
    <t xml:space="preserve">Integración de nuevas fuentes al control - Access Request Center - Fuentes Nube (My Access).</t>
  </si>
  <si>
    <t xml:space="preserve">Se levantaron scripts para obtener la información y se creo una pestaña en GEMA para visualizar todos los permisos asignados fuera del rol</t>
  </si>
  <si>
    <t xml:space="preserve">Actualización Flujo de Accesos y Permisos SNOW. (Unificar flujo de perfiles globales y modificación de atributos, para que se coloquen los autorizadores de la CMDB en función de la aplicación a la que estan solicitando acceso el usuario).</t>
  </si>
  <si>
    <t xml:space="preserve">- Se paso a producción y se tiene el comunicado aprobado por Juan. 
Se revisa con equipo NTT y equipo de SNOW para pasar a producción 
- Solicitud de comunicado al área de gobierno</t>
  </si>
  <si>
    <t xml:space="preserve">Usuarios y Perfiles Globales</t>
  </si>
  <si>
    <t xml:space="preserve">Eliminación de accesos a usuarios de Tecnología, Operaciones y Tribu para que puedan crear usuarios de dominio directamente con perfil.</t>
  </si>
  <si>
    <t xml:space="preserve">Automatizaciones</t>
  </si>
  <si>
    <t xml:space="preserve">Automatización de la gestión de accesos para las aplicaciones: AS400, GAF, Sistema Monitoreo Fraudes con RPA.</t>
  </si>
  <si>
    <t xml:space="preserve">Pendiente validación API con heaven para luego validación en test y posterior paso a producción.</t>
  </si>
  <si>
    <t xml:space="preserve">Migración de módulos de seguridad</t>
  </si>
  <si>
    <t xml:space="preserve">Apagado Siglo 21: Sincronización en Test y Producción; Desarrollo Módulo de Seguridad</t>
  </si>
  <si>
    <t xml:space="preserve">Ana María Fierro
Daniel Lescano</t>
  </si>
  <si>
    <t xml:space="preserve">Se han realizado pruebas, certificación, capacitación; pendiente corregir ciertos hallazgos identificados, validar y pasar el periodo de estabilización (10 días).</t>
  </si>
  <si>
    <t xml:space="preserve">Recepción de Aplicaciones</t>
  </si>
  <si>
    <t xml:space="preserve">Transferir aplicaciones al equipo de Gestión de Identidades para su gestión de identidades y accesos.
En enero 2026 se tenia 154 aplicaciones administradas, a diciembre se debe llegar a 232 aplicaciones. Llevamos 165 aplicaciones. Pestaña "Recepción de Aplicaciones".</t>
  </si>
  <si>
    <t xml:space="preserve">Jhonny Barreiro
Yolanda León</t>
  </si>
  <si>
    <t xml:space="preserve">Comprometido en indicador gerencial y fuga de información.
Junio.26: Se tienen 169 aplicaciones.
Julio.26: Se tienen 176 aplicaciones.</t>
  </si>
  <si>
    <t xml:space="preserve">Indicador</t>
  </si>
  <si>
    <t xml:space="preserve">Indicador IDE 01 Universo de aplicaciones y aplicaicones administradas
Monitoreo de Aplicaciones CMDB para validacion de criterios</t>
  </si>
  <si>
    <t xml:space="preserve">Indicador a Gobierno CS</t>
  </si>
  <si>
    <t xml:space="preserve">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</si>
  <si>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 xml:space="preserve">Ariel Villacis</t>
  </si>
  <si>
    <t xml:space="preserve">GOVERN</t>
  </si>
  <si>
    <t xml:space="preserve">Plan de riesgos</t>
  </si>
  <si>
    <t xml:space="preserve">NERM - Externos</t>
  </si>
  <si>
    <t xml:space="preserve">Perfilamiento y Gestión de Accesos de Usuarios Externos basado en Estructura Organizacional (Seguimiento a través de la pestaña "Planificación Externos")</t>
  </si>
  <si>
    <t xml:space="preserve">Ana María Vergara
Jhonny Barreiro
Richard Requelme</t>
  </si>
  <si>
    <t xml:space="preserve">Comprometido en indicador gerencial y fuga de información.
Desarrollo dashboard.</t>
  </si>
  <si>
    <t xml:space="preserve">Integrar la aplicación de contratos como fuente autoritativa dentro del sistema de control de accesos de terceros</t>
  </si>
  <si>
    <t xml:space="preserve">17-ago - El equipo de automatizacion ya se integro con Pegasus (ETL de correo). Pendiente definir campos a consumir en NERM y actualizar el catálogo en SNOW
Se revisaron los campos para obtener de Fusion. Se tiene una reunión esta semana con el equi</t>
  </si>
  <si>
    <t xml:space="preserve">Modificar el flujo de requerimientos para centralizar y automatizar la gestión de solicitudes ABM de terceros</t>
  </si>
  <si>
    <t xml:space="preserve">Usuarios disponibles para ser contraparte de genérico (#2994)</t>
  </si>
  <si>
    <t xml:space="preserve">Se amplia la contraparte para filiales de Pichincha Sistemas Acovi con nivel jerárquico 90 o menos debido a que ellos requieren ser contraparte de sus externos.</t>
  </si>
  <si>
    <t xml:space="preserve">Implementación identificador roles externos</t>
  </si>
  <si>
    <t xml:space="preserve">- Solicitud Soporte Assertiva #2914
- Implementación del identificador XXXXXXXXXX en todos los roles de externos con el fin de evitar que queden vacíos y disparen una asignación de accesos incorrecta</t>
  </si>
  <si>
    <t xml:space="preserve">Definición | Implementación Nomenclatura Código y Nombre de Cargos Externos</t>
  </si>
  <si>
    <t xml:space="preserve">- Solicitud Soporte Assertiva #2682 | #2767
- Definición e implementación código y nombre de cargo para usuarios externos
- Pruebas en aplicaciones evaluar impacto en aprovisionamiento.  Prueba Logiflow para que cumpla con la condición de 8 caráctere</t>
  </si>
  <si>
    <t xml:space="preserve">Ampliación vigencia externos.  Encendido sync del atributo</t>
  </si>
  <si>
    <t xml:space="preserve">- Solicitud soporte Assertiva ticket #2986
- Análisis de impacto previo al encendido de atributos
- Se corregieron 7 casos con inconsistencia previo al encendido
-  Se ejecuto el encendido de la sincronización se encuentra funcionando correctamente</t>
  </si>
  <si>
    <t xml:space="preserve">NERM - Genéricos</t>
  </si>
  <si>
    <t xml:space="preserve">Actualización de contrapartes para usuarios genéricos en AD (#2993)</t>
  </si>
  <si>
    <t xml:space="preserve">Bryan Uyana</t>
  </si>
  <si>
    <t xml:space="preserve">Bryan Uyana
Richard Requelme</t>
  </si>
  <si>
    <t xml:space="preserve">Sincronización entre actualización de contrapartes genéricas. Una vez ingresado en NERM la actualización, se replica en el campo "Calle" la contraparte al igual que en externos.</t>
  </si>
  <si>
    <t xml:space="preserve">NERM - VIP</t>
  </si>
  <si>
    <t xml:space="preserve">Registro y administración de usuarios VIP en NERM, garantizando la correcta creación y actualización, ya que actualmente no se registran en el gestor de identidades por tener un contrato como honorarios profesionales registrados en SSFF</t>
  </si>
  <si>
    <t xml:space="preserve">- Análisis para incluir los casos de usuarios existentes en AD adicionales a usuarios VIP
- Coordinación con Andrea Moncayo RRHH a partir de la fecha de inicio del plan para validación e implementación de casos de usuarios VIP de forma controlada
- 1</t>
  </si>
  <si>
    <t xml:space="preserve">Certificación de Accesos: Nombres de roles</t>
  </si>
  <si>
    <t xml:space="preserve">Documentar y describir de manera completa y estandarizada los roles configurados en las herramienta (para iniciar campañas de certificación).</t>
  </si>
  <si>
    <t xml:space="preserve">Bryan Uyana
Ana María Fierro
Daniel Lescano
Jhonny Barreiro
Ana María Vergara
Richard Requelme</t>
  </si>
  <si>
    <t xml:space="preserve">Comprometido para campaña de certificación.</t>
  </si>
  <si>
    <t xml:space="preserve">Certificación de Accesos: Revisión inconsistencias</t>
  </si>
  <si>
    <t xml:space="preserve">Proceso de consistencia aplicaciones vs. gestor Sailpoint</t>
  </si>
  <si>
    <t xml:space="preserve">Bryan Uyana
Ana María Fierro
Daniel Lescano</t>
  </si>
  <si>
    <t xml:space="preserve">Certificación de Accesos: Usuarios Internos/Externos</t>
  </si>
  <si>
    <t xml:space="preserve">Ejecución de campañas de certificación (Externos 100%, Internos 80%, Filiales 0%). PMC-2943</t>
  </si>
  <si>
    <t xml:space="preserve">Todo el Equipo</t>
  </si>
  <si>
    <t xml:space="preserve">Comprometido con riesgos, fuga de información.</t>
  </si>
  <si>
    <t xml:space="preserve">Usuarios Genéricos</t>
  </si>
  <si>
    <t xml:space="preserve">Integración de Registros de Caja Fuerte - NERM</t>
  </si>
  <si>
    <t xml:space="preserve">Se definio el modelo de caja fuerte, ahora se va a migrar todos los campos requeridos en NERM para no tener doble registro</t>
  </si>
  <si>
    <t xml:space="preserve">Registro de Genéricos de Sistema (#3158)</t>
  </si>
  <si>
    <t xml:space="preserve">- 15-sept: Se requiere socializar, ya se completo este flujo. Para el proceso de caja fuerte: se requiere un nuevo flujo de registro de genérico de sistema, únicamente debe vivir en NERM y no en ISC. Es netamente informativo. Es una cuenta que tiene </t>
  </si>
  <si>
    <t xml:space="preserve">Proyecto genéricos (identificación, responsable, funcionalidad, caducidad clave, MFA, bloqueo inicio de sesión, depuración y monitoreo).</t>
  </si>
  <si>
    <t xml:space="preserve">Yolanda León</t>
  </si>
  <si>
    <t xml:space="preserve">Revisión de los roles asignados a los genéricos obsoletos (estos tienen los grupos de AD: GF_BP_UC, GF_FW_FILESERVER, GF_FW_FTP, GSC_CGDA_SalesforceGlobal, GSC_BP-Athento.Office-Prod_UsersBP, GSC_CGDA_MembersGeneral, GSC_CA-Persona-CorpServiceAccounts-Entra)</t>
  </si>
  <si>
    <t xml:space="preserve">-15-sept- se depuro todo el tema de Nube</t>
  </si>
  <si>
    <t xml:space="preserve">Certificación de Accesos: Genéricos</t>
  </si>
  <si>
    <t xml:space="preserve">Revisión y eliminación usuarios genéricos duplicados en AD.</t>
  </si>
  <si>
    <t xml:space="preserve">Identificación de usuarios genéricos de procesos manuales y procesos automáticos (habilitar políticas de seguridad).</t>
  </si>
  <si>
    <t xml:space="preserve">Ana María Fierro
Yolanda León
Santiago Barahona</t>
  </si>
  <si>
    <t xml:space="preserve">Habilitación de passworless</t>
  </si>
  <si>
    <t xml:space="preserve">Identificación de cuentas genéricas que inician sesión en las estaciones de trabajo.
Caso de uso con Ciberdefensa</t>
  </si>
  <si>
    <t xml:space="preserve">Bryan Uyana
Yolanda León
Vinicio Samaniego</t>
  </si>
  <si>
    <t xml:space="preserve">Se inactivó el usuario USRPCCPY (24-07-2026)</t>
  </si>
  <si>
    <t xml:space="preserve">Controlar el uso de cuentas de usuarios que no han iniciado sesión en 120 días. (Control con TCS).</t>
  </si>
  <si>
    <t xml:space="preserve">Esta actividad es permanente, mensual.</t>
  </si>
  <si>
    <t xml:space="preserve">Cesantes</t>
  </si>
  <si>
    <t xml:space="preserve">Actualización Automática de Contrapartes Cesantes - Genéricos y Externos (#3159)</t>
  </si>
  <si>
    <t xml:space="preserve">-15-sept- Falta únicamente socializarRevisar el proceso cuando un interno sale de la organización, y el mismo tiene asociado usuarios genéricos y externos bajo su cargo. Esto debido a que el proceso actual es manual. La idea es que se actualice autom</t>
  </si>
  <si>
    <t xml:space="preserve">Onboarding</t>
  </si>
  <si>
    <t xml:space="preserve">Revision novedades en onboarding (Cargos nuevos)</t>
  </si>
  <si>
    <t xml:space="preserve">Bryan Uyana
Daniel Lescano
Ana María Vergara</t>
  </si>
  <si>
    <t xml:space="preserve">Esta actividad es permanente.</t>
  </si>
  <si>
    <t xml:space="preserve">Crossboarding</t>
  </si>
  <si>
    <t xml:space="preserve">Creación de Workflows para retiro de accesos referente a (BDD, SFTP, DLP, VPN);
Cambios Workflow de Crossboarding (#3036)</t>
  </si>
  <si>
    <t xml:space="preserve">Se retira los permisos por fuera de nube (GSC_XXX), grupos de Firewall, y permisos de Fusion cuando se detecta cambios de área + cargo. </t>
  </si>
  <si>
    <t xml:space="preserve">Flujos de Cambios de Cargo Libre (#3022)</t>
  </si>
  <si>
    <t xml:space="preserve">- Solicitud Soporte Assertiva #3052
- Se genero un nuevo formulario en la sección LauchPad de ISC para procesar los cambios de rol para usuarios nominados que compartan la misma estructura organizacional
- Flujo abierto unicamente para Gestión de Ide</t>
  </si>
  <si>
    <t xml:space="preserve">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</si>
  <si>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t>
  </si>
  <si>
    <t xml:space="preserve">Workflow de Crossboarding - 3.0 Retiro de permisos cuando detecta cambio únicamente de cargo</t>
  </si>
  <si>
    <t xml:space="preserve">-15 - sept - Se envió a minería de roles Entra ID, se están haciendo ajustes en los roles. Y ya se envió el ticket para crear el flujo. Analizar los resultados del workflow 2,0 y ajustar más permisos, y más restrictivo</t>
  </si>
  <si>
    <t xml:space="preserve">Offboarding</t>
  </si>
  <si>
    <t xml:space="preserve">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</si>
  <si>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
</t>
  </si>
  <si>
    <t xml:space="preserve">Reportería</t>
  </si>
  <si>
    <t xml:space="preserve">Integración GEMA - Reportes de Negocio y Gobierno CS - Disponibilizar información</t>
  </si>
  <si>
    <t xml:space="preserve">Se capacito al equipo y se finalizo la actividad de disponibilizar por GEMA lo requerido</t>
  </si>
  <si>
    <t xml:space="preserve">Vista para control de accesos asignados fuera del rol - revocaciones de permisos por Sailpoint en GEMA</t>
  </si>
  <si>
    <t xml:space="preserve">Se agrega una vista para conocer los tickets con los que se asigna un permiso o se revoca por flujos automáticos de crossboarding.</t>
  </si>
  <si>
    <t xml:space="preserve">Proceso de Reportería para Eventos de Auditoría - Scripts y nuevo formato de reportes</t>
  </si>
  <si>
    <t xml:space="preserve">Se remiten los scripts iniciales para reportería de eventos y tickets generados. </t>
  </si>
  <si>
    <t xml:space="preserve">Centros de Costos Temporales (No red de agencia).</t>
  </si>
  <si>
    <t xml:space="preserve">Colaboradores con centros de costos diferentes en las aplicaciones vs. fuente autoritativa (1187 usuarios).</t>
  </si>
  <si>
    <t xml:space="preserve">Daniel Lescano</t>
  </si>
  <si>
    <t xml:space="preserve">Daniel Lescano
Ana María Fierro</t>
  </si>
  <si>
    <t xml:space="preserve">El equipo de Nómina nos ha enviado el detalle de los usuarios que se debe cambiar el centro de costo y quienes lo deben mantener.
52 colaboradores han sido excepcionados, asignándoles una fecha fin temporal al 31/12/2050, con el objetivo de evitar af</t>
  </si>
  <si>
    <t xml:space="preserve">Centros de Costos y Cambios Temporales (red de agencia).</t>
  </si>
  <si>
    <t xml:space="preserve">Agregar Aprobación en Flujos de Centro de costos y Cambios temporales (#3131)
Establecer todos los controles:
- Ticket SN
- Aprobaciones
- Consideración matriz de coreografía
- Tiempos de ausencia (temporalidad).</t>
  </si>
  <si>
    <t xml:space="preserve">Richard Requelme 
Ana María Fierro</t>
  </si>
  <si>
    <t xml:space="preserve">-15-sept - Se poblo el campo de Manager en AD para poblar en Service now y llevar el flujo de agencias a este nuevo formato. *22-jul, se tiene una reunión con Agencias para validar, se requiere foro extendido con Soledad Pazmino, Pilar Vallejo y Tati</t>
  </si>
  <si>
    <t xml:space="preserve">Centros de Costos</t>
  </si>
  <si>
    <t xml:space="preserve">Revisión del error de tickets que el estado no puede ser modificado no cancelado debido a que no se encuentra la información de centro de costos</t>
  </si>
  <si>
    <t xml:space="preserve">Se levantó el ticket 3263 a Assertiva para solventar el inconveniente sobre el campo Centro de Costos null al momento de la creación de tickets</t>
  </si>
  <si>
    <t xml:space="preserve">Certificación de Accesos: Agencias</t>
  </si>
  <si>
    <t xml:space="preserve">Actualización matriz de coreografías y autorizadores - nuevas definiciones.</t>
  </si>
  <si>
    <t xml:space="preserve">Conversar con Diego Piedra / RRHH Estructura / Sole Pazmino</t>
  </si>
  <si>
    <t xml:space="preserve">Homologación de perfiles de agencias para disminuir cambios cuando se requiere cambio de perfil global agencias.</t>
  </si>
  <si>
    <t xml:space="preserve">Pendiente Area Comercial</t>
  </si>
  <si>
    <t xml:space="preserve">Actualización del instructivo - Nuevo proceso para la gestión de cambios de perfil y centro de costos
Correo mensual al equipo de Negocio sobre los cambios mensuales en CC y perfil global temporal.</t>
  </si>
  <si>
    <t xml:space="preserve">Reforzar con el equipo de Gye (las definiciones).</t>
  </si>
  <si>
    <t xml:space="preserve">Revisión de reseteos/deslogueo de usuarios de siglo 21 a través de VIA (787 colaboradores con este acceso), personal de Banca Relacional, Call Center, Operaciones y Banca Privada Internacional.</t>
  </si>
  <si>
    <t xml:space="preserve">Se eliminó el acceso a 555 colaboradores, pendiente 214. cargo (Administrador Comercial y Servicios)</t>
  </si>
  <si>
    <t xml:space="preserve">Certificación de Accesos: Rotativas</t>
  </si>
  <si>
    <t xml:space="preserve">Revisión proceso utilización cuentas genéricas rotativas. CAJERO ROTATIVO: 499; JEFE ROTATIVO: 195; SUPERVISOR ROTATIVO: 209</t>
  </si>
  <si>
    <t xml:space="preserve">Ana María Fierro
Yolanda León</t>
  </si>
  <si>
    <t xml:space="preserve">Se ha efectuado un proceso de depuración de estas cuentas rotativas.</t>
  </si>
  <si>
    <t xml:space="preserve">Certificación de Accesos: Estaciones Digitales</t>
  </si>
  <si>
    <t xml:space="preserve">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</si>
  <si>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
</t>
  </si>
  <si>
    <t xml:space="preserve">Certificación de Accesos: ATM</t>
  </si>
  <si>
    <t xml:space="preserve">Depuración usuarios ATM</t>
  </si>
  <si>
    <t xml:space="preserve">Se ha procedido a eliminar los 175 usuarios genéricos de ATM.
Se mantuvo reunión con el equipo de Implementación de Canales Físicos e incluirán al equipo de GI en las notificaciones para un proceso de depuración más oportuno.</t>
  </si>
  <si>
    <t xml:space="preserve">Certificación de Accesos: Aplicaciones </t>
  </si>
  <si>
    <t xml:space="preserve">Depuración opción 677050 (segmentación de clientes), solicitud del Comité de Estrategía.</t>
  </si>
  <si>
    <t xml:space="preserve">El 22 de julio se ejecutará la primera fase, pendiente fase 2 y fase 3
Fase 1: 1658 usuarios (usuarios nominados)
Fase 2: 51 usuarios (genéricos de procesos que no registran inicios de sesión en más de 1 año) - Ejecutado 13/08/2026
Fase 3: 566 usuari</t>
  </si>
  <si>
    <t xml:space="preserve">Observación Opciones Sensibles, depuración opción 1045 (validación opciones 21097, 21098, 21051), depuración menus en Bancs.</t>
  </si>
  <si>
    <t xml:space="preserve">Obs. Auditoría</t>
  </si>
  <si>
    <t xml:space="preserve">pendiente opción 1045 a cargo de A. Fierro; Octavio Mejia.
Se ejecutará un primer CC el 22 de julio.</t>
  </si>
  <si>
    <t xml:space="preserve">Análisis de factibilidad automatización de inconsistencias</t>
  </si>
  <si>
    <t xml:space="preserve">Se evaluara con 5 aplicaciones incialmente para automatizar</t>
  </si>
  <si>
    <t xml:space="preserve">Pipeline para aprobación de modificación de roles en BPOne (control de cambios en roles y creación de nuevos roles en BPOne)</t>
  </si>
  <si>
    <t xml:space="preserve">En periodo de pruebas.</t>
  </si>
  <si>
    <t xml:space="preserve">Apagado Portal de Negocios perfilamiento BPOne, CRM y Athento</t>
  </si>
  <si>
    <t xml:space="preserve">Perfilamiento BPOne y Athento, pendiente CRM.</t>
  </si>
  <si>
    <t xml:space="preserve">Depuración de accesos a usuarios en aplicativos priorizados.
1) GAF, 2) Cash Management, 3) CREDIFE, 4) BPOne, 5) CRM, 6) Webteller 7) Bancs.</t>
  </si>
  <si>
    <t xml:space="preserve">Inicio septiembre 2026</t>
  </si>
  <si>
    <t xml:space="preserve">Base de Datos</t>
  </si>
  <si>
    <t xml:space="preserve">Levantamiento nuevo flujo gestion de accesos a BBDD.</t>
  </si>
  <si>
    <t xml:space="preserve">Bryan Uyana
Daniel Lescano
Richard Requelme</t>
  </si>
  <si>
    <t xml:space="preserve">- 15-sept- se tiene los acuerdos, está en proceso de actualización el anexo del instructivo. Se opera en función a la estrategia</t>
  </si>
  <si>
    <t xml:space="preserve">Ejecución de controles de depuración BBDD. Control Estandar.</t>
  </si>
  <si>
    <t xml:space="preserve">Rommel Merchan</t>
  </si>
  <si>
    <t xml:space="preserve">Realización de control de cambios estándar para depuración masiva</t>
  </si>
  <si>
    <t xml:space="preserve">Eliminación de usuarios en BD Bancs P012BAND </t>
  </si>
  <si>
    <t xml:space="preserve">Riesgos</t>
  </si>
  <si>
    <t xml:space="preserve">correo enviado el 10.06.2026. 3 usuarios faltantes</t>
  </si>
  <si>
    <t xml:space="preserve">Diseño de nueva estrategia para el otorgamiento de accesos a BD, grupos AD, bloqueos fw y construcción roles en SP.</t>
  </si>
  <si>
    <t xml:space="preserve">Daniel Lescano
Richard Requelme
Bryan Uyana</t>
  </si>
  <si>
    <t xml:space="preserve">Se elaboró presentación con la nueva estrategia y se comunicó al equipo.</t>
  </si>
  <si>
    <t xml:space="preserve">Proyecto depuración de accesos a BD en función de la nueva estrategia diseñada. (BD que no tienen acceso info. Sensible -no EPI-)</t>
  </si>
  <si>
    <t xml:space="preserve">Porcentaje de acuerdo a lo avanzado con Rommel y Jhonna.</t>
  </si>
  <si>
    <t xml:space="preserve">Grupos de AD y Firewall (análisis, cambio de funcionalidad, grupos de bloqueo) - Gestión de accesos SQL</t>
  </si>
  <si>
    <t xml:space="preserve">Daniel Lescano 
Richard Requelme</t>
  </si>
  <si>
    <t xml:space="preserve">Se implementó el control de cambios CHG0775788 para las reglas de bloqueo de los grupos de AD</t>
  </si>
  <si>
    <t xml:space="preserve">Grupos de AD y Firewall (análisis, depuración, cambio de funcionalidad, grupos de bloqueo) - Gestión de accesos SQL ECBPPRQ93</t>
  </si>
  <si>
    <t xml:space="preserve">Hubo reunión con Jorge Lucero para definir la estrategia de bloqueo y la de permisos a largo plazo. Para la estrategia a largo plazo, el equipo de Firewall está analizando tiempos en función a las bases remitidas</t>
  </si>
  <si>
    <t xml:space="preserve">Gestión de accesos SQL ECBPPRQ93</t>
  </si>
  <si>
    <t xml:space="preserve">Depuración de accesos de usuarios al servidor SQL ECBPPRQ93</t>
  </si>
  <si>
    <t xml:space="preserve">Se realizó el proceso de depuración de usuarios que no han accedido a la BD</t>
  </si>
  <si>
    <t xml:space="preserve">Certificación de permisos y objetos de usuarios nominados en el servidor SQL ECBPPRQ93</t>
  </si>
  <si>
    <t xml:space="preserve">Se otorgaron permisos a objetos específicos a la BD SQL ECBPPRQ93</t>
  </si>
  <si>
    <t xml:space="preserve">Ratificación de usuarios genéricos con accesos al servidor ECBPPRQ93</t>
  </si>
  <si>
    <t xml:space="preserve">Se enviaron notificaciones a los responsables de los usuarios genéricos. Además se valida que los usuarios genéricos hayan tenido acceso a la BDD en los últimos 3 meses</t>
  </si>
  <si>
    <t xml:space="preserve">Depuración de usuarios genéricos en el servidor ECBPPRQ93</t>
  </si>
  <si>
    <t xml:space="preserve">Se levantará un control de cambios para la deshabilitación y posterior eliminación de usuarios genéricos que se hayan ratificao la eliminación.
Se envia un listado de usuarios genéricos que no se han logueado a Daniel Bosquez como responsable de la B</t>
  </si>
  <si>
    <t xml:space="preserve">Sincronización de usuarios</t>
  </si>
  <si>
    <t xml:space="preserve">Modificación del horario de ejecución del Job JSG057DO desde Control-M</t>
  </si>
  <si>
    <t xml:space="preserve">Se cambió la fecha de ejecución de 7am a 6am, para evitar la afectación que se presenta actualmente.</t>
  </si>
  <si>
    <t xml:space="preserve">Usuarios Privilegiados</t>
  </si>
  <si>
    <t xml:space="preserve">shell JSG056DO (cambio de clave del superusuario BANCS – SUPERUSR) </t>
  </si>
  <si>
    <t xml:space="preserve">Se relizará la revisión del shell en el nuevo serevicio debido a la migración de Siglo21</t>
  </si>
  <si>
    <t xml:space="preserve">Calidad de Datos</t>
  </si>
  <si>
    <t xml:space="preserve">Calidad de Datos - COE Ciberseguridad; indicador: Registro de Gestión de Identidades y Accesos con data de nuevo gestor SAILPOINT</t>
  </si>
  <si>
    <t xml:space="preserve">Se realizara una nueva medicion en el Q4</t>
  </si>
  <si>
    <t xml:space="preserve">Buzon /  Licenciamiento Office 365</t>
  </si>
  <si>
    <t xml:space="preserve">Revisión usuarios sin target address</t>
  </si>
  <si>
    <t xml:space="preserve">Controles</t>
  </si>
  <si>
    <t xml:space="preserve">Fortalecimiento al proceso de otorgamiento de acceso a "dominios de confianza". Sharepoint, Onedrive, EntraID, Guest y Teams</t>
  </si>
  <si>
    <t xml:space="preserve">Dayanara Terán</t>
  </si>
  <si>
    <t xml:space="preserve">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</si>
  <si>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 xml:space="preserve">Bryan Uyana
Dayanara Terán</t>
  </si>
  <si>
    <t xml:space="preserve">Se ha ido depurando, y se elaboró informe (enviado el 03.08.26), pendiente lo de Teams.
Se depueraron 10 dominos de teams que no se contaba con algun habilitante.</t>
  </si>
  <si>
    <t xml:space="preserve">Usuarios Guest (eliminar dominios amplios y configurar con usuarios "Guest" B2B): 32 dominios en esta condición.</t>
  </si>
  <si>
    <t xml:space="preserve">Se eliminaron los dominios amplios y se configuraron bajo el esquema B2B.</t>
  </si>
  <si>
    <t xml:space="preserve">Fortalecimiento al proceso de otorgamiento de acceso a "Administrador Local".</t>
  </si>
  <si>
    <t xml:space="preserve">Bryan Uyana
Vinicio Samaniego</t>
  </si>
  <si>
    <t xml:space="preserve">Se presento la nueva erramienta EPM, sin embargo unicamente sirve cuando el usuario necesita ejecutar aplicaciones como administrador, se excluye MAC's.
Para el proceso cuando requieran algo a nivel de S.O se seguira usando Crowdstrike.
En proceso de</t>
  </si>
  <si>
    <t xml:space="preserve">Fortalecimiento al proceso de otorgamiento de acceso a "Periféricos Externos".</t>
  </si>
  <si>
    <t xml:space="preserve">Se realizo una depuracion con el fin de rertirar acceso caducados.</t>
  </si>
  <si>
    <t xml:space="preserve">PMC-2166: migración FTP a SFTP</t>
  </si>
  <si>
    <t xml:space="preserve">Se realizó la migración del FTP en el SFTP en la que a los usuarios se les otorga permisos a las rutas específicas y con los minimos privilegios</t>
  </si>
  <si>
    <t xml:space="preserve">PMC-2167: ECBPPRQ93</t>
  </si>
  <si>
    <t xml:space="preserve">Daniel Lescano
Richard Requelme</t>
  </si>
  <si>
    <t xml:space="preserve">En paralelo, se trabaja proceso, depuración, grupos de fw, etc. En función a la planificación de auditoría</t>
  </si>
  <si>
    <t xml:space="preserve">PMC-1710: Afinar la matriz de línea base de accesos Cloud en coordinación con las áreas correspondientes.</t>
  </si>
  <si>
    <t xml:space="preserve">PMC-1711: Ejecutar el monitoreo de accesos a la nube conforme a la línea base actualizada.</t>
  </si>
  <si>
    <t xml:space="preserve">PMC-2052: Levantamiento e implementación de los casos de uso para el control de los usuarios privilegiados en entornos de servidores Windows y Unix.</t>
  </si>
  <si>
    <t xml:space="preserve">Vinicio Samaniego</t>
  </si>
  <si>
    <t xml:space="preserve">Vinicio Samaniego
Richard Requelme</t>
  </si>
  <si>
    <t xml:space="preserve">PMC-1315: Identificar los responsables de usuarios genéricos Cloud que no se encuentren registrados dentro de la plataforma y enviar notificación de la caducidad de las contraseñas.</t>
  </si>
  <si>
    <t xml:space="preserve">Actualización de Instructivo de Gestión de accesos VPN</t>
  </si>
  <si>
    <t xml:space="preserve">Actualización de Instructivos</t>
  </si>
  <si>
    <t xml:space="preserve">FTP - SFTP</t>
  </si>
  <si>
    <t xml:space="preserve">Eliminación de rutas que no han sido utilizadas por más de 6 meses
TEST, reduciendo el volumen de carpetas de 432.798 a 22.212.
PRODUCTIVO, volumen de carpetas se redujo significativamente de 1.117.604 a 4.834</t>
  </si>
  <si>
    <t xml:space="preserve">Actividad será semestral</t>
  </si>
  <si>
    <t xml:space="preserve">Eliminación de usuarios nominados que no requieren acceso a nivel del GoAnyWhere
Se levantará un ticket para que con la creación de nuevos usuarios no se poble el campo FAX.</t>
  </si>
  <si>
    <t xml:space="preserve">Se retiró el registro del campo atributo Fax a nivel de usuarios de AD.
Se procedió con la eliminación de los usuarios nominados y genéricos de dominio que se encontraban deshabilitados en GoAnyWhere.
De un total de 9618 usuarios se eliminaron 8868 s</t>
  </si>
  <si>
    <t xml:space="preserve">Certificación de permisos de usuarios nominados en rutas específicas</t>
  </si>
  <si>
    <t xml:space="preserve">Se está realizando la depuración de usuarios que se encontraban con accesos a rutas FTP anteriormente configurados.</t>
  </si>
  <si>
    <t xml:space="preserve">Eliminación de permisos de usuarios nominados en carpetas</t>
  </si>
  <si>
    <t xml:space="preserve">Se está realizando la depuración de usuarios a nivel de grupos que no han accedido al SFTP GoAnyWhere</t>
  </si>
  <si>
    <t xml:space="preserve">Regularización de grupos GFTP_ que mantiene los usuarios con accesos a las rutas SFTP</t>
  </si>
  <si>
    <t xml:space="preserve">Se está realizando la eliminación de grupos GFTP_ que ya no se encuentran funcionales para los usuarios nominados ya que cuentan con accesos a rutas específicas.
De un total de 318 grupos de AD,se han eliminado 289 y se mantienen 28.</t>
  </si>
  <si>
    <t xml:space="preserve">Obtención del inventario de usuarios SFTP (Global Scape).</t>
  </si>
  <si>
    <t xml:space="preserve">Revisar las rutas de SFTP Globalscape, usuarios y trasacciones</t>
  </si>
  <si>
    <t xml:space="preserve">Siglo21</t>
  </si>
  <si>
    <t xml:space="preserve">Certificación - Shells Seguridad Control-M </t>
  </si>
  <si>
    <t xml:space="preserve">Se finaliza con el proceso de sincronización de usuarios </t>
  </si>
  <si>
    <t xml:space="preserve">SFTP</t>
  </si>
  <si>
    <t xml:space="preserve">Migración SFTP - Revisión de accesos desde Interdin a rutas SFTP</t>
  </si>
  <si>
    <t xml:space="preserve">Se realizo la ratificación de los permisos de usuarios de Interdin</t>
  </si>
  <si>
    <t xml:space="preserve">VPN</t>
  </si>
  <si>
    <t xml:space="preserve">Eliminación Harmony (eliminación de accesos a la VPN).</t>
  </si>
  <si>
    <t xml:space="preserve">Actividad de Plataformas, apoyo en la migración.</t>
  </si>
  <si>
    <t xml:space="preserve">MFA</t>
  </si>
  <si>
    <t xml:space="preserve">Identificación de usuarios que no tienen activo el MFA, y revisión de procesos por los cuales no lo tienen habilitado. FIDO
MFA para usuarios excepcionados</t>
  </si>
  <si>
    <t xml:space="preserve">FIDO prueba en Contact Center.
'- 20/07/2026 sesión con Christian Flores para validar funcionamiento del dispositivo FIDO
- Proceso contacto con proveedor Yubico para proforma de dispositivos
- 17/08/2026 Se tendrá una reunión con el equipo de Call C</t>
  </si>
  <si>
    <t xml:space="preserve">No caduca contraseña</t>
  </si>
  <si>
    <t xml:space="preserve">Identificación de usuarios que no caduca su contraseña y gestionar la habilitación de la política en AD para estos usuarios.</t>
  </si>
  <si>
    <t xml:space="preserve">Bryan Uyana
Yolanda León
Santiago Barahona</t>
  </si>
  <si>
    <t xml:space="preserve">Usuario Genérico alto privilegio </t>
  </si>
  <si>
    <t xml:space="preserve">Revisión usuario Domain Admin (USRPREDT) utilizado por Respuesta a Incidentes (creación de usuario para acceso a equipo final y cyberark)</t>
  </si>
  <si>
    <t xml:space="preserve">Ariel Villacis
Vinicio Samaniego</t>
  </si>
  <si>
    <t xml:space="preserve">Usuarios linea base, existen tres usuarios a nivel local:
usrcclbd : Usuario genérico  para servidores de nube de desarrollo Win/Unix.
usrcclbt : Usuario genérico  para servidores de nube de test Win/Unix.
usrcclbp : Usuario genérico  para servidores de nube de producción Win/Unix.
Estos usuarios existen en servidores de nube Windows y Unix (según el ambiente) con clave diferenciada por arquitectura, (son 3 usuarios genéricos y 6 claves de acceso).</t>
  </si>
  <si>
    <t xml:space="preserve">GI será custodio de las claves de acceso, se debe rotar las claves en los 300 servidores, post rotación se validará con los dueños del proceso de escaneo LB la correcta operación.
- Personal CloudOps debe solicitar un usuario para cada administrador </t>
  </si>
  <si>
    <t xml:space="preserve">Webmail</t>
  </si>
  <si>
    <t xml:space="preserve">Eliminación de buzones en webmail, aquellos usuarios que no han hecho logueo en los ultimos 30 días; y canalizar la transferencia de buzones de los usuarios pendientes (106) En total 753 buzones.</t>
  </si>
  <si>
    <t xml:space="preserve">Bryan Uyana
Yolanda León</t>
  </si>
  <si>
    <t xml:space="preserve">Listas de distribución para 128 buzones genericos eliminados y 53 que no tenian buzon, y se eliminará a los 4 buzones que fueron migrados a o365.</t>
  </si>
  <si>
    <t xml:space="preserve">Caso Reportado por Wilson Nono, indicó que ya no requieren estas cuentas. Fueron eliminadas.</t>
  </si>
  <si>
    <t xml:space="preserve">Continuidad del Negocio</t>
  </si>
  <si>
    <t xml:space="preserve">Evaluación Plan de Continuidad Gestión de Identidades</t>
  </si>
  <si>
    <t xml:space="preserve">RECOVER</t>
  </si>
  <si>
    <t xml:space="preserve">- Se han mantenido sesiones con Julio Torres - Continuidad del Negocio.  Entendimiento del proceso
- Se levanto el registro de plataformas críticas para la operación del proceso de Gestión de Identidades
- En preparación del documento del plan de con</t>
  </si>
  <si>
    <t xml:space="preserve">Gobierno y Planificación</t>
  </si>
  <si>
    <t xml:space="preserve">Evaluación Madurez NIST - BGR</t>
  </si>
  <si>
    <t xml:space="preserve">- Participación proceso evaluación madurez - NIST en BGR 
- Revisión del proceso del dominio de Gestión de Identidades
- 21/07/2026 Se ha realizado una primera sesión con BGR para el entendimiento del proceso general
- 30/07/2026 Se ha agendado una v</t>
  </si>
  <si>
    <t xml:space="preserve">Control Usuarios Privilegiados: Sistemas Operativos</t>
  </si>
  <si>
    <t xml:space="preserve">Análisis y creación de informe de inventario de servidores con Sistema Operativo Windows y Unix.
Análisis y creación de informe final de usuarios privilegiados en servidores con Sistema Operativo Windows, Unix e iSeries.</t>
  </si>
  <si>
    <t xml:space="preserve">meses ejecutados/meses total del año.</t>
  </si>
  <si>
    <t xml:space="preserve">Control Usuarios Privilegiados: Bases de Datos</t>
  </si>
  <si>
    <t xml:space="preserve">Análisis y creación de informe de inventario de servidores de BDD.
Análisis y creación de informe final de usuarios privilegiados en motores de Bases de Datos: Oracle, SQL Server, DB2, Sybase y Postgres.</t>
  </si>
  <si>
    <t xml:space="preserve">Rotación de contraseña: Usuarios privilegiados Domain Admin</t>
  </si>
  <si>
    <t xml:space="preserve">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</si>
  <si>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 xml:space="preserve">Próxima ejecución enero 2027
Se identificaron nuevos usuarios grupo Domain Admins (usrpwsla, usrpsail, usrpclck -listo-)
USRPWSLA: confirmo que el componente EI (Enterprise Integrator) de WSO2 se encuentra apagado.</t>
  </si>
  <si>
    <t xml:space="preserve">Quitar privilegio Domain Admin al usuario USRPWSLA y colocarle los privilegios: Read Users, Read Groups, Read Attributes,  Search Directory</t>
  </si>
  <si>
    <t xml:space="preserve">Se ha confirmado que el usuario solo requiere los permisos Read Users, Read Groups, Read Attributes,  Search Directory, y se eliminará el Domain Admin.</t>
  </si>
  <si>
    <t xml:space="preserve">Rotación de contraseña: Usuarios Kerberos </t>
  </si>
  <si>
    <t xml:space="preserve">Ejecución de rotación de contraseña para dominios bpichinhca y uio en ambientes: EP y EnP.</t>
  </si>
  <si>
    <t xml:space="preserve">Ejecutado EnP y productivo (en los dominios bpichincha, uio.bpichincha) BPKEY (revisión alcance -correo a Leonel-)</t>
  </si>
  <si>
    <t xml:space="preserve">Rotación de contraseña: Usuarios locales privilegiados - Firewall, IPS e ISE</t>
  </si>
  <si>
    <t xml:space="preserve">Ejecución de rotación de contraseña sobre usuario locales privilegiados en consolas de seguridad críticas (herencia de auditoría)</t>
  </si>
  <si>
    <t xml:space="preserve">IPS (ejecutado)
ISE (ejecutado)
Firewall (recepción de consola) -contraseña recibida-, se lo ejecutará a finales de año.</t>
  </si>
  <si>
    <t xml:space="preserve">Rotación de contraseña: Cuentas de usuarios privilegiados en servidores de virtualización </t>
  </si>
  <si>
    <t xml:space="preserve">Ejecución de rotación de contraseña en cuentas de usuarios privilegiados en componentes de virtualización VCenter, Nutanix y host virtualizados ESXi, en los ambientes EP y ENP.</t>
  </si>
  <si>
    <t xml:space="preserve">VCenter, Nutanix y host virtualizados ESXi, ejecutado en el ambiente ENP, pendiente EP (ejecutadonse para septiembre) -primer ciclo-.</t>
  </si>
  <si>
    <t xml:space="preserve">Rotación de contraseña: Usuarios privilegiados en la infraestructura de virtualización IBM</t>
  </si>
  <si>
    <t xml:space="preserve">Ejecución de rotación de contraseñas sobre cuentas de usuario locales privilegiados en la infraestructura de virtualización IBM, servidores Data Power y Hardware Management Console (HMC)</t>
  </si>
  <si>
    <t xml:space="preserve">Data Power (listo primer ciclo)
HMC (listo primer ciclo)</t>
  </si>
  <si>
    <t xml:space="preserve">Rotación de contraseña: Usuarios privilegiados en servidores Netbackup</t>
  </si>
  <si>
    <t xml:space="preserve">Ejecución de rotación de contraseñas sobre cuentas de usuario locales privilegiados en la infraestructura Storage Server y Storage Switch</t>
  </si>
  <si>
    <t xml:space="preserve">Ejecutado el primer ciclo, se coordinará segundo ciclo.</t>
  </si>
  <si>
    <t xml:space="preserve">Rotación de contraseña: Usuarios privilegiados en balanceadores F5</t>
  </si>
  <si>
    <t xml:space="preserve">Ejecución de rotación de contraseñas sobre cuentas de usuario locales privilegiados en la infraestructura de Balanceadores F5</t>
  </si>
  <si>
    <t xml:space="preserve">No se ha ejecutado ni primer ni segundo ciclo.</t>
  </si>
  <si>
    <t xml:space="preserve">Rotación de contraseña: Usuarios privilegiados en dispositivos de Networking  y Comunicaciones Unificadas.</t>
  </si>
  <si>
    <t xml:space="preserve">Ejecución de rotación de contraseñas sobre cuentas de usuario loclaes privilegiados en la infraestructura de netwoking (Switches, routers, wireless) y comunicaciones unificadas (telefonía IP).</t>
  </si>
  <si>
    <t xml:space="preserve">Ejecutado primer ciclo, se coordinará segundo ciclo.</t>
  </si>
  <si>
    <t xml:space="preserve">Implementación de casos de uso servidores Windows y Balanceadores F5 </t>
  </si>
  <si>
    <t xml:space="preserve">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</si>
  <si>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 </t>
  </si>
  <si>
    <t xml:space="preserve">Implementación de casos de uso servidores Unix y Firewalls</t>
  </si>
  <si>
    <t xml:space="preserve">Implementación de Casos de uso que alerte al ejecución de acciones sensibles (crear eliminar y modificar usuarios  por usuarios no autorizados) en servidores Unix y Firewalls</t>
  </si>
  <si>
    <t xml:space="preserve">Avanzado en UNIX, pendiente firewalls.</t>
  </si>
  <si>
    <t xml:space="preserve">Rotación contraseñas usuario ROOT en UNIX</t>
  </si>
  <si>
    <t xml:space="preserve">Rotar manualmente la contraseña del usuario ROOT en contenedores adicionales. 
Revisar con el fabricante o proveedor, los motivos por los cuales no se replica hacia los demás contenedores.</t>
  </si>
  <si>
    <t xml:space="preserve">Revisar proveedor/fabricante.</t>
  </si>
  <si>
    <t xml:space="preserve">Dashboard</t>
  </si>
  <si>
    <t xml:space="preserve">Creación de dashboard de todo el servicio ofrecido.</t>
  </si>
  <si>
    <t xml:space="preserve">Documentacion</t>
  </si>
  <si>
    <t xml:space="preserve">Actualizacion Instructivo Monitoreo Plataformas Cloud</t>
  </si>
  <si>
    <t xml:space="preserve">Se actualizo y publico el instructivo de monitoreo de plataformas cloud.</t>
  </si>
  <si>
    <t xml:space="preserve">Ajuste Offboarding Usuarios Genericos</t>
  </si>
  <si>
    <t xml:space="preserve">Se esta trabajando el ajuste en ambiente Sandbox, se confirmo el flujo que se debe afectar </t>
  </si>
  <si>
    <t xml:space="preserve">Dashboard depuraciones de Usuarios</t>
  </si>
  <si>
    <t xml:space="preserve"> </t>
  </si>
  <si>
    <t xml:space="preserve">Coordinación de actividades para correcta implementacion de los Dashboard en PB para Gestión de Identidades y otras areas solicitantes</t>
  </si>
  <si>
    <t xml:space="preserve">Bloqueo Login Usuario Genericos</t>
  </si>
  <si>
    <t xml:space="preserve">Nuevo formulario para que en la creación de usuarios genéricos sean incluidos el grupo de Deny Logon</t>
  </si>
  <si>
    <t xml:space="preserve">-15-sept- se tuvo sesiones con Santi Barahona que está a cargo del gobierno de usuarios genéricos</t>
  </si>
  <si>
    <t xml:space="preserve">Perfilamiento de aplicaciones</t>
  </si>
  <si>
    <t xml:space="preserve">Creacion de conectores CSV, Entitlements Genericos cuando aplica</t>
  </si>
  <si>
    <t xml:space="preserve">Actualización de Instructivo de Gestión de accesos VPN e Instructivo de Monitoreo de accesos VPN</t>
  </si>
  <si>
    <t xml:space="preserve">Actualización de Instructivo de Monitoreo de accesos VPN</t>
  </si>
  <si>
    <t xml:space="preserve">Certificación de Accesos: Descripción de Entitlements</t>
  </si>
  <si>
    <t xml:space="preserve">Actualizar los Source y los esquemas para agregar las descripciones de los entitlements compartidas por el equipo de acuerdo a la asignaciones de aplicaciones</t>
  </si>
  <si>
    <t xml:space="preserve">Requerimientos Firewall Red Interna</t>
  </si>
  <si>
    <t xml:space="preserve">Analizar y procesar en lo que respecta a GI las tareas  FW asignadas previo a la implementacion por parte del equipo de plataformas CS</t>
  </si>
  <si>
    <t xml:space="preserve">Requerimientos Firewall  VPN</t>
  </si>
  <si>
    <t xml:space="preserve">Analizar, reportar novedades y generar los requerimientos  a plataformas CS para la implementacion d e reglas FW VPN</t>
  </si>
  <si>
    <t xml:space="preserve">Requerimientos SFTP - Operaciones</t>
  </si>
  <si>
    <t xml:space="preserve">Asignación/Retiro de accesos al SFTP para usuarios de Operaciones solicitado por temas de auditoría</t>
  </si>
  <si>
    <t xml:space="preserve">Se realizó el proceso de depuración de accesos de usuarios de Operaciones solicitados por ESTEVEZ ESCOBAR PATRICIO ISRAEL por temas de auditoría</t>
  </si>
  <si>
    <t xml:space="preserve">SFTP - MFTP</t>
  </si>
  <si>
    <t xml:space="preserve">Depuración de grupos y permisos de usuarios nominados en MFTP</t>
  </si>
  <si>
    <t xml:space="preserve">Se está efectuando la depuración de los grupos de GlobalScape existentes en GoAnywhere, considerando la revisión de usuarios estan creados en GoAnyWhere, con el propósito de reducir accesos innecesarios y mantener el principio de mínimo privilegio.
D</t>
  </si>
  <si>
    <t xml:space="preserve">Accesos Servidor ECBPPRQ93</t>
  </si>
  <si>
    <t xml:space="preserve">Control de usuarios que se ingresan de manera directa a la BDD Q93 de lo que se debe revisar son los permiso para que no ingresen directo a la BDD </t>
  </si>
  <si>
    <t xml:space="preserve">Se realizó la revisión de los usuarios con privilegios elevados, quienes deberán acceder a la base de datos Q93 mediante CyberArk. Por otro lado, los usuarios con privilegios no elevados deberán pertenecer al grupo GF_FW_ECBPPRQ93_11493, lo que les p</t>
  </si>
  <si>
    <t xml:space="preserve">Integración Estaciones Digitales con Portal REN</t>
  </si>
  <si>
    <t xml:space="preserve">Como parte del proyecto de migración de Cardholder se integrará el proceso de Autogestión de Estación Digital con Portal REN. Pendiente paso a producción</t>
  </si>
  <si>
    <t xml:space="preserve">Atención de requermientos de Crossboarding registrados en la Matriz por el equipo de Estructuras TTHH</t>
  </si>
  <si>
    <t xml:space="preserve">Jhonny Barreiro
Richard Requelme
Ana María Fierro</t>
  </si>
  <si>
    <t xml:space="preserve">Perfilamiento BPOne Banco España, Usuarios VIP</t>
  </si>
  <si>
    <t xml:space="preserve">GAF WEB perfilamiento Microfinanzas</t>
  </si>
  <si>
    <t xml:space="preserve">GAF Web certificación roles red de agencias</t>
  </si>
  <si>
    <t xml:space="preserve">Incidente</t>
  </si>
  <si>
    <t xml:space="preserve">Generación tokens (6) para Senefelder y FESA.
Preparación documento del proceso.
Capacitación al equipo interno.
Informe de Senefelder por el incidente.</t>
  </si>
  <si>
    <t xml:space="preserve">Decomiso aplicación TOTEM AIT (Checklist recepción aplicación y matriz de riesgos)</t>
  </si>
  <si>
    <t xml:space="preserve">Decomiso aplicación COBIS (Desarrollo nuevo módulo de seguridad)</t>
  </si>
  <si>
    <t xml:space="preserve">Decomiso aplicación ODILO reemplazo por ADYPTO</t>
  </si>
  <si>
    <t xml:space="preserve">Secretos</t>
  </si>
  <si>
    <t xml:space="preserve">Aplicaciones sin TechOwner (Secret ID). Identificar y completar</t>
  </si>
  <si>
    <t xml:space="preserve">Servidores</t>
  </si>
  <si>
    <t xml:space="preserve">Obsolecencia de servidores de Gestión de Identidades.</t>
  </si>
  <si>
    <t xml:space="preserve">Columnas M:R = calculadas en vivo desde la fecha de corte de la hoja Parámetros. En Power BI se replican como columnas calculadas (ver hoja Columnas Calculadas).</t>
  </si>
  <si>
    <t xml:space="preserve">Esquema estrella</t>
  </si>
  <si>
    <t xml:space="preserve">Una tabla de hechos con grano de un hito y cinco dimensiones. Sin este modelo, el waterfall y el decomposition tree no funcionan.</t>
  </si>
  <si>
    <t xml:space="preserve">Tabla</t>
  </si>
  <si>
    <t xml:space="preserve">Rol</t>
  </si>
  <si>
    <t xml:space="preserve">Grano / contenido</t>
  </si>
  <si>
    <t xml:space="preserve">Campos clave</t>
  </si>
  <si>
    <t xml:space="preserve">Origen</t>
  </si>
  <si>
    <t xml:space="preserve">Hechos</t>
  </si>
  <si>
    <t xml:space="preserve">Un hito del plan (177 filas).</t>
  </si>
  <si>
    <t xml:space="preserve">id_hito, id_frente, id_responsable, id_tipo, id_nist, Fecha_Inicio, Fecha_Fin_Plan, Fecha_Fin_Real, Avance_Real</t>
  </si>
  <si>
    <t xml:space="preserve">Hoja "Actividades GI 2026" del archivo origen</t>
  </si>
  <si>
    <t xml:space="preserve">D_Frente</t>
  </si>
  <si>
    <t xml:space="preserve">Dimensión</t>
  </si>
  <si>
    <t xml:space="preserve">74 frentes de trabajo (Sailpoint F1/F2, Certificación de Accesos, Base de Datos, NERM, FTP-SFTP…).</t>
  </si>
  <si>
    <t xml:space="preserve">id_frente, Frente, Programa</t>
  </si>
  <si>
    <t xml:space="preserve">Distinct de la columna Actividad</t>
  </si>
  <si>
    <t xml:space="preserve">D_Responsable</t>
  </si>
  <si>
    <t xml:space="preserve">12 personas. Requiere tabla puente: la columna Encargado trae hasta 3 nombres en una celda.</t>
  </si>
  <si>
    <t xml:space="preserve">id_responsable, Responsable, Célula</t>
  </si>
  <si>
    <t xml:space="preserve">Split de la columna Encargado</t>
  </si>
  <si>
    <t xml:space="preserve">D_Tipo</t>
  </si>
  <si>
    <t xml:space="preserve">7 tipos: Operación, Iniciativa, Proyecto, Mejora, Riesgos, Obs. Auditoría, Incidencia.</t>
  </si>
  <si>
    <t xml:space="preserve">id_tipo, Tipo_Actividad, Es_Critico</t>
  </si>
  <si>
    <t xml:space="preserve">Distinct de Tipo Actividad</t>
  </si>
  <si>
    <t xml:space="preserve">D_NIST</t>
  </si>
  <si>
    <t xml:space="preserve">6 funciones del NIST CSF 2.0 más el orden de presentación.</t>
  </si>
  <si>
    <t xml:space="preserve">id_nist, Funcion, Orden, Descripcion</t>
  </si>
  <si>
    <t xml:space="preserve">Tabla manual (ver hoja Reglas NIST)</t>
  </si>
  <si>
    <t xml:space="preserve">D_Calendario</t>
  </si>
  <si>
    <t xml:space="preserve">Dimensión de fecha</t>
  </si>
  <si>
    <t xml:space="preserve">Un día de 2025-01-01 a 2026-12-31. Marcar como tabla de fechas.</t>
  </si>
  <si>
    <t xml:space="preserve">Fecha, Año, Mes, MesAño, NumMes, Trimestre</t>
  </si>
  <si>
    <t xml:space="preserve">DAX CALENDAR (ver hoja Calendario y Cortes)</t>
  </si>
  <si>
    <t xml:space="preserve">D_Corte</t>
  </si>
  <si>
    <t xml:space="preserve">Dimensión desconectada</t>
  </si>
  <si>
    <t xml:space="preserve">Un snapshot mensual del plan. Hoy NO existe: es el habilitador del KPI de tendencia.</t>
  </si>
  <si>
    <t xml:space="preserve">Fecha_Corte, id_hito, Avance_Real, Estado</t>
  </si>
  <si>
    <t xml:space="preserve">Copia programada de F_Hitos a fin de mes</t>
  </si>
  <si>
    <t xml:space="preserve">D_Parametros</t>
  </si>
  <si>
    <t xml:space="preserve">Desconectada</t>
  </si>
  <si>
    <t xml:space="preserve">Metas y umbrales de cada KPI.</t>
  </si>
  <si>
    <t xml:space="preserve">Parametro, Valor</t>
  </si>
  <si>
    <t xml:space="preserve">Hoja Parámetros de este libro</t>
  </si>
  <si>
    <t xml:space="preserve">Relaciones</t>
  </si>
  <si>
    <t xml:space="preserve">Desde</t>
  </si>
  <si>
    <t xml:space="preserve">Hacia</t>
  </si>
  <si>
    <t xml:space="preserve">Cardinalidad</t>
  </si>
  <si>
    <t xml:space="preserve">Dirección</t>
  </si>
  <si>
    <t xml:space="preserve">Nota</t>
  </si>
  <si>
    <t xml:space="preserve">F_Hitos[id_frente]</t>
  </si>
  <si>
    <t xml:space="preserve">D_Frente[id_frente]</t>
  </si>
  <si>
    <t xml:space="preserve">Muchos a uno</t>
  </si>
  <si>
    <t xml:space="preserve">Simple</t>
  </si>
  <si>
    <t xml:space="preserve">F_Hitos[id_responsable]</t>
  </si>
  <si>
    <t xml:space="preserve">D_Responsable[id_responsable]</t>
  </si>
  <si>
    <t xml:space="preserve">Si se usa tabla puente, muchos a muchos con filtro cruzado simple</t>
  </si>
  <si>
    <t xml:space="preserve">F_Hitos[id_tipo]</t>
  </si>
  <si>
    <t xml:space="preserve">D_Tipo[id_tipo]</t>
  </si>
  <si>
    <t xml:space="preserve">F_Hitos[id_nist]</t>
  </si>
  <si>
    <t xml:space="preserve">D_NIST[id_nist]</t>
  </si>
  <si>
    <t xml:space="preserve">F_Hitos[Fecha_Fin_Plan]</t>
  </si>
  <si>
    <t xml:space="preserve">D_Calendario[Fecha]</t>
  </si>
  <si>
    <t xml:space="preserve">Relación ACTIVA: el eje temporal del tablero es la fecha comprometida</t>
  </si>
  <si>
    <t xml:space="preserve">F_Hitos[Fecha_Fin_Real]</t>
  </si>
  <si>
    <t xml:space="preserve">Relación INACTIVA: se activa con USERELATIONSHIP en la medida de cierres reales</t>
  </si>
  <si>
    <t xml:space="preserve">D_Corte[id_hito]</t>
  </si>
  <si>
    <t xml:space="preserve">F_Hitos[id_hito]</t>
  </si>
  <si>
    <t xml:space="preserve">Solo si se quiere comparar snapshots contra el estado vigente</t>
  </si>
  <si>
    <t xml:space="preserve">Columnas calculadas sobre F_Hitos</t>
  </si>
  <si>
    <t xml:space="preserve">Son columnas, no medidas: se usan para segmentar, filtrar y colorear. Crear en este orden.</t>
  </si>
  <si>
    <t xml:space="preserve">Columna</t>
  </si>
  <si>
    <t xml:space="preserve">Tipo / formato</t>
  </si>
  <si>
    <t xml:space="preserve">DAX (Power BI)</t>
  </si>
  <si>
    <t xml:space="preserve">Equivalente Excel (hoja F_Hitos)</t>
  </si>
  <si>
    <t xml:space="preserve">Por qué existe</t>
  </si>
  <si>
    <t xml:space="preserve">Decimal, 0%</t>
  </si>
  <si>
    <t xml:space="preserve">Avance_Esperado =
VAR _corte = MAX ( D_Corte[Fecha_Corte] )
VAR _ini = F_Hitos[Fecha_Inicio]
VAR _fin = F_Hitos[Fecha_Fin_Plan]
RETURN
IF (
    OR ( ISBLANK ( _ini ), ISBLANK ( _fin ) ),
    BLANK (),
    MINX ( { 1, MAXX ( { 0, DIVIDE ( _corte - _ini, _fin - _ini ) }, [Value] ) }, [Value] )
)</t>
  </si>
  <si>
    <t xml:space="preserve">=IF(OR(G2="",H2=""),"",MIN(1,MAX(0,(Corte-G2)/(H2-G2))))</t>
  </si>
  <si>
    <t xml:space="preserve">Línea base contra la que se mide todo. Acotada entre 0 y 1: un hito que ya venció no puede "esperar" más de 100%.</t>
  </si>
  <si>
    <t xml:space="preserve">Desviacion_pp =
IF (
    ISBLANK ( F_Hitos[Avance_Esperado] ),
    BLANK (),
    F_Hitos[Avance_Real] - F_Hitos[Avance_Esperado]
)</t>
  </si>
  <si>
    <t xml:space="preserve">=IF(M2="","",J2-M2)</t>
  </si>
  <si>
    <t xml:space="preserve">Convierte el atraso en puntos porcentuales recuperables. Es la métrica del waterfall y del scatter.</t>
  </si>
  <si>
    <t xml:space="preserve">Texto</t>
  </si>
  <si>
    <t xml:space="preserve">Estado =
VAR _corte = MAX ( D_Corte[Fecha_Corte] )
RETURN
SWITCH (
    TRUE (),
    F_Hitos[Avance_Real] &gt;= 1, "Completado",
    ISBLANK ( F_Hitos[Fecha_Fin_Plan] ), "Sin fecha plan",
    F_Hitos[Fecha_Fin_Plan] &lt; _corte, "Atrasado",
    F_Hitos[Avance_Real] &lt;= 0, "No iniciado",
    "En proceso"
)</t>
  </si>
  <si>
    <t xml:space="preserve">=IF(J2&gt;=1,"Completado",IF(H2="","Sin fecha plan",IF(H2&lt;Corte,"Atrasado",IF(J2&lt;=0,"No iniciado","En proceso"))))</t>
  </si>
  <si>
    <t xml:space="preserve">Estado SIEMPRE calculado, nunca digitado. El orden de las condiciones importa: completado gana sobre atrasado.</t>
  </si>
  <si>
    <t xml:space="preserve">Entero</t>
  </si>
  <si>
    <t xml:space="preserve">Dias_Vencidos =
VAR _corte = MAX ( D_Corte[Fecha_Corte] )
RETURN
IF (
    F_Hitos[Avance_Real] &lt; 1 &amp;&amp; NOT ISBLANK ( F_Hitos[Fecha_Fin_Plan] ),
    MAX ( 0, INT ( _corte - F_Hitos[Fecha_Fin_Plan] ) ),
    0
)</t>
  </si>
  <si>
    <t xml:space="preserve">=IF(AND(J2&lt;1,H2&lt;&gt;"",H2&lt;Corte),Corte-H2,0)</t>
  </si>
  <si>
    <t xml:space="preserve">Mide la severidad del atraso, no solo su existencia. Ordena la matriz de priorización.</t>
  </si>
  <si>
    <t xml:space="preserve">Texto (Sí/No)</t>
  </si>
  <si>
    <t xml:space="preserve">Es_Critica =
IF (
    F_Hitos[Tipo_Actividad] IN { "Proyecto", "Riesgos", "Obs. Auditoría" },
    "Sí",
    "No"
)</t>
  </si>
  <si>
    <t xml:space="preserve">=IF(OR(D2="Proyecto",D2="Riesgos",D2="Obs. Auditoría"),"Sí","No")</t>
  </si>
  <si>
    <t xml:space="preserve">Proxy de criticidad mientras el área no formalice la columna Criticidad (sí existe en la hoja 2025). Sustituir en cuanto esté.</t>
  </si>
  <si>
    <t xml:space="preserve">Entero (1/0)</t>
  </si>
  <si>
    <t xml:space="preserve">Cerrado_En_Fecha =
IF (
    ISBLANK ( F_Hitos[Fecha_Fin_Real] ),
    BLANK (),
    IF ( F_Hitos[Fecha_Fin_Real] &lt;= F_Hitos[Fecha_Fin_Plan], 1, 0 )
)</t>
  </si>
  <si>
    <t xml:space="preserve">=IF(I2="","",IF(I2&lt;=H2,1,0))</t>
  </si>
  <si>
    <t xml:space="preserve">Alimenta el SLA de cierre. En blanco para los no cerrados: no deben contar como incumplimiento.</t>
  </si>
  <si>
    <t xml:space="preserve">Banda_Avance</t>
  </si>
  <si>
    <t xml:space="preserve">Banda_Avance =
SWITCH (
    TRUE (),
    F_Hitos[Avance_Real] &gt;= 1, "5. Completado",
    F_Hitos[Avance_Real] &gt;= 0.75, "4. 75-99%",
    F_Hitos[Avance_Real] &gt;= 0.5, "3. 50-74%",
    F_Hitos[Avance_Real] &gt; 0, "2. 1-49%",
    "1. Sin iniciar"
)</t>
  </si>
  <si>
    <t xml:space="preserve">(no requerida en Excel)</t>
  </si>
  <si>
    <t xml:space="preserve">Eje del funnel de maduración. El prefijo numérico ordena las etapas sin columna de orden adicional.</t>
  </si>
  <si>
    <t xml:space="preserve">26 medidas. La columna "Valor al corte" es el resultado esperado con los datos actuales: si no coincide, el error está en el modelo.</t>
  </si>
  <si>
    <t xml:space="preserve">Carpeta</t>
  </si>
  <si>
    <t xml:space="preserve">Medida</t>
  </si>
  <si>
    <t xml:space="preserve">Formato</t>
  </si>
  <si>
    <t xml:space="preserve">DAX</t>
  </si>
  <si>
    <t xml:space="preserve">Interpretación ejecutiva</t>
  </si>
  <si>
    <t xml:space="preserve">Valor al corte</t>
  </si>
  <si>
    <t xml:space="preserve">00_Base</t>
  </si>
  <si>
    <t xml:space="preserve">Total Hitos</t>
  </si>
  <si>
    <t xml:space="preserve">#,##0</t>
  </si>
  <si>
    <t xml:space="preserve">Total Hitos = COUNTROWS ( F_Hitos )</t>
  </si>
  <si>
    <t xml:space="preserve">Universo del plan vigente.</t>
  </si>
  <si>
    <t xml:space="preserve">177</t>
  </si>
  <si>
    <t xml:space="preserve">Fecha Corte</t>
  </si>
  <si>
    <t xml:space="preserve">dd/mm/yyyy</t>
  </si>
  <si>
    <t xml:space="preserve">Fecha Corte = MAX ( D_Corte[Fecha_Corte] )</t>
  </si>
  <si>
    <t xml:space="preserve">Fecha de referencia de todo el tablero. Centralizarla evita que cada medida use TODAY().</t>
  </si>
  <si>
    <t xml:space="preserve">17/09/2026</t>
  </si>
  <si>
    <t xml:space="preserve">Hitos Completados</t>
  </si>
  <si>
    <t xml:space="preserve">Hitos Completados =
CALCULATE ( [Total Hitos], F_Hitos[Estado] = "Completado" )</t>
  </si>
  <si>
    <t xml:space="preserve">Hitos cerrados al 100%.</t>
  </si>
  <si>
    <t xml:space="preserve">92</t>
  </si>
  <si>
    <t xml:space="preserve">Hitos En Proceso</t>
  </si>
  <si>
    <t xml:space="preserve">Hitos En Proceso =
CALCULATE ( [Total Hitos], F_Hitos[Estado] = "En proceso" )</t>
  </si>
  <si>
    <t xml:space="preserve">Trabajo vivo dentro de fecha.</t>
  </si>
  <si>
    <t xml:space="preserve">57</t>
  </si>
  <si>
    <t xml:space="preserve">Hitos Atrasados</t>
  </si>
  <si>
    <t xml:space="preserve">Hitos Atrasados =
CALCULATE ( [Total Hitos], F_Hitos[Estado] = "Atrasado" )</t>
  </si>
  <si>
    <t xml:space="preserve">Vencidos sin cerrar: la cola de incumplimiento.</t>
  </si>
  <si>
    <t xml:space="preserve">25</t>
  </si>
  <si>
    <t xml:space="preserve">Hitos No Iniciados</t>
  </si>
  <si>
    <t xml:space="preserve">Hitos No Iniciados =
CALCULATE ( [Total Hitos], F_Hitos[Estado] = "No iniciado" )</t>
  </si>
  <si>
    <t xml:space="preserve">Sin arranque y aún en fecha.</t>
  </si>
  <si>
    <t xml:space="preserve">01_Avance</t>
  </si>
  <si>
    <t xml:space="preserve">Avance Real %</t>
  </si>
  <si>
    <t xml:space="preserve">0.0%</t>
  </si>
  <si>
    <t xml:space="preserve">Avance Real % = AVERAGE ( F_Hitos[Avance_Real] )</t>
  </si>
  <si>
    <t xml:space="preserve">Titular del tablero. Promedio simple: cada hito pesa igual mientras no exista ponderación por esfuerzo.</t>
  </si>
  <si>
    <t xml:space="preserve">71.7%</t>
  </si>
  <si>
    <t xml:space="preserve">8</t>
  </si>
  <si>
    <t xml:space="preserve">Avance Esperado %</t>
  </si>
  <si>
    <t xml:space="preserve">Avance Esperado % = AVERAGE ( F_Hitos[Avance_Esperado] )</t>
  </si>
  <si>
    <t xml:space="preserve">Dónde debería estar el plan por tiempo transcurrido.</t>
  </si>
  <si>
    <t xml:space="preserve">84.7%</t>
  </si>
  <si>
    <t xml:space="preserve">9</t>
  </si>
  <si>
    <t xml:space="preserve">Desviacion pp</t>
  </si>
  <si>
    <t xml:space="preserve">+0.0;-0.0</t>
  </si>
  <si>
    <t xml:space="preserve">Desviacion pp = [Avance Real %] - [Avance Esperado %]</t>
  </si>
  <si>
    <t xml:space="preserve">Brecha en puntos porcentuales. Es la métrica que descompone el waterfall.</t>
  </si>
  <si>
    <t xml:space="preserve">-13.0 pp</t>
  </si>
  <si>
    <t xml:space="preserve">10</t>
  </si>
  <si>
    <t xml:space="preserve">Contribucion Desviacion pp</t>
  </si>
  <si>
    <t xml:space="preserve">Contribucion Desviacion pp =
VAR _hitos = COUNTROWS ( F_Hitos )
VAR _total = CALCULATE ( COUNTROWS ( F_Hitos ), ALLSELECTED ( F_Hitos ) )
RETURN DIVIDE ( _hitos, _total ) * [Desviacion pp]</t>
  </si>
  <si>
    <t xml:space="preserve">Cuántos de los 13 puntos aporta cada categoría. Suma exacta al total: es lo que hace válido el waterfall.</t>
  </si>
  <si>
    <t xml:space="preserve">Iniciativa -4.5
Proyecto -3.2</t>
  </si>
  <si>
    <t xml:space="preserve">11</t>
  </si>
  <si>
    <t xml:space="preserve">02_KPI</t>
  </si>
  <si>
    <t xml:space="preserve">ICP</t>
  </si>
  <si>
    <t xml:space="preserve">0%</t>
  </si>
  <si>
    <t xml:space="preserve">ICP = DIVIDE ( [Avance Real %], [Avance Esperado %] )</t>
  </si>
  <si>
    <t xml:space="preserve">Índice de cumplimiento: ritmo real contra ritmo comprometido. Bajo 90% el cierre anual está en riesgo.</t>
  </si>
  <si>
    <t xml:space="preserve">85%</t>
  </si>
  <si>
    <t xml:space="preserve">12</t>
  </si>
  <si>
    <t xml:space="preserve">ICP vs Meta</t>
  </si>
  <si>
    <t xml:space="preserve">+0%;-0%</t>
  </si>
  <si>
    <t xml:space="preserve">ICP vs Meta = [ICP] - MAX ( D_Parametros[Meta_ICP] )</t>
  </si>
  <si>
    <t xml:space="preserve">Distancia al umbral de control. Alimenta el gauge.</t>
  </si>
  <si>
    <t xml:space="preserve">-10 pp</t>
  </si>
  <si>
    <t xml:space="preserve">13</t>
  </si>
  <si>
    <t xml:space="preserve">% Hitos Atrasados</t>
  </si>
  <si>
    <t xml:space="preserve">% Hitos Atrasados = DIVIDE ( [Hitos Atrasados], [Total Hitos] )</t>
  </si>
  <si>
    <t xml:space="preserve">Amplitud del incumplimiento. Sobre 15% el problema es de planificación, no de ejecución.</t>
  </si>
  <si>
    <t xml:space="preserve">14.1%</t>
  </si>
  <si>
    <t xml:space="preserve">14</t>
  </si>
  <si>
    <t xml:space="preserve">Dias Atraso Promedio</t>
  </si>
  <si>
    <t xml:space="preserve">Dias Atraso Promedio =
CALCULATE (
    AVERAGE ( F_Hitos[Dias_Vencidos] ),
    F_Hitos[Dias_Vencidos] &gt; 0
)</t>
  </si>
  <si>
    <t xml:space="preserve">Profundidad del atraso. Sobre 30 días el hito ya no se recupera dentro del trimestre.</t>
  </si>
  <si>
    <t xml:space="preserve">30</t>
  </si>
  <si>
    <t xml:space="preserve">15</t>
  </si>
  <si>
    <t xml:space="preserve">Dias Atraso Maximo</t>
  </si>
  <si>
    <t xml:space="preserve">Dias Atraso Maximo = MAX ( F_Hitos[Dias_Vencidos] )</t>
  </si>
  <si>
    <t xml:space="preserve">El peor caso, para el titular de la tarjeta.</t>
  </si>
  <si>
    <t xml:space="preserve">100</t>
  </si>
  <si>
    <t xml:space="preserve">16</t>
  </si>
  <si>
    <t xml:space="preserve">% Criticos Completados</t>
  </si>
  <si>
    <t xml:space="preserve">% Criticos Completados =
VAR _crit = CALCULATE ( [Total Hitos], F_Hitos[Es_Critica] = "Sí" )
VAR _ok = CALCULATE ( [Hitos Completados], F_Hitos[Es_Critica] = "Sí" )
RETURN DIVIDE ( _ok, _crit )</t>
  </si>
  <si>
    <t xml:space="preserve">Mide si el atraso golpea lo que importa. Un plan puede ir al 90% y fallar en los compromisos regulatorios.</t>
  </si>
  <si>
    <t xml:space="preserve">36% (15 de 42)</t>
  </si>
  <si>
    <t xml:space="preserve">17</t>
  </si>
  <si>
    <t xml:space="preserve">SLA Cierre en Fecha %</t>
  </si>
  <si>
    <t xml:space="preserve">SLA Cierre en Fecha % =
VAR _cerrados = CALCULATE ( [Total Hitos], NOT ISBLANK ( F_Hitos[Fecha_Fin_Real] ) )
VAR _enFecha = SUM ( F_Hitos[Cerrado_En_Fecha] )
RETURN DIVIDE ( _enFecha, _cerrados )</t>
  </si>
  <si>
    <t xml:space="preserve">Calidad de la planificación. Contrastado con el ICP separa mala estimación de baja ejecución.</t>
  </si>
  <si>
    <t xml:space="preserve">95.7%</t>
  </si>
  <si>
    <t xml:space="preserve">18</t>
  </si>
  <si>
    <t xml:space="preserve">% Cobertura NIST</t>
  </si>
  <si>
    <t xml:space="preserve">% Cobertura NIST =
DIVIDE (
    CALCULATE ( [Total Hitos], NOT ISBLANK ( F_Hitos[id_nist] ) ),
    [Total Hitos]
)</t>
  </si>
  <si>
    <t xml:space="preserve">Cuánto del plan está clasificado en el marco. En el origen es 0%: la columna viene vacía.</t>
  </si>
  <si>
    <t xml:space="preserve">0% en origen
100% con la regla propuesta</t>
  </si>
  <si>
    <t xml:space="preserve">19</t>
  </si>
  <si>
    <t xml:space="preserve">03_Riesgo</t>
  </si>
  <si>
    <t xml:space="preserve">Carga Q4 Pendiente</t>
  </si>
  <si>
    <t xml:space="preserve">Carga Q4 Pendiente =
CALCULATE (
    [Total Hitos],
    F_Hitos[Fecha_Fin_Plan] &gt;= MAX ( D_Parametros[Inicio_Q4] ),
    F_Hitos[Avance_Real] &lt; 1
)</t>
  </si>
  <si>
    <t xml:space="preserve">Hitos que vencen en el último trimestre sin cerrar. Mide el riesgo de concentración de cierre.</t>
  </si>
  <si>
    <t xml:space="preserve">40</t>
  </si>
  <si>
    <t xml:space="preserve">20</t>
  </si>
  <si>
    <t xml:space="preserve">Hitos Criticos Vencidos</t>
  </si>
  <si>
    <t xml:space="preserve">Hitos Criticos Vencidos =
CALCULATE (
    [Hitos Atrasados],
    F_Hitos[Es_Critica] = "Sí"
)</t>
  </si>
  <si>
    <t xml:space="preserve">Disparador de escalamiento a comité.</t>
  </si>
  <si>
    <t xml:space="preserve">21</t>
  </si>
  <si>
    <t xml:space="preserve">Plan Acumulado</t>
  </si>
  <si>
    <t xml:space="preserve">Plan Acumulado =
CALCULATE (
    COUNTROWS ( F_Hitos ),
    FILTER (
        ALL ( F_Hitos ),
        F_Hitos[Fecha_Fin_Plan] &lt;= MAX ( D_Calendario[Fecha] )
    )
)</t>
  </si>
  <si>
    <t xml:space="preserve">Cierres que el plan comprometía hasta cada fecha. Es la línea gris de la curva S.</t>
  </si>
  <si>
    <t xml:space="preserve">92 al corte</t>
  </si>
  <si>
    <t xml:space="preserve">22</t>
  </si>
  <si>
    <t xml:space="preserve">Cierres Reales Acumulados</t>
  </si>
  <si>
    <t xml:space="preserve">Cierres Reales Acumulados =
CALCULATE (
    COUNTROWS ( F_Hitos ),
    FILTER (
        ALL ( F_Hitos ),
        F_Hitos[Fecha_Fin_Real] &lt;= MAX ( D_Calendario[Fecha] )
    )
)</t>
  </si>
  <si>
    <t xml:space="preserve">Cierres efectivos hasta cada fecha. Alternativa: USERELATIONSHIP sobre la relación inactiva Fecha_Fin_Real.</t>
  </si>
  <si>
    <t xml:space="preserve">67 al corte</t>
  </si>
  <si>
    <t xml:space="preserve">23</t>
  </si>
  <si>
    <t xml:space="preserve">Brecha de Cierres</t>
  </si>
  <si>
    <t xml:space="preserve">Brecha de Cierres = [Plan Acumulado] - [Cierres Reales Acumulados]</t>
  </si>
  <si>
    <t xml:space="preserve">El número rojo de la curva S. Coincide con Hitos Atrasados: valida el modelo de estados.</t>
  </si>
  <si>
    <t xml:space="preserve">24</t>
  </si>
  <si>
    <t xml:space="preserve">04_Tendencia</t>
  </si>
  <si>
    <t xml:space="preserve">ICP Mes Anterior</t>
  </si>
  <si>
    <t xml:space="preserve">ICP Mes Anterior =
CALCULATE (
    [ICP],
    PREVIOUSMONTH ( D_Corte[Fecha_Corte] )
)</t>
  </si>
  <si>
    <t xml:space="preserve">Requiere snapshots mensuales en D_Corte.</t>
  </si>
  <si>
    <t xml:space="preserve">n/d</t>
  </si>
  <si>
    <t xml:space="preserve">Tendencia ICP</t>
  </si>
  <si>
    <t xml:space="preserve">Tendencia ICP = [ICP] - [ICP Mes Anterior]</t>
  </si>
  <si>
    <t xml:space="preserve">Único KPI que anticipa: dice si la brecha se cierra o se ensancha.</t>
  </si>
  <si>
    <t xml:space="preserve">26</t>
  </si>
  <si>
    <t xml:space="preserve">05_Formato</t>
  </si>
  <si>
    <t xml:space="preserve">Titulo Dinamico</t>
  </si>
  <si>
    <t xml:space="preserve">Titulo Dinamico =
"Plan 2026 · corte "
    &amp; FORMAT ( [Fecha Corte], "dd-mmm-yyyy" )
    &amp; " · ICP " &amp; FORMAT ( [ICP], "0%" )</t>
  </si>
  <si>
    <t xml:space="preserve">Encabezado del informe que se actualiza solo con el corte.</t>
  </si>
  <si>
    <t xml:space="preserve">Plan 2026 · corte 17-sep-2026 · ICP 85%</t>
  </si>
  <si>
    <t xml:space="preserve">Tablas de fecha y snapshots</t>
  </si>
  <si>
    <t xml:space="preserve">D_Calendario habilita la curva S. D_Corte es el único componente que hoy no existe y sin él no hay tendencia.</t>
  </si>
  <si>
    <t xml:space="preserve">Objeto</t>
  </si>
  <si>
    <t xml:space="preserve">DAX / procedimiento</t>
  </si>
  <si>
    <t xml:space="preserve">D_Calendario =
VAR _min = DATE ( 2025, 1, 1 )
VAR _max = DATE ( 2026, 12, 31 )
RETURN
ADDCOLUMNS (
    CALENDAR ( _min, _max ),
    "Año", YEAR ( [Date] ),
    "NumMes", MONTH ( [Date] ),
    "Mes", FORMAT ( [Date], "mmm" ),
    "MesAño", FORMAT ( [Date], "mmm-yy" ),
    "Trimestre", "Q" &amp; FORMAT ( [Date], "q" ),
    "FinDeMes", EOMONTH ( [Date], 0 )
)</t>
  </si>
  <si>
    <t xml:space="preserve">Marcar como tabla de fechas por la columna Date. Ordenar MesAño por una columna entera AñoMes = Año*100+NumMes, o el eje de la curva S saldrá alfabético.</t>
  </si>
  <si>
    <t xml:space="preserve">D_Corte (snapshot)</t>
  </si>
  <si>
    <t xml:space="preserve">Procedimiento, no DAX:
1. Flujo programado el último día hábil del mes.
2. Copiar de F_Hitos: id_hito, Avance_Real, Estado, Fecha_Fin_Plan.
3. Añadir la columna Fecha_Corte con la fecha del snapshot.
4. Append a la tabla histórica (nunca sobrescribir).</t>
  </si>
  <si>
    <t xml:space="preserve">Tabla desconectada del modelo salvo por id_hito. Es lo que habilita [ICP Mes Anterior], [Tendencia ICP] y la curva histórica real de avance.</t>
  </si>
  <si>
    <t xml:space="preserve">Corte vigente</t>
  </si>
  <si>
    <t xml:space="preserve">Mientras no exista D_Corte, sustituir por una tabla de un solo valor o por TODAY(). No usar TODAY() dentro de cada columna calculada: el modelo deja de ser reproducible hacia atrás.</t>
  </si>
  <si>
    <t xml:space="preserve">Relación inactiva</t>
  </si>
  <si>
    <t xml:space="preserve">Cierres Reales Acumulados (alternativa) =
CALCULATE (
    COUNTROWS ( F_Hitos ),
    USERELATIONSHIP ( F_Hitos[Fecha_Fin_Real], D_Calendario[Fecha] ),
    DATESBETWEEN (
        D_Calendario[Fecha],
        MIN ( D_Calendario[Fecha] ) - 400,
        MAX ( D_Calendario[Fecha] )
    )
)</t>
  </si>
  <si>
    <t xml:space="preserve">Más eficiente que FILTER(ALL(...)) sobre tablas grandes. Con 177 filas cualquiera de las dos sirve.</t>
  </si>
  <si>
    <t xml:space="preserve">Los 12 visuales del PDF</t>
  </si>
  <si>
    <t xml:space="preserve">Una fila por visual: qué tipo usar, qué va en cada área de datos y cómo se colorea.</t>
  </si>
  <si>
    <t xml:space="preserve">Pág.</t>
  </si>
  <si>
    <t xml:space="preserve">Visual</t>
  </si>
  <si>
    <t xml:space="preserve">Tipo en Power BI</t>
  </si>
  <si>
    <t xml:space="preserve">Campos / ejes</t>
  </si>
  <si>
    <t xml:space="preserve">Medidas</t>
  </si>
  <si>
    <t xml:space="preserve">Formato y color</t>
  </si>
  <si>
    <t xml:space="preserve">Por qué este visual</t>
  </si>
  <si>
    <t xml:space="preserve">6 KPI cards</t>
  </si>
  <si>
    <t xml:space="preserve">Tarjeta (Card) o KPI</t>
  </si>
  <si>
    <t xml:space="preserve">—</t>
  </si>
  <si>
    <t xml:space="preserve">[Avance Real %], [ICP], [Hitos Atrasados], [% Criticos Completados], [SLA Cierre en Fecha %], [Carga Q4 Pendiente]</t>
  </si>
  <si>
    <t xml:space="preserve">Barra lateral de 3 px con [Color Semaforo …]. Subtítulo con la medida de contexto.</t>
  </si>
  <si>
    <t xml:space="preserve">Estado global en tres segundos; punto de entrada del comité.</t>
  </si>
  <si>
    <t xml:space="preserve">Cumplimiento vs meta</t>
  </si>
  <si>
    <t xml:space="preserve">Gauge</t>
  </si>
  <si>
    <t xml:space="preserve">Valor: [ICP] · Objetivo: Meta_ICP · Mínimo 0, Máximo 1</t>
  </si>
  <si>
    <t xml:space="preserve">Color del relleno por [Color Semaforo ICP]. Zonas 0-80 / 80-95 / 95-100.</t>
  </si>
  <si>
    <t xml:space="preserve">Comunica posición respecto de un umbral, que es la pregunta de gobierno.</t>
  </si>
  <si>
    <t xml:space="preserve">KPIs vs objetivo</t>
  </si>
  <si>
    <t xml:space="preserve">Gráfico de viñetas (bullet, visual de AppSource) o barras con línea de objetivo</t>
  </si>
  <si>
    <t xml:space="preserve">Categoría: nombre del KPI (tabla desconectada D_KPI)</t>
  </si>
  <si>
    <t xml:space="preserve">[Valor KPI] (medida SWITCH sobre D_KPI) y [Meta KPI]</t>
  </si>
  <si>
    <t xml:space="preserve">Bandas cualitativas en gris; barra por semáforo; marca negra de objetivo.</t>
  </si>
  <si>
    <t xml:space="preserve">Sustituye seis gauges y permite comparar KPIs con unidades distintas.</t>
  </si>
  <si>
    <t xml:space="preserve">Curva de cierres</t>
  </si>
  <si>
    <t xml:space="preserve">Gráfico de líneas</t>
  </si>
  <si>
    <t xml:space="preserve">Eje X: D_Calendario[MesAño]</t>
  </si>
  <si>
    <t xml:space="preserve">[Plan Acumulado] (línea punteada gris) y [Cierres Reales Acumulados] (línea sólida)</t>
  </si>
  <si>
    <t xml:space="preserve">Línea de referencia constante en la fecha de corte; etiqueta con [Brecha de Cierres].</t>
  </si>
  <si>
    <t xml:space="preserve">Única pregunta temporal del tablero: si la brecha se abre o se cierra.</t>
  </si>
  <si>
    <t xml:space="preserve">Embudo de maduración</t>
  </si>
  <si>
    <t xml:space="preserve">Funnel</t>
  </si>
  <si>
    <t xml:space="preserve">Grupo: F_Hitos[Banda_Avance] (acumulado descendente)</t>
  </si>
  <si>
    <t xml:space="preserve">[Total Hitos]</t>
  </si>
  <si>
    <t xml:space="preserve">Degradado azul a verde; etiqueta de porcentaje del primer valor.</t>
  </si>
  <si>
    <t xml:space="preserve">Muestra dónde se pierde el flujo: la última milla entre 75% y el cierre.</t>
  </si>
  <si>
    <t xml:space="preserve">Estado por función NIST</t>
  </si>
  <si>
    <t xml:space="preserve">Barras apiladas horizontales</t>
  </si>
  <si>
    <t xml:space="preserve">Eje: D_NIST[Funcion] · Leyenda: F_Hitos[Estado]</t>
  </si>
  <si>
    <t xml:space="preserve">Colores fijos por estado: verde, azul, rojo, gris.</t>
  </si>
  <si>
    <t xml:space="preserve">Compara la mezcla de estados entre funciones manteniendo el volumen visible.</t>
  </si>
  <si>
    <t xml:space="preserve">Frentes con mayor desviación</t>
  </si>
  <si>
    <t xml:space="preserve">Tabla / Matriz</t>
  </si>
  <si>
    <t xml:space="preserve">Filas: D_Frente[Frente] (Top N = 6 por [Desviacion pp] ascendente)</t>
  </si>
  <si>
    <t xml:space="preserve">[Total Hitos], [Avance Real %], [Avance Esperado %], [Desviacion pp]</t>
  </si>
  <si>
    <t xml:space="preserve">Barras de datos en la columna de avance; fuente por [Color Semaforo Desviacion].</t>
  </si>
  <si>
    <t xml:space="preserve">Detalle acotado: suficiente para decidir, insuficiente para perderse.</t>
  </si>
  <si>
    <t xml:space="preserve">Origen de la brecha</t>
  </si>
  <si>
    <t xml:space="preserve">Cascada (Waterfall)</t>
  </si>
  <si>
    <t xml:space="preserve">Categoría: D_Tipo[Tipo_Actividad] · Desglose: opcionalmente D_NIST</t>
  </si>
  <si>
    <t xml:space="preserve">[Contribucion Desviacion pp]</t>
  </si>
  <si>
    <t xml:space="preserve">Aumento verde, disminución roja, total azul. Ordenar por contribución.</t>
  </si>
  <si>
    <t xml:space="preserve">Único visual que explica una variación de forma aditiva.</t>
  </si>
  <si>
    <t xml:space="preserve">Causa raíz del atraso</t>
  </si>
  <si>
    <t xml:space="preserve">Árbol de descomposición</t>
  </si>
  <si>
    <t xml:space="preserve">Analizar: [Hitos Atrasados] · Explicar por: Tipo, Responsable, Frente, NIST</t>
  </si>
  <si>
    <t xml:space="preserve">[Hitos Atrasados]</t>
  </si>
  <si>
    <t xml:space="preserve">Bloquear los dos primeros niveles; dejar el tercero libre para el comité.</t>
  </si>
  <si>
    <t xml:space="preserve">Convierte un agregado en un destinatario de acción concreto.</t>
  </si>
  <si>
    <t xml:space="preserve">Dispersión avance</t>
  </si>
  <si>
    <t xml:space="preserve">Dispersión (Scatter)</t>
  </si>
  <si>
    <t xml:space="preserve">X: [Avance Esperado %] · Y: [Avance Real %] · Detalle: F_Hitos[Hito] · Tamaño: [Total Hitos]</t>
  </si>
  <si>
    <t xml:space="preserve">[Avance Real %], [Avance Esperado %]</t>
  </si>
  <si>
    <t xml:space="preserve">Línea de referencia X=Y; color por [Color Semaforo Desviacion]; sombreado bajo la diagonal.</t>
  </si>
  <si>
    <t xml:space="preserve">Expone la dispersión del portafolio, no solo su promedio.</t>
  </si>
  <si>
    <t xml:space="preserve">Desviación NIST × Tipo</t>
  </si>
  <si>
    <t xml:space="preserve">Matriz con formato condicional</t>
  </si>
  <si>
    <t xml:space="preserve">Filas: D_NIST[Funcion] · Columnas: D_Tipo[Tipo_Actividad]</t>
  </si>
  <si>
    <t xml:space="preserve">[Desviacion pp] (valor) y [Total Hitos] (intensidad)</t>
  </si>
  <si>
    <t xml:space="preserve">Escala divergente rojo-blanco-verde centrada en 0; transparencia por volumen.</t>
  </si>
  <si>
    <t xml:space="preserve">Localiza focos que una tabla plana esconde.</t>
  </si>
  <si>
    <t xml:space="preserve">Cobertura NIST</t>
  </si>
  <si>
    <t xml:space="preserve">Treemap</t>
  </si>
  <si>
    <t xml:space="preserve">Grupo: D_NIST[Funcion]</t>
  </si>
  <si>
    <t xml:space="preserve">Valores: [Total Hitos] · Color: [Desviacion pp]</t>
  </si>
  <si>
    <t xml:space="preserve">Escala de color por semáforo; etiqueta con hitos, avance y desviación.</t>
  </si>
  <si>
    <t xml:space="preserve">Muestra proporción y desviación a la vez: evidencia el desbalance del marco.</t>
  </si>
  <si>
    <t xml:space="preserve">Responsable × función</t>
  </si>
  <si>
    <t xml:space="preserve">Filas: D_Responsable[Responsable] · Columnas: D_NIST[Funcion]</t>
  </si>
  <si>
    <t xml:space="preserve">[Desviacion pp], [Total Hitos]</t>
  </si>
  <si>
    <t xml:space="preserve">Igual escala que el heatmap anterior; celdas vacías en gris claro.</t>
  </si>
  <si>
    <t xml:space="preserve">Lectura de capacidad, no de desempeño individual.</t>
  </si>
  <si>
    <t xml:space="preserve">Top vencidos</t>
  </si>
  <si>
    <t xml:space="preserve">Matriz</t>
  </si>
  <si>
    <t xml:space="preserve">Filas: Frente, Hito · Valores por columna</t>
  </si>
  <si>
    <t xml:space="preserve">[Dias Atraso Maximo], [Avance Real %], Responsable, Tipo, NIST</t>
  </si>
  <si>
    <t xml:space="preserve">Iconos de semáforo en avance; días en rojo sobre 45. Top N = 8 por días.</t>
  </si>
  <si>
    <t xml:space="preserve">El detalle ejecutivo se entrega acotado y priorizado.</t>
  </si>
  <si>
    <t xml:space="preserve">Un solo criterio de color para todo el informe</t>
  </si>
  <si>
    <t xml:space="preserve">Si el color cambia de significado entre visuales, el tablero deja de leerse de un vistazo.</t>
  </si>
  <si>
    <t xml:space="preserve">Nivel</t>
  </si>
  <si>
    <t xml:space="preserve">Regla</t>
  </si>
  <si>
    <t xml:space="preserve">Hex</t>
  </si>
  <si>
    <t xml:space="preserve">Acción esperada</t>
  </si>
  <si>
    <t xml:space="preserve">Verde</t>
  </si>
  <si>
    <t xml:space="preserve">KPI en meta o mejor</t>
  </si>
  <si>
    <t xml:space="preserve">#107C41</t>
  </si>
  <si>
    <t xml:space="preserve">Informar y sostener</t>
  </si>
  <si>
    <t xml:space="preserve">Ámbar</t>
  </si>
  <si>
    <t xml:space="preserve">Hasta 15% por debajo de la meta</t>
  </si>
  <si>
    <t xml:space="preserve">#D97706</t>
  </si>
  <si>
    <t xml:space="preserve">Plan de recuperación con fecha comprometida</t>
  </si>
  <si>
    <t xml:space="preserve">Rojo</t>
  </si>
  <si>
    <t xml:space="preserve">Más de 15% por debajo de la meta, o hito crítico vencido más de 30 días</t>
  </si>
  <si>
    <t xml:space="preserve">#C42B1C</t>
  </si>
  <si>
    <t xml:space="preserve">Escalar a comité</t>
  </si>
  <si>
    <t xml:space="preserve">Gris</t>
  </si>
  <si>
    <t xml:space="preserve">Sin dato suficiente (sin fecha base o sin hitos en la celda)</t>
  </si>
  <si>
    <t xml:space="preserve">#8A94A6</t>
  </si>
  <si>
    <t xml:space="preserve">Sanear el dato antes de interpretar</t>
  </si>
  <si>
    <t xml:space="preserve">Medidas de color dinámico</t>
  </si>
  <si>
    <t xml:space="preserve">Dónde se aplica</t>
  </si>
  <si>
    <t xml:space="preserve">Color Semaforo ICP</t>
  </si>
  <si>
    <t xml:space="preserve">Color Semaforo ICP =
VAR _meta = MAX ( D_Parametros[Meta_ICP] )
VAR _tol = MAX ( D_Parametros[Tol_Ambar] )
RETURN
SWITCH (
    TRUE (),
    [ICP] &gt;= _meta, "#107C41",
    [ICP] &gt;= _meta * ( 1 - _tol ), "#D97706",
    "#C42B1C"
)</t>
  </si>
  <si>
    <t xml:space="preserve">Tarjeta del ICP, gauge y cualquier visual filtrado por cumplimiento. Formato condicional &gt; Color de fuente &gt; Formato por campo.</t>
  </si>
  <si>
    <t xml:space="preserve">Color Semaforo Desviacion</t>
  </si>
  <si>
    <t xml:space="preserve">Color Semaforo Desviacion =
SWITCH (
    TRUE (),
    ISBLANK ( [Desviacion pp] ), "#8A94A6",
    [Desviacion pp] &gt; -0.08, "#107C41",
    [Desviacion pp] &gt; -0.18, "#D97706",
    "#C42B1C"
)</t>
  </si>
  <si>
    <t xml:space="preserve">Heatmaps NIST × Tipo y Responsable × NIST, treemap, scatter y tabla de frentes.</t>
  </si>
  <si>
    <t xml:space="preserve">Color Semaforo Dias</t>
  </si>
  <si>
    <t xml:space="preserve">Color Semaforo Dias =
SWITCH (
    TRUE (),
    [Dias Atraso Maximo] = 0, "#8A94A6",
    [Dias Atraso Maximo] &lt;= 15, "#D97706",
    "#C42B1C"
)</t>
  </si>
  <si>
    <t xml:space="preserve">Columna de días vencidos en la matriz de priorización.</t>
  </si>
  <si>
    <t xml:space="preserve">Icono Estado</t>
  </si>
  <si>
    <t xml:space="preserve">Icono Estado =
SWITCH (
    SELECTEDVALUE ( F_Hitos[Estado] ),
    "Completado", 3,
    "En proceso", 2,
    "Atrasado", 1,
    0
)</t>
  </si>
  <si>
    <t xml:space="preserve">Formato condicional &gt; Iconos &gt; por valor de campo, en la matriz de detalle.</t>
  </si>
  <si>
    <t xml:space="preserve">Clasificación NIST CSF 2.0 — propuesta</t>
  </si>
  <si>
    <t xml:space="preserve">La columna NIST viene vacía en los 177 registros del origen. Estas reglas la reconstruyen; requieren validación del área antes de reportar el KPI de cobertura.</t>
  </si>
  <si>
    <t xml:space="preserve">Orden</t>
  </si>
  <si>
    <t xml:space="preserve">Función</t>
  </si>
  <si>
    <t xml:space="preserve">Palabras clave en Frente + Hito (o tipo de actividad)</t>
  </si>
  <si>
    <t xml:space="preserve">Hitos asignados</t>
  </si>
  <si>
    <t xml:space="preserve">Criterio</t>
  </si>
  <si>
    <t xml:space="preserve">continuidad, recuperación, respaldo, netbackup, obsolescencia</t>
  </si>
  <si>
    <t xml:space="preserve">Capacidad de restablecer el servicio de identidades.</t>
  </si>
  <si>
    <t xml:space="preserve">tipo = Incidencia; incidente, bloqueo, remediación, corrección de inconsistencias</t>
  </si>
  <si>
    <t xml:space="preserve">Reacción ante un evento ya ocurrido.</t>
  </si>
  <si>
    <t xml:space="preserve">monitoreo, caso de uso, alerta, detección, certificación, control, indicador, KRI</t>
  </si>
  <si>
    <t xml:space="preserve">42</t>
  </si>
  <si>
    <t xml:space="preserve">Capacidad de descubrir accesos indebidos ya otorgados.</t>
  </si>
  <si>
    <t xml:space="preserve">tipo = Riesgos u Obs. Auditoría; instructivo, documentación, política, gobierno, dashboard, reportería, PMC-</t>
  </si>
  <si>
    <t xml:space="preserve">Marco, política y rendición de cuentas (función nueva de CSF 2.0).</t>
  </si>
  <si>
    <t xml:space="preserve">inventario, levantamiento, análisis, identificación, recepción de aplicaciones, calidad de datos, evaluación</t>
  </si>
  <si>
    <t xml:space="preserve">Conocer el universo antes de protegerlo.</t>
  </si>
  <si>
    <t xml:space="preserve">resto: accesos, roles, perfiles, contraseñas, MFA, depuración, onboarding, offboarding, genéricos, privilegiados</t>
  </si>
  <si>
    <t xml:space="preserve">86</t>
  </si>
  <si>
    <t xml:space="preserve">Categoría por defecto: PR.AA, el corazón de la gestión de identidades.</t>
  </si>
  <si>
    <t xml:space="preserve">Las reglas se evalúan en orden: el primer criterio que coincide asigna la función. Un hito, una función primaria. El desbalance resultante (86 Protect frente a 10 Identify y 3 Recover) es un hallazgo del análisis, no un defecto de la regla.</t>
  </si>
  <si>
    <t xml:space="preserve">Cifras de control al corte</t>
  </si>
  <si>
    <t xml:space="preserve">Calculadas en vivo sobre la hoja F_Hitos. Contrastar cada medida DAX contra esta columna antes de publicar el informe.</t>
  </si>
  <si>
    <t xml:space="preserve">Cifra de control</t>
  </si>
  <si>
    <t xml:space="preserve">Medida DAX equivalente</t>
  </si>
  <si>
    <t xml:space="preserve">Fórmula Excel</t>
  </si>
  <si>
    <t xml:space="preserve">Valor calculado</t>
  </si>
  <si>
    <t xml:space="preserve">Esperado</t>
  </si>
  <si>
    <t xml:space="preserve">Check</t>
  </si>
  <si>
    <t xml:space="preserve">Total de hitos</t>
  </si>
  <si>
    <t xml:space="preserve">=COUNTA(F_Hitos!$C$2:$C$178)</t>
  </si>
  <si>
    <t xml:space="preserve">Avance real del plan</t>
  </si>
  <si>
    <t xml:space="preserve">[Avance Real %]</t>
  </si>
  <si>
    <t xml:space="preserve">=AVERAGE(F_Hitos!$J$2:$J$178)</t>
  </si>
  <si>
    <t xml:space="preserve">Avance esperado del plan</t>
  </si>
  <si>
    <t xml:space="preserve">[Avance Esperado %]</t>
  </si>
  <si>
    <t xml:space="preserve">=AVERAGE(F_Hitos!$M$2:$M$178)</t>
  </si>
  <si>
    <t xml:space="preserve">Índice de cumplimiento</t>
  </si>
  <si>
    <t xml:space="preserve">[ICP]</t>
  </si>
  <si>
    <t xml:space="preserve">=IFERROR(E5/E6,0)</t>
  </si>
  <si>
    <t xml:space="preserve">Desviación (pp)</t>
  </si>
  <si>
    <t xml:space="preserve">[Desviacion pp]</t>
  </si>
  <si>
    <t xml:space="preserve">=E5-E6</t>
  </si>
  <si>
    <t xml:space="preserve">Hitos completados</t>
  </si>
  <si>
    <t xml:space="preserve">[Hitos Completados]</t>
  </si>
  <si>
    <t xml:space="preserve">=COUNTIF(F_Hitos!$O$2:$O$178,"Completado")</t>
  </si>
  <si>
    <t xml:space="preserve">Hitos en proceso</t>
  </si>
  <si>
    <t xml:space="preserve">[Hitos En Proceso]</t>
  </si>
  <si>
    <t xml:space="preserve">=COUNTIF(F_Hitos!$O$2:$O$178,"En proceso")</t>
  </si>
  <si>
    <t xml:space="preserve">Hitos atrasados</t>
  </si>
  <si>
    <t xml:space="preserve">=COUNTIF(F_Hitos!$O$2:$O$178,"Atrasado")</t>
  </si>
  <si>
    <t xml:space="preserve">Hitos no iniciados</t>
  </si>
  <si>
    <t xml:space="preserve">[Hitos No Iniciados]</t>
  </si>
  <si>
    <t xml:space="preserve">=COUNTIF(F_Hitos!$O$2:$O$178,"No iniciado")</t>
  </si>
  <si>
    <t xml:space="preserve">% de hitos atrasados</t>
  </si>
  <si>
    <t xml:space="preserve">[% Hitos Atrasados]</t>
  </si>
  <si>
    <t xml:space="preserve">=IFERROR(E11/E4,0)</t>
  </si>
  <si>
    <t xml:space="preserve">Atraso promedio (días)</t>
  </si>
  <si>
    <t xml:space="preserve">[Dias Atraso Promedio]</t>
  </si>
  <si>
    <t xml:space="preserve">=AVERAGEIF(F_Hitos!$P$2:$P$178,"&gt;0")</t>
  </si>
  <si>
    <t xml:space="preserve">Atraso máximo (días)</t>
  </si>
  <si>
    <t xml:space="preserve">[Dias Atraso Maximo]</t>
  </si>
  <si>
    <t xml:space="preserve">=MAX(F_Hitos!$P$2:$P$178)</t>
  </si>
  <si>
    <t xml:space="preserve">Hitos críticos</t>
  </si>
  <si>
    <t xml:space="preserve">=COUNTIF(F_Hitos!$Q$2:$Q$178,"Sí")</t>
  </si>
  <si>
    <t xml:space="preserve">Críticos completados</t>
  </si>
  <si>
    <t xml:space="preserve">=COUNTIFS(F_Hitos!$Q$2:$Q$178,"Sí",F_Hitos!$O$2:$O$178,"Completado")</t>
  </si>
  <si>
    <t xml:space="preserve">% críticos completados</t>
  </si>
  <si>
    <t xml:space="preserve">[% Criticos Completados]</t>
  </si>
  <si>
    <t xml:space="preserve">=IFERROR(E17/E16,0)</t>
  </si>
  <si>
    <t xml:space="preserve">SLA de cierre en fecha</t>
  </si>
  <si>
    <t xml:space="preserve">[SLA Cierre en Fecha %]</t>
  </si>
  <si>
    <t xml:space="preserve">=IFERROR(SUM(F_Hitos!$R$2:$R$178)/COUNT(F_Hitos!$R$2:$R$178),0)</t>
  </si>
  <si>
    <t xml:space="preserve">Plan acumulado al corte</t>
  </si>
  <si>
    <t xml:space="preserve">[Plan Acumulado]</t>
  </si>
  <si>
    <t xml:space="preserve">=COUNTIF(F_Hitos!$H$2:$H$178,"&lt;="&amp;'Parámetros'!$B$4)</t>
  </si>
  <si>
    <t xml:space="preserve">Cierres reales al corte</t>
  </si>
  <si>
    <t xml:space="preserve">[Cierres Reales Acumulados]</t>
  </si>
  <si>
    <t xml:space="preserve">=COUNTIFS(F_Hitos!$I$2:$I$178,"&lt;="&amp;'Parámetros'!$B$4,F_Hitos!$I$2:$I$178,"&gt;0")</t>
  </si>
  <si>
    <t xml:space="preserve">Brecha de cierres</t>
  </si>
  <si>
    <t xml:space="preserve">[Brecha de Cierres]</t>
  </si>
  <si>
    <t xml:space="preserve">=E20-E21</t>
  </si>
  <si>
    <t xml:space="preserve">Carga Q4 pendiente</t>
  </si>
  <si>
    <t xml:space="preserve">[Carga Q4 Pendiente]</t>
  </si>
  <si>
    <t xml:space="preserve">=COUNTIFS(F_Hitos!$H$2:$H$178,"&gt;="&amp;'Parámetros'!$B$12,F_Hitos!$J$2:$J$178,"&lt;1")</t>
  </si>
</sst>
</file>

<file path=xl/styles.xml><?xml version="1.0" encoding="utf-8"?>
<styleSheet xmlns="http://schemas.openxmlformats.org/spreadsheetml/2006/main">
  <numFmts count="5">
    <numFmt numFmtId="164" formatCode="General"/>
    <numFmt numFmtId="165" formatCode="dd/mm/yyyy"/>
    <numFmt numFmtId="166" formatCode="0%"/>
    <numFmt numFmtId="167" formatCode="0"/>
    <numFmt numFmtId="168" formatCode="0.0%"/>
  </numFmts>
  <fonts count="19">
    <font>
      <sz val="11"/>
      <color theme="1"/>
      <name val="Calibri"/>
      <family val="2"/>
      <charset val="1"/>
    </font>
    <font>
      <sz val="10"/>
      <name val="Arial"/>
      <family val="0"/>
    </font>
    <font>
      <sz val="10"/>
      <name val="Arial"/>
      <family val="0"/>
    </font>
    <font>
      <sz val="10"/>
      <name val="Arial"/>
      <family val="0"/>
    </font>
    <font>
      <b val="true"/>
      <sz val="14"/>
      <color rgb="FF0F3D62"/>
      <name val="Arial"/>
      <family val="0"/>
      <charset val="1"/>
    </font>
    <font>
      <i val="true"/>
      <sz val="9"/>
      <color rgb="FF6B7280"/>
      <name val="Arial"/>
      <family val="0"/>
      <charset val="1"/>
    </font>
    <font>
      <b val="true"/>
      <sz val="9"/>
      <color rgb="FFFFFFFF"/>
      <name val="Arial"/>
      <family val="0"/>
      <charset val="1"/>
    </font>
    <font>
      <sz val="9"/>
      <color rgb="FF2A3342"/>
      <name val="Arial"/>
      <family val="0"/>
      <charset val="1"/>
    </font>
    <font>
      <b val="true"/>
      <sz val="11"/>
      <color rgb="FF0F3D62"/>
      <name val="Arial"/>
      <family val="0"/>
      <charset val="1"/>
    </font>
    <font>
      <b val="true"/>
      <sz val="10"/>
      <name val="Arial"/>
      <family val="0"/>
      <charset val="1"/>
    </font>
    <font>
      <sz val="8.5"/>
      <name val="Arial"/>
      <family val="0"/>
      <charset val="1"/>
    </font>
    <font>
      <sz val="8.5"/>
      <color rgb="FF1F6B45"/>
      <name val="Arial"/>
      <family val="0"/>
      <charset val="1"/>
    </font>
    <font>
      <i val="true"/>
      <sz val="8"/>
      <color rgb="FF6B7280"/>
      <name val="Arial"/>
      <family val="0"/>
      <charset val="1"/>
    </font>
    <font>
      <sz val="8.5"/>
      <color rgb="FF0F3D62"/>
      <name val="Consolas"/>
      <family val="0"/>
      <charset val="1"/>
    </font>
    <font>
      <b val="true"/>
      <sz val="9"/>
      <color rgb="FF0F3D62"/>
      <name val="Arial"/>
      <family val="0"/>
      <charset val="1"/>
    </font>
    <font>
      <b val="true"/>
      <sz val="9"/>
      <color rgb="FFFFFFFF"/>
      <name val="Consolas"/>
      <family val="0"/>
      <charset val="1"/>
    </font>
    <font>
      <b val="true"/>
      <sz val="9.5"/>
      <color rgb="FF0F3D62"/>
      <name val="Arial"/>
      <family val="0"/>
      <charset val="1"/>
    </font>
    <font>
      <sz val="9.5"/>
      <color rgb="FF2A3342"/>
      <name val="Arial"/>
      <family val="0"/>
      <charset val="1"/>
    </font>
    <font>
      <b val="true"/>
      <sz val="9.5"/>
      <color rgb="FF2A3342"/>
      <name val="Arial"/>
      <family val="0"/>
      <charset val="1"/>
    </font>
  </fonts>
  <fills count="9">
    <fill>
      <patternFill patternType="none"/>
    </fill>
    <fill>
      <patternFill patternType="gray125"/>
    </fill>
    <fill>
      <patternFill patternType="solid">
        <fgColor rgb="FF0F3D62"/>
        <bgColor rgb="FF2A3342"/>
      </patternFill>
    </fill>
    <fill>
      <patternFill patternType="solid">
        <fgColor rgb="FFFFF2CC"/>
        <bgColor rgb="FFF7F9FB"/>
      </patternFill>
    </fill>
    <fill>
      <patternFill patternType="solid">
        <fgColor rgb="FFF7F9FB"/>
        <bgColor rgb="FFFFFFFF"/>
      </patternFill>
    </fill>
    <fill>
      <patternFill patternType="solid">
        <fgColor rgb="FF107C41"/>
        <bgColor rgb="FF1F6B45"/>
      </patternFill>
    </fill>
    <fill>
      <patternFill patternType="solid">
        <fgColor rgb="FFD97706"/>
        <bgColor rgb="FFFF9900"/>
      </patternFill>
    </fill>
    <fill>
      <patternFill patternType="solid">
        <fgColor rgb="FFC42B1C"/>
        <bgColor rgb="FF993366"/>
      </patternFill>
    </fill>
    <fill>
      <patternFill patternType="solid">
        <fgColor rgb="FF8A94A6"/>
        <bgColor rgb="FF808080"/>
      </patternFill>
    </fill>
  </fills>
  <borders count="3">
    <border diagonalUp="false" diagonalDown="false">
      <left/>
      <right/>
      <top/>
      <bottom/>
      <diagonal/>
    </border>
    <border diagonalUp="false" diagonalDown="false">
      <left/>
      <right/>
      <top/>
      <bottom style="thin">
        <color rgb="FFE2E6EC"/>
      </bottom>
      <diagonal/>
    </border>
    <border diagonalUp="false" diagonalDown="false">
      <left style="thin">
        <color rgb="FFE2E6EC"/>
      </left>
      <right style="thin">
        <color rgb="FFE2E6EC"/>
      </right>
      <top style="thin">
        <color rgb="FFE2E6EC"/>
      </top>
      <bottom style="thin">
        <color rgb="FFE2E6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2" xfId="0" applyFont="true" applyBorder="true" applyAlignment="true" applyProtection="false">
      <alignment horizontal="center" vertical="bottom" textRotation="0" wrapText="false" indent="0" shrinkToFit="false"/>
      <protection locked="true" hidden="false"/>
    </xf>
    <xf numFmtId="166" fontId="9" fillId="3" borderId="2" xfId="0" applyFont="true" applyBorder="true" applyAlignment="true" applyProtection="false">
      <alignment horizontal="center" vertical="bottom" textRotation="0" wrapText="false" indent="0" shrinkToFit="false"/>
      <protection locked="true" hidden="false"/>
    </xf>
    <xf numFmtId="167" fontId="9" fillId="3" borderId="2"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6" fontId="10" fillId="0" borderId="0" xfId="0" applyFont="true" applyBorder="false" applyAlignment="true" applyProtection="false">
      <alignment horizontal="general" vertical="top" textRotation="0" wrapText="false" indent="0" shrinkToFit="false"/>
      <protection locked="true" hidden="false"/>
    </xf>
    <xf numFmtId="166"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true" applyProtection="false">
      <alignment horizontal="center" vertical="bottom" textRotation="0" wrapText="false" indent="0" shrinkToFit="false"/>
      <protection locked="true" hidden="false"/>
    </xf>
    <xf numFmtId="164" fontId="15" fillId="7" borderId="1" xfId="0" applyFont="true" applyBorder="true" applyAlignment="true" applyProtection="false">
      <alignment horizontal="center" vertical="bottom" textRotation="0" wrapText="false" indent="0" shrinkToFit="false"/>
      <protection locked="true" hidden="false"/>
    </xf>
    <xf numFmtId="164" fontId="15" fillId="8" borderId="1" xfId="0" applyFont="true" applyBorder="true" applyAlignment="true" applyProtection="false">
      <alignment horizontal="center" vertical="bottom" textRotation="0" wrapText="false" indent="0" shrinkToFit="false"/>
      <protection locked="true" hidden="false"/>
    </xf>
    <xf numFmtId="167" fontId="16" fillId="0" borderId="1" xfId="0" applyFont="true" applyBorder="true" applyAlignment="true" applyProtection="false">
      <alignment horizontal="center" vertical="bottom" textRotation="0" wrapText="false" indent="0" shrinkToFit="false"/>
      <protection locked="true" hidden="false"/>
    </xf>
    <xf numFmtId="167" fontId="17"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8" fontId="16" fillId="0" borderId="1" xfId="0" applyFont="true" applyBorder="true" applyAlignment="true" applyProtection="false">
      <alignment horizontal="center" vertical="bottom" textRotation="0" wrapText="false" indent="0" shrinkToFit="false"/>
      <protection locked="true" hidden="false"/>
    </xf>
    <xf numFmtId="168" fontId="17" fillId="0" borderId="1" xfId="0" applyFont="true" applyBorder="true" applyAlignment="true" applyProtection="false">
      <alignment horizontal="center" vertical="bottom" textRotation="0" wrapText="false" indent="0" shrinkToFit="false"/>
      <protection locked="true" hidden="false"/>
    </xf>
    <xf numFmtId="166" fontId="16" fillId="0" borderId="1" xfId="0" applyFont="true" applyBorder="true" applyAlignment="true" applyProtection="false">
      <alignment horizontal="center" vertical="bottom" textRotation="0" wrapText="false" indent="0" shrinkToFit="false"/>
      <protection locked="true" hidden="false"/>
    </xf>
    <xf numFmtId="166" fontId="1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F3D62"/>
          <bgColor rgb="FF000000"/>
        </patternFill>
      </fill>
    </dxf>
    <dxf>
      <fill>
        <patternFill patternType="solid">
          <bgColor rgb="FF000000"/>
        </patternFill>
      </fill>
    </dxf>
    <dxf>
      <fill>
        <patternFill patternType="solid">
          <fgColor rgb="FFFFFFFF"/>
          <bgColor rgb="FF000000"/>
        </patternFill>
      </fill>
    </dxf>
    <dxf>
      <fill>
        <patternFill patternType="solid">
          <fgColor rgb="FF1F6B4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07C41"/>
      <rgbColor rgb="FFC0C0C0"/>
      <rgbColor rgb="FF808080"/>
      <rgbColor rgb="FF9999FF"/>
      <rgbColor rgb="FF993366"/>
      <rgbColor rgb="FFFFF2CC"/>
      <rgbColor rgb="FFE2E6EC"/>
      <rgbColor rgb="FF660066"/>
      <rgbColor rgb="FFFF8080"/>
      <rgbColor rgb="FF0066CC"/>
      <rgbColor rgb="FFCCCCFF"/>
      <rgbColor rgb="FF000080"/>
      <rgbColor rgb="FFFF00FF"/>
      <rgbColor rgb="FFFFFF00"/>
      <rgbColor rgb="FF00FFFF"/>
      <rgbColor rgb="FF800080"/>
      <rgbColor rgb="FF800000"/>
      <rgbColor rgb="FF1F6B45"/>
      <rgbColor rgb="FF0000FF"/>
      <rgbColor rgb="FF00CCFF"/>
      <rgbColor rgb="FFF7F9FB"/>
      <rgbColor rgb="FFCCFFCC"/>
      <rgbColor rgb="FFFFFF99"/>
      <rgbColor rgb="FF99CCFF"/>
      <rgbColor rgb="FFFF99CC"/>
      <rgbColor rgb="FFCC99FF"/>
      <rgbColor rgb="FFFFCC99"/>
      <rgbColor rgb="FF3366FF"/>
      <rgbColor rgb="FF33CCCC"/>
      <rgbColor rgb="FF99CC00"/>
      <rgbColor rgb="FFFFCC00"/>
      <rgbColor rgb="FFFF9900"/>
      <rgbColor rgb="FFD97706"/>
      <rgbColor rgb="FF6B7280"/>
      <rgbColor rgb="FF8A94A6"/>
      <rgbColor rgb="FF0F3D62"/>
      <rgbColor rgb="FF339966"/>
      <rgbColor rgb="FF003300"/>
      <rgbColor rgb="FF333300"/>
      <rgbColor rgb="FFC42B1C"/>
      <rgbColor rgb="FF993366"/>
      <rgbColor rgb="FF333399"/>
      <rgbColor rgb="FF2A33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3" min="3" style="0" width="78"/>
  </cols>
  <sheetData>
    <row r="1" customFormat="false" ht="17.35" hidden="false" customHeight="false" outlineLevel="0" collapsed="false">
      <c r="A1" s="1" t="s">
        <v>0</v>
      </c>
    </row>
    <row r="2" customFormat="false" ht="15" hidden="false" customHeight="false" outlineLevel="0" collapsed="false">
      <c r="A2" s="2" t="s">
        <v>1</v>
      </c>
    </row>
    <row r="3" customFormat="false" ht="25.5" hidden="false" customHeight="true" outlineLevel="0" collapsed="false">
      <c r="A3" s="3" t="s">
        <v>2</v>
      </c>
      <c r="B3" s="3" t="s">
        <v>3</v>
      </c>
      <c r="C3" s="3" t="s">
        <v>4</v>
      </c>
    </row>
    <row r="4" customFormat="false" ht="15" hidden="false" customHeight="false" outlineLevel="0" collapsed="false">
      <c r="A4" s="4"/>
      <c r="B4" s="5"/>
      <c r="C4" s="5"/>
    </row>
    <row r="5" customFormat="false" ht="15" hidden="false" customHeight="false" outlineLevel="0" collapsed="false">
      <c r="A5" s="4" t="s">
        <v>2</v>
      </c>
      <c r="B5" s="5" t="s">
        <v>3</v>
      </c>
      <c r="C5" s="5" t="s">
        <v>4</v>
      </c>
    </row>
    <row r="6" customFormat="false" ht="22.35" hidden="false" customHeight="false" outlineLevel="0" collapsed="false">
      <c r="A6" s="4" t="s">
        <v>5</v>
      </c>
      <c r="B6" s="5" t="s">
        <v>6</v>
      </c>
      <c r="C6" s="5" t="s">
        <v>7</v>
      </c>
    </row>
    <row r="7" customFormat="false" ht="22.35" hidden="false" customHeight="false" outlineLevel="0" collapsed="false">
      <c r="A7" s="4" t="s">
        <v>8</v>
      </c>
      <c r="B7" s="5" t="s">
        <v>9</v>
      </c>
      <c r="C7" s="5" t="s">
        <v>10</v>
      </c>
    </row>
    <row r="8" customFormat="false" ht="15" hidden="false" customHeight="false" outlineLevel="0" collapsed="false">
      <c r="A8" s="4" t="s">
        <v>11</v>
      </c>
      <c r="B8" s="5" t="s">
        <v>12</v>
      </c>
      <c r="C8" s="5" t="s">
        <v>13</v>
      </c>
    </row>
    <row r="9" customFormat="false" ht="22.35" hidden="false" customHeight="false" outlineLevel="0" collapsed="false">
      <c r="A9" s="4" t="s">
        <v>14</v>
      </c>
      <c r="B9" s="5" t="s">
        <v>15</v>
      </c>
      <c r="C9" s="5" t="s">
        <v>16</v>
      </c>
    </row>
    <row r="10" customFormat="false" ht="22.35" hidden="false" customHeight="false" outlineLevel="0" collapsed="false">
      <c r="A10" s="4" t="s">
        <v>17</v>
      </c>
      <c r="B10" s="5" t="s">
        <v>18</v>
      </c>
      <c r="C10" s="5" t="s">
        <v>19</v>
      </c>
    </row>
    <row r="11" customFormat="false" ht="15" hidden="false" customHeight="false" outlineLevel="0" collapsed="false">
      <c r="A11" s="4" t="s">
        <v>20</v>
      </c>
      <c r="B11" s="5" t="s">
        <v>21</v>
      </c>
      <c r="C11" s="5" t="s">
        <v>22</v>
      </c>
    </row>
    <row r="12" customFormat="false" ht="22.35" hidden="false" customHeight="false" outlineLevel="0" collapsed="false">
      <c r="A12" s="4" t="s">
        <v>23</v>
      </c>
      <c r="B12" s="5" t="s">
        <v>24</v>
      </c>
      <c r="C12" s="5" t="s">
        <v>25</v>
      </c>
    </row>
    <row r="13" customFormat="false" ht="15" hidden="false" customHeight="false" outlineLevel="0" collapsed="false">
      <c r="A13" s="4" t="s">
        <v>26</v>
      </c>
      <c r="B13" s="5" t="s">
        <v>27</v>
      </c>
      <c r="C13" s="5" t="s">
        <v>28</v>
      </c>
    </row>
    <row r="14" customFormat="false" ht="15" hidden="false" customHeight="false" outlineLevel="0" collapsed="false">
      <c r="A14" s="0" t="s">
        <v>29</v>
      </c>
      <c r="B14" s="0" t="s">
        <v>30</v>
      </c>
      <c r="C14" s="0" t="s">
        <v>31</v>
      </c>
    </row>
    <row r="15" customFormat="false" ht="15" hidden="false" customHeight="false" outlineLevel="0" collapsed="false">
      <c r="A15" s="0" t="s">
        <v>32</v>
      </c>
      <c r="B15" s="0" t="s">
        <v>33</v>
      </c>
      <c r="C15" s="0" t="s">
        <v>34</v>
      </c>
    </row>
    <row r="16" customFormat="false" ht="15" hidden="false" customHeight="false" outlineLevel="0" collapsed="false">
      <c r="A16" s="6" t="s">
        <v>35</v>
      </c>
    </row>
    <row r="17" customFormat="false" ht="25.5" hidden="false" customHeight="true" outlineLevel="0" collapsed="false">
      <c r="A17" s="3" t="s">
        <v>36</v>
      </c>
      <c r="B17" s="3" t="s">
        <v>37</v>
      </c>
      <c r="C17" s="3" t="s">
        <v>38</v>
      </c>
    </row>
    <row r="18" customFormat="false" ht="15" hidden="false" customHeight="false" outlineLevel="0" collapsed="false">
      <c r="A18" s="4"/>
      <c r="B18" s="4"/>
      <c r="C18" s="5"/>
    </row>
    <row r="19" customFormat="false" ht="22.35" hidden="false" customHeight="false" outlineLevel="0" collapsed="false">
      <c r="A19" s="4" t="s">
        <v>39</v>
      </c>
      <c r="B19" s="4" t="s">
        <v>40</v>
      </c>
      <c r="C19" s="5" t="s">
        <v>41</v>
      </c>
    </row>
    <row r="20" customFormat="false" ht="22.35" hidden="false" customHeight="false" outlineLevel="0" collapsed="false">
      <c r="A20" s="4" t="s">
        <v>42</v>
      </c>
      <c r="B20" s="4" t="s">
        <v>43</v>
      </c>
      <c r="C20" s="5" t="s">
        <v>44</v>
      </c>
    </row>
    <row r="21" customFormat="false" ht="15" hidden="false" customHeight="false" outlineLevel="0" collapsed="false">
      <c r="A21" s="4" t="s">
        <v>45</v>
      </c>
      <c r="B21" s="4" t="s">
        <v>46</v>
      </c>
      <c r="C21" s="5" t="s">
        <v>47</v>
      </c>
    </row>
    <row r="22" customFormat="false" ht="15" hidden="false" customHeight="false" outlineLevel="0" collapsed="false">
      <c r="A22" s="4" t="s">
        <v>48</v>
      </c>
      <c r="B22" s="4" t="s">
        <v>49</v>
      </c>
      <c r="C22" s="5" t="s">
        <v>50</v>
      </c>
    </row>
    <row r="23" customFormat="false" ht="15" hidden="false" customHeight="false" outlineLevel="0" collapsed="false">
      <c r="A23" s="4" t="s">
        <v>51</v>
      </c>
      <c r="B23" s="4" t="s">
        <v>52</v>
      </c>
      <c r="C23" s="5" t="s">
        <v>53</v>
      </c>
    </row>
    <row r="24" customFormat="false" ht="15" hidden="false" customHeight="false" outlineLevel="0" collapsed="false">
      <c r="A24" s="4" t="s">
        <v>54</v>
      </c>
      <c r="B24" s="4" t="s">
        <v>55</v>
      </c>
      <c r="C24" s="5" t="s">
        <v>56</v>
      </c>
    </row>
    <row r="25" customFormat="false" ht="15" hidden="false" customHeight="false" outlineLevel="0" collapsed="false">
      <c r="A25" s="0" t="s">
        <v>57</v>
      </c>
      <c r="B25" s="0" t="s">
        <v>58</v>
      </c>
      <c r="C25" s="0"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20"/>
    <col collapsed="false" customWidth="true" hidden="false" outlineLevel="0" max="4" min="4" style="0" width="76"/>
  </cols>
  <sheetData>
    <row r="1" customFormat="false" ht="17.35" hidden="false" customHeight="false" outlineLevel="0" collapsed="false">
      <c r="A1" s="1" t="s">
        <v>60</v>
      </c>
    </row>
    <row r="2" customFormat="false" ht="15" hidden="false" customHeight="false" outlineLevel="0" collapsed="false">
      <c r="A2" s="2" t="s">
        <v>61</v>
      </c>
    </row>
    <row r="3" customFormat="false" ht="25.5" hidden="false" customHeight="true" outlineLevel="0" collapsed="false">
      <c r="A3" s="3" t="s">
        <v>62</v>
      </c>
      <c r="B3" s="3" t="s">
        <v>63</v>
      </c>
      <c r="C3" s="3" t="s">
        <v>64</v>
      </c>
      <c r="D3" s="3" t="s">
        <v>65</v>
      </c>
    </row>
    <row r="4" customFormat="false" ht="15" hidden="false" customHeight="false" outlineLevel="0" collapsed="false">
      <c r="A4" s="4"/>
      <c r="B4" s="7" t="n">
        <v>46282</v>
      </c>
      <c r="C4" s="4"/>
      <c r="D4" s="5"/>
    </row>
    <row r="5" customFormat="false" ht="22.35" hidden="false" customHeight="false" outlineLevel="0" collapsed="false">
      <c r="A5" s="4" t="s">
        <v>66</v>
      </c>
      <c r="B5" s="8" t="s">
        <v>67</v>
      </c>
      <c r="C5" s="4" t="s">
        <v>68</v>
      </c>
      <c r="D5" s="5" t="s">
        <v>69</v>
      </c>
    </row>
    <row r="6" customFormat="false" ht="15" hidden="false" customHeight="false" outlineLevel="0" collapsed="false">
      <c r="A6" s="4" t="s">
        <v>70</v>
      </c>
      <c r="B6" s="8" t="n">
        <v>0.95</v>
      </c>
      <c r="C6" s="4" t="s">
        <v>71</v>
      </c>
      <c r="D6" s="5" t="s">
        <v>72</v>
      </c>
    </row>
    <row r="7" customFormat="false" ht="15" hidden="false" customHeight="false" outlineLevel="0" collapsed="false">
      <c r="A7" s="4" t="s">
        <v>73</v>
      </c>
      <c r="B7" s="9" t="n">
        <v>0.1</v>
      </c>
      <c r="C7" s="4" t="s">
        <v>74</v>
      </c>
      <c r="D7" s="5" t="s">
        <v>75</v>
      </c>
    </row>
    <row r="8" customFormat="false" ht="15" hidden="false" customHeight="false" outlineLevel="0" collapsed="false">
      <c r="A8" s="4" t="s">
        <v>76</v>
      </c>
      <c r="B8" s="8" t="n">
        <v>15</v>
      </c>
      <c r="C8" s="4" t="s">
        <v>77</v>
      </c>
      <c r="D8" s="5" t="s">
        <v>78</v>
      </c>
    </row>
    <row r="9" customFormat="false" ht="15" hidden="false" customHeight="false" outlineLevel="0" collapsed="false">
      <c r="A9" s="4" t="s">
        <v>79</v>
      </c>
      <c r="B9" s="8" t="n">
        <v>0.8</v>
      </c>
      <c r="C9" s="4" t="s">
        <v>80</v>
      </c>
      <c r="D9" s="5" t="s">
        <v>81</v>
      </c>
    </row>
    <row r="10" customFormat="false" ht="15" hidden="false" customHeight="false" outlineLevel="0" collapsed="false">
      <c r="A10" s="4" t="s">
        <v>82</v>
      </c>
      <c r="B10" s="8" t="n">
        <v>0.9</v>
      </c>
      <c r="C10" s="4" t="s">
        <v>83</v>
      </c>
      <c r="D10" s="5" t="s">
        <v>84</v>
      </c>
    </row>
    <row r="11" customFormat="false" ht="15" hidden="false" customHeight="false" outlineLevel="0" collapsed="false">
      <c r="A11" s="4" t="s">
        <v>85</v>
      </c>
      <c r="B11" s="8" t="n">
        <v>-0.05</v>
      </c>
      <c r="C11" s="4" t="s">
        <v>86</v>
      </c>
      <c r="D11" s="5" t="s">
        <v>87</v>
      </c>
    </row>
    <row r="12" customFormat="false" ht="15" hidden="false" customHeight="false" outlineLevel="0" collapsed="false">
      <c r="A12" s="4" t="s">
        <v>88</v>
      </c>
      <c r="B12" s="7" t="n">
        <v>46296</v>
      </c>
      <c r="C12" s="4" t="s">
        <v>89</v>
      </c>
      <c r="D12" s="5" t="s">
        <v>90</v>
      </c>
    </row>
    <row r="13" customFormat="false" ht="15" hidden="false" customHeight="false" outlineLevel="0" collapsed="false">
      <c r="A13" s="0" t="s">
        <v>91</v>
      </c>
      <c r="B13" s="0" t="s">
        <v>92</v>
      </c>
      <c r="C13" s="0" t="s">
        <v>93</v>
      </c>
      <c r="D13" s="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52"/>
    <col collapsed="false" customWidth="true" hidden="false" outlineLevel="0" max="4" min="4" style="0" width="14"/>
    <col collapsed="false" customWidth="true" hidden="false" outlineLevel="0" max="5" min="5" style="0" width="19"/>
    <col collapsed="false" customWidth="true" hidden="false" outlineLevel="0" max="6" min="6" style="0" width="22"/>
    <col collapsed="false" customWidth="true" hidden="false" outlineLevel="0" max="7" min="7" style="0" width="12"/>
    <col collapsed="false" customWidth="true" hidden="false" outlineLevel="0" max="9" min="8" style="0" width="13"/>
    <col collapsed="false" customWidth="true" hidden="false" outlineLevel="0" max="10" min="10" style="0" width="11"/>
    <col collapsed="false" customWidth="true" hidden="false" outlineLevel="0" max="11" min="11" style="0" width="15"/>
    <col collapsed="false" customWidth="true" hidden="false" outlineLevel="0" max="12" min="12" style="0" width="46"/>
    <col collapsed="false" customWidth="true" hidden="false" outlineLevel="0" max="13" min="13" style="0" width="14"/>
    <col collapsed="false" customWidth="true" hidden="false" outlineLevel="0" max="14" min="14" style="0" width="13"/>
    <col collapsed="false" customWidth="true" hidden="false" outlineLevel="0" max="15" min="15" style="0" width="14"/>
    <col collapsed="false" customWidth="true" hidden="false" outlineLevel="0" max="16" min="16" style="0" width="12"/>
    <col collapsed="false" customWidth="true" hidden="false" outlineLevel="0" max="17" min="17" style="0" width="10"/>
    <col collapsed="false" customWidth="true" hidden="false" outlineLevel="0" max="18" min="18" style="0" width="14"/>
  </cols>
  <sheetData>
    <row r="1" customFormat="false" ht="25.5" hidden="false" customHeight="true" outlineLevel="0" collapsed="false">
      <c r="A1" s="3" t="s">
        <v>95</v>
      </c>
      <c r="B1" s="3" t="s">
        <v>96</v>
      </c>
      <c r="C1" s="3" t="s">
        <v>97</v>
      </c>
      <c r="D1" s="3" t="s">
        <v>98</v>
      </c>
      <c r="E1" s="3" t="s">
        <v>99</v>
      </c>
      <c r="F1" s="3" t="s">
        <v>100</v>
      </c>
      <c r="G1" s="3" t="s">
        <v>101</v>
      </c>
      <c r="H1" s="3" t="s">
        <v>102</v>
      </c>
      <c r="I1" s="3" t="s">
        <v>103</v>
      </c>
      <c r="J1" s="3" t="s">
        <v>104</v>
      </c>
      <c r="K1" s="3" t="s">
        <v>105</v>
      </c>
      <c r="L1" s="3" t="s">
        <v>106</v>
      </c>
      <c r="M1" s="3" t="s">
        <v>107</v>
      </c>
      <c r="N1" s="3" t="s">
        <v>108</v>
      </c>
      <c r="O1" s="3" t="s">
        <v>109</v>
      </c>
      <c r="P1" s="3" t="s">
        <v>110</v>
      </c>
      <c r="Q1" s="3" t="s">
        <v>111</v>
      </c>
      <c r="R1" s="3" t="s">
        <v>112</v>
      </c>
    </row>
    <row r="2" customFormat="false" ht="19.4" hidden="false" customHeight="false" outlineLevel="0" collapsed="false">
      <c r="A2" s="10" t="n">
        <v>2026</v>
      </c>
      <c r="B2" s="10" t="s">
        <v>113</v>
      </c>
      <c r="C2" s="11" t="s">
        <v>114</v>
      </c>
      <c r="D2" s="10" t="s">
        <v>115</v>
      </c>
      <c r="E2" s="10" t="s">
        <v>116</v>
      </c>
      <c r="F2" s="11" t="s">
        <v>116</v>
      </c>
      <c r="G2" s="12" t="n">
        <v>45658</v>
      </c>
      <c r="H2" s="12" t="n">
        <v>46084</v>
      </c>
      <c r="I2" s="12" t="n">
        <v>46087</v>
      </c>
      <c r="J2" s="13" t="n">
        <v>1</v>
      </c>
      <c r="K2" s="10" t="s">
        <v>117</v>
      </c>
      <c r="L2" s="11"/>
      <c r="M2" s="14" t="n">
        <f aca="false">IF(OR(G2="",H2=""),"",IF(H2&lt;=G2,1,MIN(1,MAX(0,(Parámetros!$B$4-G2)/(H2-G2)))))</f>
        <v>1</v>
      </c>
      <c r="N2" s="14" t="n">
        <f aca="false">IF(M2="","",J2-M2)</f>
        <v>0</v>
      </c>
      <c r="O2" s="15" t="str">
        <f aca="false">IF(J2&gt;=1,"Completado",IF(H2="","Sin fecha plan",IF(H2&lt;Parámetros!$B$4,"Atrasado",IF(J2&lt;=0,"No iniciado","En proceso"))))</f>
        <v>Completado</v>
      </c>
      <c r="P2" s="15" t="n">
        <f aca="false">IF(AND(J2&lt;1,H2&lt;&gt;"",H2&lt;Parámetros!$B$4),Parámetros!$B$4-H2,0)</f>
        <v>0</v>
      </c>
      <c r="Q2" s="15" t="str">
        <f aca="false">IF(OR(D2="Proyecto",D2="Riesgos",D2="Obs. Auditoría"),"Sí","No")</f>
        <v>No</v>
      </c>
      <c r="R2" s="15" t="n">
        <f aca="false">IF(I2="","",IF(I2&lt;=H2,1,0))</f>
        <v>0</v>
      </c>
    </row>
    <row r="3" customFormat="false" ht="19.4" hidden="false" customHeight="false" outlineLevel="0" collapsed="false">
      <c r="A3" s="10" t="n">
        <v>2026</v>
      </c>
      <c r="B3" s="10" t="s">
        <v>113</v>
      </c>
      <c r="C3" s="11" t="s">
        <v>118</v>
      </c>
      <c r="D3" s="10" t="s">
        <v>115</v>
      </c>
      <c r="E3" s="10" t="s">
        <v>116</v>
      </c>
      <c r="F3" s="11" t="s">
        <v>116</v>
      </c>
      <c r="G3" s="12" t="n">
        <v>45658</v>
      </c>
      <c r="H3" s="12" t="n">
        <v>46084</v>
      </c>
      <c r="I3" s="12" t="n">
        <v>46087</v>
      </c>
      <c r="J3" s="13" t="n">
        <v>1</v>
      </c>
      <c r="K3" s="10" t="s">
        <v>117</v>
      </c>
      <c r="L3" s="11"/>
      <c r="M3" s="14" t="n">
        <f aca="false">IF(OR(G3="",H3=""),"",IF(H3&lt;=G3,1,MIN(1,MAX(0,(Parámetros!$B$4-G3)/(H3-G3)))))</f>
        <v>1</v>
      </c>
      <c r="N3" s="14" t="n">
        <f aca="false">IF(M3="","",J3-M3)</f>
        <v>0</v>
      </c>
      <c r="O3" s="15" t="str">
        <f aca="false">IF(J3&gt;=1,"Completado",IF(H3="","Sin fecha plan",IF(H3&lt;Parámetros!$B$4,"Atrasado",IF(J3&lt;=0,"No iniciado","En proceso"))))</f>
        <v>Completado</v>
      </c>
      <c r="P3" s="15" t="n">
        <f aca="false">IF(AND(J3&lt;1,H3&lt;&gt;"",H3&lt;Parámetros!$B$4),Parámetros!$B$4-H3,0)</f>
        <v>0</v>
      </c>
      <c r="Q3" s="15" t="str">
        <f aca="false">IF(OR(D3="Proyecto",D3="Riesgos",D3="Obs. Auditoría"),"Sí","No")</f>
        <v>No</v>
      </c>
      <c r="R3" s="15" t="n">
        <f aca="false">IF(I3="","",IF(I3&lt;=H3,1,0))</f>
        <v>0</v>
      </c>
    </row>
    <row r="4" customFormat="false" ht="15" hidden="false" customHeight="false" outlineLevel="0" collapsed="false">
      <c r="A4" s="10" t="n">
        <v>2026</v>
      </c>
      <c r="B4" s="10" t="s">
        <v>113</v>
      </c>
      <c r="C4" s="11" t="s">
        <v>119</v>
      </c>
      <c r="D4" s="10" t="s">
        <v>115</v>
      </c>
      <c r="E4" s="10" t="s">
        <v>116</v>
      </c>
      <c r="F4" s="11" t="s">
        <v>116</v>
      </c>
      <c r="G4" s="12" t="n">
        <v>45839</v>
      </c>
      <c r="H4" s="12" t="n">
        <v>46084</v>
      </c>
      <c r="I4" s="12" t="n">
        <v>46087</v>
      </c>
      <c r="J4" s="13" t="n">
        <v>1</v>
      </c>
      <c r="K4" s="10" t="s">
        <v>117</v>
      </c>
      <c r="L4" s="11"/>
      <c r="M4" s="14" t="n">
        <f aca="false">IF(OR(G4="",H4=""),"",IF(H4&lt;=G4,1,MIN(1,MAX(0,(Parámetros!$B$4-G4)/(H4-G4)))))</f>
        <v>1</v>
      </c>
      <c r="N4" s="14" t="n">
        <f aca="false">IF(M4="","",J4-M4)</f>
        <v>0</v>
      </c>
      <c r="O4" s="15" t="str">
        <f aca="false">IF(J4&gt;=1,"Completado",IF(H4="","Sin fecha plan",IF(H4&lt;Parámetros!$B$4,"Atrasado",IF(J4&lt;=0,"No iniciado","En proceso"))))</f>
        <v>Completado</v>
      </c>
      <c r="P4" s="15" t="n">
        <f aca="false">IF(AND(J4&lt;1,H4&lt;&gt;"",H4&lt;Parámetros!$B$4),Parámetros!$B$4-H4,0)</f>
        <v>0</v>
      </c>
      <c r="Q4" s="15" t="str">
        <f aca="false">IF(OR(D4="Proyecto",D4="Riesgos",D4="Obs. Auditoría"),"Sí","No")</f>
        <v>No</v>
      </c>
      <c r="R4" s="15" t="n">
        <f aca="false">IF(I4="","",IF(I4&lt;=H4,1,0))</f>
        <v>0</v>
      </c>
    </row>
    <row r="5" customFormat="false" ht="15" hidden="false" customHeight="false" outlineLevel="0" collapsed="false">
      <c r="A5" s="10" t="n">
        <v>2026</v>
      </c>
      <c r="B5" s="10" t="s">
        <v>113</v>
      </c>
      <c r="C5" s="11" t="s">
        <v>120</v>
      </c>
      <c r="D5" s="10" t="s">
        <v>115</v>
      </c>
      <c r="E5" s="10" t="s">
        <v>121</v>
      </c>
      <c r="F5" s="11" t="s">
        <v>121</v>
      </c>
      <c r="G5" s="12" t="n">
        <v>45962</v>
      </c>
      <c r="H5" s="12" t="n">
        <v>46087</v>
      </c>
      <c r="I5" s="12" t="n">
        <v>46087</v>
      </c>
      <c r="J5" s="13" t="n">
        <v>1</v>
      </c>
      <c r="K5" s="10" t="s">
        <v>117</v>
      </c>
      <c r="L5" s="11"/>
      <c r="M5" s="14" t="n">
        <f aca="false">IF(OR(G5="",H5=""),"",IF(H5&lt;=G5,1,MIN(1,MAX(0,(Parámetros!$B$4-G5)/(H5-G5)))))</f>
        <v>1</v>
      </c>
      <c r="N5" s="14" t="n">
        <f aca="false">IF(M5="","",J5-M5)</f>
        <v>0</v>
      </c>
      <c r="O5" s="15" t="str">
        <f aca="false">IF(J5&gt;=1,"Completado",IF(H5="","Sin fecha plan",IF(H5&lt;Parámetros!$B$4,"Atrasado",IF(J5&lt;=0,"No iniciado","En proceso"))))</f>
        <v>Completado</v>
      </c>
      <c r="P5" s="15" t="n">
        <f aca="false">IF(AND(J5&lt;1,H5&lt;&gt;"",H5&lt;Parámetros!$B$4),Parámetros!$B$4-H5,0)</f>
        <v>0</v>
      </c>
      <c r="Q5" s="15" t="str">
        <f aca="false">IF(OR(D5="Proyecto",D5="Riesgos",D5="Obs. Auditoría"),"Sí","No")</f>
        <v>No</v>
      </c>
      <c r="R5" s="15" t="n">
        <f aca="false">IF(I5="","",IF(I5&lt;=H5,1,0))</f>
        <v>1</v>
      </c>
    </row>
    <row r="6" customFormat="false" ht="19.4" hidden="false" customHeight="false" outlineLevel="0" collapsed="false">
      <c r="A6" s="10" t="n">
        <v>2026</v>
      </c>
      <c r="B6" s="10" t="s">
        <v>113</v>
      </c>
      <c r="C6" s="11" t="s">
        <v>122</v>
      </c>
      <c r="D6" s="10" t="s">
        <v>115</v>
      </c>
      <c r="E6" s="10" t="s">
        <v>121</v>
      </c>
      <c r="F6" s="11" t="s">
        <v>121</v>
      </c>
      <c r="G6" s="12" t="n">
        <v>45992</v>
      </c>
      <c r="H6" s="12" t="n">
        <v>46387</v>
      </c>
      <c r="I6" s="12"/>
      <c r="J6" s="13" t="n">
        <v>0.5</v>
      </c>
      <c r="K6" s="10" t="s">
        <v>117</v>
      </c>
      <c r="L6" s="11"/>
      <c r="M6" s="14" t="n">
        <f aca="false">IF(OR(G6="",H6=""),"",IF(H6&lt;=G6,1,MIN(1,MAX(0,(Parámetros!$B$4-G6)/(H6-G6)))))</f>
        <v>0.734177215189873</v>
      </c>
      <c r="N6" s="14" t="n">
        <f aca="false">IF(M6="","",J6-M6)</f>
        <v>-0.234177215189873</v>
      </c>
      <c r="O6" s="15" t="str">
        <f aca="false">IF(J6&gt;=1,"Completado",IF(H6="","Sin fecha plan",IF(H6&lt;Parámetros!$B$4,"Atrasado",IF(J6&lt;=0,"No iniciado","En proceso"))))</f>
        <v>En proceso</v>
      </c>
      <c r="P6" s="15" t="n">
        <f aca="false">IF(AND(J6&lt;1,H6&lt;&gt;"",H6&lt;Parámetros!$B$4),Parámetros!$B$4-H6,0)</f>
        <v>0</v>
      </c>
      <c r="Q6" s="15" t="str">
        <f aca="false">IF(OR(D6="Proyecto",D6="Riesgos",D6="Obs. Auditoría"),"Sí","No")</f>
        <v>No</v>
      </c>
      <c r="R6" s="15" t="str">
        <f aca="false">IF(I6="","",IF(I6&lt;=H6,1,0))</f>
        <v/>
      </c>
    </row>
    <row r="7" customFormat="false" ht="15" hidden="false" customHeight="false" outlineLevel="0" collapsed="false">
      <c r="A7" s="10" t="n">
        <v>2026</v>
      </c>
      <c r="B7" s="10" t="s">
        <v>113</v>
      </c>
      <c r="C7" s="11" t="s">
        <v>123</v>
      </c>
      <c r="D7" s="10" t="s">
        <v>115</v>
      </c>
      <c r="E7" s="10" t="s">
        <v>124</v>
      </c>
      <c r="F7" s="11" t="s">
        <v>124</v>
      </c>
      <c r="G7" s="12" t="n">
        <v>46082</v>
      </c>
      <c r="H7" s="12" t="n">
        <v>46084</v>
      </c>
      <c r="I7" s="12" t="n">
        <v>46084</v>
      </c>
      <c r="J7" s="13" t="n">
        <v>1</v>
      </c>
      <c r="K7" s="10" t="s">
        <v>117</v>
      </c>
      <c r="L7" s="11"/>
      <c r="M7" s="14" t="n">
        <f aca="false">IF(OR(G7="",H7=""),"",IF(H7&lt;=G7,1,MIN(1,MAX(0,(Parámetros!$B$4-G7)/(H7-G7)))))</f>
        <v>1</v>
      </c>
      <c r="N7" s="14" t="n">
        <f aca="false">IF(M7="","",J7-M7)</f>
        <v>0</v>
      </c>
      <c r="O7" s="15" t="str">
        <f aca="false">IF(J7&gt;=1,"Completado",IF(H7="","Sin fecha plan",IF(H7&lt;Parámetros!$B$4,"Atrasado",IF(J7&lt;=0,"No iniciado","En proceso"))))</f>
        <v>Completado</v>
      </c>
      <c r="P7" s="15" t="n">
        <f aca="false">IF(AND(J7&lt;1,H7&lt;&gt;"",H7&lt;Parámetros!$B$4),Parámetros!$B$4-H7,0)</f>
        <v>0</v>
      </c>
      <c r="Q7" s="15" t="str">
        <f aca="false">IF(OR(D7="Proyecto",D7="Riesgos",D7="Obs. Auditoría"),"Sí","No")</f>
        <v>No</v>
      </c>
      <c r="R7" s="15" t="n">
        <f aca="false">IF(I7="","",IF(I7&lt;=H7,1,0))</f>
        <v>1</v>
      </c>
    </row>
    <row r="8" customFormat="false" ht="19.4" hidden="false" customHeight="false" outlineLevel="0" collapsed="false">
      <c r="A8" s="10" t="n">
        <v>2026</v>
      </c>
      <c r="B8" s="10" t="s">
        <v>113</v>
      </c>
      <c r="C8" s="11" t="s">
        <v>125</v>
      </c>
      <c r="D8" s="10" t="s">
        <v>115</v>
      </c>
      <c r="E8" s="10" t="s">
        <v>121</v>
      </c>
      <c r="F8" s="11" t="s">
        <v>121</v>
      </c>
      <c r="G8" s="12" t="n">
        <v>46082</v>
      </c>
      <c r="H8" s="12" t="n">
        <v>46080</v>
      </c>
      <c r="I8" s="12" t="n">
        <v>46080</v>
      </c>
      <c r="J8" s="13" t="n">
        <v>1</v>
      </c>
      <c r="K8" s="10" t="s">
        <v>117</v>
      </c>
      <c r="L8" s="11" t="s">
        <v>126</v>
      </c>
      <c r="M8" s="14" t="n">
        <f aca="false">IF(OR(G8="",H8=""),"",IF(H8&lt;=G8,1,MIN(1,MAX(0,(Parámetros!$B$4-G8)/(H8-G8)))))</f>
        <v>1</v>
      </c>
      <c r="N8" s="14" t="n">
        <f aca="false">IF(M8="","",J8-M8)</f>
        <v>0</v>
      </c>
      <c r="O8" s="15" t="str">
        <f aca="false">IF(J8&gt;=1,"Completado",IF(H8="","Sin fecha plan",IF(H8&lt;Parámetros!$B$4,"Atrasado",IF(J8&lt;=0,"No iniciado","En proceso"))))</f>
        <v>Completado</v>
      </c>
      <c r="P8" s="15" t="n">
        <f aca="false">IF(AND(J8&lt;1,H8&lt;&gt;"",H8&lt;Parámetros!$B$4),Parámetros!$B$4-H8,0)</f>
        <v>0</v>
      </c>
      <c r="Q8" s="15" t="str">
        <f aca="false">IF(OR(D8="Proyecto",D8="Riesgos",D8="Obs. Auditoría"),"Sí","No")</f>
        <v>No</v>
      </c>
      <c r="R8" s="15" t="n">
        <f aca="false">IF(I8="","",IF(I8&lt;=H8,1,0))</f>
        <v>1</v>
      </c>
    </row>
    <row r="9" customFormat="false" ht="19.4" hidden="false" customHeight="false" outlineLevel="0" collapsed="false">
      <c r="A9" s="10" t="n">
        <v>2026</v>
      </c>
      <c r="B9" s="10" t="s">
        <v>127</v>
      </c>
      <c r="C9" s="11" t="s">
        <v>128</v>
      </c>
      <c r="D9" s="10" t="s">
        <v>115</v>
      </c>
      <c r="E9" s="10" t="s">
        <v>116</v>
      </c>
      <c r="F9" s="11" t="s">
        <v>116</v>
      </c>
      <c r="G9" s="12" t="n">
        <v>46327</v>
      </c>
      <c r="H9" s="12" t="n">
        <v>46387</v>
      </c>
      <c r="I9" s="12"/>
      <c r="J9" s="13" t="n">
        <v>0</v>
      </c>
      <c r="K9" s="10" t="s">
        <v>117</v>
      </c>
      <c r="L9" s="11" t="s">
        <v>129</v>
      </c>
      <c r="M9" s="14" t="n">
        <f aca="false">IF(OR(G9="",H9=""),"",IF(H9&lt;=G9,1,MIN(1,MAX(0,(Parámetros!$B$4-G9)/(H9-G9)))))</f>
        <v>0</v>
      </c>
      <c r="N9" s="14" t="n">
        <f aca="false">IF(M9="","",J9-M9)</f>
        <v>0</v>
      </c>
      <c r="O9" s="15" t="str">
        <f aca="false">IF(J9&gt;=1,"Completado",IF(H9="","Sin fecha plan",IF(H9&lt;Parámetros!$B$4,"Atrasado",IF(J9&lt;=0,"No iniciado","En proceso"))))</f>
        <v>No iniciado</v>
      </c>
      <c r="P9" s="15" t="n">
        <f aca="false">IF(AND(J9&lt;1,H9&lt;&gt;"",H9&lt;Parámetros!$B$4),Parámetros!$B$4-H9,0)</f>
        <v>0</v>
      </c>
      <c r="Q9" s="15" t="str">
        <f aca="false">IF(OR(D9="Proyecto",D9="Riesgos",D9="Obs. Auditoría"),"Sí","No")</f>
        <v>No</v>
      </c>
      <c r="R9" s="15" t="str">
        <f aca="false">IF(I9="","",IF(I9&lt;=H9,1,0))</f>
        <v/>
      </c>
    </row>
    <row r="10" customFormat="false" ht="19.4" hidden="false" customHeight="false" outlineLevel="0" collapsed="false">
      <c r="A10" s="10" t="n">
        <v>2026</v>
      </c>
      <c r="B10" s="10" t="s">
        <v>127</v>
      </c>
      <c r="C10" s="11" t="s">
        <v>130</v>
      </c>
      <c r="D10" s="10" t="s">
        <v>115</v>
      </c>
      <c r="E10" s="10" t="s">
        <v>131</v>
      </c>
      <c r="F10" s="11" t="s">
        <v>131</v>
      </c>
      <c r="G10" s="12" t="n">
        <v>46143</v>
      </c>
      <c r="H10" s="12" t="n">
        <v>46235</v>
      </c>
      <c r="I10" s="12"/>
      <c r="J10" s="13" t="n">
        <v>0.05</v>
      </c>
      <c r="K10" s="10" t="s">
        <v>132</v>
      </c>
      <c r="L10" s="11" t="s">
        <v>133</v>
      </c>
      <c r="M10" s="14" t="n">
        <f aca="false">IF(OR(G10="",H10=""),"",IF(H10&lt;=G10,1,MIN(1,MAX(0,(Parámetros!$B$4-G10)/(H10-G10)))))</f>
        <v>1</v>
      </c>
      <c r="N10" s="14" t="n">
        <f aca="false">IF(M10="","",J10-M10)</f>
        <v>-0.95</v>
      </c>
      <c r="O10" s="15" t="str">
        <f aca="false">IF(J10&gt;=1,"Completado",IF(H10="","Sin fecha plan",IF(H10&lt;Parámetros!$B$4,"Atrasado",IF(J10&lt;=0,"No iniciado","En proceso"))))</f>
        <v>Atrasado</v>
      </c>
      <c r="P10" s="15" t="n">
        <f aca="false">IF(AND(J10&lt;1,H10&lt;&gt;"",H10&lt;Parámetros!$B$4),Parámetros!$B$4-H10,0)</f>
        <v>47</v>
      </c>
      <c r="Q10" s="15" t="str">
        <f aca="false">IF(OR(D10="Proyecto",D10="Riesgos",D10="Obs. Auditoría"),"Sí","No")</f>
        <v>No</v>
      </c>
      <c r="R10" s="15" t="str">
        <f aca="false">IF(I10="","",IF(I10&lt;=H10,1,0))</f>
        <v/>
      </c>
    </row>
    <row r="11" customFormat="false" ht="19.4" hidden="false" customHeight="false" outlineLevel="0" collapsed="false">
      <c r="A11" s="10" t="n">
        <v>2026</v>
      </c>
      <c r="B11" s="10" t="s">
        <v>127</v>
      </c>
      <c r="C11" s="11" t="s">
        <v>134</v>
      </c>
      <c r="D11" s="10" t="s">
        <v>115</v>
      </c>
      <c r="E11" s="10" t="s">
        <v>116</v>
      </c>
      <c r="F11" s="11" t="s">
        <v>116</v>
      </c>
      <c r="G11" s="12" t="n">
        <v>46143</v>
      </c>
      <c r="H11" s="12" t="n">
        <v>46143</v>
      </c>
      <c r="I11" s="12" t="n">
        <v>46143</v>
      </c>
      <c r="J11" s="13" t="n">
        <v>1</v>
      </c>
      <c r="K11" s="10" t="s">
        <v>117</v>
      </c>
      <c r="L11" s="11" t="s">
        <v>135</v>
      </c>
      <c r="M11" s="14" t="n">
        <f aca="false">IF(OR(G11="",H11=""),"",IF(H11&lt;=G11,1,MIN(1,MAX(0,(Parámetros!$B$4-G11)/(H11-G11)))))</f>
        <v>1</v>
      </c>
      <c r="N11" s="14" t="n">
        <f aca="false">IF(M11="","",J11-M11)</f>
        <v>0</v>
      </c>
      <c r="O11" s="15" t="str">
        <f aca="false">IF(J11&gt;=1,"Completado",IF(H11="","Sin fecha plan",IF(H11&lt;Parámetros!$B$4,"Atrasado",IF(J11&lt;=0,"No iniciado","En proceso"))))</f>
        <v>Completado</v>
      </c>
      <c r="P11" s="15" t="n">
        <f aca="false">IF(AND(J11&lt;1,H11&lt;&gt;"",H11&lt;Parámetros!$B$4),Parámetros!$B$4-H11,0)</f>
        <v>0</v>
      </c>
      <c r="Q11" s="15" t="str">
        <f aca="false">IF(OR(D11="Proyecto",D11="Riesgos",D11="Obs. Auditoría"),"Sí","No")</f>
        <v>No</v>
      </c>
      <c r="R11" s="15" t="n">
        <f aca="false">IF(I11="","",IF(I11&lt;=H11,1,0))</f>
        <v>1</v>
      </c>
    </row>
    <row r="12" customFormat="false" ht="46.25" hidden="false" customHeight="false" outlineLevel="0" collapsed="false">
      <c r="A12" s="10" t="n">
        <v>2026</v>
      </c>
      <c r="B12" s="10" t="s">
        <v>127</v>
      </c>
      <c r="C12" s="11" t="s">
        <v>136</v>
      </c>
      <c r="D12" s="10" t="s">
        <v>137</v>
      </c>
      <c r="E12" s="10" t="s">
        <v>116</v>
      </c>
      <c r="F12" s="11" t="s">
        <v>116</v>
      </c>
      <c r="G12" s="12" t="n">
        <v>46143</v>
      </c>
      <c r="H12" s="12" t="n">
        <v>46387</v>
      </c>
      <c r="I12" s="12"/>
      <c r="J12" s="13" t="n">
        <v>0.25</v>
      </c>
      <c r="K12" s="10" t="s">
        <v>117</v>
      </c>
      <c r="L12" s="11" t="s">
        <v>138</v>
      </c>
      <c r="M12" s="14" t="n">
        <f aca="false">IF(OR(G12="",H12=""),"",IF(H12&lt;=G12,1,MIN(1,MAX(0,(Parámetros!$B$4-G12)/(H12-G12)))))</f>
        <v>0.569672131147541</v>
      </c>
      <c r="N12" s="14" t="n">
        <f aca="false">IF(M12="","",J12-M12)</f>
        <v>-0.319672131147541</v>
      </c>
      <c r="O12" s="15" t="str">
        <f aca="false">IF(J12&gt;=1,"Completado",IF(H12="","Sin fecha plan",IF(H12&lt;Parámetros!$B$4,"Atrasado",IF(J12&lt;=0,"No iniciado","En proceso"))))</f>
        <v>En proceso</v>
      </c>
      <c r="P12" s="15" t="n">
        <f aca="false">IF(AND(J12&lt;1,H12&lt;&gt;"",H12&lt;Parámetros!$B$4),Parámetros!$B$4-H12,0)</f>
        <v>0</v>
      </c>
      <c r="Q12" s="15" t="str">
        <f aca="false">IF(OR(D12="Proyecto",D12="Riesgos",D12="Obs. Auditoría"),"Sí","No")</f>
        <v>No</v>
      </c>
      <c r="R12" s="15" t="str">
        <f aca="false">IF(I12="","",IF(I12&lt;=H12,1,0))</f>
        <v/>
      </c>
    </row>
    <row r="13" customFormat="false" ht="46.25" hidden="false" customHeight="false" outlineLevel="0" collapsed="false">
      <c r="A13" s="10" t="n">
        <v>2026</v>
      </c>
      <c r="B13" s="10" t="s">
        <v>127</v>
      </c>
      <c r="C13" s="11" t="s">
        <v>139</v>
      </c>
      <c r="D13" s="10" t="s">
        <v>137</v>
      </c>
      <c r="E13" s="10" t="s">
        <v>116</v>
      </c>
      <c r="F13" s="11" t="s">
        <v>116</v>
      </c>
      <c r="G13" s="12" t="n">
        <v>46143</v>
      </c>
      <c r="H13" s="12" t="n">
        <v>46326</v>
      </c>
      <c r="I13" s="12"/>
      <c r="J13" s="13" t="n">
        <v>0.75</v>
      </c>
      <c r="K13" s="10" t="s">
        <v>117</v>
      </c>
      <c r="L13" s="11" t="s">
        <v>140</v>
      </c>
      <c r="M13" s="14" t="n">
        <f aca="false">IF(OR(G13="",H13=""),"",IF(H13&lt;=G13,1,MIN(1,MAX(0,(Parámetros!$B$4-G13)/(H13-G13)))))</f>
        <v>0.759562841530055</v>
      </c>
      <c r="N13" s="14" t="n">
        <f aca="false">IF(M13="","",J13-M13)</f>
        <v>-0.0095628415300546</v>
      </c>
      <c r="O13" s="15" t="str">
        <f aca="false">IF(J13&gt;=1,"Completado",IF(H13="","Sin fecha plan",IF(H13&lt;Parámetros!$B$4,"Atrasado",IF(J13&lt;=0,"No iniciado","En proceso"))))</f>
        <v>En proceso</v>
      </c>
      <c r="P13" s="15" t="n">
        <f aca="false">IF(AND(J13&lt;1,H13&lt;&gt;"",H13&lt;Parámetros!$B$4),Parámetros!$B$4-H13,0)</f>
        <v>0</v>
      </c>
      <c r="Q13" s="15" t="str">
        <f aca="false">IF(OR(D13="Proyecto",D13="Riesgos",D13="Obs. Auditoría"),"Sí","No")</f>
        <v>No</v>
      </c>
      <c r="R13" s="15" t="str">
        <f aca="false">IF(I13="","",IF(I13&lt;=H13,1,0))</f>
        <v/>
      </c>
    </row>
    <row r="14" customFormat="false" ht="28.35" hidden="false" customHeight="false" outlineLevel="0" collapsed="false">
      <c r="A14" s="10" t="n">
        <v>2026</v>
      </c>
      <c r="B14" s="10" t="s">
        <v>127</v>
      </c>
      <c r="C14" s="11" t="s">
        <v>141</v>
      </c>
      <c r="D14" s="10" t="s">
        <v>137</v>
      </c>
      <c r="E14" s="10" t="s">
        <v>116</v>
      </c>
      <c r="F14" s="11" t="s">
        <v>116</v>
      </c>
      <c r="G14" s="12" t="n">
        <v>46143</v>
      </c>
      <c r="H14" s="12" t="n">
        <v>46173</v>
      </c>
      <c r="I14" s="12" t="n">
        <v>46173</v>
      </c>
      <c r="J14" s="13" t="n">
        <v>1</v>
      </c>
      <c r="K14" s="10" t="s">
        <v>117</v>
      </c>
      <c r="L14" s="11" t="s">
        <v>142</v>
      </c>
      <c r="M14" s="14" t="n">
        <f aca="false">IF(OR(G14="",H14=""),"",IF(H14&lt;=G14,1,MIN(1,MAX(0,(Parámetros!$B$4-G14)/(H14-G14)))))</f>
        <v>1</v>
      </c>
      <c r="N14" s="14" t="n">
        <f aca="false">IF(M14="","",J14-M14)</f>
        <v>0</v>
      </c>
      <c r="O14" s="15" t="str">
        <f aca="false">IF(J14&gt;=1,"Completado",IF(H14="","Sin fecha plan",IF(H14&lt;Parámetros!$B$4,"Atrasado",IF(J14&lt;=0,"No iniciado","En proceso"))))</f>
        <v>Completado</v>
      </c>
      <c r="P14" s="15" t="n">
        <f aca="false">IF(AND(J14&lt;1,H14&lt;&gt;"",H14&lt;Parámetros!$B$4),Parámetros!$B$4-H14,0)</f>
        <v>0</v>
      </c>
      <c r="Q14" s="15" t="str">
        <f aca="false">IF(OR(D14="Proyecto",D14="Riesgos",D14="Obs. Auditoría"),"Sí","No")</f>
        <v>No</v>
      </c>
      <c r="R14" s="15" t="n">
        <f aca="false">IF(I14="","",IF(I14&lt;=H14,1,0))</f>
        <v>1</v>
      </c>
    </row>
    <row r="15" customFormat="false" ht="19.4" hidden="false" customHeight="false" outlineLevel="0" collapsed="false">
      <c r="A15" s="10" t="n">
        <v>2026</v>
      </c>
      <c r="B15" s="10" t="s">
        <v>127</v>
      </c>
      <c r="C15" s="11" t="s">
        <v>143</v>
      </c>
      <c r="D15" s="10" t="s">
        <v>137</v>
      </c>
      <c r="E15" s="10" t="s">
        <v>116</v>
      </c>
      <c r="F15" s="11" t="s">
        <v>116</v>
      </c>
      <c r="G15" s="12" t="n">
        <v>46113</v>
      </c>
      <c r="H15" s="12" t="n">
        <v>46153</v>
      </c>
      <c r="I15" s="12" t="n">
        <v>46153</v>
      </c>
      <c r="J15" s="13" t="n">
        <v>1</v>
      </c>
      <c r="K15" s="10" t="s">
        <v>117</v>
      </c>
      <c r="L15" s="11"/>
      <c r="M15" s="14" t="n">
        <f aca="false">IF(OR(G15="",H15=""),"",IF(H15&lt;=G15,1,MIN(1,MAX(0,(Parámetros!$B$4-G15)/(H15-G15)))))</f>
        <v>1</v>
      </c>
      <c r="N15" s="14" t="n">
        <f aca="false">IF(M15="","",J15-M15)</f>
        <v>0</v>
      </c>
      <c r="O15" s="15" t="str">
        <f aca="false">IF(J15&gt;=1,"Completado",IF(H15="","Sin fecha plan",IF(H15&lt;Parámetros!$B$4,"Atrasado",IF(J15&lt;=0,"No iniciado","En proceso"))))</f>
        <v>Completado</v>
      </c>
      <c r="P15" s="15" t="n">
        <f aca="false">IF(AND(J15&lt;1,H15&lt;&gt;"",H15&lt;Parámetros!$B$4),Parámetros!$B$4-H15,0)</f>
        <v>0</v>
      </c>
      <c r="Q15" s="15" t="str">
        <f aca="false">IF(OR(D15="Proyecto",D15="Riesgos",D15="Obs. Auditoría"),"Sí","No")</f>
        <v>No</v>
      </c>
      <c r="R15" s="15" t="n">
        <f aca="false">IF(I15="","",IF(I15&lt;=H15,1,0))</f>
        <v>1</v>
      </c>
    </row>
    <row r="16" customFormat="false" ht="15" hidden="false" customHeight="false" outlineLevel="0" collapsed="false">
      <c r="A16" s="10" t="n">
        <v>2026</v>
      </c>
      <c r="B16" s="10" t="s">
        <v>127</v>
      </c>
      <c r="C16" s="11" t="s">
        <v>144</v>
      </c>
      <c r="D16" s="10" t="s">
        <v>137</v>
      </c>
      <c r="E16" s="10" t="s">
        <v>116</v>
      </c>
      <c r="F16" s="11" t="s">
        <v>116</v>
      </c>
      <c r="G16" s="12" t="n">
        <v>46143</v>
      </c>
      <c r="H16" s="12" t="n">
        <v>46155</v>
      </c>
      <c r="I16" s="12" t="n">
        <v>46155</v>
      </c>
      <c r="J16" s="13" t="n">
        <v>1</v>
      </c>
      <c r="K16" s="10" t="s">
        <v>117</v>
      </c>
      <c r="L16" s="11"/>
      <c r="M16" s="14" t="n">
        <f aca="false">IF(OR(G16="",H16=""),"",IF(H16&lt;=G16,1,MIN(1,MAX(0,(Parámetros!$B$4-G16)/(H16-G16)))))</f>
        <v>1</v>
      </c>
      <c r="N16" s="14" t="n">
        <f aca="false">IF(M16="","",J16-M16)</f>
        <v>0</v>
      </c>
      <c r="O16" s="15" t="str">
        <f aca="false">IF(J16&gt;=1,"Completado",IF(H16="","Sin fecha plan",IF(H16&lt;Parámetros!$B$4,"Atrasado",IF(J16&lt;=0,"No iniciado","En proceso"))))</f>
        <v>Completado</v>
      </c>
      <c r="P16" s="15" t="n">
        <f aca="false">IF(AND(J16&lt;1,H16&lt;&gt;"",H16&lt;Parámetros!$B$4),Parámetros!$B$4-H16,0)</f>
        <v>0</v>
      </c>
      <c r="Q16" s="15" t="str">
        <f aca="false">IF(OR(D16="Proyecto",D16="Riesgos",D16="Obs. Auditoría"),"Sí","No")</f>
        <v>No</v>
      </c>
      <c r="R16" s="15" t="n">
        <f aca="false">IF(I16="","",IF(I16&lt;=H16,1,0))</f>
        <v>1</v>
      </c>
    </row>
    <row r="17" customFormat="false" ht="19.4" hidden="false" customHeight="false" outlineLevel="0" collapsed="false">
      <c r="A17" s="10" t="n">
        <v>2026</v>
      </c>
      <c r="B17" s="10" t="s">
        <v>127</v>
      </c>
      <c r="C17" s="11" t="s">
        <v>145</v>
      </c>
      <c r="D17" s="10" t="s">
        <v>146</v>
      </c>
      <c r="E17" s="10" t="s">
        <v>116</v>
      </c>
      <c r="F17" s="11" t="s">
        <v>116</v>
      </c>
      <c r="G17" s="12" t="n">
        <v>46155</v>
      </c>
      <c r="H17" s="12" t="n">
        <v>46161</v>
      </c>
      <c r="I17" s="12" t="n">
        <v>46161</v>
      </c>
      <c r="J17" s="13" t="n">
        <v>1</v>
      </c>
      <c r="K17" s="10" t="s">
        <v>147</v>
      </c>
      <c r="L17" s="11" t="s">
        <v>148</v>
      </c>
      <c r="M17" s="14" t="n">
        <f aca="false">IF(OR(G17="",H17=""),"",IF(H17&lt;=G17,1,MIN(1,MAX(0,(Parámetros!$B$4-G17)/(H17-G17)))))</f>
        <v>1</v>
      </c>
      <c r="N17" s="14" t="n">
        <f aca="false">IF(M17="","",J17-M17)</f>
        <v>0</v>
      </c>
      <c r="O17" s="15" t="str">
        <f aca="false">IF(J17&gt;=1,"Completado",IF(H17="","Sin fecha plan",IF(H17&lt;Parámetros!$B$4,"Atrasado",IF(J17&lt;=0,"No iniciado","En proceso"))))</f>
        <v>Completado</v>
      </c>
      <c r="P17" s="15" t="n">
        <f aca="false">IF(AND(J17&lt;1,H17&lt;&gt;"",H17&lt;Parámetros!$B$4),Parámetros!$B$4-H17,0)</f>
        <v>0</v>
      </c>
      <c r="Q17" s="15" t="str">
        <f aca="false">IF(OR(D17="Proyecto",D17="Riesgos",D17="Obs. Auditoría"),"Sí","No")</f>
        <v>No</v>
      </c>
      <c r="R17" s="15" t="n">
        <f aca="false">IF(I17="","",IF(I17&lt;=H17,1,0))</f>
        <v>1</v>
      </c>
    </row>
    <row r="18" customFormat="false" ht="19.4" hidden="false" customHeight="false" outlineLevel="0" collapsed="false">
      <c r="A18" s="10" t="n">
        <v>2026</v>
      </c>
      <c r="B18" s="10" t="s">
        <v>127</v>
      </c>
      <c r="C18" s="11" t="s">
        <v>149</v>
      </c>
      <c r="D18" s="10" t="s">
        <v>115</v>
      </c>
      <c r="E18" s="10" t="s">
        <v>116</v>
      </c>
      <c r="F18" s="11" t="s">
        <v>150</v>
      </c>
      <c r="G18" s="12" t="n">
        <v>46155</v>
      </c>
      <c r="H18" s="12" t="n">
        <v>46168</v>
      </c>
      <c r="I18" s="12" t="n">
        <v>46168</v>
      </c>
      <c r="J18" s="13" t="n">
        <v>1</v>
      </c>
      <c r="K18" s="10" t="s">
        <v>117</v>
      </c>
      <c r="L18" s="11"/>
      <c r="M18" s="14" t="n">
        <f aca="false">IF(OR(G18="",H18=""),"",IF(H18&lt;=G18,1,MIN(1,MAX(0,(Parámetros!$B$4-G18)/(H18-G18)))))</f>
        <v>1</v>
      </c>
      <c r="N18" s="14" t="n">
        <f aca="false">IF(M18="","",J18-M18)</f>
        <v>0</v>
      </c>
      <c r="O18" s="15" t="str">
        <f aca="false">IF(J18&gt;=1,"Completado",IF(H18="","Sin fecha plan",IF(H18&lt;Parámetros!$B$4,"Atrasado",IF(J18&lt;=0,"No iniciado","En proceso"))))</f>
        <v>Completado</v>
      </c>
      <c r="P18" s="15" t="n">
        <f aca="false">IF(AND(J18&lt;1,H18&lt;&gt;"",H18&lt;Parámetros!$B$4),Parámetros!$B$4-H18,0)</f>
        <v>0</v>
      </c>
      <c r="Q18" s="15" t="str">
        <f aca="false">IF(OR(D18="Proyecto",D18="Riesgos",D18="Obs. Auditoría"),"Sí","No")</f>
        <v>No</v>
      </c>
      <c r="R18" s="15" t="n">
        <f aca="false">IF(I18="","",IF(I18&lt;=H18,1,0))</f>
        <v>1</v>
      </c>
    </row>
    <row r="19" customFormat="false" ht="55.2" hidden="false" customHeight="false" outlineLevel="0" collapsed="false">
      <c r="A19" s="10" t="n">
        <v>2026</v>
      </c>
      <c r="B19" s="10" t="s">
        <v>127</v>
      </c>
      <c r="C19" s="11" t="s">
        <v>151</v>
      </c>
      <c r="D19" s="10" t="s">
        <v>115</v>
      </c>
      <c r="E19" s="10" t="s">
        <v>124</v>
      </c>
      <c r="F19" s="11" t="s">
        <v>152</v>
      </c>
      <c r="G19" s="12" t="n">
        <v>46213</v>
      </c>
      <c r="H19" s="12" t="n">
        <v>46265</v>
      </c>
      <c r="I19" s="12"/>
      <c r="J19" s="13" t="n">
        <v>0.9</v>
      </c>
      <c r="K19" s="10" t="s">
        <v>117</v>
      </c>
      <c r="L19" s="11" t="s">
        <v>153</v>
      </c>
      <c r="M19" s="14" t="n">
        <f aca="false">IF(OR(G19="",H19=""),"",IF(H19&lt;=G19,1,MIN(1,MAX(0,(Parámetros!$B$4-G19)/(H19-G19)))))</f>
        <v>1</v>
      </c>
      <c r="N19" s="14" t="n">
        <f aca="false">IF(M19="","",J19-M19)</f>
        <v>-0.1</v>
      </c>
      <c r="O19" s="15" t="str">
        <f aca="false">IF(J19&gt;=1,"Completado",IF(H19="","Sin fecha plan",IF(H19&lt;Parámetros!$B$4,"Atrasado",IF(J19&lt;=0,"No iniciado","En proceso"))))</f>
        <v>Atrasado</v>
      </c>
      <c r="P19" s="15" t="n">
        <f aca="false">IF(AND(J19&lt;1,H19&lt;&gt;"",H19&lt;Parámetros!$B$4),Parámetros!$B$4-H19,0)</f>
        <v>17</v>
      </c>
      <c r="Q19" s="15" t="str">
        <f aca="false">IF(OR(D19="Proyecto",D19="Riesgos",D19="Obs. Auditoría"),"Sí","No")</f>
        <v>No</v>
      </c>
      <c r="R19" s="15" t="str">
        <f aca="false">IF(I19="","",IF(I19&lt;=H19,1,0))</f>
        <v/>
      </c>
    </row>
    <row r="20" customFormat="false" ht="55.2" hidden="false" customHeight="false" outlineLevel="0" collapsed="false">
      <c r="A20" s="10" t="n">
        <v>2026</v>
      </c>
      <c r="B20" s="10" t="s">
        <v>127</v>
      </c>
      <c r="C20" s="11" t="s">
        <v>154</v>
      </c>
      <c r="D20" s="10" t="s">
        <v>155</v>
      </c>
      <c r="E20" s="10" t="s">
        <v>116</v>
      </c>
      <c r="F20" s="11" t="s">
        <v>156</v>
      </c>
      <c r="G20" s="12" t="n">
        <v>46113</v>
      </c>
      <c r="H20" s="12" t="n">
        <v>46295</v>
      </c>
      <c r="I20" s="12"/>
      <c r="J20" s="13" t="n">
        <v>0.7</v>
      </c>
      <c r="K20" s="10" t="s">
        <v>132</v>
      </c>
      <c r="L20" s="11" t="s">
        <v>157</v>
      </c>
      <c r="M20" s="14" t="n">
        <f aca="false">IF(OR(G20="",H20=""),"",IF(H20&lt;=G20,1,MIN(1,MAX(0,(Parámetros!$B$4-G20)/(H20-G20)))))</f>
        <v>0.928571428571429</v>
      </c>
      <c r="N20" s="14" t="n">
        <f aca="false">IF(M20="","",J20-M20)</f>
        <v>-0.228571428571429</v>
      </c>
      <c r="O20" s="15" t="str">
        <f aca="false">IF(J20&gt;=1,"Completado",IF(H20="","Sin fecha plan",IF(H20&lt;Parámetros!$B$4,"Atrasado",IF(J20&lt;=0,"No iniciado","En proceso"))))</f>
        <v>En proceso</v>
      </c>
      <c r="P20" s="15" t="n">
        <f aca="false">IF(AND(J20&lt;1,H20&lt;&gt;"",H20&lt;Parámetros!$B$4),Parámetros!$B$4-H20,0)</f>
        <v>0</v>
      </c>
      <c r="Q20" s="15" t="str">
        <f aca="false">IF(OR(D20="Proyecto",D20="Riesgos",D20="Obs. Auditoría"),"Sí","No")</f>
        <v>Sí</v>
      </c>
      <c r="R20" s="15" t="str">
        <f aca="false">IF(I20="","",IF(I20&lt;=H20,1,0))</f>
        <v/>
      </c>
    </row>
    <row r="21" customFormat="false" ht="46.25" hidden="false" customHeight="false" outlineLevel="0" collapsed="false">
      <c r="A21" s="10" t="n">
        <v>2026</v>
      </c>
      <c r="B21" s="10" t="s">
        <v>127</v>
      </c>
      <c r="C21" s="11" t="s">
        <v>158</v>
      </c>
      <c r="D21" s="10" t="s">
        <v>155</v>
      </c>
      <c r="E21" s="10" t="s">
        <v>116</v>
      </c>
      <c r="F21" s="11" t="s">
        <v>116</v>
      </c>
      <c r="G21" s="12" t="n">
        <v>46113</v>
      </c>
      <c r="H21" s="12" t="n">
        <v>46387</v>
      </c>
      <c r="I21" s="12"/>
      <c r="J21" s="13" t="n">
        <v>0.5</v>
      </c>
      <c r="K21" s="10" t="s">
        <v>159</v>
      </c>
      <c r="L21" s="11" t="s">
        <v>160</v>
      </c>
      <c r="M21" s="14" t="n">
        <f aca="false">IF(OR(G21="",H21=""),"",IF(H21&lt;=G21,1,MIN(1,MAX(0,(Parámetros!$B$4-G21)/(H21-G21)))))</f>
        <v>0.616788321167883</v>
      </c>
      <c r="N21" s="14" t="n">
        <f aca="false">IF(M21="","",J21-M21)</f>
        <v>-0.116788321167883</v>
      </c>
      <c r="O21" s="15" t="str">
        <f aca="false">IF(J21&gt;=1,"Completado",IF(H21="","Sin fecha plan",IF(H21&lt;Parámetros!$B$4,"Atrasado",IF(J21&lt;=0,"No iniciado","En proceso"))))</f>
        <v>En proceso</v>
      </c>
      <c r="P21" s="15" t="n">
        <f aca="false">IF(AND(J21&lt;1,H21&lt;&gt;"",H21&lt;Parámetros!$B$4),Parámetros!$B$4-H21,0)</f>
        <v>0</v>
      </c>
      <c r="Q21" s="15" t="str">
        <f aca="false">IF(OR(D21="Proyecto",D21="Riesgos",D21="Obs. Auditoría"),"Sí","No")</f>
        <v>Sí</v>
      </c>
      <c r="R21" s="15" t="str">
        <f aca="false">IF(I21="","",IF(I21&lt;=H21,1,0))</f>
        <v/>
      </c>
    </row>
    <row r="22" customFormat="false" ht="46.25" hidden="false" customHeight="false" outlineLevel="0" collapsed="false">
      <c r="A22" s="10" t="n">
        <v>2026</v>
      </c>
      <c r="B22" s="10" t="s">
        <v>127</v>
      </c>
      <c r="C22" s="11" t="s">
        <v>161</v>
      </c>
      <c r="D22" s="10" t="s">
        <v>155</v>
      </c>
      <c r="E22" s="10" t="s">
        <v>116</v>
      </c>
      <c r="F22" s="11" t="s">
        <v>116</v>
      </c>
      <c r="G22" s="12" t="n">
        <v>46113</v>
      </c>
      <c r="H22" s="12" t="n">
        <v>46387</v>
      </c>
      <c r="I22" s="12"/>
      <c r="J22" s="13" t="n">
        <v>0.5</v>
      </c>
      <c r="K22" s="10" t="s">
        <v>159</v>
      </c>
      <c r="L22" s="11" t="s">
        <v>162</v>
      </c>
      <c r="M22" s="14" t="n">
        <f aca="false">IF(OR(G22="",H22=""),"",IF(H22&lt;=G22,1,MIN(1,MAX(0,(Parámetros!$B$4-G22)/(H22-G22)))))</f>
        <v>0.616788321167883</v>
      </c>
      <c r="N22" s="14" t="n">
        <f aca="false">IF(M22="","",J22-M22)</f>
        <v>-0.116788321167883</v>
      </c>
      <c r="O22" s="15" t="str">
        <f aca="false">IF(J22&gt;=1,"Completado",IF(H22="","Sin fecha plan",IF(H22&lt;Parámetros!$B$4,"Atrasado",IF(J22&lt;=0,"No iniciado","En proceso"))))</f>
        <v>En proceso</v>
      </c>
      <c r="P22" s="15" t="n">
        <f aca="false">IF(AND(J22&lt;1,H22&lt;&gt;"",H22&lt;Parámetros!$B$4),Parámetros!$B$4-H22,0)</f>
        <v>0</v>
      </c>
      <c r="Q22" s="15" t="str">
        <f aca="false">IF(OR(D22="Proyecto",D22="Riesgos",D22="Obs. Auditoría"),"Sí","No")</f>
        <v>Sí</v>
      </c>
      <c r="R22" s="15" t="str">
        <f aca="false">IF(I22="","",IF(I22&lt;=H22,1,0))</f>
        <v/>
      </c>
    </row>
    <row r="23" customFormat="false" ht="37.3" hidden="false" customHeight="false" outlineLevel="0" collapsed="false">
      <c r="A23" s="10" t="n">
        <v>2026</v>
      </c>
      <c r="B23" s="10" t="s">
        <v>127</v>
      </c>
      <c r="C23" s="11" t="s">
        <v>163</v>
      </c>
      <c r="D23" s="10" t="s">
        <v>155</v>
      </c>
      <c r="E23" s="10" t="s">
        <v>116</v>
      </c>
      <c r="F23" s="11" t="s">
        <v>116</v>
      </c>
      <c r="G23" s="12" t="n">
        <v>46113</v>
      </c>
      <c r="H23" s="12" t="n">
        <v>46387</v>
      </c>
      <c r="I23" s="12"/>
      <c r="J23" s="13" t="n">
        <v>0.5</v>
      </c>
      <c r="K23" s="10" t="s">
        <v>117</v>
      </c>
      <c r="L23" s="11" t="s">
        <v>164</v>
      </c>
      <c r="M23" s="14" t="n">
        <f aca="false">IF(OR(G23="",H23=""),"",IF(H23&lt;=G23,1,MIN(1,MAX(0,(Parámetros!$B$4-G23)/(H23-G23)))))</f>
        <v>0.616788321167883</v>
      </c>
      <c r="N23" s="14" t="n">
        <f aca="false">IF(M23="","",J23-M23)</f>
        <v>-0.116788321167883</v>
      </c>
      <c r="O23" s="15" t="str">
        <f aca="false">IF(J23&gt;=1,"Completado",IF(H23="","Sin fecha plan",IF(H23&lt;Parámetros!$B$4,"Atrasado",IF(J23&lt;=0,"No iniciado","En proceso"))))</f>
        <v>En proceso</v>
      </c>
      <c r="P23" s="15" t="n">
        <f aca="false">IF(AND(J23&lt;1,H23&lt;&gt;"",H23&lt;Parámetros!$B$4),Parámetros!$B$4-H23,0)</f>
        <v>0</v>
      </c>
      <c r="Q23" s="15" t="str">
        <f aca="false">IF(OR(D23="Proyecto",D23="Riesgos",D23="Obs. Auditoría"),"Sí","No")</f>
        <v>Sí</v>
      </c>
      <c r="R23" s="15" t="str">
        <f aca="false">IF(I23="","",IF(I23&lt;=H23,1,0))</f>
        <v/>
      </c>
    </row>
    <row r="24" customFormat="false" ht="46.25" hidden="false" customHeight="false" outlineLevel="0" collapsed="false">
      <c r="A24" s="10" t="n">
        <v>2026</v>
      </c>
      <c r="B24" s="10" t="s">
        <v>127</v>
      </c>
      <c r="C24" s="11" t="s">
        <v>165</v>
      </c>
      <c r="D24" s="10" t="s">
        <v>155</v>
      </c>
      <c r="E24" s="10" t="s">
        <v>116</v>
      </c>
      <c r="F24" s="11" t="s">
        <v>156</v>
      </c>
      <c r="G24" s="12" t="n">
        <v>46113</v>
      </c>
      <c r="H24" s="12" t="n">
        <v>46295</v>
      </c>
      <c r="I24" s="12"/>
      <c r="J24" s="13" t="n">
        <v>0.95</v>
      </c>
      <c r="K24" s="10" t="s">
        <v>159</v>
      </c>
      <c r="L24" s="11" t="s">
        <v>166</v>
      </c>
      <c r="M24" s="14" t="n">
        <f aca="false">IF(OR(G24="",H24=""),"",IF(H24&lt;=G24,1,MIN(1,MAX(0,(Parámetros!$B$4-G24)/(H24-G24)))))</f>
        <v>0.928571428571429</v>
      </c>
      <c r="N24" s="14" t="n">
        <f aca="false">IF(M24="","",J24-M24)</f>
        <v>0.0214285714285714</v>
      </c>
      <c r="O24" s="15" t="str">
        <f aca="false">IF(J24&gt;=1,"Completado",IF(H24="","Sin fecha plan",IF(H24&lt;Parámetros!$B$4,"Atrasado",IF(J24&lt;=0,"No iniciado","En proceso"))))</f>
        <v>En proceso</v>
      </c>
      <c r="P24" s="15" t="n">
        <f aca="false">IF(AND(J24&lt;1,H24&lt;&gt;"",H24&lt;Parámetros!$B$4),Parámetros!$B$4-H24,0)</f>
        <v>0</v>
      </c>
      <c r="Q24" s="15" t="str">
        <f aca="false">IF(OR(D24="Proyecto",D24="Riesgos",D24="Obs. Auditoría"),"Sí","No")</f>
        <v>Sí</v>
      </c>
      <c r="R24" s="15" t="str">
        <f aca="false">IF(I24="","",IF(I24&lt;=H24,1,0))</f>
        <v/>
      </c>
    </row>
    <row r="25" customFormat="false" ht="46.25" hidden="false" customHeight="false" outlineLevel="0" collapsed="false">
      <c r="A25" s="10" t="n">
        <v>2026</v>
      </c>
      <c r="B25" s="10" t="s">
        <v>127</v>
      </c>
      <c r="C25" s="11" t="s">
        <v>167</v>
      </c>
      <c r="D25" s="10" t="s">
        <v>137</v>
      </c>
      <c r="E25" s="10" t="s">
        <v>116</v>
      </c>
      <c r="F25" s="11" t="s">
        <v>116</v>
      </c>
      <c r="G25" s="12" t="n">
        <v>46209</v>
      </c>
      <c r="H25" s="12" t="n">
        <v>46233</v>
      </c>
      <c r="I25" s="12" t="n">
        <v>46233</v>
      </c>
      <c r="J25" s="13" t="n">
        <v>1</v>
      </c>
      <c r="K25" s="10" t="s">
        <v>117</v>
      </c>
      <c r="L25" s="11" t="s">
        <v>168</v>
      </c>
      <c r="M25" s="14" t="n">
        <f aca="false">IF(OR(G25="",H25=""),"",IF(H25&lt;=G25,1,MIN(1,MAX(0,(Parámetros!$B$4-G25)/(H25-G25)))))</f>
        <v>1</v>
      </c>
      <c r="N25" s="14" t="n">
        <f aca="false">IF(M25="","",J25-M25)</f>
        <v>0</v>
      </c>
      <c r="O25" s="15" t="str">
        <f aca="false">IF(J25&gt;=1,"Completado",IF(H25="","Sin fecha plan",IF(H25&lt;Parámetros!$B$4,"Atrasado",IF(J25&lt;=0,"No iniciado","En proceso"))))</f>
        <v>Completado</v>
      </c>
      <c r="P25" s="15" t="n">
        <f aca="false">IF(AND(J25&lt;1,H25&lt;&gt;"",H25&lt;Parámetros!$B$4),Parámetros!$B$4-H25,0)</f>
        <v>0</v>
      </c>
      <c r="Q25" s="15" t="str">
        <f aca="false">IF(OR(D25="Proyecto",D25="Riesgos",D25="Obs. Auditoría"),"Sí","No")</f>
        <v>No</v>
      </c>
      <c r="R25" s="15" t="n">
        <f aca="false">IF(I25="","",IF(I25&lt;=H25,1,0))</f>
        <v>1</v>
      </c>
    </row>
    <row r="26" customFormat="false" ht="19.4" hidden="false" customHeight="false" outlineLevel="0" collapsed="false">
      <c r="A26" s="10" t="n">
        <v>2026</v>
      </c>
      <c r="B26" s="10" t="s">
        <v>127</v>
      </c>
      <c r="C26" s="11" t="s">
        <v>169</v>
      </c>
      <c r="D26" s="10" t="s">
        <v>137</v>
      </c>
      <c r="E26" s="10" t="s">
        <v>124</v>
      </c>
      <c r="F26" s="11" t="s">
        <v>152</v>
      </c>
      <c r="G26" s="12" t="n">
        <v>46143</v>
      </c>
      <c r="H26" s="12" t="n">
        <v>46173</v>
      </c>
      <c r="I26" s="12" t="n">
        <v>46173</v>
      </c>
      <c r="J26" s="13" t="n">
        <v>1</v>
      </c>
      <c r="K26" s="10" t="s">
        <v>117</v>
      </c>
      <c r="L26" s="11" t="s">
        <v>170</v>
      </c>
      <c r="M26" s="14" t="n">
        <f aca="false">IF(OR(G26="",H26=""),"",IF(H26&lt;=G26,1,MIN(1,MAX(0,(Parámetros!$B$4-G26)/(H26-G26)))))</f>
        <v>1</v>
      </c>
      <c r="N26" s="14" t="n">
        <f aca="false">IF(M26="","",J26-M26)</f>
        <v>0</v>
      </c>
      <c r="O26" s="15" t="str">
        <f aca="false">IF(J26&gt;=1,"Completado",IF(H26="","Sin fecha plan",IF(H26&lt;Parámetros!$B$4,"Atrasado",IF(J26&lt;=0,"No iniciado","En proceso"))))</f>
        <v>Completado</v>
      </c>
      <c r="P26" s="15" t="n">
        <f aca="false">IF(AND(J26&lt;1,H26&lt;&gt;"",H26&lt;Parámetros!$B$4),Parámetros!$B$4-H26,0)</f>
        <v>0</v>
      </c>
      <c r="Q26" s="15" t="str">
        <f aca="false">IF(OR(D26="Proyecto",D26="Riesgos",D26="Obs. Auditoría"),"Sí","No")</f>
        <v>No</v>
      </c>
      <c r="R26" s="15" t="n">
        <f aca="false">IF(I26="","",IF(I26&lt;=H26,1,0))</f>
        <v>1</v>
      </c>
    </row>
    <row r="27" customFormat="false" ht="37.3" hidden="false" customHeight="false" outlineLevel="0" collapsed="false">
      <c r="A27" s="10" t="n">
        <v>2026</v>
      </c>
      <c r="B27" s="10" t="s">
        <v>127</v>
      </c>
      <c r="C27" s="11" t="s">
        <v>171</v>
      </c>
      <c r="D27" s="10" t="s">
        <v>172</v>
      </c>
      <c r="E27" s="10" t="s">
        <v>124</v>
      </c>
      <c r="F27" s="11" t="s">
        <v>152</v>
      </c>
      <c r="G27" s="12" t="n">
        <v>46113</v>
      </c>
      <c r="H27" s="12"/>
      <c r="I27" s="12"/>
      <c r="J27" s="13" t="n">
        <v>1</v>
      </c>
      <c r="K27" s="10" t="s">
        <v>117</v>
      </c>
      <c r="L27" s="11" t="s">
        <v>173</v>
      </c>
      <c r="M27" s="14" t="str">
        <f aca="false">IF(OR(G27="",H27=""),"",IF(H27&lt;=G27,1,MIN(1,MAX(0,(Parámetros!$B$4-G27)/(H27-G27)))))</f>
        <v/>
      </c>
      <c r="N27" s="14" t="str">
        <f aca="false">IF(M27="","",J27-M27)</f>
        <v/>
      </c>
      <c r="O27" s="15" t="str">
        <f aca="false">IF(J27&gt;=1,"Completado",IF(H27="","Sin fecha plan",IF(H27&lt;Parámetros!$B$4,"Atrasado",IF(J27&lt;=0,"No iniciado","En proceso"))))</f>
        <v>Completado</v>
      </c>
      <c r="P27" s="15" t="n">
        <f aca="false">IF(AND(J27&lt;1,H27&lt;&gt;"",H27&lt;Parámetros!$B$4),Parámetros!$B$4-H27,0)</f>
        <v>0</v>
      </c>
      <c r="Q27" s="15" t="str">
        <f aca="false">IF(OR(D27="Proyecto",D27="Riesgos",D27="Obs. Auditoría"),"Sí","No")</f>
        <v>No</v>
      </c>
      <c r="R27" s="15" t="str">
        <f aca="false">IF(I27="","",IF(I27&lt;=H27,1,0))</f>
        <v/>
      </c>
    </row>
    <row r="28" customFormat="false" ht="55.2" hidden="false" customHeight="false" outlineLevel="0" collapsed="false">
      <c r="A28" s="10" t="n">
        <v>2026</v>
      </c>
      <c r="B28" s="10" t="s">
        <v>127</v>
      </c>
      <c r="C28" s="11" t="s">
        <v>174</v>
      </c>
      <c r="D28" s="10" t="s">
        <v>155</v>
      </c>
      <c r="E28" s="10" t="s">
        <v>116</v>
      </c>
      <c r="F28" s="11" t="s">
        <v>116</v>
      </c>
      <c r="G28" s="12" t="n">
        <v>46204</v>
      </c>
      <c r="H28" s="12" t="n">
        <v>46218</v>
      </c>
      <c r="I28" s="12"/>
      <c r="J28" s="13" t="n">
        <v>0.5</v>
      </c>
      <c r="K28" s="10" t="s">
        <v>117</v>
      </c>
      <c r="L28" s="11" t="s">
        <v>175</v>
      </c>
      <c r="M28" s="14" t="n">
        <f aca="false">IF(OR(G28="",H28=""),"",IF(H28&lt;=G28,1,MIN(1,MAX(0,(Parámetros!$B$4-G28)/(H28-G28)))))</f>
        <v>1</v>
      </c>
      <c r="N28" s="14" t="n">
        <f aca="false">IF(M28="","",J28-M28)</f>
        <v>-0.5</v>
      </c>
      <c r="O28" s="15" t="str">
        <f aca="false">IF(J28&gt;=1,"Completado",IF(H28="","Sin fecha plan",IF(H28&lt;Parámetros!$B$4,"Atrasado",IF(J28&lt;=0,"No iniciado","En proceso"))))</f>
        <v>Atrasado</v>
      </c>
      <c r="P28" s="15" t="n">
        <f aca="false">IF(AND(J28&lt;1,H28&lt;&gt;"",H28&lt;Parámetros!$B$4),Parámetros!$B$4-H28,0)</f>
        <v>64</v>
      </c>
      <c r="Q28" s="15" t="str">
        <f aca="false">IF(OR(D28="Proyecto",D28="Riesgos",D28="Obs. Auditoría"),"Sí","No")</f>
        <v>Sí</v>
      </c>
      <c r="R28" s="15" t="str">
        <f aca="false">IF(I28="","",IF(I28&lt;=H28,1,0))</f>
        <v/>
      </c>
    </row>
    <row r="29" customFormat="false" ht="28.35" hidden="false" customHeight="false" outlineLevel="0" collapsed="false">
      <c r="A29" s="10" t="n">
        <v>2026</v>
      </c>
      <c r="B29" s="10" t="s">
        <v>127</v>
      </c>
      <c r="C29" s="11" t="s">
        <v>176</v>
      </c>
      <c r="D29" s="10" t="s">
        <v>115</v>
      </c>
      <c r="E29" s="10" t="s">
        <v>116</v>
      </c>
      <c r="F29" s="11" t="s">
        <v>177</v>
      </c>
      <c r="G29" s="12" t="n">
        <v>46266</v>
      </c>
      <c r="H29" s="12" t="n">
        <v>46356</v>
      </c>
      <c r="I29" s="12"/>
      <c r="J29" s="13" t="n">
        <v>0.5</v>
      </c>
      <c r="K29" s="10" t="s">
        <v>117</v>
      </c>
      <c r="L29" s="11" t="s">
        <v>178</v>
      </c>
      <c r="M29" s="14" t="n">
        <f aca="false">IF(OR(G29="",H29=""),"",IF(H29&lt;=G29,1,MIN(1,MAX(0,(Parámetros!$B$4-G29)/(H29-G29)))))</f>
        <v>0.177777777777778</v>
      </c>
      <c r="N29" s="14" t="n">
        <f aca="false">IF(M29="","",J29-M29)</f>
        <v>0.322222222222222</v>
      </c>
      <c r="O29" s="15" t="str">
        <f aca="false">IF(J29&gt;=1,"Completado",IF(H29="","Sin fecha plan",IF(H29&lt;Parámetros!$B$4,"Atrasado",IF(J29&lt;=0,"No iniciado","En proceso"))))</f>
        <v>En proceso</v>
      </c>
      <c r="P29" s="15" t="n">
        <f aca="false">IF(AND(J29&lt;1,H29&lt;&gt;"",H29&lt;Parámetros!$B$4),Parámetros!$B$4-H29,0)</f>
        <v>0</v>
      </c>
      <c r="Q29" s="15" t="str">
        <f aca="false">IF(OR(D29="Proyecto",D29="Riesgos",D29="Obs. Auditoría"),"Sí","No")</f>
        <v>No</v>
      </c>
      <c r="R29" s="15" t="str">
        <f aca="false">IF(I29="","",IF(I29&lt;=H29,1,0))</f>
        <v/>
      </c>
    </row>
    <row r="30" customFormat="false" ht="46.25" hidden="false" customHeight="false" outlineLevel="0" collapsed="false">
      <c r="A30" s="10" t="n">
        <v>2026</v>
      </c>
      <c r="B30" s="10" t="s">
        <v>127</v>
      </c>
      <c r="C30" s="11" t="s">
        <v>179</v>
      </c>
      <c r="D30" s="10" t="s">
        <v>155</v>
      </c>
      <c r="E30" s="10" t="s">
        <v>116</v>
      </c>
      <c r="F30" s="11" t="s">
        <v>116</v>
      </c>
      <c r="G30" s="12" t="n">
        <v>46202</v>
      </c>
      <c r="H30" s="12" t="n">
        <v>46280</v>
      </c>
      <c r="I30" s="12"/>
      <c r="J30" s="13" t="n">
        <v>0.7</v>
      </c>
      <c r="K30" s="10" t="s">
        <v>117</v>
      </c>
      <c r="L30" s="11" t="s">
        <v>180</v>
      </c>
      <c r="M30" s="14" t="n">
        <f aca="false">IF(OR(G30="",H30=""),"",IF(H30&lt;=G30,1,MIN(1,MAX(0,(Parámetros!$B$4-G30)/(H30-G30)))))</f>
        <v>1</v>
      </c>
      <c r="N30" s="14" t="n">
        <f aca="false">IF(M30="","",J30-M30)</f>
        <v>-0.3</v>
      </c>
      <c r="O30" s="15" t="str">
        <f aca="false">IF(J30&gt;=1,"Completado",IF(H30="","Sin fecha plan",IF(H30&lt;Parámetros!$B$4,"Atrasado",IF(J30&lt;=0,"No iniciado","En proceso"))))</f>
        <v>Atrasado</v>
      </c>
      <c r="P30" s="15" t="n">
        <f aca="false">IF(AND(J30&lt;1,H30&lt;&gt;"",H30&lt;Parámetros!$B$4),Parámetros!$B$4-H30,0)</f>
        <v>2</v>
      </c>
      <c r="Q30" s="15" t="str">
        <f aca="false">IF(OR(D30="Proyecto",D30="Riesgos",D30="Obs. Auditoría"),"Sí","No")</f>
        <v>Sí</v>
      </c>
      <c r="R30" s="15" t="str">
        <f aca="false">IF(I30="","",IF(I30&lt;=H30,1,0))</f>
        <v/>
      </c>
    </row>
    <row r="31" customFormat="false" ht="28.35" hidden="false" customHeight="false" outlineLevel="0" collapsed="false">
      <c r="A31" s="10" t="n">
        <v>2026</v>
      </c>
      <c r="B31" s="10" t="s">
        <v>127</v>
      </c>
      <c r="C31" s="11" t="s">
        <v>181</v>
      </c>
      <c r="D31" s="10" t="s">
        <v>155</v>
      </c>
      <c r="E31" s="10" t="s">
        <v>116</v>
      </c>
      <c r="F31" s="11" t="s">
        <v>116</v>
      </c>
      <c r="G31" s="12" t="n">
        <v>46107</v>
      </c>
      <c r="H31" s="12" t="n">
        <v>46148</v>
      </c>
      <c r="I31" s="12" t="n">
        <v>46148</v>
      </c>
      <c r="J31" s="13" t="n">
        <v>1</v>
      </c>
      <c r="K31" s="10" t="s">
        <v>117</v>
      </c>
      <c r="L31" s="11" t="s">
        <v>182</v>
      </c>
      <c r="M31" s="14" t="n">
        <f aca="false">IF(OR(G31="",H31=""),"",IF(H31&lt;=G31,1,MIN(1,MAX(0,(Parámetros!$B$4-G31)/(H31-G31)))))</f>
        <v>1</v>
      </c>
      <c r="N31" s="14" t="n">
        <f aca="false">IF(M31="","",J31-M31)</f>
        <v>0</v>
      </c>
      <c r="O31" s="15" t="str">
        <f aca="false">IF(J31&gt;=1,"Completado",IF(H31="","Sin fecha plan",IF(H31&lt;Parámetros!$B$4,"Atrasado",IF(J31&lt;=0,"No iniciado","En proceso"))))</f>
        <v>Completado</v>
      </c>
      <c r="P31" s="15" t="n">
        <f aca="false">IF(AND(J31&lt;1,H31&lt;&gt;"",H31&lt;Parámetros!$B$4),Parámetros!$B$4-H31,0)</f>
        <v>0</v>
      </c>
      <c r="Q31" s="15" t="str">
        <f aca="false">IF(OR(D31="Proyecto",D31="Riesgos",D31="Obs. Auditoría"),"Sí","No")</f>
        <v>Sí</v>
      </c>
      <c r="R31" s="15" t="n">
        <f aca="false">IF(I31="","",IF(I31&lt;=H31,1,0))</f>
        <v>1</v>
      </c>
    </row>
    <row r="32" customFormat="false" ht="28.35" hidden="false" customHeight="false" outlineLevel="0" collapsed="false">
      <c r="A32" s="10" t="n">
        <v>2026</v>
      </c>
      <c r="B32" s="10" t="s">
        <v>127</v>
      </c>
      <c r="C32" s="11" t="s">
        <v>183</v>
      </c>
      <c r="D32" s="10" t="s">
        <v>172</v>
      </c>
      <c r="E32" s="10" t="s">
        <v>124</v>
      </c>
      <c r="F32" s="11" t="s">
        <v>184</v>
      </c>
      <c r="G32" s="12" t="n">
        <v>46082</v>
      </c>
      <c r="H32" s="12" t="n">
        <v>46265</v>
      </c>
      <c r="I32" s="12"/>
      <c r="J32" s="13" t="n">
        <v>0.5</v>
      </c>
      <c r="K32" s="10" t="s">
        <v>117</v>
      </c>
      <c r="L32" s="11" t="s">
        <v>185</v>
      </c>
      <c r="M32" s="14" t="n">
        <f aca="false">IF(OR(G32="",H32=""),"",IF(H32&lt;=G32,1,MIN(1,MAX(0,(Parámetros!$B$4-G32)/(H32-G32)))))</f>
        <v>1</v>
      </c>
      <c r="N32" s="14" t="n">
        <f aca="false">IF(M32="","",J32-M32)</f>
        <v>-0.5</v>
      </c>
      <c r="O32" s="15" t="str">
        <f aca="false">IF(J32&gt;=1,"Completado",IF(H32="","Sin fecha plan",IF(H32&lt;Parámetros!$B$4,"Atrasado",IF(J32&lt;=0,"No iniciado","En proceso"))))</f>
        <v>Atrasado</v>
      </c>
      <c r="P32" s="15" t="n">
        <f aca="false">IF(AND(J32&lt;1,H32&lt;&gt;"",H32&lt;Parámetros!$B$4),Parámetros!$B$4-H32,0)</f>
        <v>17</v>
      </c>
      <c r="Q32" s="15" t="str">
        <f aca="false">IF(OR(D32="Proyecto",D32="Riesgos",D32="Obs. Auditoría"),"Sí","No")</f>
        <v>No</v>
      </c>
      <c r="R32" s="15" t="str">
        <f aca="false">IF(I32="","",IF(I32&lt;=H32,1,0))</f>
        <v/>
      </c>
    </row>
    <row r="33" customFormat="false" ht="28.35" hidden="false" customHeight="false" outlineLevel="0" collapsed="false">
      <c r="A33" s="10" t="n">
        <v>2026</v>
      </c>
      <c r="B33" s="10" t="s">
        <v>127</v>
      </c>
      <c r="C33" s="11" t="s">
        <v>186</v>
      </c>
      <c r="D33" s="10" t="s">
        <v>172</v>
      </c>
      <c r="E33" s="10" t="s">
        <v>124</v>
      </c>
      <c r="F33" s="11" t="s">
        <v>184</v>
      </c>
      <c r="G33" s="12" t="n">
        <v>46082</v>
      </c>
      <c r="H33" s="12" t="n">
        <v>46265</v>
      </c>
      <c r="I33" s="12"/>
      <c r="J33" s="13" t="n">
        <v>0.5</v>
      </c>
      <c r="K33" s="10" t="s">
        <v>117</v>
      </c>
      <c r="L33" s="11" t="s">
        <v>187</v>
      </c>
      <c r="M33" s="14" t="n">
        <f aca="false">IF(OR(G33="",H33=""),"",IF(H33&lt;=G33,1,MIN(1,MAX(0,(Parámetros!$B$4-G33)/(H33-G33)))))</f>
        <v>1</v>
      </c>
      <c r="N33" s="14" t="n">
        <f aca="false">IF(M33="","",J33-M33)</f>
        <v>-0.5</v>
      </c>
      <c r="O33" s="15" t="str">
        <f aca="false">IF(J33&gt;=1,"Completado",IF(H33="","Sin fecha plan",IF(H33&lt;Parámetros!$B$4,"Atrasado",IF(J33&lt;=0,"No iniciado","En proceso"))))</f>
        <v>Atrasado</v>
      </c>
      <c r="P33" s="15" t="n">
        <f aca="false">IF(AND(J33&lt;1,H33&lt;&gt;"",H33&lt;Parámetros!$B$4),Parámetros!$B$4-H33,0)</f>
        <v>17</v>
      </c>
      <c r="Q33" s="15" t="str">
        <f aca="false">IF(OR(D33="Proyecto",D33="Riesgos",D33="Obs. Auditoría"),"Sí","No")</f>
        <v>No</v>
      </c>
      <c r="R33" s="15" t="str">
        <f aca="false">IF(I33="","",IF(I33&lt;=H33,1,0))</f>
        <v/>
      </c>
    </row>
    <row r="34" customFormat="false" ht="37.3" hidden="false" customHeight="false" outlineLevel="0" collapsed="false">
      <c r="A34" s="10" t="n">
        <v>2026</v>
      </c>
      <c r="B34" s="10" t="s">
        <v>127</v>
      </c>
      <c r="C34" s="11" t="s">
        <v>188</v>
      </c>
      <c r="D34" s="10" t="s">
        <v>172</v>
      </c>
      <c r="E34" s="10" t="s">
        <v>124</v>
      </c>
      <c r="F34" s="11" t="s">
        <v>184</v>
      </c>
      <c r="G34" s="12" t="n">
        <v>46082</v>
      </c>
      <c r="H34" s="12" t="n">
        <v>46272</v>
      </c>
      <c r="I34" s="12" t="n">
        <v>46272</v>
      </c>
      <c r="J34" s="13" t="n">
        <v>1</v>
      </c>
      <c r="K34" s="10" t="s">
        <v>117</v>
      </c>
      <c r="L34" s="11" t="s">
        <v>189</v>
      </c>
      <c r="M34" s="14" t="n">
        <f aca="false">IF(OR(G34="",H34=""),"",IF(H34&lt;=G34,1,MIN(1,MAX(0,(Parámetros!$B$4-G34)/(H34-G34)))))</f>
        <v>1</v>
      </c>
      <c r="N34" s="14" t="n">
        <f aca="false">IF(M34="","",J34-M34)</f>
        <v>0</v>
      </c>
      <c r="O34" s="15" t="str">
        <f aca="false">IF(J34&gt;=1,"Completado",IF(H34="","Sin fecha plan",IF(H34&lt;Parámetros!$B$4,"Atrasado",IF(J34&lt;=0,"No iniciado","En proceso"))))</f>
        <v>Completado</v>
      </c>
      <c r="P34" s="15" t="n">
        <f aca="false">IF(AND(J34&lt;1,H34&lt;&gt;"",H34&lt;Parámetros!$B$4),Parámetros!$B$4-H34,0)</f>
        <v>0</v>
      </c>
      <c r="Q34" s="15" t="str">
        <f aca="false">IF(OR(D34="Proyecto",D34="Riesgos",D34="Obs. Auditoría"),"Sí","No")</f>
        <v>No</v>
      </c>
      <c r="R34" s="15" t="n">
        <f aca="false">IF(I34="","",IF(I34&lt;=H34,1,0))</f>
        <v>1</v>
      </c>
    </row>
    <row r="35" customFormat="false" ht="19.4" hidden="false" customHeight="false" outlineLevel="0" collapsed="false">
      <c r="A35" s="10" t="n">
        <v>2026</v>
      </c>
      <c r="B35" s="10" t="s">
        <v>190</v>
      </c>
      <c r="C35" s="11" t="s">
        <v>191</v>
      </c>
      <c r="D35" s="10" t="s">
        <v>172</v>
      </c>
      <c r="E35" s="10" t="s">
        <v>124</v>
      </c>
      <c r="F35" s="11" t="s">
        <v>184</v>
      </c>
      <c r="G35" s="12" t="n">
        <v>46235</v>
      </c>
      <c r="H35" s="12" t="n">
        <v>46265</v>
      </c>
      <c r="I35" s="12" t="n">
        <v>46265</v>
      </c>
      <c r="J35" s="13" t="n">
        <v>1</v>
      </c>
      <c r="K35" s="10" t="s">
        <v>132</v>
      </c>
      <c r="L35" s="11"/>
      <c r="M35" s="14" t="n">
        <f aca="false">IF(OR(G35="",H35=""),"",IF(H35&lt;=G35,1,MIN(1,MAX(0,(Parámetros!$B$4-G35)/(H35-G35)))))</f>
        <v>1</v>
      </c>
      <c r="N35" s="14" t="n">
        <f aca="false">IF(M35="","",J35-M35)</f>
        <v>0</v>
      </c>
      <c r="O35" s="15" t="str">
        <f aca="false">IF(J35&gt;=1,"Completado",IF(H35="","Sin fecha plan",IF(H35&lt;Parámetros!$B$4,"Atrasado",IF(J35&lt;=0,"No iniciado","En proceso"))))</f>
        <v>Completado</v>
      </c>
      <c r="P35" s="15" t="n">
        <f aca="false">IF(AND(J35&lt;1,H35&lt;&gt;"",H35&lt;Parámetros!$B$4),Parámetros!$B$4-H35,0)</f>
        <v>0</v>
      </c>
      <c r="Q35" s="15" t="str">
        <f aca="false">IF(OR(D35="Proyecto",D35="Riesgos",D35="Obs. Auditoría"),"Sí","No")</f>
        <v>No</v>
      </c>
      <c r="R35" s="15" t="n">
        <f aca="false">IF(I35="","",IF(I35&lt;=H35,1,0))</f>
        <v>1</v>
      </c>
    </row>
    <row r="36" customFormat="false" ht="19.4" hidden="false" customHeight="false" outlineLevel="0" collapsed="false">
      <c r="A36" s="10" t="n">
        <v>2026</v>
      </c>
      <c r="B36" s="10" t="s">
        <v>127</v>
      </c>
      <c r="C36" s="11" t="s">
        <v>192</v>
      </c>
      <c r="D36" s="10" t="s">
        <v>172</v>
      </c>
      <c r="E36" s="10" t="s">
        <v>124</v>
      </c>
      <c r="F36" s="11" t="s">
        <v>124</v>
      </c>
      <c r="G36" s="12" t="n">
        <v>46082</v>
      </c>
      <c r="H36" s="12" t="n">
        <v>46325</v>
      </c>
      <c r="I36" s="12"/>
      <c r="J36" s="13" t="n">
        <v>0.1</v>
      </c>
      <c r="K36" s="10" t="s">
        <v>117</v>
      </c>
      <c r="L36" s="11" t="s">
        <v>193</v>
      </c>
      <c r="M36" s="14" t="n">
        <f aca="false">IF(OR(G36="",H36=""),"",IF(H36&lt;=G36,1,MIN(1,MAX(0,(Parámetros!$B$4-G36)/(H36-G36)))))</f>
        <v>0.823045267489712</v>
      </c>
      <c r="N36" s="14" t="n">
        <f aca="false">IF(M36="","",J36-M36)</f>
        <v>-0.723045267489712</v>
      </c>
      <c r="O36" s="15" t="str">
        <f aca="false">IF(J36&gt;=1,"Completado",IF(H36="","Sin fecha plan",IF(H36&lt;Parámetros!$B$4,"Atrasado",IF(J36&lt;=0,"No iniciado","En proceso"))))</f>
        <v>En proceso</v>
      </c>
      <c r="P36" s="15" t="n">
        <f aca="false">IF(AND(J36&lt;1,H36&lt;&gt;"",H36&lt;Parámetros!$B$4),Parámetros!$B$4-H36,0)</f>
        <v>0</v>
      </c>
      <c r="Q36" s="15" t="str">
        <f aca="false">IF(OR(D36="Proyecto",D36="Riesgos",D36="Obs. Auditoría"),"Sí","No")</f>
        <v>No</v>
      </c>
      <c r="R36" s="15" t="str">
        <f aca="false">IF(I36="","",IF(I36&lt;=H36,1,0))</f>
        <v/>
      </c>
    </row>
    <row r="37" customFormat="false" ht="19.4" hidden="false" customHeight="false" outlineLevel="0" collapsed="false">
      <c r="A37" s="10" t="n">
        <v>2026</v>
      </c>
      <c r="B37" s="10" t="s">
        <v>127</v>
      </c>
      <c r="C37" s="11" t="s">
        <v>194</v>
      </c>
      <c r="D37" s="10" t="s">
        <v>172</v>
      </c>
      <c r="E37" s="10" t="s">
        <v>124</v>
      </c>
      <c r="F37" s="11" t="s">
        <v>184</v>
      </c>
      <c r="G37" s="12" t="n">
        <v>46082</v>
      </c>
      <c r="H37" s="12" t="n">
        <v>46295</v>
      </c>
      <c r="I37" s="12"/>
      <c r="J37" s="13" t="n">
        <v>0.1</v>
      </c>
      <c r="K37" s="10" t="s">
        <v>117</v>
      </c>
      <c r="L37" s="11" t="s">
        <v>193</v>
      </c>
      <c r="M37" s="14" t="n">
        <f aca="false">IF(OR(G37="",H37=""),"",IF(H37&lt;=G37,1,MIN(1,MAX(0,(Parámetros!$B$4-G37)/(H37-G37)))))</f>
        <v>0.938967136150235</v>
      </c>
      <c r="N37" s="14" t="n">
        <f aca="false">IF(M37="","",J37-M37)</f>
        <v>-0.838967136150235</v>
      </c>
      <c r="O37" s="15" t="str">
        <f aca="false">IF(J37&gt;=1,"Completado",IF(H37="","Sin fecha plan",IF(H37&lt;Parámetros!$B$4,"Atrasado",IF(J37&lt;=0,"No iniciado","En proceso"))))</f>
        <v>En proceso</v>
      </c>
      <c r="P37" s="15" t="n">
        <f aca="false">IF(AND(J37&lt;1,H37&lt;&gt;"",H37&lt;Parámetros!$B$4),Parámetros!$B$4-H37,0)</f>
        <v>0</v>
      </c>
      <c r="Q37" s="15" t="str">
        <f aca="false">IF(OR(D37="Proyecto",D37="Riesgos",D37="Obs. Auditoría"),"Sí","No")</f>
        <v>No</v>
      </c>
      <c r="R37" s="15" t="str">
        <f aca="false">IF(I37="","",IF(I37&lt;=H37,1,0))</f>
        <v/>
      </c>
    </row>
    <row r="38" customFormat="false" ht="28.35" hidden="false" customHeight="false" outlineLevel="0" collapsed="false">
      <c r="A38" s="10" t="n">
        <v>2026</v>
      </c>
      <c r="B38" s="10" t="s">
        <v>195</v>
      </c>
      <c r="C38" s="11" t="s">
        <v>196</v>
      </c>
      <c r="D38" s="10" t="s">
        <v>172</v>
      </c>
      <c r="E38" s="10" t="s">
        <v>131</v>
      </c>
      <c r="F38" s="11" t="s">
        <v>131</v>
      </c>
      <c r="G38" s="12" t="n">
        <v>46211</v>
      </c>
      <c r="H38" s="12" t="n">
        <v>46233</v>
      </c>
      <c r="I38" s="12"/>
      <c r="J38" s="13" t="n">
        <v>0.5</v>
      </c>
      <c r="K38" s="10" t="s">
        <v>117</v>
      </c>
      <c r="L38" s="11" t="s">
        <v>197</v>
      </c>
      <c r="M38" s="14" t="n">
        <f aca="false">IF(OR(G38="",H38=""),"",IF(H38&lt;=G38,1,MIN(1,MAX(0,(Parámetros!$B$4-G38)/(H38-G38)))))</f>
        <v>1</v>
      </c>
      <c r="N38" s="14" t="n">
        <f aca="false">IF(M38="","",J38-M38)</f>
        <v>-0.5</v>
      </c>
      <c r="O38" s="15" t="str">
        <f aca="false">IF(J38&gt;=1,"Completado",IF(H38="","Sin fecha plan",IF(H38&lt;Parámetros!$B$4,"Atrasado",IF(J38&lt;=0,"No iniciado","En proceso"))))</f>
        <v>Atrasado</v>
      </c>
      <c r="P38" s="15" t="n">
        <f aca="false">IF(AND(J38&lt;1,H38&lt;&gt;"",H38&lt;Parámetros!$B$4),Parámetros!$B$4-H38,0)</f>
        <v>49</v>
      </c>
      <c r="Q38" s="15" t="str">
        <f aca="false">IF(OR(D38="Proyecto",D38="Riesgos",D38="Obs. Auditoría"),"Sí","No")</f>
        <v>No</v>
      </c>
      <c r="R38" s="15" t="str">
        <f aca="false">IF(I38="","",IF(I38&lt;=H38,1,0))</f>
        <v/>
      </c>
    </row>
    <row r="39" customFormat="false" ht="28.35" hidden="false" customHeight="false" outlineLevel="0" collapsed="false">
      <c r="A39" s="10" t="n">
        <v>2026</v>
      </c>
      <c r="B39" s="10" t="s">
        <v>195</v>
      </c>
      <c r="C39" s="11" t="s">
        <v>198</v>
      </c>
      <c r="D39" s="10" t="s">
        <v>172</v>
      </c>
      <c r="E39" s="10" t="s">
        <v>131</v>
      </c>
      <c r="F39" s="11" t="s">
        <v>131</v>
      </c>
      <c r="G39" s="12" t="n">
        <v>46211</v>
      </c>
      <c r="H39" s="12" t="n">
        <v>46233</v>
      </c>
      <c r="I39" s="12"/>
      <c r="J39" s="13" t="n">
        <v>0.75</v>
      </c>
      <c r="K39" s="10" t="s">
        <v>117</v>
      </c>
      <c r="L39" s="11" t="s">
        <v>199</v>
      </c>
      <c r="M39" s="14" t="n">
        <f aca="false">IF(OR(G39="",H39=""),"",IF(H39&lt;=G39,1,MIN(1,MAX(0,(Parámetros!$B$4-G39)/(H39-G39)))))</f>
        <v>1</v>
      </c>
      <c r="N39" s="14" t="n">
        <f aca="false">IF(M39="","",J39-M39)</f>
        <v>-0.25</v>
      </c>
      <c r="O39" s="15" t="str">
        <f aca="false">IF(J39&gt;=1,"Completado",IF(H39="","Sin fecha plan",IF(H39&lt;Parámetros!$B$4,"Atrasado",IF(J39&lt;=0,"No iniciado","En proceso"))))</f>
        <v>Atrasado</v>
      </c>
      <c r="P39" s="15" t="n">
        <f aca="false">IF(AND(J39&lt;1,H39&lt;&gt;"",H39&lt;Parámetros!$B$4),Parámetros!$B$4-H39,0)</f>
        <v>49</v>
      </c>
      <c r="Q39" s="15" t="str">
        <f aca="false">IF(OR(D39="Proyecto",D39="Riesgos",D39="Obs. Auditoría"),"Sí","No")</f>
        <v>No</v>
      </c>
      <c r="R39" s="15" t="str">
        <f aca="false">IF(I39="","",IF(I39&lt;=H39,1,0))</f>
        <v/>
      </c>
    </row>
    <row r="40" customFormat="false" ht="28.35" hidden="false" customHeight="false" outlineLevel="0" collapsed="false">
      <c r="A40" s="10" t="n">
        <v>2026</v>
      </c>
      <c r="B40" s="10" t="s">
        <v>200</v>
      </c>
      <c r="C40" s="11" t="s">
        <v>201</v>
      </c>
      <c r="D40" s="10" t="s">
        <v>115</v>
      </c>
      <c r="E40" s="10" t="s">
        <v>124</v>
      </c>
      <c r="F40" s="11" t="s">
        <v>184</v>
      </c>
      <c r="G40" s="12" t="n">
        <v>46163</v>
      </c>
      <c r="H40" s="12" t="n">
        <v>46203</v>
      </c>
      <c r="I40" s="12" t="n">
        <v>46203</v>
      </c>
      <c r="J40" s="13" t="n">
        <v>1</v>
      </c>
      <c r="K40" s="10" t="s">
        <v>117</v>
      </c>
      <c r="L40" s="11" t="s">
        <v>202</v>
      </c>
      <c r="M40" s="14" t="n">
        <f aca="false">IF(OR(G40="",H40=""),"",IF(H40&lt;=G40,1,MIN(1,MAX(0,(Parámetros!$B$4-G40)/(H40-G40)))))</f>
        <v>1</v>
      </c>
      <c r="N40" s="14" t="n">
        <f aca="false">IF(M40="","",J40-M40)</f>
        <v>0</v>
      </c>
      <c r="O40" s="15" t="str">
        <f aca="false">IF(J40&gt;=1,"Completado",IF(H40="","Sin fecha plan",IF(H40&lt;Parámetros!$B$4,"Atrasado",IF(J40&lt;=0,"No iniciado","En proceso"))))</f>
        <v>Completado</v>
      </c>
      <c r="P40" s="15" t="n">
        <f aca="false">IF(AND(J40&lt;1,H40&lt;&gt;"",H40&lt;Parámetros!$B$4),Parámetros!$B$4-H40,0)</f>
        <v>0</v>
      </c>
      <c r="Q40" s="15" t="str">
        <f aca="false">IF(OR(D40="Proyecto",D40="Riesgos",D40="Obs. Auditoría"),"Sí","No")</f>
        <v>No</v>
      </c>
      <c r="R40" s="15" t="n">
        <f aca="false">IF(I40="","",IF(I40&lt;=H40,1,0))</f>
        <v>1</v>
      </c>
    </row>
    <row r="41" customFormat="false" ht="46.25" hidden="false" customHeight="false" outlineLevel="0" collapsed="false">
      <c r="A41" s="10" t="n">
        <v>2026</v>
      </c>
      <c r="B41" s="10" t="s">
        <v>200</v>
      </c>
      <c r="C41" s="11" t="s">
        <v>203</v>
      </c>
      <c r="D41" s="10" t="s">
        <v>115</v>
      </c>
      <c r="E41" s="10" t="s">
        <v>116</v>
      </c>
      <c r="F41" s="11" t="s">
        <v>156</v>
      </c>
      <c r="G41" s="12" t="n">
        <v>46204</v>
      </c>
      <c r="H41" s="12" t="n">
        <v>46234</v>
      </c>
      <c r="I41" s="12" t="n">
        <v>46234</v>
      </c>
      <c r="J41" s="13" t="n">
        <v>1</v>
      </c>
      <c r="K41" s="10" t="s">
        <v>117</v>
      </c>
      <c r="L41" s="11" t="s">
        <v>204</v>
      </c>
      <c r="M41" s="14" t="n">
        <f aca="false">IF(OR(G41="",H41=""),"",IF(H41&lt;=G41,1,MIN(1,MAX(0,(Parámetros!$B$4-G41)/(H41-G41)))))</f>
        <v>1</v>
      </c>
      <c r="N41" s="14" t="n">
        <f aca="false">IF(M41="","",J41-M41)</f>
        <v>0</v>
      </c>
      <c r="O41" s="15" t="str">
        <f aca="false">IF(J41&gt;=1,"Completado",IF(H41="","Sin fecha plan",IF(H41&lt;Parámetros!$B$4,"Atrasado",IF(J41&lt;=0,"No iniciado","En proceso"))))</f>
        <v>Completado</v>
      </c>
      <c r="P41" s="15" t="n">
        <f aca="false">IF(AND(J41&lt;1,H41&lt;&gt;"",H41&lt;Parámetros!$B$4),Parámetros!$B$4-H41,0)</f>
        <v>0</v>
      </c>
      <c r="Q41" s="15" t="str">
        <f aca="false">IF(OR(D41="Proyecto",D41="Riesgos",D41="Obs. Auditoría"),"Sí","No")</f>
        <v>No</v>
      </c>
      <c r="R41" s="15" t="n">
        <f aca="false">IF(I41="","",IF(I41&lt;=H41,1,0))</f>
        <v>1</v>
      </c>
    </row>
    <row r="42" customFormat="false" ht="19.4" hidden="false" customHeight="false" outlineLevel="0" collapsed="false">
      <c r="A42" s="10" t="n">
        <v>2026</v>
      </c>
      <c r="B42" s="10" t="s">
        <v>205</v>
      </c>
      <c r="C42" s="11" t="s">
        <v>206</v>
      </c>
      <c r="D42" s="10" t="s">
        <v>115</v>
      </c>
      <c r="E42" s="10" t="s">
        <v>121</v>
      </c>
      <c r="F42" s="11" t="s">
        <v>121</v>
      </c>
      <c r="G42" s="12" t="n">
        <v>46082</v>
      </c>
      <c r="H42" s="12" t="n">
        <v>46080</v>
      </c>
      <c r="I42" s="12" t="n">
        <v>46080</v>
      </c>
      <c r="J42" s="13" t="n">
        <v>1</v>
      </c>
      <c r="K42" s="10" t="s">
        <v>117</v>
      </c>
      <c r="L42" s="11"/>
      <c r="M42" s="14" t="n">
        <f aca="false">IF(OR(G42="",H42=""),"",IF(H42&lt;=G42,1,MIN(1,MAX(0,(Parámetros!$B$4-G42)/(H42-G42)))))</f>
        <v>1</v>
      </c>
      <c r="N42" s="14" t="n">
        <f aca="false">IF(M42="","",J42-M42)</f>
        <v>0</v>
      </c>
      <c r="O42" s="15" t="str">
        <f aca="false">IF(J42&gt;=1,"Completado",IF(H42="","Sin fecha plan",IF(H42&lt;Parámetros!$B$4,"Atrasado",IF(J42&lt;=0,"No iniciado","En proceso"))))</f>
        <v>Completado</v>
      </c>
      <c r="P42" s="15" t="n">
        <f aca="false">IF(AND(J42&lt;1,H42&lt;&gt;"",H42&lt;Parámetros!$B$4),Parámetros!$B$4-H42,0)</f>
        <v>0</v>
      </c>
      <c r="Q42" s="15" t="str">
        <f aca="false">IF(OR(D42="Proyecto",D42="Riesgos",D42="Obs. Auditoría"),"Sí","No")</f>
        <v>No</v>
      </c>
      <c r="R42" s="15" t="n">
        <f aca="false">IF(I42="","",IF(I42&lt;=H42,1,0))</f>
        <v>1</v>
      </c>
    </row>
    <row r="43" customFormat="false" ht="19.4" hidden="false" customHeight="false" outlineLevel="0" collapsed="false">
      <c r="A43" s="10" t="n">
        <v>2026</v>
      </c>
      <c r="B43" s="10" t="s">
        <v>207</v>
      </c>
      <c r="C43" s="11" t="s">
        <v>208</v>
      </c>
      <c r="D43" s="10" t="s">
        <v>155</v>
      </c>
      <c r="E43" s="10" t="s">
        <v>121</v>
      </c>
      <c r="F43" s="11" t="s">
        <v>121</v>
      </c>
      <c r="G43" s="12" t="n">
        <v>46098</v>
      </c>
      <c r="H43" s="12" t="n">
        <v>46249</v>
      </c>
      <c r="I43" s="12"/>
      <c r="J43" s="13" t="n">
        <v>0.75</v>
      </c>
      <c r="K43" s="10" t="s">
        <v>132</v>
      </c>
      <c r="L43" s="11" t="s">
        <v>209</v>
      </c>
      <c r="M43" s="14" t="n">
        <f aca="false">IF(OR(G43="",H43=""),"",IF(H43&lt;=G43,1,MIN(1,MAX(0,(Parámetros!$B$4-G43)/(H43-G43)))))</f>
        <v>1</v>
      </c>
      <c r="N43" s="14" t="n">
        <f aca="false">IF(M43="","",J43-M43)</f>
        <v>-0.25</v>
      </c>
      <c r="O43" s="15" t="str">
        <f aca="false">IF(J43&gt;=1,"Completado",IF(H43="","Sin fecha plan",IF(H43&lt;Parámetros!$B$4,"Atrasado",IF(J43&lt;=0,"No iniciado","En proceso"))))</f>
        <v>Atrasado</v>
      </c>
      <c r="P43" s="15" t="n">
        <f aca="false">IF(AND(J43&lt;1,H43&lt;&gt;"",H43&lt;Parámetros!$B$4),Parámetros!$B$4-H43,0)</f>
        <v>33</v>
      </c>
      <c r="Q43" s="15" t="str">
        <f aca="false">IF(OR(D43="Proyecto",D43="Riesgos",D43="Obs. Auditoría"),"Sí","No")</f>
        <v>Sí</v>
      </c>
      <c r="R43" s="15" t="str">
        <f aca="false">IF(I43="","",IF(I43&lt;=H43,1,0))</f>
        <v/>
      </c>
    </row>
    <row r="44" customFormat="false" ht="28.35" hidden="false" customHeight="false" outlineLevel="0" collapsed="false">
      <c r="A44" s="10" t="n">
        <v>2026</v>
      </c>
      <c r="B44" s="10" t="s">
        <v>210</v>
      </c>
      <c r="C44" s="11" t="s">
        <v>211</v>
      </c>
      <c r="D44" s="10" t="s">
        <v>155</v>
      </c>
      <c r="E44" s="10" t="s">
        <v>121</v>
      </c>
      <c r="F44" s="11" t="s">
        <v>212</v>
      </c>
      <c r="G44" s="12" t="n">
        <v>46156</v>
      </c>
      <c r="H44" s="12" t="n">
        <v>46272</v>
      </c>
      <c r="I44" s="12" t="n">
        <v>46272</v>
      </c>
      <c r="J44" s="13" t="n">
        <v>1</v>
      </c>
      <c r="K44" s="10" t="s">
        <v>117</v>
      </c>
      <c r="L44" s="11" t="s">
        <v>213</v>
      </c>
      <c r="M44" s="14" t="n">
        <f aca="false">IF(OR(G44="",H44=""),"",IF(H44&lt;=G44,1,MIN(1,MAX(0,(Parámetros!$B$4-G44)/(H44-G44)))))</f>
        <v>1</v>
      </c>
      <c r="N44" s="14" t="n">
        <f aca="false">IF(M44="","",J44-M44)</f>
        <v>0</v>
      </c>
      <c r="O44" s="15" t="str">
        <f aca="false">IF(J44&gt;=1,"Completado",IF(H44="","Sin fecha plan",IF(H44&lt;Parámetros!$B$4,"Atrasado",IF(J44&lt;=0,"No iniciado","En proceso"))))</f>
        <v>Completado</v>
      </c>
      <c r="P44" s="15" t="n">
        <f aca="false">IF(AND(J44&lt;1,H44&lt;&gt;"",H44&lt;Parámetros!$B$4),Parámetros!$B$4-H44,0)</f>
        <v>0</v>
      </c>
      <c r="Q44" s="15" t="str">
        <f aca="false">IF(OR(D44="Proyecto",D44="Riesgos",D44="Obs. Auditoría"),"Sí","No")</f>
        <v>Sí</v>
      </c>
      <c r="R44" s="15" t="n">
        <f aca="false">IF(I44="","",IF(I44&lt;=H44,1,0))</f>
        <v>1</v>
      </c>
    </row>
    <row r="45" customFormat="false" ht="46.25" hidden="false" customHeight="false" outlineLevel="0" collapsed="false">
      <c r="A45" s="10" t="n">
        <v>2026</v>
      </c>
      <c r="B45" s="10" t="s">
        <v>214</v>
      </c>
      <c r="C45" s="11" t="s">
        <v>215</v>
      </c>
      <c r="D45" s="10" t="s">
        <v>155</v>
      </c>
      <c r="E45" s="10" t="s">
        <v>131</v>
      </c>
      <c r="F45" s="11" t="s">
        <v>216</v>
      </c>
      <c r="G45" s="12" t="n">
        <v>46023</v>
      </c>
      <c r="H45" s="12" t="n">
        <v>46387</v>
      </c>
      <c r="I45" s="12"/>
      <c r="J45" s="13" t="n">
        <v>0.71</v>
      </c>
      <c r="K45" s="10" t="s">
        <v>159</v>
      </c>
      <c r="L45" s="11" t="s">
        <v>217</v>
      </c>
      <c r="M45" s="14" t="n">
        <f aca="false">IF(OR(G45="",H45=""),"",IF(H45&lt;=G45,1,MIN(1,MAX(0,(Parámetros!$B$4-G45)/(H45-G45)))))</f>
        <v>0.711538461538462</v>
      </c>
      <c r="N45" s="14" t="n">
        <f aca="false">IF(M45="","",J45-M45)</f>
        <v>-0.0015384615384616</v>
      </c>
      <c r="O45" s="15" t="str">
        <f aca="false">IF(J45&gt;=1,"Completado",IF(H45="","Sin fecha plan",IF(H45&lt;Parámetros!$B$4,"Atrasado",IF(J45&lt;=0,"No iniciado","En proceso"))))</f>
        <v>En proceso</v>
      </c>
      <c r="P45" s="15" t="n">
        <f aca="false">IF(AND(J45&lt;1,H45&lt;&gt;"",H45&lt;Parámetros!$B$4),Parámetros!$B$4-H45,0)</f>
        <v>0</v>
      </c>
      <c r="Q45" s="15" t="str">
        <f aca="false">IF(OR(D45="Proyecto",D45="Riesgos",D45="Obs. Auditoría"),"Sí","No")</f>
        <v>Sí</v>
      </c>
      <c r="R45" s="15" t="str">
        <f aca="false">IF(I45="","",IF(I45&lt;=H45,1,0))</f>
        <v/>
      </c>
    </row>
    <row r="46" customFormat="false" ht="19.4" hidden="false" customHeight="false" outlineLevel="0" collapsed="false">
      <c r="A46" s="10" t="n">
        <v>2026</v>
      </c>
      <c r="B46" s="10" t="s">
        <v>218</v>
      </c>
      <c r="C46" s="11" t="s">
        <v>219</v>
      </c>
      <c r="D46" s="10" t="s">
        <v>172</v>
      </c>
      <c r="E46" s="10" t="s">
        <v>131</v>
      </c>
      <c r="F46" s="11" t="s">
        <v>131</v>
      </c>
      <c r="G46" s="12" t="n">
        <v>46113</v>
      </c>
      <c r="H46" s="12"/>
      <c r="I46" s="12"/>
      <c r="J46" s="13" t="n">
        <v>1</v>
      </c>
      <c r="K46" s="10" t="s">
        <v>132</v>
      </c>
      <c r="L46" s="11" t="s">
        <v>220</v>
      </c>
      <c r="M46" s="14" t="str">
        <f aca="false">IF(OR(G46="",H46=""),"",IF(H46&lt;=G46,1,MIN(1,MAX(0,(Parámetros!$B$4-G46)/(H46-G46)))))</f>
        <v/>
      </c>
      <c r="N46" s="14" t="str">
        <f aca="false">IF(M46="","",J46-M46)</f>
        <v/>
      </c>
      <c r="O46" s="15" t="str">
        <f aca="false">IF(J46&gt;=1,"Completado",IF(H46="","Sin fecha plan",IF(H46&lt;Parámetros!$B$4,"Atrasado",IF(J46&lt;=0,"No iniciado","En proceso"))))</f>
        <v>Completado</v>
      </c>
      <c r="P46" s="15" t="n">
        <f aca="false">IF(AND(J46&lt;1,H46&lt;&gt;"",H46&lt;Parámetros!$B$4),Parámetros!$B$4-H46,0)</f>
        <v>0</v>
      </c>
      <c r="Q46" s="15" t="str">
        <f aca="false">IF(OR(D46="Proyecto",D46="Riesgos",D46="Obs. Auditoría"),"Sí","No")</f>
        <v>No</v>
      </c>
      <c r="R46" s="15" t="str">
        <f aca="false">IF(I46="","",IF(I46&lt;=H46,1,0))</f>
        <v/>
      </c>
    </row>
    <row r="47" customFormat="false" ht="64.15" hidden="false" customHeight="false" outlineLevel="0" collapsed="false">
      <c r="A47" s="10" t="n">
        <v>2026</v>
      </c>
      <c r="B47" s="10" t="s">
        <v>214</v>
      </c>
      <c r="C47" s="11" t="s">
        <v>221</v>
      </c>
      <c r="D47" s="10" t="s">
        <v>155</v>
      </c>
      <c r="E47" s="10" t="s">
        <v>222</v>
      </c>
      <c r="F47" s="11" t="s">
        <v>222</v>
      </c>
      <c r="G47" s="12" t="n">
        <v>46082</v>
      </c>
      <c r="H47" s="12" t="n">
        <v>46182</v>
      </c>
      <c r="I47" s="12"/>
      <c r="J47" s="13" t="n">
        <v>0.5</v>
      </c>
      <c r="K47" s="10" t="s">
        <v>223</v>
      </c>
      <c r="L47" s="11" t="s">
        <v>224</v>
      </c>
      <c r="M47" s="14" t="n">
        <f aca="false">IF(OR(G47="",H47=""),"",IF(H47&lt;=G47,1,MIN(1,MAX(0,(Parámetros!$B$4-G47)/(H47-G47)))))</f>
        <v>1</v>
      </c>
      <c r="N47" s="14" t="n">
        <f aca="false">IF(M47="","",J47-M47)</f>
        <v>-0.5</v>
      </c>
      <c r="O47" s="15" t="str">
        <f aca="false">IF(J47&gt;=1,"Completado",IF(H47="","Sin fecha plan",IF(H47&lt;Parámetros!$B$4,"Atrasado",IF(J47&lt;=0,"No iniciado","En proceso"))))</f>
        <v>Atrasado</v>
      </c>
      <c r="P47" s="15" t="n">
        <f aca="false">IF(AND(J47&lt;1,H47&lt;&gt;"",H47&lt;Parámetros!$B$4),Parámetros!$B$4-H47,0)</f>
        <v>100</v>
      </c>
      <c r="Q47" s="15" t="str">
        <f aca="false">IF(OR(D47="Proyecto",D47="Riesgos",D47="Obs. Auditoría"),"Sí","No")</f>
        <v>Sí</v>
      </c>
      <c r="R47" s="15" t="str">
        <f aca="false">IF(I47="","",IF(I47&lt;=H47,1,0))</f>
        <v/>
      </c>
    </row>
    <row r="48" customFormat="false" ht="28.35" hidden="false" customHeight="false" outlineLevel="0" collapsed="false">
      <c r="A48" s="10" t="n">
        <v>2026</v>
      </c>
      <c r="B48" s="10" t="s">
        <v>225</v>
      </c>
      <c r="C48" s="11" t="s">
        <v>226</v>
      </c>
      <c r="D48" s="10" t="s">
        <v>155</v>
      </c>
      <c r="E48" s="10" t="s">
        <v>116</v>
      </c>
      <c r="F48" s="11" t="s">
        <v>227</v>
      </c>
      <c r="G48" s="12" t="n">
        <v>46157</v>
      </c>
      <c r="H48" s="12" t="n">
        <v>46310</v>
      </c>
      <c r="I48" s="12"/>
      <c r="J48" s="13" t="n">
        <v>0.05</v>
      </c>
      <c r="K48" s="10" t="s">
        <v>223</v>
      </c>
      <c r="L48" s="11" t="s">
        <v>228</v>
      </c>
      <c r="M48" s="14" t="n">
        <f aca="false">IF(OR(G48="",H48=""),"",IF(H48&lt;=G48,1,MIN(1,MAX(0,(Parámetros!$B$4-G48)/(H48-G48)))))</f>
        <v>0.816993464052288</v>
      </c>
      <c r="N48" s="14" t="n">
        <f aca="false">IF(M48="","",J48-M48)</f>
        <v>-0.766993464052288</v>
      </c>
      <c r="O48" s="15" t="str">
        <f aca="false">IF(J48&gt;=1,"Completado",IF(H48="","Sin fecha plan",IF(H48&lt;Parámetros!$B$4,"Atrasado",IF(J48&lt;=0,"No iniciado","En proceso"))))</f>
        <v>En proceso</v>
      </c>
      <c r="P48" s="15" t="n">
        <f aca="false">IF(AND(J48&lt;1,H48&lt;&gt;"",H48&lt;Parámetros!$B$4),Parámetros!$B$4-H48,0)</f>
        <v>0</v>
      </c>
      <c r="Q48" s="15" t="str">
        <f aca="false">IF(OR(D48="Proyecto",D48="Riesgos",D48="Obs. Auditoría"),"Sí","No")</f>
        <v>Sí</v>
      </c>
      <c r="R48" s="15" t="str">
        <f aca="false">IF(I48="","",IF(I48&lt;=H48,1,0))</f>
        <v/>
      </c>
    </row>
    <row r="49" customFormat="false" ht="55.2" hidden="false" customHeight="false" outlineLevel="0" collapsed="false">
      <c r="A49" s="10" t="n">
        <v>2026</v>
      </c>
      <c r="B49" s="10" t="s">
        <v>225</v>
      </c>
      <c r="C49" s="11" t="s">
        <v>229</v>
      </c>
      <c r="D49" s="10" t="s">
        <v>115</v>
      </c>
      <c r="E49" s="10" t="s">
        <v>116</v>
      </c>
      <c r="F49" s="11" t="s">
        <v>227</v>
      </c>
      <c r="G49" s="12" t="n">
        <v>46210</v>
      </c>
      <c r="H49" s="12" t="n">
        <v>46387</v>
      </c>
      <c r="I49" s="12"/>
      <c r="J49" s="13" t="n">
        <v>0.25</v>
      </c>
      <c r="K49" s="10" t="s">
        <v>117</v>
      </c>
      <c r="L49" s="11" t="s">
        <v>230</v>
      </c>
      <c r="M49" s="14" t="n">
        <f aca="false">IF(OR(G49="",H49=""),"",IF(H49&lt;=G49,1,MIN(1,MAX(0,(Parámetros!$B$4-G49)/(H49-G49)))))</f>
        <v>0.406779661016949</v>
      </c>
      <c r="N49" s="14" t="n">
        <f aca="false">IF(M49="","",J49-M49)</f>
        <v>-0.156779661016949</v>
      </c>
      <c r="O49" s="15" t="str">
        <f aca="false">IF(J49&gt;=1,"Completado",IF(H49="","Sin fecha plan",IF(H49&lt;Parámetros!$B$4,"Atrasado",IF(J49&lt;=0,"No iniciado","En proceso"))))</f>
        <v>En proceso</v>
      </c>
      <c r="P49" s="15" t="n">
        <f aca="false">IF(AND(J49&lt;1,H49&lt;&gt;"",H49&lt;Parámetros!$B$4),Parámetros!$B$4-H49,0)</f>
        <v>0</v>
      </c>
      <c r="Q49" s="15" t="str">
        <f aca="false">IF(OR(D49="Proyecto",D49="Riesgos",D49="Obs. Auditoría"),"Sí","No")</f>
        <v>No</v>
      </c>
      <c r="R49" s="15" t="str">
        <f aca="false">IF(I49="","",IF(I49&lt;=H49,1,0))</f>
        <v/>
      </c>
    </row>
    <row r="50" customFormat="false" ht="28.35" hidden="false" customHeight="false" outlineLevel="0" collapsed="false">
      <c r="A50" s="10" t="n">
        <v>2026</v>
      </c>
      <c r="B50" s="10" t="s">
        <v>225</v>
      </c>
      <c r="C50" s="11" t="s">
        <v>231</v>
      </c>
      <c r="D50" s="10" t="s">
        <v>115</v>
      </c>
      <c r="E50" s="10" t="s">
        <v>116</v>
      </c>
      <c r="F50" s="11" t="s">
        <v>227</v>
      </c>
      <c r="G50" s="12" t="n">
        <v>46249</v>
      </c>
      <c r="H50" s="12" t="n">
        <v>46356</v>
      </c>
      <c r="I50" s="12"/>
      <c r="J50" s="13" t="n">
        <v>0.1</v>
      </c>
      <c r="K50" s="10" t="s">
        <v>117</v>
      </c>
      <c r="L50" s="11"/>
      <c r="M50" s="14" t="n">
        <f aca="false">IF(OR(G50="",H50=""),"",IF(H50&lt;=G50,1,MIN(1,MAX(0,(Parámetros!$B$4-G50)/(H50-G50)))))</f>
        <v>0.308411214953271</v>
      </c>
      <c r="N50" s="14" t="n">
        <f aca="false">IF(M50="","",J50-M50)</f>
        <v>-0.208411214953271</v>
      </c>
      <c r="O50" s="15" t="str">
        <f aca="false">IF(J50&gt;=1,"Completado",IF(H50="","Sin fecha plan",IF(H50&lt;Parámetros!$B$4,"Atrasado",IF(J50&lt;=0,"No iniciado","En proceso"))))</f>
        <v>En proceso</v>
      </c>
      <c r="P50" s="15" t="n">
        <f aca="false">IF(AND(J50&lt;1,H50&lt;&gt;"",H50&lt;Parámetros!$B$4),Parámetros!$B$4-H50,0)</f>
        <v>0</v>
      </c>
      <c r="Q50" s="15" t="str">
        <f aca="false">IF(OR(D50="Proyecto",D50="Riesgos",D50="Obs. Auditoría"),"Sí","No")</f>
        <v>No</v>
      </c>
      <c r="R50" s="15" t="str">
        <f aca="false">IF(I50="","",IF(I50&lt;=H50,1,0))</f>
        <v/>
      </c>
    </row>
    <row r="51" customFormat="false" ht="28.35" hidden="false" customHeight="false" outlineLevel="0" collapsed="false">
      <c r="A51" s="10" t="n">
        <v>2026</v>
      </c>
      <c r="B51" s="10" t="s">
        <v>225</v>
      </c>
      <c r="C51" s="11" t="s">
        <v>232</v>
      </c>
      <c r="D51" s="10" t="s">
        <v>172</v>
      </c>
      <c r="E51" s="10" t="s">
        <v>124</v>
      </c>
      <c r="F51" s="11" t="s">
        <v>124</v>
      </c>
      <c r="G51" s="12" t="n">
        <v>46188</v>
      </c>
      <c r="H51" s="12" t="n">
        <v>46204</v>
      </c>
      <c r="I51" s="12" t="n">
        <v>46204</v>
      </c>
      <c r="J51" s="13" t="n">
        <v>1</v>
      </c>
      <c r="K51" s="10" t="s">
        <v>117</v>
      </c>
      <c r="L51" s="11" t="s">
        <v>233</v>
      </c>
      <c r="M51" s="14" t="n">
        <f aca="false">IF(OR(G51="",H51=""),"",IF(H51&lt;=G51,1,MIN(1,MAX(0,(Parámetros!$B$4-G51)/(H51-G51)))))</f>
        <v>1</v>
      </c>
      <c r="N51" s="14" t="n">
        <f aca="false">IF(M51="","",J51-M51)</f>
        <v>0</v>
      </c>
      <c r="O51" s="15" t="str">
        <f aca="false">IF(J51&gt;=1,"Completado",IF(H51="","Sin fecha plan",IF(H51&lt;Parámetros!$B$4,"Atrasado",IF(J51&lt;=0,"No iniciado","En proceso"))))</f>
        <v>Completado</v>
      </c>
      <c r="P51" s="15" t="n">
        <f aca="false">IF(AND(J51&lt;1,H51&lt;&gt;"",H51&lt;Parámetros!$B$4),Parámetros!$B$4-H51,0)</f>
        <v>0</v>
      </c>
      <c r="Q51" s="15" t="str">
        <f aca="false">IF(OR(D51="Proyecto",D51="Riesgos",D51="Obs. Auditoría"),"Sí","No")</f>
        <v>No</v>
      </c>
      <c r="R51" s="15" t="n">
        <f aca="false">IF(I51="","",IF(I51&lt;=H51,1,0))</f>
        <v>1</v>
      </c>
    </row>
    <row r="52" customFormat="false" ht="37.3" hidden="false" customHeight="false" outlineLevel="0" collapsed="false">
      <c r="A52" s="10" t="n">
        <v>2026</v>
      </c>
      <c r="B52" s="10" t="s">
        <v>225</v>
      </c>
      <c r="C52" s="11" t="s">
        <v>234</v>
      </c>
      <c r="D52" s="10" t="s">
        <v>155</v>
      </c>
      <c r="E52" s="10" t="s">
        <v>116</v>
      </c>
      <c r="F52" s="11" t="s">
        <v>156</v>
      </c>
      <c r="G52" s="12" t="n">
        <v>46174</v>
      </c>
      <c r="H52" s="12" t="n">
        <v>46175</v>
      </c>
      <c r="I52" s="12" t="n">
        <v>46175</v>
      </c>
      <c r="J52" s="13" t="n">
        <v>1</v>
      </c>
      <c r="K52" s="10" t="s">
        <v>117</v>
      </c>
      <c r="L52" s="11" t="s">
        <v>235</v>
      </c>
      <c r="M52" s="14" t="n">
        <f aca="false">IF(OR(G52="",H52=""),"",IF(H52&lt;=G52,1,MIN(1,MAX(0,(Parámetros!$B$4-G52)/(H52-G52)))))</f>
        <v>1</v>
      </c>
      <c r="N52" s="14" t="n">
        <f aca="false">IF(M52="","",J52-M52)</f>
        <v>0</v>
      </c>
      <c r="O52" s="15" t="str">
        <f aca="false">IF(J52&gt;=1,"Completado",IF(H52="","Sin fecha plan",IF(H52&lt;Parámetros!$B$4,"Atrasado",IF(J52&lt;=0,"No iniciado","En proceso"))))</f>
        <v>Completado</v>
      </c>
      <c r="P52" s="15" t="n">
        <f aca="false">IF(AND(J52&lt;1,H52&lt;&gt;"",H52&lt;Parámetros!$B$4),Parámetros!$B$4-H52,0)</f>
        <v>0</v>
      </c>
      <c r="Q52" s="15" t="str">
        <f aca="false">IF(OR(D52="Proyecto",D52="Riesgos",D52="Obs. Auditoría"),"Sí","No")</f>
        <v>Sí</v>
      </c>
      <c r="R52" s="15" t="n">
        <f aca="false">IF(I52="","",IF(I52&lt;=H52,1,0))</f>
        <v>1</v>
      </c>
    </row>
    <row r="53" customFormat="false" ht="46.25" hidden="false" customHeight="false" outlineLevel="0" collapsed="false">
      <c r="A53" s="10" t="n">
        <v>2026</v>
      </c>
      <c r="B53" s="10" t="s">
        <v>225</v>
      </c>
      <c r="C53" s="11" t="s">
        <v>236</v>
      </c>
      <c r="D53" s="10" t="s">
        <v>155</v>
      </c>
      <c r="E53" s="10" t="s">
        <v>116</v>
      </c>
      <c r="F53" s="11" t="s">
        <v>150</v>
      </c>
      <c r="G53" s="12" t="n">
        <v>46134</v>
      </c>
      <c r="H53" s="12" t="n">
        <v>46156</v>
      </c>
      <c r="I53" s="12" t="n">
        <v>46156</v>
      </c>
      <c r="J53" s="13" t="n">
        <v>1</v>
      </c>
      <c r="K53" s="10" t="s">
        <v>117</v>
      </c>
      <c r="L53" s="11" t="s">
        <v>237</v>
      </c>
      <c r="M53" s="14" t="n">
        <f aca="false">IF(OR(G53="",H53=""),"",IF(H53&lt;=G53,1,MIN(1,MAX(0,(Parámetros!$B$4-G53)/(H53-G53)))))</f>
        <v>1</v>
      </c>
      <c r="N53" s="14" t="n">
        <f aca="false">IF(M53="","",J53-M53)</f>
        <v>0</v>
      </c>
      <c r="O53" s="15" t="str">
        <f aca="false">IF(J53&gt;=1,"Completado",IF(H53="","Sin fecha plan",IF(H53&lt;Parámetros!$B$4,"Atrasado",IF(J53&lt;=0,"No iniciado","En proceso"))))</f>
        <v>Completado</v>
      </c>
      <c r="P53" s="15" t="n">
        <f aca="false">IF(AND(J53&lt;1,H53&lt;&gt;"",H53&lt;Parámetros!$B$4),Parámetros!$B$4-H53,0)</f>
        <v>0</v>
      </c>
      <c r="Q53" s="15" t="str">
        <f aca="false">IF(OR(D53="Proyecto",D53="Riesgos",D53="Obs. Auditoría"),"Sí","No")</f>
        <v>Sí</v>
      </c>
      <c r="R53" s="15" t="n">
        <f aca="false">IF(I53="","",IF(I53&lt;=H53,1,0))</f>
        <v>1</v>
      </c>
    </row>
    <row r="54" customFormat="false" ht="46.25" hidden="false" customHeight="false" outlineLevel="0" collapsed="false">
      <c r="A54" s="10" t="n">
        <v>2026</v>
      </c>
      <c r="B54" s="10" t="s">
        <v>225</v>
      </c>
      <c r="C54" s="11" t="s">
        <v>238</v>
      </c>
      <c r="D54" s="10" t="s">
        <v>155</v>
      </c>
      <c r="E54" s="10" t="s">
        <v>116</v>
      </c>
      <c r="F54" s="11" t="s">
        <v>116</v>
      </c>
      <c r="G54" s="12" t="n">
        <v>46185</v>
      </c>
      <c r="H54" s="12" t="n">
        <v>46203</v>
      </c>
      <c r="I54" s="12" t="n">
        <v>46203</v>
      </c>
      <c r="J54" s="13" t="n">
        <v>1</v>
      </c>
      <c r="K54" s="10" t="s">
        <v>117</v>
      </c>
      <c r="L54" s="11" t="s">
        <v>239</v>
      </c>
      <c r="M54" s="14" t="n">
        <f aca="false">IF(OR(G54="",H54=""),"",IF(H54&lt;=G54,1,MIN(1,MAX(0,(Parámetros!$B$4-G54)/(H54-G54)))))</f>
        <v>1</v>
      </c>
      <c r="N54" s="14" t="n">
        <f aca="false">IF(M54="","",J54-M54)</f>
        <v>0</v>
      </c>
      <c r="O54" s="15" t="str">
        <f aca="false">IF(J54&gt;=1,"Completado",IF(H54="","Sin fecha plan",IF(H54&lt;Parámetros!$B$4,"Atrasado",IF(J54&lt;=0,"No iniciado","En proceso"))))</f>
        <v>Completado</v>
      </c>
      <c r="P54" s="15" t="n">
        <f aca="false">IF(AND(J54&lt;1,H54&lt;&gt;"",H54&lt;Parámetros!$B$4),Parámetros!$B$4-H54,0)</f>
        <v>0</v>
      </c>
      <c r="Q54" s="15" t="str">
        <f aca="false">IF(OR(D54="Proyecto",D54="Riesgos",D54="Obs. Auditoría"),"Sí","No")</f>
        <v>Sí</v>
      </c>
      <c r="R54" s="15" t="n">
        <f aca="false">IF(I54="","",IF(I54&lt;=H54,1,0))</f>
        <v>1</v>
      </c>
    </row>
    <row r="55" customFormat="false" ht="28.35" hidden="false" customHeight="false" outlineLevel="0" collapsed="false">
      <c r="A55" s="10" t="n">
        <v>2026</v>
      </c>
      <c r="B55" s="10" t="s">
        <v>240</v>
      </c>
      <c r="C55" s="11" t="s">
        <v>241</v>
      </c>
      <c r="D55" s="10" t="s">
        <v>172</v>
      </c>
      <c r="E55" s="10" t="s">
        <v>242</v>
      </c>
      <c r="F55" s="11" t="s">
        <v>243</v>
      </c>
      <c r="G55" s="12" t="n">
        <v>46163</v>
      </c>
      <c r="H55" s="12" t="n">
        <v>46203</v>
      </c>
      <c r="I55" s="12" t="n">
        <v>46203</v>
      </c>
      <c r="J55" s="13" t="n">
        <v>1</v>
      </c>
      <c r="K55" s="10" t="s">
        <v>117</v>
      </c>
      <c r="L55" s="11" t="s">
        <v>244</v>
      </c>
      <c r="M55" s="14" t="n">
        <f aca="false">IF(OR(G55="",H55=""),"",IF(H55&lt;=G55,1,MIN(1,MAX(0,(Parámetros!$B$4-G55)/(H55-G55)))))</f>
        <v>1</v>
      </c>
      <c r="N55" s="14" t="n">
        <f aca="false">IF(M55="","",J55-M55)</f>
        <v>0</v>
      </c>
      <c r="O55" s="15" t="str">
        <f aca="false">IF(J55&gt;=1,"Completado",IF(H55="","Sin fecha plan",IF(H55&lt;Parámetros!$B$4,"Atrasado",IF(J55&lt;=0,"No iniciado","En proceso"))))</f>
        <v>Completado</v>
      </c>
      <c r="P55" s="15" t="n">
        <f aca="false">IF(AND(J55&lt;1,H55&lt;&gt;"",H55&lt;Parámetros!$B$4),Parámetros!$B$4-H55,0)</f>
        <v>0</v>
      </c>
      <c r="Q55" s="15" t="str">
        <f aca="false">IF(OR(D55="Proyecto",D55="Riesgos",D55="Obs. Auditoría"),"Sí","No")</f>
        <v>No</v>
      </c>
      <c r="R55" s="15" t="n">
        <f aca="false">IF(I55="","",IF(I55&lt;=H55,1,0))</f>
        <v>1</v>
      </c>
    </row>
    <row r="56" customFormat="false" ht="55.2" hidden="false" customHeight="false" outlineLevel="0" collapsed="false">
      <c r="A56" s="10" t="n">
        <v>2026</v>
      </c>
      <c r="B56" s="10" t="s">
        <v>245</v>
      </c>
      <c r="C56" s="11" t="s">
        <v>246</v>
      </c>
      <c r="D56" s="10" t="s">
        <v>172</v>
      </c>
      <c r="E56" s="10" t="s">
        <v>116</v>
      </c>
      <c r="F56" s="11" t="s">
        <v>116</v>
      </c>
      <c r="G56" s="12" t="n">
        <v>46249</v>
      </c>
      <c r="H56" s="12" t="n">
        <v>46326</v>
      </c>
      <c r="I56" s="12"/>
      <c r="J56" s="13" t="n">
        <v>0.5</v>
      </c>
      <c r="K56" s="10" t="s">
        <v>117</v>
      </c>
      <c r="L56" s="11" t="s">
        <v>247</v>
      </c>
      <c r="M56" s="14" t="n">
        <f aca="false">IF(OR(G56="",H56=""),"",IF(H56&lt;=G56,1,MIN(1,MAX(0,(Parámetros!$B$4-G56)/(H56-G56)))))</f>
        <v>0.428571428571429</v>
      </c>
      <c r="N56" s="14" t="n">
        <f aca="false">IF(M56="","",J56-M56)</f>
        <v>0.0714285714285715</v>
      </c>
      <c r="O56" s="15" t="str">
        <f aca="false">IF(J56&gt;=1,"Completado",IF(H56="","Sin fecha plan",IF(H56&lt;Parámetros!$B$4,"Atrasado",IF(J56&lt;=0,"No iniciado","En proceso"))))</f>
        <v>En proceso</v>
      </c>
      <c r="P56" s="15" t="n">
        <f aca="false">IF(AND(J56&lt;1,H56&lt;&gt;"",H56&lt;Parámetros!$B$4),Parámetros!$B$4-H56,0)</f>
        <v>0</v>
      </c>
      <c r="Q56" s="15" t="str">
        <f aca="false">IF(OR(D56="Proyecto",D56="Riesgos",D56="Obs. Auditoría"),"Sí","No")</f>
        <v>No</v>
      </c>
      <c r="R56" s="15" t="str">
        <f aca="false">IF(I56="","",IF(I56&lt;=H56,1,0))</f>
        <v/>
      </c>
    </row>
    <row r="57" customFormat="false" ht="55.2" hidden="false" customHeight="false" outlineLevel="0" collapsed="false">
      <c r="A57" s="10" t="n">
        <v>2026</v>
      </c>
      <c r="B57" s="10" t="s">
        <v>248</v>
      </c>
      <c r="C57" s="11" t="s">
        <v>249</v>
      </c>
      <c r="D57" s="10" t="s">
        <v>155</v>
      </c>
      <c r="E57" s="10" t="s">
        <v>242</v>
      </c>
      <c r="F57" s="11" t="s">
        <v>250</v>
      </c>
      <c r="G57" s="12" t="n">
        <v>46157</v>
      </c>
      <c r="H57" s="12" t="n">
        <v>46295</v>
      </c>
      <c r="I57" s="12"/>
      <c r="J57" s="13" t="n">
        <v>0.5</v>
      </c>
      <c r="K57" s="10" t="s">
        <v>132</v>
      </c>
      <c r="L57" s="11" t="s">
        <v>251</v>
      </c>
      <c r="M57" s="14" t="n">
        <f aca="false">IF(OR(G57="",H57=""),"",IF(H57&lt;=G57,1,MIN(1,MAX(0,(Parámetros!$B$4-G57)/(H57-G57)))))</f>
        <v>0.905797101449275</v>
      </c>
      <c r="N57" s="14" t="n">
        <f aca="false">IF(M57="","",J57-M57)</f>
        <v>-0.405797101449275</v>
      </c>
      <c r="O57" s="15" t="str">
        <f aca="false">IF(J57&gt;=1,"Completado",IF(H57="","Sin fecha plan",IF(H57&lt;Parámetros!$B$4,"Atrasado",IF(J57&lt;=0,"No iniciado","En proceso"))))</f>
        <v>En proceso</v>
      </c>
      <c r="P57" s="15" t="n">
        <f aca="false">IF(AND(J57&lt;1,H57&lt;&gt;"",H57&lt;Parámetros!$B$4),Parámetros!$B$4-H57,0)</f>
        <v>0</v>
      </c>
      <c r="Q57" s="15" t="str">
        <f aca="false">IF(OR(D57="Proyecto",D57="Riesgos",D57="Obs. Auditoría"),"Sí","No")</f>
        <v>Sí</v>
      </c>
      <c r="R57" s="15" t="str">
        <f aca="false">IF(I57="","",IF(I57&lt;=H57,1,0))</f>
        <v/>
      </c>
    </row>
    <row r="58" customFormat="false" ht="28.35" hidden="false" customHeight="false" outlineLevel="0" collapsed="false">
      <c r="A58" s="10" t="n">
        <v>2026</v>
      </c>
      <c r="B58" s="10" t="s">
        <v>252</v>
      </c>
      <c r="C58" s="11" t="s">
        <v>253</v>
      </c>
      <c r="D58" s="10" t="s">
        <v>155</v>
      </c>
      <c r="E58" s="10" t="s">
        <v>242</v>
      </c>
      <c r="F58" s="11" t="s">
        <v>254</v>
      </c>
      <c r="G58" s="12" t="n">
        <v>46082</v>
      </c>
      <c r="H58" s="12" t="n">
        <v>46325</v>
      </c>
      <c r="I58" s="12"/>
      <c r="J58" s="13" t="n">
        <v>0.2</v>
      </c>
      <c r="K58" s="10" t="s">
        <v>132</v>
      </c>
      <c r="L58" s="11"/>
      <c r="M58" s="14" t="n">
        <f aca="false">IF(OR(G58="",H58=""),"",IF(H58&lt;=G58,1,MIN(1,MAX(0,(Parámetros!$B$4-G58)/(H58-G58)))))</f>
        <v>0.823045267489712</v>
      </c>
      <c r="N58" s="14" t="n">
        <f aca="false">IF(M58="","",J58-M58)</f>
        <v>-0.623045267489712</v>
      </c>
      <c r="O58" s="15" t="str">
        <f aca="false">IF(J58&gt;=1,"Completado",IF(H58="","Sin fecha plan",IF(H58&lt;Parámetros!$B$4,"Atrasado",IF(J58&lt;=0,"No iniciado","En proceso"))))</f>
        <v>En proceso</v>
      </c>
      <c r="P58" s="15" t="n">
        <f aca="false">IF(AND(J58&lt;1,H58&lt;&gt;"",H58&lt;Parámetros!$B$4),Parámetros!$B$4-H58,0)</f>
        <v>0</v>
      </c>
      <c r="Q58" s="15" t="str">
        <f aca="false">IF(OR(D58="Proyecto",D58="Riesgos",D58="Obs. Auditoría"),"Sí","No")</f>
        <v>Sí</v>
      </c>
      <c r="R58" s="15" t="str">
        <f aca="false">IF(I58="","",IF(I58&lt;=H58,1,0))</f>
        <v/>
      </c>
    </row>
    <row r="59" customFormat="false" ht="19.4" hidden="false" customHeight="false" outlineLevel="0" collapsed="false">
      <c r="A59" s="10" t="n">
        <v>2026</v>
      </c>
      <c r="B59" s="10" t="s">
        <v>255</v>
      </c>
      <c r="C59" s="11" t="s">
        <v>256</v>
      </c>
      <c r="D59" s="10" t="s">
        <v>155</v>
      </c>
      <c r="E59" s="10" t="s">
        <v>257</v>
      </c>
      <c r="F59" s="11" t="s">
        <v>257</v>
      </c>
      <c r="G59" s="12" t="n">
        <v>46174</v>
      </c>
      <c r="H59" s="12" t="n">
        <v>46387</v>
      </c>
      <c r="I59" s="12"/>
      <c r="J59" s="13" t="n">
        <v>0.3</v>
      </c>
      <c r="K59" s="10" t="s">
        <v>132</v>
      </c>
      <c r="L59" s="11" t="s">
        <v>258</v>
      </c>
      <c r="M59" s="14" t="n">
        <f aca="false">IF(OR(G59="",H59=""),"",IF(H59&lt;=G59,1,MIN(1,MAX(0,(Parámetros!$B$4-G59)/(H59-G59)))))</f>
        <v>0.507042253521127</v>
      </c>
      <c r="N59" s="14" t="n">
        <f aca="false">IF(M59="","",J59-M59)</f>
        <v>-0.207042253521127</v>
      </c>
      <c r="O59" s="15" t="str">
        <f aca="false">IF(J59&gt;=1,"Completado",IF(H59="","Sin fecha plan",IF(H59&lt;Parámetros!$B$4,"Atrasado",IF(J59&lt;=0,"No iniciado","En proceso"))))</f>
        <v>En proceso</v>
      </c>
      <c r="P59" s="15" t="n">
        <f aca="false">IF(AND(J59&lt;1,H59&lt;&gt;"",H59&lt;Parámetros!$B$4),Parámetros!$B$4-H59,0)</f>
        <v>0</v>
      </c>
      <c r="Q59" s="15" t="str">
        <f aca="false">IF(OR(D59="Proyecto",D59="Riesgos",D59="Obs. Auditoría"),"Sí","No")</f>
        <v>Sí</v>
      </c>
      <c r="R59" s="15" t="str">
        <f aca="false">IF(I59="","",IF(I59&lt;=H59,1,0))</f>
        <v/>
      </c>
    </row>
    <row r="60" customFormat="false" ht="19.4" hidden="false" customHeight="false" outlineLevel="0" collapsed="false">
      <c r="A60" s="10" t="n">
        <v>2026</v>
      </c>
      <c r="B60" s="10" t="s">
        <v>259</v>
      </c>
      <c r="C60" s="11" t="s">
        <v>260</v>
      </c>
      <c r="D60" s="10" t="s">
        <v>115</v>
      </c>
      <c r="E60" s="10" t="s">
        <v>124</v>
      </c>
      <c r="F60" s="11" t="s">
        <v>124</v>
      </c>
      <c r="G60" s="12" t="n">
        <v>46174</v>
      </c>
      <c r="H60" s="12" t="n">
        <v>46295</v>
      </c>
      <c r="I60" s="12"/>
      <c r="J60" s="13" t="n">
        <v>0.5</v>
      </c>
      <c r="K60" s="10" t="s">
        <v>117</v>
      </c>
      <c r="L60" s="11" t="s">
        <v>261</v>
      </c>
      <c r="M60" s="14" t="n">
        <f aca="false">IF(OR(G60="",H60=""),"",IF(H60&lt;=G60,1,MIN(1,MAX(0,(Parámetros!$B$4-G60)/(H60-G60)))))</f>
        <v>0.892561983471074</v>
      </c>
      <c r="N60" s="14" t="n">
        <f aca="false">IF(M60="","",J60-M60)</f>
        <v>-0.392561983471074</v>
      </c>
      <c r="O60" s="15" t="str">
        <f aca="false">IF(J60&gt;=1,"Completado",IF(H60="","Sin fecha plan",IF(H60&lt;Parámetros!$B$4,"Atrasado",IF(J60&lt;=0,"No iniciado","En proceso"))))</f>
        <v>En proceso</v>
      </c>
      <c r="P60" s="15" t="n">
        <f aca="false">IF(AND(J60&lt;1,H60&lt;&gt;"",H60&lt;Parámetros!$B$4),Parámetros!$B$4-H60,0)</f>
        <v>0</v>
      </c>
      <c r="Q60" s="15" t="str">
        <f aca="false">IF(OR(D60="Proyecto",D60="Riesgos",D60="Obs. Auditoría"),"Sí","No")</f>
        <v>No</v>
      </c>
      <c r="R60" s="15" t="str">
        <f aca="false">IF(I60="","",IF(I60&lt;=H60,1,0))</f>
        <v/>
      </c>
    </row>
    <row r="61" customFormat="false" ht="37.3" hidden="false" customHeight="false" outlineLevel="0" collapsed="false">
      <c r="A61" s="10" t="n">
        <v>2026</v>
      </c>
      <c r="B61" s="10" t="s">
        <v>259</v>
      </c>
      <c r="C61" s="11" t="s">
        <v>262</v>
      </c>
      <c r="D61" s="10" t="s">
        <v>115</v>
      </c>
      <c r="E61" s="10" t="s">
        <v>124</v>
      </c>
      <c r="F61" s="11" t="s">
        <v>124</v>
      </c>
      <c r="G61" s="12" t="n">
        <v>46204</v>
      </c>
      <c r="H61" s="12" t="n">
        <v>46264</v>
      </c>
      <c r="I61" s="12"/>
      <c r="J61" s="13" t="n">
        <v>0.95</v>
      </c>
      <c r="K61" s="10" t="s">
        <v>117</v>
      </c>
      <c r="L61" s="11" t="s">
        <v>263</v>
      </c>
      <c r="M61" s="14" t="n">
        <f aca="false">IF(OR(G61="",H61=""),"",IF(H61&lt;=G61,1,MIN(1,MAX(0,(Parámetros!$B$4-G61)/(H61-G61)))))</f>
        <v>1</v>
      </c>
      <c r="N61" s="14" t="n">
        <f aca="false">IF(M61="","",J61-M61)</f>
        <v>-0.05</v>
      </c>
      <c r="O61" s="15" t="str">
        <f aca="false">IF(J61&gt;=1,"Completado",IF(H61="","Sin fecha plan",IF(H61&lt;Parámetros!$B$4,"Atrasado",IF(J61&lt;=0,"No iniciado","En proceso"))))</f>
        <v>Atrasado</v>
      </c>
      <c r="P61" s="15" t="n">
        <f aca="false">IF(AND(J61&lt;1,H61&lt;&gt;"",H61&lt;Parámetros!$B$4),Parámetros!$B$4-H61,0)</f>
        <v>18</v>
      </c>
      <c r="Q61" s="15" t="str">
        <f aca="false">IF(OR(D61="Proyecto",D61="Riesgos",D61="Obs. Auditoría"),"Sí","No")</f>
        <v>No</v>
      </c>
      <c r="R61" s="15" t="str">
        <f aca="false">IF(I61="","",IF(I61&lt;=H61,1,0))</f>
        <v/>
      </c>
    </row>
    <row r="62" customFormat="false" ht="19.4" hidden="false" customHeight="false" outlineLevel="0" collapsed="false">
      <c r="A62" s="10" t="n">
        <v>2026</v>
      </c>
      <c r="B62" s="10" t="s">
        <v>259</v>
      </c>
      <c r="C62" s="11" t="s">
        <v>264</v>
      </c>
      <c r="D62" s="10" t="s">
        <v>115</v>
      </c>
      <c r="E62" s="10" t="s">
        <v>265</v>
      </c>
      <c r="F62" s="11" t="s">
        <v>265</v>
      </c>
      <c r="G62" s="12" t="n">
        <v>46174</v>
      </c>
      <c r="H62" s="12" t="n">
        <v>46356</v>
      </c>
      <c r="I62" s="12"/>
      <c r="J62" s="13" t="n">
        <v>0.05</v>
      </c>
      <c r="K62" s="10" t="s">
        <v>147</v>
      </c>
      <c r="L62" s="11"/>
      <c r="M62" s="14" t="n">
        <f aca="false">IF(OR(G62="",H62=""),"",IF(H62&lt;=G62,1,MIN(1,MAX(0,(Parámetros!$B$4-G62)/(H62-G62)))))</f>
        <v>0.593406593406593</v>
      </c>
      <c r="N62" s="14" t="n">
        <f aca="false">IF(M62="","",J62-M62)</f>
        <v>-0.543406593406593</v>
      </c>
      <c r="O62" s="15" t="str">
        <f aca="false">IF(J62&gt;=1,"Completado",IF(H62="","Sin fecha plan",IF(H62&lt;Parámetros!$B$4,"Atrasado",IF(J62&lt;=0,"No iniciado","En proceso"))))</f>
        <v>En proceso</v>
      </c>
      <c r="P62" s="15" t="n">
        <f aca="false">IF(AND(J62&lt;1,H62&lt;&gt;"",H62&lt;Parámetros!$B$4),Parámetros!$B$4-H62,0)</f>
        <v>0</v>
      </c>
      <c r="Q62" s="15" t="str">
        <f aca="false">IF(OR(D62="Proyecto",D62="Riesgos",D62="Obs. Auditoría"),"Sí","No")</f>
        <v>No</v>
      </c>
      <c r="R62" s="15" t="str">
        <f aca="false">IF(I62="","",IF(I62&lt;=H62,1,0))</f>
        <v/>
      </c>
    </row>
    <row r="63" customFormat="false" ht="46.25" hidden="false" customHeight="false" outlineLevel="0" collapsed="false">
      <c r="A63" s="10" t="n">
        <v>2026</v>
      </c>
      <c r="B63" s="10" t="s">
        <v>259</v>
      </c>
      <c r="C63" s="11" t="s">
        <v>266</v>
      </c>
      <c r="D63" s="10" t="s">
        <v>115</v>
      </c>
      <c r="E63" s="10" t="s">
        <v>124</v>
      </c>
      <c r="F63" s="11" t="s">
        <v>124</v>
      </c>
      <c r="G63" s="12" t="n">
        <v>46218</v>
      </c>
      <c r="H63" s="12" t="n">
        <v>46264</v>
      </c>
      <c r="I63" s="12"/>
      <c r="J63" s="13" t="n">
        <v>0.8</v>
      </c>
      <c r="K63" s="10" t="s">
        <v>117</v>
      </c>
      <c r="L63" s="11" t="s">
        <v>267</v>
      </c>
      <c r="M63" s="14" t="n">
        <f aca="false">IF(OR(G63="",H63=""),"",IF(H63&lt;=G63,1,MIN(1,MAX(0,(Parámetros!$B$4-G63)/(H63-G63)))))</f>
        <v>1</v>
      </c>
      <c r="N63" s="14" t="n">
        <f aca="false">IF(M63="","",J63-M63)</f>
        <v>-0.2</v>
      </c>
      <c r="O63" s="15" t="str">
        <f aca="false">IF(J63&gt;=1,"Completado",IF(H63="","Sin fecha plan",IF(H63&lt;Parámetros!$B$4,"Atrasado",IF(J63&lt;=0,"No iniciado","En proceso"))))</f>
        <v>Atrasado</v>
      </c>
      <c r="P63" s="15" t="n">
        <f aca="false">IF(AND(J63&lt;1,H63&lt;&gt;"",H63&lt;Parámetros!$B$4),Parámetros!$B$4-H63,0)</f>
        <v>18</v>
      </c>
      <c r="Q63" s="15" t="str">
        <f aca="false">IF(OR(D63="Proyecto",D63="Riesgos",D63="Obs. Auditoría"),"Sí","No")</f>
        <v>No</v>
      </c>
      <c r="R63" s="15" t="str">
        <f aca="false">IF(I63="","",IF(I63&lt;=H63,1,0))</f>
        <v/>
      </c>
    </row>
    <row r="64" customFormat="false" ht="15" hidden="false" customHeight="false" outlineLevel="0" collapsed="false">
      <c r="A64" s="10" t="n">
        <v>2026</v>
      </c>
      <c r="B64" s="10" t="s">
        <v>268</v>
      </c>
      <c r="C64" s="11" t="s">
        <v>269</v>
      </c>
      <c r="D64" s="10" t="s">
        <v>172</v>
      </c>
      <c r="E64" s="10" t="s">
        <v>242</v>
      </c>
      <c r="F64" s="11" t="s">
        <v>242</v>
      </c>
      <c r="G64" s="12" t="n">
        <v>46082</v>
      </c>
      <c r="H64" s="12" t="n">
        <v>46272</v>
      </c>
      <c r="I64" s="12" t="n">
        <v>46272</v>
      </c>
      <c r="J64" s="13" t="n">
        <v>1</v>
      </c>
      <c r="K64" s="10" t="s">
        <v>132</v>
      </c>
      <c r="L64" s="11"/>
      <c r="M64" s="14" t="n">
        <f aca="false">IF(OR(G64="",H64=""),"",IF(H64&lt;=G64,1,MIN(1,MAX(0,(Parámetros!$B$4-G64)/(H64-G64)))))</f>
        <v>1</v>
      </c>
      <c r="N64" s="14" t="n">
        <f aca="false">IF(M64="","",J64-M64)</f>
        <v>0</v>
      </c>
      <c r="O64" s="15" t="str">
        <f aca="false">IF(J64&gt;=1,"Completado",IF(H64="","Sin fecha plan",IF(H64&lt;Parámetros!$B$4,"Atrasado",IF(J64&lt;=0,"No iniciado","En proceso"))))</f>
        <v>Completado</v>
      </c>
      <c r="P64" s="15" t="n">
        <f aca="false">IF(AND(J64&lt;1,H64&lt;&gt;"",H64&lt;Parámetros!$B$4),Parámetros!$B$4-H64,0)</f>
        <v>0</v>
      </c>
      <c r="Q64" s="15" t="str">
        <f aca="false">IF(OR(D64="Proyecto",D64="Riesgos",D64="Obs. Auditoría"),"Sí","No")</f>
        <v>No</v>
      </c>
      <c r="R64" s="15" t="n">
        <f aca="false">IF(I64="","",IF(I64&lt;=H64,1,0))</f>
        <v>1</v>
      </c>
    </row>
    <row r="65" customFormat="false" ht="28.35" hidden="false" customHeight="false" outlineLevel="0" collapsed="false">
      <c r="A65" s="10" t="n">
        <v>2026</v>
      </c>
      <c r="B65" s="10" t="s">
        <v>268</v>
      </c>
      <c r="C65" s="11" t="s">
        <v>270</v>
      </c>
      <c r="D65" s="10" t="s">
        <v>115</v>
      </c>
      <c r="E65" s="10" t="s">
        <v>121</v>
      </c>
      <c r="F65" s="11" t="s">
        <v>271</v>
      </c>
      <c r="G65" s="12" t="n">
        <v>46162</v>
      </c>
      <c r="H65" s="12" t="n">
        <v>46387</v>
      </c>
      <c r="I65" s="12"/>
      <c r="J65" s="13" t="n">
        <v>0.25</v>
      </c>
      <c r="K65" s="10" t="s">
        <v>132</v>
      </c>
      <c r="L65" s="11" t="s">
        <v>272</v>
      </c>
      <c r="M65" s="14" t="n">
        <f aca="false">IF(OR(G65="",H65=""),"",IF(H65&lt;=G65,1,MIN(1,MAX(0,(Parámetros!$B$4-G65)/(H65-G65)))))</f>
        <v>0.533333333333333</v>
      </c>
      <c r="N65" s="14" t="n">
        <f aca="false">IF(M65="","",J65-M65)</f>
        <v>-0.283333333333333</v>
      </c>
      <c r="O65" s="15" t="str">
        <f aca="false">IF(J65&gt;=1,"Completado",IF(H65="","Sin fecha plan",IF(H65&lt;Parámetros!$B$4,"Atrasado",IF(J65&lt;=0,"No iniciado","En proceso"))))</f>
        <v>En proceso</v>
      </c>
      <c r="P65" s="15" t="n">
        <f aca="false">IF(AND(J65&lt;1,H65&lt;&gt;"",H65&lt;Parámetros!$B$4),Parámetros!$B$4-H65,0)</f>
        <v>0</v>
      </c>
      <c r="Q65" s="15" t="str">
        <f aca="false">IF(OR(D65="Proyecto",D65="Riesgos",D65="Obs. Auditoría"),"Sí","No")</f>
        <v>No</v>
      </c>
      <c r="R65" s="15" t="str">
        <f aca="false">IF(I65="","",IF(I65&lt;=H65,1,0))</f>
        <v/>
      </c>
    </row>
    <row r="66" customFormat="false" ht="28.35" hidden="false" customHeight="false" outlineLevel="0" collapsed="false">
      <c r="A66" s="10" t="n">
        <v>2026</v>
      </c>
      <c r="B66" s="10" t="s">
        <v>268</v>
      </c>
      <c r="C66" s="11" t="s">
        <v>273</v>
      </c>
      <c r="D66" s="10" t="s">
        <v>115</v>
      </c>
      <c r="E66" s="10" t="s">
        <v>242</v>
      </c>
      <c r="F66" s="11" t="s">
        <v>274</v>
      </c>
      <c r="G66" s="12" t="n">
        <v>46212</v>
      </c>
      <c r="H66" s="12" t="n">
        <v>46326</v>
      </c>
      <c r="I66" s="12"/>
      <c r="J66" s="13" t="n">
        <v>0.15</v>
      </c>
      <c r="K66" s="10" t="s">
        <v>132</v>
      </c>
      <c r="L66" s="11" t="s">
        <v>275</v>
      </c>
      <c r="M66" s="14" t="n">
        <f aca="false">IF(OR(G66="",H66=""),"",IF(H66&lt;=G66,1,MIN(1,MAX(0,(Parámetros!$B$4-G66)/(H66-G66)))))</f>
        <v>0.614035087719298</v>
      </c>
      <c r="N66" s="14" t="n">
        <f aca="false">IF(M66="","",J66-M66)</f>
        <v>-0.464035087719298</v>
      </c>
      <c r="O66" s="15" t="str">
        <f aca="false">IF(J66&gt;=1,"Completado",IF(H66="","Sin fecha plan",IF(H66&lt;Parámetros!$B$4,"Atrasado",IF(J66&lt;=0,"No iniciado","En proceso"))))</f>
        <v>En proceso</v>
      </c>
      <c r="P66" s="15" t="n">
        <f aca="false">IF(AND(J66&lt;1,H66&lt;&gt;"",H66&lt;Parámetros!$B$4),Parámetros!$B$4-H66,0)</f>
        <v>0</v>
      </c>
      <c r="Q66" s="15" t="str">
        <f aca="false">IF(OR(D66="Proyecto",D66="Riesgos",D66="Obs. Auditoría"),"Sí","No")</f>
        <v>No</v>
      </c>
      <c r="R66" s="15" t="str">
        <f aca="false">IF(I66="","",IF(I66&lt;=H66,1,0))</f>
        <v/>
      </c>
    </row>
    <row r="67" customFormat="false" ht="19.4" hidden="false" customHeight="false" outlineLevel="0" collapsed="false">
      <c r="A67" s="10" t="n">
        <v>2026</v>
      </c>
      <c r="B67" s="10" t="s">
        <v>190</v>
      </c>
      <c r="C67" s="11" t="s">
        <v>276</v>
      </c>
      <c r="D67" s="10" t="s">
        <v>172</v>
      </c>
      <c r="E67" s="10" t="s">
        <v>242</v>
      </c>
      <c r="F67" s="11" t="s">
        <v>242</v>
      </c>
      <c r="G67" s="12" t="n">
        <v>46113</v>
      </c>
      <c r="H67" s="12"/>
      <c r="I67" s="12"/>
      <c r="J67" s="13" t="n">
        <v>1</v>
      </c>
      <c r="K67" s="10" t="s">
        <v>132</v>
      </c>
      <c r="L67" s="11" t="s">
        <v>277</v>
      </c>
      <c r="M67" s="14" t="str">
        <f aca="false">IF(OR(G67="",H67=""),"",IF(H67&lt;=G67,1,MIN(1,MAX(0,(Parámetros!$B$4-G67)/(H67-G67)))))</f>
        <v/>
      </c>
      <c r="N67" s="14" t="str">
        <f aca="false">IF(M67="","",J67-M67)</f>
        <v/>
      </c>
      <c r="O67" s="15" t="str">
        <f aca="false">IF(J67&gt;=1,"Completado",IF(H67="","Sin fecha plan",IF(H67&lt;Parámetros!$B$4,"Atrasado",IF(J67&lt;=0,"No iniciado","En proceso"))))</f>
        <v>Completado</v>
      </c>
      <c r="P67" s="15" t="n">
        <f aca="false">IF(AND(J67&lt;1,H67&lt;&gt;"",H67&lt;Parámetros!$B$4),Parámetros!$B$4-H67,0)</f>
        <v>0</v>
      </c>
      <c r="Q67" s="15" t="str">
        <f aca="false">IF(OR(D67="Proyecto",D67="Riesgos",D67="Obs. Auditoría"),"Sí","No")</f>
        <v>No</v>
      </c>
      <c r="R67" s="15" t="str">
        <f aca="false">IF(I67="","",IF(I67&lt;=H67,1,0))</f>
        <v/>
      </c>
    </row>
    <row r="68" customFormat="false" ht="37.3" hidden="false" customHeight="false" outlineLevel="0" collapsed="false">
      <c r="A68" s="10" t="n">
        <v>2026</v>
      </c>
      <c r="B68" s="10" t="s">
        <v>278</v>
      </c>
      <c r="C68" s="11" t="s">
        <v>279</v>
      </c>
      <c r="D68" s="10" t="s">
        <v>115</v>
      </c>
      <c r="E68" s="10" t="s">
        <v>124</v>
      </c>
      <c r="F68" s="11" t="s">
        <v>184</v>
      </c>
      <c r="G68" s="12" t="n">
        <v>46210</v>
      </c>
      <c r="H68" s="12" t="n">
        <v>46248</v>
      </c>
      <c r="I68" s="12" t="n">
        <v>46248</v>
      </c>
      <c r="J68" s="13" t="n">
        <v>1</v>
      </c>
      <c r="K68" s="10" t="s">
        <v>117</v>
      </c>
      <c r="L68" s="11" t="s">
        <v>280</v>
      </c>
      <c r="M68" s="14" t="n">
        <f aca="false">IF(OR(G68="",H68=""),"",IF(H68&lt;=G68,1,MIN(1,MAX(0,(Parámetros!$B$4-G68)/(H68-G68)))))</f>
        <v>1</v>
      </c>
      <c r="N68" s="14" t="n">
        <f aca="false">IF(M68="","",J68-M68)</f>
        <v>0</v>
      </c>
      <c r="O68" s="15" t="str">
        <f aca="false">IF(J68&gt;=1,"Completado",IF(H68="","Sin fecha plan",IF(H68&lt;Parámetros!$B$4,"Atrasado",IF(J68&lt;=0,"No iniciado","En proceso"))))</f>
        <v>Completado</v>
      </c>
      <c r="P68" s="15" t="n">
        <f aca="false">IF(AND(J68&lt;1,H68&lt;&gt;"",H68&lt;Parámetros!$B$4),Parámetros!$B$4-H68,0)</f>
        <v>0</v>
      </c>
      <c r="Q68" s="15" t="str">
        <f aca="false">IF(OR(D68="Proyecto",D68="Riesgos",D68="Obs. Auditoría"),"Sí","No")</f>
        <v>No</v>
      </c>
      <c r="R68" s="15" t="n">
        <f aca="false">IF(I68="","",IF(I68&lt;=H68,1,0))</f>
        <v>1</v>
      </c>
    </row>
    <row r="69" customFormat="false" ht="28.35" hidden="false" customHeight="false" outlineLevel="0" collapsed="false">
      <c r="A69" s="10" t="n">
        <v>2026</v>
      </c>
      <c r="B69" s="10" t="s">
        <v>281</v>
      </c>
      <c r="C69" s="11" t="s">
        <v>282</v>
      </c>
      <c r="D69" s="10" t="s">
        <v>137</v>
      </c>
      <c r="E69" s="10" t="s">
        <v>242</v>
      </c>
      <c r="F69" s="11" t="s">
        <v>283</v>
      </c>
      <c r="G69" s="12" t="n">
        <v>46113</v>
      </c>
      <c r="H69" s="12"/>
      <c r="I69" s="12"/>
      <c r="J69" s="13" t="n">
        <v>1</v>
      </c>
      <c r="K69" s="10" t="s">
        <v>117</v>
      </c>
      <c r="L69" s="11" t="s">
        <v>284</v>
      </c>
      <c r="M69" s="14" t="str">
        <f aca="false">IF(OR(G69="",H69=""),"",IF(H69&lt;=G69,1,MIN(1,MAX(0,(Parámetros!$B$4-G69)/(H69-G69)))))</f>
        <v/>
      </c>
      <c r="N69" s="14" t="str">
        <f aca="false">IF(M69="","",J69-M69)</f>
        <v/>
      </c>
      <c r="O69" s="15" t="str">
        <f aca="false">IF(J69&gt;=1,"Completado",IF(H69="","Sin fecha plan",IF(H69&lt;Parámetros!$B$4,"Atrasado",IF(J69&lt;=0,"No iniciado","En proceso"))))</f>
        <v>Completado</v>
      </c>
      <c r="P69" s="15" t="n">
        <f aca="false">IF(AND(J69&lt;1,H69&lt;&gt;"",H69&lt;Parámetros!$B$4),Parámetros!$B$4-H69,0)</f>
        <v>0</v>
      </c>
      <c r="Q69" s="15" t="str">
        <f aca="false">IF(OR(D69="Proyecto",D69="Riesgos",D69="Obs. Auditoría"),"Sí","No")</f>
        <v>No</v>
      </c>
      <c r="R69" s="15" t="str">
        <f aca="false">IF(I69="","",IF(I69&lt;=H69,1,0))</f>
        <v/>
      </c>
    </row>
    <row r="70" customFormat="false" ht="28.35" hidden="false" customHeight="false" outlineLevel="0" collapsed="false">
      <c r="A70" s="10" t="n">
        <v>2026</v>
      </c>
      <c r="B70" s="10" t="s">
        <v>285</v>
      </c>
      <c r="C70" s="11" t="s">
        <v>286</v>
      </c>
      <c r="D70" s="10" t="s">
        <v>115</v>
      </c>
      <c r="E70" s="10" t="s">
        <v>124</v>
      </c>
      <c r="F70" s="11" t="s">
        <v>152</v>
      </c>
      <c r="G70" s="12" t="n">
        <v>46154</v>
      </c>
      <c r="H70" s="12" t="n">
        <v>46169</v>
      </c>
      <c r="I70" s="12" t="n">
        <v>46169</v>
      </c>
      <c r="J70" s="13" t="n">
        <v>1</v>
      </c>
      <c r="K70" s="10" t="s">
        <v>117</v>
      </c>
      <c r="L70" s="11" t="s">
        <v>287</v>
      </c>
      <c r="M70" s="14" t="n">
        <f aca="false">IF(OR(G70="",H70=""),"",IF(H70&lt;=G70,1,MIN(1,MAX(0,(Parámetros!$B$4-G70)/(H70-G70)))))</f>
        <v>1</v>
      </c>
      <c r="N70" s="14" t="n">
        <f aca="false">IF(M70="","",J70-M70)</f>
        <v>0</v>
      </c>
      <c r="O70" s="15" t="str">
        <f aca="false">IF(J70&gt;=1,"Completado",IF(H70="","Sin fecha plan",IF(H70&lt;Parámetros!$B$4,"Atrasado",IF(J70&lt;=0,"No iniciado","En proceso"))))</f>
        <v>Completado</v>
      </c>
      <c r="P70" s="15" t="n">
        <f aca="false">IF(AND(J70&lt;1,H70&lt;&gt;"",H70&lt;Parámetros!$B$4),Parámetros!$B$4-H70,0)</f>
        <v>0</v>
      </c>
      <c r="Q70" s="15" t="str">
        <f aca="false">IF(OR(D70="Proyecto",D70="Riesgos",D70="Obs. Auditoría"),"Sí","No")</f>
        <v>No</v>
      </c>
      <c r="R70" s="15" t="n">
        <f aca="false">IF(I70="","",IF(I70&lt;=H70,1,0))</f>
        <v>1</v>
      </c>
    </row>
    <row r="71" customFormat="false" ht="46.25" hidden="false" customHeight="false" outlineLevel="0" collapsed="false">
      <c r="A71" s="10" t="n">
        <v>2026</v>
      </c>
      <c r="B71" s="10" t="s">
        <v>285</v>
      </c>
      <c r="C71" s="11" t="s">
        <v>288</v>
      </c>
      <c r="D71" s="10" t="s">
        <v>155</v>
      </c>
      <c r="E71" s="10" t="s">
        <v>124</v>
      </c>
      <c r="F71" s="11" t="s">
        <v>152</v>
      </c>
      <c r="G71" s="12" t="n">
        <v>46190</v>
      </c>
      <c r="H71" s="12" t="n">
        <v>46198</v>
      </c>
      <c r="I71" s="12" t="n">
        <v>46198</v>
      </c>
      <c r="J71" s="13" t="n">
        <v>1</v>
      </c>
      <c r="K71" s="10" t="s">
        <v>117</v>
      </c>
      <c r="L71" s="11" t="s">
        <v>289</v>
      </c>
      <c r="M71" s="14" t="n">
        <f aca="false">IF(OR(G71="",H71=""),"",IF(H71&lt;=G71,1,MIN(1,MAX(0,(Parámetros!$B$4-G71)/(H71-G71)))))</f>
        <v>1</v>
      </c>
      <c r="N71" s="14" t="n">
        <f aca="false">IF(M71="","",J71-M71)</f>
        <v>0</v>
      </c>
      <c r="O71" s="15" t="str">
        <f aca="false">IF(J71&gt;=1,"Completado",IF(H71="","Sin fecha plan",IF(H71&lt;Parámetros!$B$4,"Atrasado",IF(J71&lt;=0,"No iniciado","En proceso"))))</f>
        <v>Completado</v>
      </c>
      <c r="P71" s="15" t="n">
        <f aca="false">IF(AND(J71&lt;1,H71&lt;&gt;"",H71&lt;Parámetros!$B$4),Parámetros!$B$4-H71,0)</f>
        <v>0</v>
      </c>
      <c r="Q71" s="15" t="str">
        <f aca="false">IF(OR(D71="Proyecto",D71="Riesgos",D71="Obs. Auditoría"),"Sí","No")</f>
        <v>Sí</v>
      </c>
      <c r="R71" s="15" t="n">
        <f aca="false">IF(I71="","",IF(I71&lt;=H71,1,0))</f>
        <v>1</v>
      </c>
    </row>
    <row r="72" customFormat="false" ht="46.25" hidden="false" customHeight="false" outlineLevel="0" collapsed="false">
      <c r="A72" s="10" t="n">
        <v>2026</v>
      </c>
      <c r="B72" s="10" t="s">
        <v>285</v>
      </c>
      <c r="C72" s="11" t="s">
        <v>290</v>
      </c>
      <c r="D72" s="10" t="s">
        <v>115</v>
      </c>
      <c r="E72" s="10" t="s">
        <v>124</v>
      </c>
      <c r="F72" s="11" t="s">
        <v>124</v>
      </c>
      <c r="G72" s="12" t="n">
        <v>46184</v>
      </c>
      <c r="H72" s="12" t="n">
        <v>46191</v>
      </c>
      <c r="I72" s="12" t="n">
        <v>46191</v>
      </c>
      <c r="J72" s="13" t="n">
        <v>1</v>
      </c>
      <c r="K72" s="10" t="s">
        <v>117</v>
      </c>
      <c r="L72" s="11" t="s">
        <v>291</v>
      </c>
      <c r="M72" s="14" t="n">
        <f aca="false">IF(OR(G72="",H72=""),"",IF(H72&lt;=G72,1,MIN(1,MAX(0,(Parámetros!$B$4-G72)/(H72-G72)))))</f>
        <v>1</v>
      </c>
      <c r="N72" s="14" t="n">
        <f aca="false">IF(M72="","",J72-M72)</f>
        <v>0</v>
      </c>
      <c r="O72" s="15" t="str">
        <f aca="false">IF(J72&gt;=1,"Completado",IF(H72="","Sin fecha plan",IF(H72&lt;Parámetros!$B$4,"Atrasado",IF(J72&lt;=0,"No iniciado","En proceso"))))</f>
        <v>Completado</v>
      </c>
      <c r="P72" s="15" t="n">
        <f aca="false">IF(AND(J72&lt;1,H72&lt;&gt;"",H72&lt;Parámetros!$B$4),Parámetros!$B$4-H72,0)</f>
        <v>0</v>
      </c>
      <c r="Q72" s="15" t="str">
        <f aca="false">IF(OR(D72="Proyecto",D72="Riesgos",D72="Obs. Auditoría"),"Sí","No")</f>
        <v>No</v>
      </c>
      <c r="R72" s="15" t="n">
        <f aca="false">IF(I72="","",IF(I72&lt;=H72,1,0))</f>
        <v>1</v>
      </c>
    </row>
    <row r="73" customFormat="false" ht="37.3" hidden="false" customHeight="false" outlineLevel="0" collapsed="false">
      <c r="A73" s="10" t="n">
        <v>2026</v>
      </c>
      <c r="B73" s="10" t="s">
        <v>285</v>
      </c>
      <c r="C73" s="11" t="s">
        <v>292</v>
      </c>
      <c r="D73" s="10" t="s">
        <v>115</v>
      </c>
      <c r="E73" s="10" t="s">
        <v>124</v>
      </c>
      <c r="F73" s="11" t="s">
        <v>124</v>
      </c>
      <c r="G73" s="12" t="n">
        <v>46237</v>
      </c>
      <c r="H73" s="12" t="n">
        <v>46272</v>
      </c>
      <c r="I73" s="12"/>
      <c r="J73" s="13" t="n">
        <v>0.3</v>
      </c>
      <c r="K73" s="10" t="s">
        <v>117</v>
      </c>
      <c r="L73" s="11" t="s">
        <v>293</v>
      </c>
      <c r="M73" s="14" t="n">
        <f aca="false">IF(OR(G73="",H73=""),"",IF(H73&lt;=G73,1,MIN(1,MAX(0,(Parámetros!$B$4-G73)/(H73-G73)))))</f>
        <v>1</v>
      </c>
      <c r="N73" s="14" t="n">
        <f aca="false">IF(M73="","",J73-M73)</f>
        <v>-0.7</v>
      </c>
      <c r="O73" s="15" t="str">
        <f aca="false">IF(J73&gt;=1,"Completado",IF(H73="","Sin fecha plan",IF(H73&lt;Parámetros!$B$4,"Atrasado",IF(J73&lt;=0,"No iniciado","En proceso"))))</f>
        <v>Atrasado</v>
      </c>
      <c r="P73" s="15" t="n">
        <f aca="false">IF(AND(J73&lt;1,H73&lt;&gt;"",H73&lt;Parámetros!$B$4),Parámetros!$B$4-H73,0)</f>
        <v>10</v>
      </c>
      <c r="Q73" s="15" t="str">
        <f aca="false">IF(OR(D73="Proyecto",D73="Riesgos",D73="Obs. Auditoría"),"Sí","No")</f>
        <v>No</v>
      </c>
      <c r="R73" s="15" t="str">
        <f aca="false">IF(I73="","",IF(I73&lt;=H73,1,0))</f>
        <v/>
      </c>
    </row>
    <row r="74" customFormat="false" ht="46.25" hidden="false" customHeight="false" outlineLevel="0" collapsed="false">
      <c r="A74" s="10" t="n">
        <v>2026</v>
      </c>
      <c r="B74" s="10" t="s">
        <v>294</v>
      </c>
      <c r="C74" s="11" t="s">
        <v>295</v>
      </c>
      <c r="D74" s="10" t="s">
        <v>115</v>
      </c>
      <c r="E74" s="10" t="s">
        <v>124</v>
      </c>
      <c r="F74" s="11" t="s">
        <v>124</v>
      </c>
      <c r="G74" s="12" t="n">
        <v>46223</v>
      </c>
      <c r="H74" s="12" t="n">
        <v>46265</v>
      </c>
      <c r="I74" s="12" t="n">
        <v>46265</v>
      </c>
      <c r="J74" s="13" t="n">
        <v>1</v>
      </c>
      <c r="K74" s="10" t="s">
        <v>117</v>
      </c>
      <c r="L74" s="11" t="s">
        <v>296</v>
      </c>
      <c r="M74" s="14" t="n">
        <f aca="false">IF(OR(G74="",H74=""),"",IF(H74&lt;=G74,1,MIN(1,MAX(0,(Parámetros!$B$4-G74)/(H74-G74)))))</f>
        <v>1</v>
      </c>
      <c r="N74" s="14" t="n">
        <f aca="false">IF(M74="","",J74-M74)</f>
        <v>0</v>
      </c>
      <c r="O74" s="15" t="str">
        <f aca="false">IF(J74&gt;=1,"Completado",IF(H74="","Sin fecha plan",IF(H74&lt;Parámetros!$B$4,"Atrasado",IF(J74&lt;=0,"No iniciado","En proceso"))))</f>
        <v>Completado</v>
      </c>
      <c r="P74" s="15" t="n">
        <f aca="false">IF(AND(J74&lt;1,H74&lt;&gt;"",H74&lt;Parámetros!$B$4),Parámetros!$B$4-H74,0)</f>
        <v>0</v>
      </c>
      <c r="Q74" s="15" t="str">
        <f aca="false">IF(OR(D74="Proyecto",D74="Riesgos",D74="Obs. Auditoría"),"Sí","No")</f>
        <v>No</v>
      </c>
      <c r="R74" s="15" t="n">
        <f aca="false">IF(I74="","",IF(I74&lt;=H74,1,0))</f>
        <v>1</v>
      </c>
    </row>
    <row r="75" customFormat="false" ht="19.4" hidden="false" customHeight="false" outlineLevel="0" collapsed="false">
      <c r="A75" s="10" t="n">
        <v>2026</v>
      </c>
      <c r="B75" s="10" t="s">
        <v>297</v>
      </c>
      <c r="C75" s="11" t="s">
        <v>298</v>
      </c>
      <c r="D75" s="10" t="s">
        <v>115</v>
      </c>
      <c r="E75" s="10" t="s">
        <v>124</v>
      </c>
      <c r="F75" s="11" t="s">
        <v>184</v>
      </c>
      <c r="G75" s="12" t="n">
        <v>46174</v>
      </c>
      <c r="H75" s="12" t="n">
        <v>46203</v>
      </c>
      <c r="I75" s="12" t="n">
        <v>46203</v>
      </c>
      <c r="J75" s="13" t="n">
        <v>1</v>
      </c>
      <c r="K75" s="10" t="s">
        <v>223</v>
      </c>
      <c r="L75" s="11" t="s">
        <v>299</v>
      </c>
      <c r="M75" s="14" t="n">
        <f aca="false">IF(OR(G75="",H75=""),"",IF(H75&lt;=G75,1,MIN(1,MAX(0,(Parámetros!$B$4-G75)/(H75-G75)))))</f>
        <v>1</v>
      </c>
      <c r="N75" s="14" t="n">
        <f aca="false">IF(M75="","",J75-M75)</f>
        <v>0</v>
      </c>
      <c r="O75" s="15" t="str">
        <f aca="false">IF(J75&gt;=1,"Completado",IF(H75="","Sin fecha plan",IF(H75&lt;Parámetros!$B$4,"Atrasado",IF(J75&lt;=0,"No iniciado","En proceso"))))</f>
        <v>Completado</v>
      </c>
      <c r="P75" s="15" t="n">
        <f aca="false">IF(AND(J75&lt;1,H75&lt;&gt;"",H75&lt;Parámetros!$B$4),Parámetros!$B$4-H75,0)</f>
        <v>0</v>
      </c>
      <c r="Q75" s="15" t="str">
        <f aca="false">IF(OR(D75="Proyecto",D75="Riesgos",D75="Obs. Auditoría"),"Sí","No")</f>
        <v>No</v>
      </c>
      <c r="R75" s="15" t="n">
        <f aca="false">IF(I75="","",IF(I75&lt;=H75,1,0))</f>
        <v>1</v>
      </c>
    </row>
    <row r="76" customFormat="false" ht="19.4" hidden="false" customHeight="false" outlineLevel="0" collapsed="false">
      <c r="A76" s="10" t="n">
        <v>2026</v>
      </c>
      <c r="B76" s="10" t="s">
        <v>297</v>
      </c>
      <c r="C76" s="11" t="s">
        <v>300</v>
      </c>
      <c r="D76" s="10" t="s">
        <v>115</v>
      </c>
      <c r="E76" s="10" t="s">
        <v>124</v>
      </c>
      <c r="F76" s="11" t="s">
        <v>124</v>
      </c>
      <c r="G76" s="12" t="n">
        <v>46217</v>
      </c>
      <c r="H76" s="12" t="n">
        <v>46225</v>
      </c>
      <c r="I76" s="12" t="n">
        <v>46225</v>
      </c>
      <c r="J76" s="13" t="n">
        <v>1</v>
      </c>
      <c r="K76" s="10" t="s">
        <v>223</v>
      </c>
      <c r="L76" s="11" t="s">
        <v>301</v>
      </c>
      <c r="M76" s="14" t="n">
        <f aca="false">IF(OR(G76="",H76=""),"",IF(H76&lt;=G76,1,MIN(1,MAX(0,(Parámetros!$B$4-G76)/(H76-G76)))))</f>
        <v>1</v>
      </c>
      <c r="N76" s="14" t="n">
        <f aca="false">IF(M76="","",J76-M76)</f>
        <v>0</v>
      </c>
      <c r="O76" s="15" t="str">
        <f aca="false">IF(J76&gt;=1,"Completado",IF(H76="","Sin fecha plan",IF(H76&lt;Parámetros!$B$4,"Atrasado",IF(J76&lt;=0,"No iniciado","En proceso"))))</f>
        <v>Completado</v>
      </c>
      <c r="P76" s="15" t="n">
        <f aca="false">IF(AND(J76&lt;1,H76&lt;&gt;"",H76&lt;Parámetros!$B$4),Parámetros!$B$4-H76,0)</f>
        <v>0</v>
      </c>
      <c r="Q76" s="15" t="str">
        <f aca="false">IF(OR(D76="Proyecto",D76="Riesgos",D76="Obs. Auditoría"),"Sí","No")</f>
        <v>No</v>
      </c>
      <c r="R76" s="15" t="n">
        <f aca="false">IF(I76="","",IF(I76&lt;=H76,1,0))</f>
        <v>1</v>
      </c>
    </row>
    <row r="77" customFormat="false" ht="19.4" hidden="false" customHeight="false" outlineLevel="0" collapsed="false">
      <c r="A77" s="10" t="n">
        <v>2026</v>
      </c>
      <c r="B77" s="10" t="s">
        <v>297</v>
      </c>
      <c r="C77" s="11" t="s">
        <v>302</v>
      </c>
      <c r="D77" s="10" t="s">
        <v>115</v>
      </c>
      <c r="E77" s="10" t="s">
        <v>124</v>
      </c>
      <c r="F77" s="11" t="s">
        <v>124</v>
      </c>
      <c r="G77" s="12" t="n">
        <v>46210</v>
      </c>
      <c r="H77" s="12" t="n">
        <v>46217</v>
      </c>
      <c r="I77" s="12" t="n">
        <v>46217</v>
      </c>
      <c r="J77" s="13" t="n">
        <v>1</v>
      </c>
      <c r="K77" s="10" t="s">
        <v>223</v>
      </c>
      <c r="L77" s="11" t="s">
        <v>303</v>
      </c>
      <c r="M77" s="14" t="n">
        <f aca="false">IF(OR(G77="",H77=""),"",IF(H77&lt;=G77,1,MIN(1,MAX(0,(Parámetros!$B$4-G77)/(H77-G77)))))</f>
        <v>1</v>
      </c>
      <c r="N77" s="14" t="n">
        <f aca="false">IF(M77="","",J77-M77)</f>
        <v>0</v>
      </c>
      <c r="O77" s="15" t="str">
        <f aca="false">IF(J77&gt;=1,"Completado",IF(H77="","Sin fecha plan",IF(H77&lt;Parámetros!$B$4,"Atrasado",IF(J77&lt;=0,"No iniciado","En proceso"))))</f>
        <v>Completado</v>
      </c>
      <c r="P77" s="15" t="n">
        <f aca="false">IF(AND(J77&lt;1,H77&lt;&gt;"",H77&lt;Parámetros!$B$4),Parámetros!$B$4-H77,0)</f>
        <v>0</v>
      </c>
      <c r="Q77" s="15" t="str">
        <f aca="false">IF(OR(D77="Proyecto",D77="Riesgos",D77="Obs. Auditoría"),"Sí","No")</f>
        <v>No</v>
      </c>
      <c r="R77" s="15" t="n">
        <f aca="false">IF(I77="","",IF(I77&lt;=H77,1,0))</f>
        <v>1</v>
      </c>
    </row>
    <row r="78" customFormat="false" ht="37.3" hidden="false" customHeight="false" outlineLevel="0" collapsed="false">
      <c r="A78" s="10" t="n">
        <v>2026</v>
      </c>
      <c r="B78" s="10" t="s">
        <v>304</v>
      </c>
      <c r="C78" s="11" t="s">
        <v>305</v>
      </c>
      <c r="D78" s="10" t="s">
        <v>146</v>
      </c>
      <c r="E78" s="10" t="s">
        <v>306</v>
      </c>
      <c r="F78" s="11" t="s">
        <v>307</v>
      </c>
      <c r="G78" s="12" t="n">
        <v>46192</v>
      </c>
      <c r="H78" s="12" t="n">
        <v>46199</v>
      </c>
      <c r="I78" s="12" t="n">
        <v>46199</v>
      </c>
      <c r="J78" s="13" t="n">
        <v>1</v>
      </c>
      <c r="K78" s="10" t="s">
        <v>147</v>
      </c>
      <c r="L78" s="11" t="s">
        <v>308</v>
      </c>
      <c r="M78" s="14" t="n">
        <f aca="false">IF(OR(G78="",H78=""),"",IF(H78&lt;=G78,1,MIN(1,MAX(0,(Parámetros!$B$4-G78)/(H78-G78)))))</f>
        <v>1</v>
      </c>
      <c r="N78" s="14" t="n">
        <f aca="false">IF(M78="","",J78-M78)</f>
        <v>0</v>
      </c>
      <c r="O78" s="15" t="str">
        <f aca="false">IF(J78&gt;=1,"Completado",IF(H78="","Sin fecha plan",IF(H78&lt;Parámetros!$B$4,"Atrasado",IF(J78&lt;=0,"No iniciado","En proceso"))))</f>
        <v>Completado</v>
      </c>
      <c r="P78" s="15" t="n">
        <f aca="false">IF(AND(J78&lt;1,H78&lt;&gt;"",H78&lt;Parámetros!$B$4),Parámetros!$B$4-H78,0)</f>
        <v>0</v>
      </c>
      <c r="Q78" s="15" t="str">
        <f aca="false">IF(OR(D78="Proyecto",D78="Riesgos",D78="Obs. Auditoría"),"Sí","No")</f>
        <v>No</v>
      </c>
      <c r="R78" s="15" t="n">
        <f aca="false">IF(I78="","",IF(I78&lt;=H78,1,0))</f>
        <v>1</v>
      </c>
    </row>
    <row r="79" customFormat="false" ht="64.15" hidden="false" customHeight="false" outlineLevel="0" collapsed="false">
      <c r="A79" s="10" t="n">
        <v>2026</v>
      </c>
      <c r="B79" s="10" t="s">
        <v>309</v>
      </c>
      <c r="C79" s="11" t="s">
        <v>310</v>
      </c>
      <c r="D79" s="10" t="s">
        <v>115</v>
      </c>
      <c r="E79" s="10" t="s">
        <v>124</v>
      </c>
      <c r="F79" s="11" t="s">
        <v>311</v>
      </c>
      <c r="G79" s="12" t="n">
        <v>46218</v>
      </c>
      <c r="H79" s="12" t="n">
        <v>46326</v>
      </c>
      <c r="I79" s="12"/>
      <c r="J79" s="13" t="n">
        <v>0.4</v>
      </c>
      <c r="K79" s="10" t="s">
        <v>117</v>
      </c>
      <c r="L79" s="11" t="s">
        <v>312</v>
      </c>
      <c r="M79" s="14" t="n">
        <f aca="false">IF(OR(G79="",H79=""),"",IF(H79&lt;=G79,1,MIN(1,MAX(0,(Parámetros!$B$4-G79)/(H79-G79)))))</f>
        <v>0.592592592592593</v>
      </c>
      <c r="N79" s="14" t="n">
        <f aca="false">IF(M79="","",J79-M79)</f>
        <v>-0.192592592592593</v>
      </c>
      <c r="O79" s="15" t="str">
        <f aca="false">IF(J79&gt;=1,"Completado",IF(H79="","Sin fecha plan",IF(H79&lt;Parámetros!$B$4,"Atrasado",IF(J79&lt;=0,"No iniciado","En proceso"))))</f>
        <v>En proceso</v>
      </c>
      <c r="P79" s="15" t="n">
        <f aca="false">IF(AND(J79&lt;1,H79&lt;&gt;"",H79&lt;Parámetros!$B$4),Parámetros!$B$4-H79,0)</f>
        <v>0</v>
      </c>
      <c r="Q79" s="15" t="str">
        <f aca="false">IF(OR(D79="Proyecto",D79="Riesgos",D79="Obs. Auditoría"),"Sí","No")</f>
        <v>No</v>
      </c>
      <c r="R79" s="15" t="str">
        <f aca="false">IF(I79="","",IF(I79&lt;=H79,1,0))</f>
        <v/>
      </c>
    </row>
    <row r="80" customFormat="false" ht="28.35" hidden="false" customHeight="false" outlineLevel="0" collapsed="false">
      <c r="A80" s="10" t="n">
        <v>2026</v>
      </c>
      <c r="B80" s="10" t="s">
        <v>313</v>
      </c>
      <c r="C80" s="11" t="s">
        <v>314</v>
      </c>
      <c r="D80" s="10" t="s">
        <v>172</v>
      </c>
      <c r="E80" s="10" t="s">
        <v>306</v>
      </c>
      <c r="F80" s="11" t="s">
        <v>306</v>
      </c>
      <c r="G80" s="12" t="n">
        <v>46225</v>
      </c>
      <c r="H80" s="12" t="n">
        <v>46233</v>
      </c>
      <c r="I80" s="12" t="n">
        <v>46233</v>
      </c>
      <c r="J80" s="13" t="n">
        <v>1</v>
      </c>
      <c r="K80" s="10" t="s">
        <v>117</v>
      </c>
      <c r="L80" s="11" t="s">
        <v>315</v>
      </c>
      <c r="M80" s="14" t="n">
        <f aca="false">IF(OR(G80="",H80=""),"",IF(H80&lt;=G80,1,MIN(1,MAX(0,(Parámetros!$B$4-G80)/(H80-G80)))))</f>
        <v>1</v>
      </c>
      <c r="N80" s="14" t="n">
        <f aca="false">IF(M80="","",J80-M80)</f>
        <v>0</v>
      </c>
      <c r="O80" s="15" t="str">
        <f aca="false">IF(J80&gt;=1,"Completado",IF(H80="","Sin fecha plan",IF(H80&lt;Parámetros!$B$4,"Atrasado",IF(J80&lt;=0,"No iniciado","En proceso"))))</f>
        <v>Completado</v>
      </c>
      <c r="P80" s="15" t="n">
        <f aca="false">IF(AND(J80&lt;1,H80&lt;&gt;"",H80&lt;Parámetros!$B$4),Parámetros!$B$4-H80,0)</f>
        <v>0</v>
      </c>
      <c r="Q80" s="15" t="str">
        <f aca="false">IF(OR(D80="Proyecto",D80="Riesgos",D80="Obs. Auditoría"),"Sí","No")</f>
        <v>No</v>
      </c>
      <c r="R80" s="15" t="n">
        <f aca="false">IF(I80="","",IF(I80&lt;=H80,1,0))</f>
        <v>1</v>
      </c>
    </row>
    <row r="81" customFormat="false" ht="15" hidden="false" customHeight="false" outlineLevel="0" collapsed="false">
      <c r="A81" s="10" t="n">
        <v>2026</v>
      </c>
      <c r="B81" s="10" t="s">
        <v>316</v>
      </c>
      <c r="C81" s="11" t="s">
        <v>317</v>
      </c>
      <c r="D81" s="10" t="s">
        <v>155</v>
      </c>
      <c r="E81" s="10" t="s">
        <v>121</v>
      </c>
      <c r="F81" s="11" t="s">
        <v>121</v>
      </c>
      <c r="G81" s="12" t="n">
        <v>46113</v>
      </c>
      <c r="H81" s="12" t="n">
        <v>46265</v>
      </c>
      <c r="I81" s="12"/>
      <c r="J81" s="13" t="n">
        <v>0.05</v>
      </c>
      <c r="K81" s="10" t="s">
        <v>132</v>
      </c>
      <c r="L81" s="11" t="s">
        <v>318</v>
      </c>
      <c r="M81" s="14" t="n">
        <f aca="false">IF(OR(G81="",H81=""),"",IF(H81&lt;=G81,1,MIN(1,MAX(0,(Parámetros!$B$4-G81)/(H81-G81)))))</f>
        <v>1</v>
      </c>
      <c r="N81" s="14" t="n">
        <f aca="false">IF(M81="","",J81-M81)</f>
        <v>-0.95</v>
      </c>
      <c r="O81" s="15" t="str">
        <f aca="false">IF(J81&gt;=1,"Completado",IF(H81="","Sin fecha plan",IF(H81&lt;Parámetros!$B$4,"Atrasado",IF(J81&lt;=0,"No iniciado","En proceso"))))</f>
        <v>Atrasado</v>
      </c>
      <c r="P81" s="15" t="n">
        <f aca="false">IF(AND(J81&lt;1,H81&lt;&gt;"",H81&lt;Parámetros!$B$4),Parámetros!$B$4-H81,0)</f>
        <v>17</v>
      </c>
      <c r="Q81" s="15" t="str">
        <f aca="false">IF(OR(D81="Proyecto",D81="Riesgos",D81="Obs. Auditoría"),"Sí","No")</f>
        <v>Sí</v>
      </c>
      <c r="R81" s="15" t="str">
        <f aca="false">IF(I81="","",IF(I81&lt;=H81,1,0))</f>
        <v/>
      </c>
    </row>
    <row r="82" customFormat="false" ht="19.4" hidden="false" customHeight="false" outlineLevel="0" collapsed="false">
      <c r="A82" s="10" t="n">
        <v>2026</v>
      </c>
      <c r="B82" s="10" t="s">
        <v>316</v>
      </c>
      <c r="C82" s="11" t="s">
        <v>319</v>
      </c>
      <c r="D82" s="10" t="s">
        <v>155</v>
      </c>
      <c r="E82" s="10" t="s">
        <v>121</v>
      </c>
      <c r="F82" s="11" t="s">
        <v>121</v>
      </c>
      <c r="G82" s="12" t="n">
        <v>46023</v>
      </c>
      <c r="H82" s="12" t="n">
        <v>46387</v>
      </c>
      <c r="I82" s="12"/>
      <c r="J82" s="13" t="n">
        <v>0.5</v>
      </c>
      <c r="K82" s="10" t="s">
        <v>132</v>
      </c>
      <c r="L82" s="11" t="s">
        <v>320</v>
      </c>
      <c r="M82" s="14" t="n">
        <f aca="false">IF(OR(G82="",H82=""),"",IF(H82&lt;=G82,1,MIN(1,MAX(0,(Parámetros!$B$4-G82)/(H82-G82)))))</f>
        <v>0.711538461538462</v>
      </c>
      <c r="N82" s="14" t="n">
        <f aca="false">IF(M82="","",J82-M82)</f>
        <v>-0.211538461538462</v>
      </c>
      <c r="O82" s="15" t="str">
        <f aca="false">IF(J82&gt;=1,"Completado",IF(H82="","Sin fecha plan",IF(H82&lt;Parámetros!$B$4,"Atrasado",IF(J82&lt;=0,"No iniciado","En proceso"))))</f>
        <v>En proceso</v>
      </c>
      <c r="P82" s="15" t="n">
        <f aca="false">IF(AND(J82&lt;1,H82&lt;&gt;"",H82&lt;Parámetros!$B$4),Parámetros!$B$4-H82,0)</f>
        <v>0</v>
      </c>
      <c r="Q82" s="15" t="str">
        <f aca="false">IF(OR(D82="Proyecto",D82="Riesgos",D82="Obs. Auditoría"),"Sí","No")</f>
        <v>Sí</v>
      </c>
      <c r="R82" s="15" t="str">
        <f aca="false">IF(I82="","",IF(I82&lt;=H82,1,0))</f>
        <v/>
      </c>
    </row>
    <row r="83" customFormat="false" ht="37.3" hidden="false" customHeight="false" outlineLevel="0" collapsed="false">
      <c r="A83" s="10" t="n">
        <v>2026</v>
      </c>
      <c r="B83" s="10" t="s">
        <v>316</v>
      </c>
      <c r="C83" s="11" t="s">
        <v>321</v>
      </c>
      <c r="D83" s="10" t="s">
        <v>137</v>
      </c>
      <c r="E83" s="10" t="s">
        <v>121</v>
      </c>
      <c r="F83" s="11" t="s">
        <v>121</v>
      </c>
      <c r="G83" s="12" t="n">
        <v>46113</v>
      </c>
      <c r="H83" s="12" t="n">
        <v>46265</v>
      </c>
      <c r="I83" s="12"/>
      <c r="J83" s="13" t="n">
        <v>0.2</v>
      </c>
      <c r="K83" s="10" t="s">
        <v>132</v>
      </c>
      <c r="L83" s="11" t="s">
        <v>322</v>
      </c>
      <c r="M83" s="14" t="n">
        <f aca="false">IF(OR(G83="",H83=""),"",IF(H83&lt;=G83,1,MIN(1,MAX(0,(Parámetros!$B$4-G83)/(H83-G83)))))</f>
        <v>1</v>
      </c>
      <c r="N83" s="14" t="n">
        <f aca="false">IF(M83="","",J83-M83)</f>
        <v>-0.8</v>
      </c>
      <c r="O83" s="15" t="str">
        <f aca="false">IF(J83&gt;=1,"Completado",IF(H83="","Sin fecha plan",IF(H83&lt;Parámetros!$B$4,"Atrasado",IF(J83&lt;=0,"No iniciado","En proceso"))))</f>
        <v>Atrasado</v>
      </c>
      <c r="P83" s="15" t="n">
        <f aca="false">IF(AND(J83&lt;1,H83&lt;&gt;"",H83&lt;Parámetros!$B$4),Parámetros!$B$4-H83,0)</f>
        <v>17</v>
      </c>
      <c r="Q83" s="15" t="str">
        <f aca="false">IF(OR(D83="Proyecto",D83="Riesgos",D83="Obs. Auditoría"),"Sí","No")</f>
        <v>No</v>
      </c>
      <c r="R83" s="15" t="str">
        <f aca="false">IF(I83="","",IF(I83&lt;=H83,1,0))</f>
        <v/>
      </c>
    </row>
    <row r="84" customFormat="false" ht="28.35" hidden="false" customHeight="false" outlineLevel="0" collapsed="false">
      <c r="A84" s="10" t="n">
        <v>2026</v>
      </c>
      <c r="B84" s="10" t="s">
        <v>316</v>
      </c>
      <c r="C84" s="11" t="s">
        <v>323</v>
      </c>
      <c r="D84" s="10" t="s">
        <v>115</v>
      </c>
      <c r="E84" s="10" t="s">
        <v>121</v>
      </c>
      <c r="F84" s="11" t="s">
        <v>121</v>
      </c>
      <c r="G84" s="12" t="n">
        <v>46023</v>
      </c>
      <c r="H84" s="12" t="n">
        <v>46295</v>
      </c>
      <c r="I84" s="12"/>
      <c r="J84" s="13" t="n">
        <v>0.71</v>
      </c>
      <c r="K84" s="10" t="s">
        <v>132</v>
      </c>
      <c r="L84" s="11" t="s">
        <v>324</v>
      </c>
      <c r="M84" s="14" t="n">
        <f aca="false">IF(OR(G84="",H84=""),"",IF(H84&lt;=G84,1,MIN(1,MAX(0,(Parámetros!$B$4-G84)/(H84-G84)))))</f>
        <v>0.952205882352941</v>
      </c>
      <c r="N84" s="14" t="n">
        <f aca="false">IF(M84="","",J84-M84)</f>
        <v>-0.242205882352941</v>
      </c>
      <c r="O84" s="15" t="str">
        <f aca="false">IF(J84&gt;=1,"Completado",IF(H84="","Sin fecha plan",IF(H84&lt;Parámetros!$B$4,"Atrasado",IF(J84&lt;=0,"No iniciado","En proceso"))))</f>
        <v>En proceso</v>
      </c>
      <c r="P84" s="15" t="n">
        <f aca="false">IF(AND(J84&lt;1,H84&lt;&gt;"",H84&lt;Parámetros!$B$4),Parámetros!$B$4-H84,0)</f>
        <v>0</v>
      </c>
      <c r="Q84" s="15" t="str">
        <f aca="false">IF(OR(D84="Proyecto",D84="Riesgos",D84="Obs. Auditoría"),"Sí","No")</f>
        <v>No</v>
      </c>
      <c r="R84" s="15" t="str">
        <f aca="false">IF(I84="","",IF(I84&lt;=H84,1,0))</f>
        <v/>
      </c>
    </row>
    <row r="85" customFormat="false" ht="19.4" hidden="false" customHeight="false" outlineLevel="0" collapsed="false">
      <c r="A85" s="10" t="n">
        <v>2026</v>
      </c>
      <c r="B85" s="10" t="s">
        <v>325</v>
      </c>
      <c r="C85" s="11" t="s">
        <v>326</v>
      </c>
      <c r="D85" s="10" t="s">
        <v>155</v>
      </c>
      <c r="E85" s="10" t="s">
        <v>121</v>
      </c>
      <c r="F85" s="11" t="s">
        <v>327</v>
      </c>
      <c r="G85" s="12" t="n">
        <v>46175</v>
      </c>
      <c r="H85" s="12" t="n">
        <v>46234</v>
      </c>
      <c r="I85" s="12"/>
      <c r="J85" s="13" t="n">
        <v>0.75</v>
      </c>
      <c r="K85" s="10" t="s">
        <v>132</v>
      </c>
      <c r="L85" s="11" t="s">
        <v>328</v>
      </c>
      <c r="M85" s="14" t="n">
        <f aca="false">IF(OR(G85="",H85=""),"",IF(H85&lt;=G85,1,MIN(1,MAX(0,(Parámetros!$B$4-G85)/(H85-G85)))))</f>
        <v>1</v>
      </c>
      <c r="N85" s="14" t="n">
        <f aca="false">IF(M85="","",J85-M85)</f>
        <v>-0.25</v>
      </c>
      <c r="O85" s="15" t="str">
        <f aca="false">IF(J85&gt;=1,"Completado",IF(H85="","Sin fecha plan",IF(H85&lt;Parámetros!$B$4,"Atrasado",IF(J85&lt;=0,"No iniciado","En proceso"))))</f>
        <v>Atrasado</v>
      </c>
      <c r="P85" s="15" t="n">
        <f aca="false">IF(AND(J85&lt;1,H85&lt;&gt;"",H85&lt;Parámetros!$B$4),Parámetros!$B$4-H85,0)</f>
        <v>48</v>
      </c>
      <c r="Q85" s="15" t="str">
        <f aca="false">IF(OR(D85="Proyecto",D85="Riesgos",D85="Obs. Auditoría"),"Sí","No")</f>
        <v>Sí</v>
      </c>
      <c r="R85" s="15" t="str">
        <f aca="false">IF(I85="","",IF(I85&lt;=H85,1,0))</f>
        <v/>
      </c>
    </row>
    <row r="86" customFormat="false" ht="37.3" hidden="false" customHeight="false" outlineLevel="0" collapsed="false">
      <c r="A86" s="10" t="n">
        <v>2026</v>
      </c>
      <c r="B86" s="10" t="s">
        <v>329</v>
      </c>
      <c r="C86" s="11" t="s">
        <v>330</v>
      </c>
      <c r="D86" s="10" t="s">
        <v>115</v>
      </c>
      <c r="E86" s="10" t="s">
        <v>121</v>
      </c>
      <c r="F86" s="11" t="s">
        <v>327</v>
      </c>
      <c r="G86" s="12" t="n">
        <v>46023</v>
      </c>
      <c r="H86" s="12" t="n">
        <v>46326</v>
      </c>
      <c r="I86" s="12"/>
      <c r="J86" s="13" t="n">
        <v>0.75</v>
      </c>
      <c r="K86" s="10" t="s">
        <v>132</v>
      </c>
      <c r="L86" s="11" t="s">
        <v>331</v>
      </c>
      <c r="M86" s="14" t="n">
        <f aca="false">IF(OR(G86="",H86=""),"",IF(H86&lt;=G86,1,MIN(1,MAX(0,(Parámetros!$B$4-G86)/(H86-G86)))))</f>
        <v>0.854785478547855</v>
      </c>
      <c r="N86" s="14" t="n">
        <f aca="false">IF(M86="","",J86-M86)</f>
        <v>-0.104785478547855</v>
      </c>
      <c r="O86" s="15" t="str">
        <f aca="false">IF(J86&gt;=1,"Completado",IF(H86="","Sin fecha plan",IF(H86&lt;Parámetros!$B$4,"Atrasado",IF(J86&lt;=0,"No iniciado","En proceso"))))</f>
        <v>En proceso</v>
      </c>
      <c r="P86" s="15" t="n">
        <f aca="false">IF(AND(J86&lt;1,H86&lt;&gt;"",H86&lt;Parámetros!$B$4),Parámetros!$B$4-H86,0)</f>
        <v>0</v>
      </c>
      <c r="Q86" s="15" t="str">
        <f aca="false">IF(OR(D86="Proyecto",D86="Riesgos",D86="Obs. Auditoría"),"Sí","No")</f>
        <v>No</v>
      </c>
      <c r="R86" s="15" t="str">
        <f aca="false">IF(I86="","",IF(I86&lt;=H86,1,0))</f>
        <v/>
      </c>
    </row>
    <row r="87" customFormat="false" ht="37.3" hidden="false" customHeight="false" outlineLevel="0" collapsed="false">
      <c r="A87" s="10" t="n">
        <v>2026</v>
      </c>
      <c r="B87" s="10" t="s">
        <v>332</v>
      </c>
      <c r="C87" s="11" t="s">
        <v>333</v>
      </c>
      <c r="D87" s="10" t="s">
        <v>172</v>
      </c>
      <c r="E87" s="10" t="s">
        <v>121</v>
      </c>
      <c r="F87" s="11" t="s">
        <v>327</v>
      </c>
      <c r="G87" s="12" t="n">
        <v>46164</v>
      </c>
      <c r="H87" s="12" t="n">
        <v>46206</v>
      </c>
      <c r="I87" s="12" t="n">
        <v>46206</v>
      </c>
      <c r="J87" s="13" t="n">
        <v>1</v>
      </c>
      <c r="K87" s="10" t="s">
        <v>132</v>
      </c>
      <c r="L87" s="11" t="s">
        <v>334</v>
      </c>
      <c r="M87" s="14" t="n">
        <f aca="false">IF(OR(G87="",H87=""),"",IF(H87&lt;=G87,1,MIN(1,MAX(0,(Parámetros!$B$4-G87)/(H87-G87)))))</f>
        <v>1</v>
      </c>
      <c r="N87" s="14" t="n">
        <f aca="false">IF(M87="","",J87-M87)</f>
        <v>0</v>
      </c>
      <c r="O87" s="15" t="str">
        <f aca="false">IF(J87&gt;=1,"Completado",IF(H87="","Sin fecha plan",IF(H87&lt;Parámetros!$B$4,"Atrasado",IF(J87&lt;=0,"No iniciado","En proceso"))))</f>
        <v>Completado</v>
      </c>
      <c r="P87" s="15" t="n">
        <f aca="false">IF(AND(J87&lt;1,H87&lt;&gt;"",H87&lt;Parámetros!$B$4),Parámetros!$B$4-H87,0)</f>
        <v>0</v>
      </c>
      <c r="Q87" s="15" t="str">
        <f aca="false">IF(OR(D87="Proyecto",D87="Riesgos",D87="Obs. Auditoría"),"Sí","No")</f>
        <v>No</v>
      </c>
      <c r="R87" s="15" t="n">
        <f aca="false">IF(I87="","",IF(I87&lt;=H87,1,0))</f>
        <v>1</v>
      </c>
    </row>
    <row r="88" customFormat="false" ht="55.2" hidden="false" customHeight="false" outlineLevel="0" collapsed="false">
      <c r="A88" s="10" t="n">
        <v>2026</v>
      </c>
      <c r="B88" s="10" t="s">
        <v>335</v>
      </c>
      <c r="C88" s="11" t="s">
        <v>336</v>
      </c>
      <c r="D88" s="10" t="s">
        <v>137</v>
      </c>
      <c r="E88" s="10" t="s">
        <v>121</v>
      </c>
      <c r="F88" s="11" t="s">
        <v>121</v>
      </c>
      <c r="G88" s="12" t="n">
        <v>46113</v>
      </c>
      <c r="H88" s="12" t="n">
        <v>46265</v>
      </c>
      <c r="I88" s="12" t="n">
        <v>46265</v>
      </c>
      <c r="J88" s="13" t="n">
        <v>1</v>
      </c>
      <c r="K88" s="10" t="s">
        <v>132</v>
      </c>
      <c r="L88" s="11" t="s">
        <v>337</v>
      </c>
      <c r="M88" s="14" t="n">
        <f aca="false">IF(OR(G88="",H88=""),"",IF(H88&lt;=G88,1,MIN(1,MAX(0,(Parámetros!$B$4-G88)/(H88-G88)))))</f>
        <v>1</v>
      </c>
      <c r="N88" s="14" t="n">
        <f aca="false">IF(M88="","",J88-M88)</f>
        <v>0</v>
      </c>
      <c r="O88" s="15" t="str">
        <f aca="false">IF(J88&gt;=1,"Completado",IF(H88="","Sin fecha plan",IF(H88&lt;Parámetros!$B$4,"Atrasado",IF(J88&lt;=0,"No iniciado","En proceso"))))</f>
        <v>Completado</v>
      </c>
      <c r="P88" s="15" t="n">
        <f aca="false">IF(AND(J88&lt;1,H88&lt;&gt;"",H88&lt;Parámetros!$B$4),Parámetros!$B$4-H88,0)</f>
        <v>0</v>
      </c>
      <c r="Q88" s="15" t="str">
        <f aca="false">IF(OR(D88="Proyecto",D88="Riesgos",D88="Obs. Auditoría"),"Sí","No")</f>
        <v>No</v>
      </c>
      <c r="R88" s="15" t="n">
        <f aca="false">IF(I88="","",IF(I88&lt;=H88,1,0))</f>
        <v>1</v>
      </c>
    </row>
    <row r="89" customFormat="false" ht="19.4" hidden="false" customHeight="false" outlineLevel="0" collapsed="false">
      <c r="A89" s="10" t="n">
        <v>2026</v>
      </c>
      <c r="B89" s="10" t="s">
        <v>335</v>
      </c>
      <c r="C89" s="11" t="s">
        <v>338</v>
      </c>
      <c r="D89" s="10" t="s">
        <v>339</v>
      </c>
      <c r="E89" s="10" t="s">
        <v>121</v>
      </c>
      <c r="F89" s="11" t="s">
        <v>121</v>
      </c>
      <c r="G89" s="12" t="n">
        <v>46023</v>
      </c>
      <c r="H89" s="12" t="n">
        <v>46356</v>
      </c>
      <c r="I89" s="12"/>
      <c r="J89" s="13" t="n">
        <v>0.9</v>
      </c>
      <c r="K89" s="10" t="s">
        <v>132</v>
      </c>
      <c r="L89" s="11" t="s">
        <v>340</v>
      </c>
      <c r="M89" s="14" t="n">
        <f aca="false">IF(OR(G89="",H89=""),"",IF(H89&lt;=G89,1,MIN(1,MAX(0,(Parámetros!$B$4-G89)/(H89-G89)))))</f>
        <v>0.777777777777778</v>
      </c>
      <c r="N89" s="14" t="n">
        <f aca="false">IF(M89="","",J89-M89)</f>
        <v>0.122222222222222</v>
      </c>
      <c r="O89" s="15" t="str">
        <f aca="false">IF(J89&gt;=1,"Completado",IF(H89="","Sin fecha plan",IF(H89&lt;Parámetros!$B$4,"Atrasado",IF(J89&lt;=0,"No iniciado","En proceso"))))</f>
        <v>En proceso</v>
      </c>
      <c r="P89" s="15" t="n">
        <f aca="false">IF(AND(J89&lt;1,H89&lt;&gt;"",H89&lt;Parámetros!$B$4),Parámetros!$B$4-H89,0)</f>
        <v>0</v>
      </c>
      <c r="Q89" s="15" t="str">
        <f aca="false">IF(OR(D89="Proyecto",D89="Riesgos",D89="Obs. Auditoría"),"Sí","No")</f>
        <v>Sí</v>
      </c>
      <c r="R89" s="15" t="str">
        <f aca="false">IF(I89="","",IF(I89&lt;=H89,1,0))</f>
        <v/>
      </c>
    </row>
    <row r="90" customFormat="false" ht="19.4" hidden="false" customHeight="false" outlineLevel="0" collapsed="false">
      <c r="A90" s="10" t="n">
        <v>2026</v>
      </c>
      <c r="B90" s="10" t="s">
        <v>335</v>
      </c>
      <c r="C90" s="11" t="s">
        <v>341</v>
      </c>
      <c r="D90" s="10" t="s">
        <v>172</v>
      </c>
      <c r="E90" s="10" t="s">
        <v>242</v>
      </c>
      <c r="F90" s="11" t="s">
        <v>243</v>
      </c>
      <c r="G90" s="12" t="n">
        <v>46224</v>
      </c>
      <c r="H90" s="12" t="n">
        <v>46325</v>
      </c>
      <c r="I90" s="12"/>
      <c r="J90" s="13" t="n">
        <v>0.2</v>
      </c>
      <c r="K90" s="10" t="s">
        <v>132</v>
      </c>
      <c r="L90" s="11" t="s">
        <v>342</v>
      </c>
      <c r="M90" s="14" t="n">
        <f aca="false">IF(OR(G90="",H90=""),"",IF(H90&lt;=G90,1,MIN(1,MAX(0,(Parámetros!$B$4-G90)/(H90-G90)))))</f>
        <v>0.574257425742574</v>
      </c>
      <c r="N90" s="14" t="n">
        <f aca="false">IF(M90="","",J90-M90)</f>
        <v>-0.374257425742574</v>
      </c>
      <c r="O90" s="15" t="str">
        <f aca="false">IF(J90&gt;=1,"Completado",IF(H90="","Sin fecha plan",IF(H90&lt;Parámetros!$B$4,"Atrasado",IF(J90&lt;=0,"No iniciado","En proceso"))))</f>
        <v>En proceso</v>
      </c>
      <c r="P90" s="15" t="n">
        <f aca="false">IF(AND(J90&lt;1,H90&lt;&gt;"",H90&lt;Parámetros!$B$4),Parámetros!$B$4-H90,0)</f>
        <v>0</v>
      </c>
      <c r="Q90" s="15" t="str">
        <f aca="false">IF(OR(D90="Proyecto",D90="Riesgos",D90="Obs. Auditoría"),"Sí","No")</f>
        <v>No</v>
      </c>
      <c r="R90" s="15" t="str">
        <f aca="false">IF(I90="","",IF(I90&lt;=H90,1,0))</f>
        <v/>
      </c>
    </row>
    <row r="91" customFormat="false" ht="19.4" hidden="false" customHeight="false" outlineLevel="0" collapsed="false">
      <c r="A91" s="10" t="n">
        <v>2026</v>
      </c>
      <c r="B91" s="10" t="s">
        <v>335</v>
      </c>
      <c r="C91" s="11" t="s">
        <v>343</v>
      </c>
      <c r="D91" s="10" t="s">
        <v>115</v>
      </c>
      <c r="E91" s="10" t="s">
        <v>121</v>
      </c>
      <c r="F91" s="11" t="s">
        <v>121</v>
      </c>
      <c r="G91" s="12" t="n">
        <v>46204</v>
      </c>
      <c r="H91" s="12" t="n">
        <v>46235</v>
      </c>
      <c r="I91" s="12" t="n">
        <v>46235</v>
      </c>
      <c r="J91" s="13" t="n">
        <v>1</v>
      </c>
      <c r="K91" s="10" t="s">
        <v>132</v>
      </c>
      <c r="L91" s="11" t="s">
        <v>344</v>
      </c>
      <c r="M91" s="14" t="n">
        <f aca="false">IF(OR(G91="",H91=""),"",IF(H91&lt;=G91,1,MIN(1,MAX(0,(Parámetros!$B$4-G91)/(H91-G91)))))</f>
        <v>1</v>
      </c>
      <c r="N91" s="14" t="n">
        <f aca="false">IF(M91="","",J91-M91)</f>
        <v>0</v>
      </c>
      <c r="O91" s="15" t="str">
        <f aca="false">IF(J91&gt;=1,"Completado",IF(H91="","Sin fecha plan",IF(H91&lt;Parámetros!$B$4,"Atrasado",IF(J91&lt;=0,"No iniciado","En proceso"))))</f>
        <v>Completado</v>
      </c>
      <c r="P91" s="15" t="n">
        <f aca="false">IF(AND(J91&lt;1,H91&lt;&gt;"",H91&lt;Parámetros!$B$4),Parámetros!$B$4-H91,0)</f>
        <v>0</v>
      </c>
      <c r="Q91" s="15" t="str">
        <f aca="false">IF(OR(D91="Proyecto",D91="Riesgos",D91="Obs. Auditoría"),"Sí","No")</f>
        <v>No</v>
      </c>
      <c r="R91" s="15" t="n">
        <f aca="false">IF(I91="","",IF(I91&lt;=H91,1,0))</f>
        <v>1</v>
      </c>
    </row>
    <row r="92" customFormat="false" ht="15" hidden="false" customHeight="false" outlineLevel="0" collapsed="false">
      <c r="A92" s="10" t="n">
        <v>2026</v>
      </c>
      <c r="B92" s="10" t="s">
        <v>335</v>
      </c>
      <c r="C92" s="11" t="s">
        <v>345</v>
      </c>
      <c r="D92" s="10" t="s">
        <v>172</v>
      </c>
      <c r="E92" s="10" t="s">
        <v>121</v>
      </c>
      <c r="F92" s="11" t="s">
        <v>121</v>
      </c>
      <c r="G92" s="12" t="n">
        <v>46235</v>
      </c>
      <c r="H92" s="12" t="n">
        <v>46266</v>
      </c>
      <c r="I92" s="12" t="n">
        <v>46266</v>
      </c>
      <c r="J92" s="13" t="n">
        <v>1</v>
      </c>
      <c r="K92" s="10" t="s">
        <v>132</v>
      </c>
      <c r="L92" s="11" t="s">
        <v>346</v>
      </c>
      <c r="M92" s="14" t="n">
        <f aca="false">IF(OR(G92="",H92=""),"",IF(H92&lt;=G92,1,MIN(1,MAX(0,(Parámetros!$B$4-G92)/(H92-G92)))))</f>
        <v>1</v>
      </c>
      <c r="N92" s="14" t="n">
        <f aca="false">IF(M92="","",J92-M92)</f>
        <v>0</v>
      </c>
      <c r="O92" s="15" t="str">
        <f aca="false">IF(J92&gt;=1,"Completado",IF(H92="","Sin fecha plan",IF(H92&lt;Parámetros!$B$4,"Atrasado",IF(J92&lt;=0,"No iniciado","En proceso"))))</f>
        <v>Completado</v>
      </c>
      <c r="P92" s="15" t="n">
        <f aca="false">IF(AND(J92&lt;1,H92&lt;&gt;"",H92&lt;Parámetros!$B$4),Parámetros!$B$4-H92,0)</f>
        <v>0</v>
      </c>
      <c r="Q92" s="15" t="str">
        <f aca="false">IF(OR(D92="Proyecto",D92="Riesgos",D92="Obs. Auditoría"),"Sí","No")</f>
        <v>No</v>
      </c>
      <c r="R92" s="15" t="n">
        <f aca="false">IF(I92="","",IF(I92&lt;=H92,1,0))</f>
        <v>1</v>
      </c>
    </row>
    <row r="93" customFormat="false" ht="28.35" hidden="false" customHeight="false" outlineLevel="0" collapsed="false">
      <c r="A93" s="10" t="n">
        <v>2026</v>
      </c>
      <c r="B93" s="10" t="s">
        <v>335</v>
      </c>
      <c r="C93" s="11" t="s">
        <v>347</v>
      </c>
      <c r="D93" s="10" t="s">
        <v>172</v>
      </c>
      <c r="E93" s="10" t="s">
        <v>121</v>
      </c>
      <c r="F93" s="11" t="s">
        <v>327</v>
      </c>
      <c r="G93" s="12" t="n">
        <v>46266</v>
      </c>
      <c r="H93" s="12" t="n">
        <v>46356</v>
      </c>
      <c r="I93" s="12"/>
      <c r="J93" s="13" t="n">
        <v>0.14</v>
      </c>
      <c r="K93" s="10" t="s">
        <v>132</v>
      </c>
      <c r="L93" s="11" t="s">
        <v>348</v>
      </c>
      <c r="M93" s="14" t="n">
        <f aca="false">IF(OR(G93="",H93=""),"",IF(H93&lt;=G93,1,MIN(1,MAX(0,(Parámetros!$B$4-G93)/(H93-G93)))))</f>
        <v>0.177777777777778</v>
      </c>
      <c r="N93" s="14" t="n">
        <f aca="false">IF(M93="","",J93-M93)</f>
        <v>-0.0377777777777778</v>
      </c>
      <c r="O93" s="15" t="str">
        <f aca="false">IF(J93&gt;=1,"Completado",IF(H93="","Sin fecha plan",IF(H93&lt;Parámetros!$B$4,"Atrasado",IF(J93&lt;=0,"No iniciado","En proceso"))))</f>
        <v>En proceso</v>
      </c>
      <c r="P93" s="15" t="n">
        <f aca="false">IF(AND(J93&lt;1,H93&lt;&gt;"",H93&lt;Parámetros!$B$4),Parámetros!$B$4-H93,0)</f>
        <v>0</v>
      </c>
      <c r="Q93" s="15" t="str">
        <f aca="false">IF(OR(D93="Proyecto",D93="Riesgos",D93="Obs. Auditoría"),"Sí","No")</f>
        <v>No</v>
      </c>
      <c r="R93" s="15" t="str">
        <f aca="false">IF(I93="","",IF(I93&lt;=H93,1,0))</f>
        <v/>
      </c>
    </row>
    <row r="94" customFormat="false" ht="28.35" hidden="false" customHeight="false" outlineLevel="0" collapsed="false">
      <c r="A94" s="10" t="n">
        <v>2026</v>
      </c>
      <c r="B94" s="10" t="s">
        <v>349</v>
      </c>
      <c r="C94" s="11" t="s">
        <v>350</v>
      </c>
      <c r="D94" s="10" t="s">
        <v>339</v>
      </c>
      <c r="E94" s="10" t="s">
        <v>242</v>
      </c>
      <c r="F94" s="11" t="s">
        <v>351</v>
      </c>
      <c r="G94" s="12" t="n">
        <v>46113</v>
      </c>
      <c r="H94" s="12" t="n">
        <v>46295</v>
      </c>
      <c r="I94" s="12"/>
      <c r="J94" s="13" t="n">
        <v>0.8</v>
      </c>
      <c r="K94" s="10" t="s">
        <v>223</v>
      </c>
      <c r="L94" s="11" t="s">
        <v>352</v>
      </c>
      <c r="M94" s="14" t="n">
        <f aca="false">IF(OR(G94="",H94=""),"",IF(H94&lt;=G94,1,MIN(1,MAX(0,(Parámetros!$B$4-G94)/(H94-G94)))))</f>
        <v>0.928571428571429</v>
      </c>
      <c r="N94" s="14" t="n">
        <f aca="false">IF(M94="","",J94-M94)</f>
        <v>-0.128571428571429</v>
      </c>
      <c r="O94" s="15" t="str">
        <f aca="false">IF(J94&gt;=1,"Completado",IF(H94="","Sin fecha plan",IF(H94&lt;Parámetros!$B$4,"Atrasado",IF(J94&lt;=0,"No iniciado","En proceso"))))</f>
        <v>En proceso</v>
      </c>
      <c r="P94" s="15" t="n">
        <f aca="false">IF(AND(J94&lt;1,H94&lt;&gt;"",H94&lt;Parámetros!$B$4),Parámetros!$B$4-H94,0)</f>
        <v>0</v>
      </c>
      <c r="Q94" s="15" t="str">
        <f aca="false">IF(OR(D94="Proyecto",D94="Riesgos",D94="Obs. Auditoría"),"Sí","No")</f>
        <v>Sí</v>
      </c>
      <c r="R94" s="15" t="str">
        <f aca="false">IF(I94="","",IF(I94&lt;=H94,1,0))</f>
        <v/>
      </c>
    </row>
    <row r="95" customFormat="false" ht="15" hidden="false" customHeight="false" outlineLevel="0" collapsed="false">
      <c r="A95" s="10" t="n">
        <v>2026</v>
      </c>
      <c r="B95" s="10" t="s">
        <v>349</v>
      </c>
      <c r="C95" s="11" t="s">
        <v>353</v>
      </c>
      <c r="D95" s="10" t="s">
        <v>172</v>
      </c>
      <c r="E95" s="10" t="s">
        <v>354</v>
      </c>
      <c r="F95" s="11" t="s">
        <v>354</v>
      </c>
      <c r="G95" s="12" t="n">
        <v>46204</v>
      </c>
      <c r="H95" s="12" t="n">
        <v>46387</v>
      </c>
      <c r="I95" s="12"/>
      <c r="J95" s="13" t="n">
        <v>0.05</v>
      </c>
      <c r="K95" s="10" t="s">
        <v>132</v>
      </c>
      <c r="L95" s="11"/>
      <c r="M95" s="14" t="n">
        <f aca="false">IF(OR(G95="",H95=""),"",IF(H95&lt;=G95,1,MIN(1,MAX(0,(Parámetros!$B$4-G95)/(H95-G95)))))</f>
        <v>0.426229508196721</v>
      </c>
      <c r="N95" s="14" t="n">
        <f aca="false">IF(M95="","",J95-M95)</f>
        <v>-0.376229508196721</v>
      </c>
      <c r="O95" s="15" t="str">
        <f aca="false">IF(J95&gt;=1,"Completado",IF(H95="","Sin fecha plan",IF(H95&lt;Parámetros!$B$4,"Atrasado",IF(J95&lt;=0,"No iniciado","En proceso"))))</f>
        <v>En proceso</v>
      </c>
      <c r="P95" s="15" t="n">
        <f aca="false">IF(AND(J95&lt;1,H95&lt;&gt;"",H95&lt;Parámetros!$B$4),Parámetros!$B$4-H95,0)</f>
        <v>0</v>
      </c>
      <c r="Q95" s="15" t="str">
        <f aca="false">IF(OR(D95="Proyecto",D95="Riesgos",D95="Obs. Auditoría"),"Sí","No")</f>
        <v>No</v>
      </c>
      <c r="R95" s="15" t="str">
        <f aca="false">IF(I95="","",IF(I95&lt;=H95,1,0))</f>
        <v/>
      </c>
    </row>
    <row r="96" customFormat="false" ht="15" hidden="false" customHeight="false" outlineLevel="0" collapsed="false">
      <c r="A96" s="10" t="n">
        <v>2026</v>
      </c>
      <c r="B96" s="10" t="s">
        <v>349</v>
      </c>
      <c r="C96" s="11" t="s">
        <v>355</v>
      </c>
      <c r="D96" s="10" t="s">
        <v>115</v>
      </c>
      <c r="E96" s="10" t="s">
        <v>242</v>
      </c>
      <c r="F96" s="11" t="s">
        <v>242</v>
      </c>
      <c r="G96" s="12" t="n">
        <v>46146</v>
      </c>
      <c r="H96" s="12" t="n">
        <v>46154</v>
      </c>
      <c r="I96" s="12" t="n">
        <v>46154</v>
      </c>
      <c r="J96" s="13" t="n">
        <v>1</v>
      </c>
      <c r="K96" s="10" t="s">
        <v>117</v>
      </c>
      <c r="L96" s="11"/>
      <c r="M96" s="14" t="n">
        <f aca="false">IF(OR(G96="",H96=""),"",IF(H96&lt;=G96,1,MIN(1,MAX(0,(Parámetros!$B$4-G96)/(H96-G96)))))</f>
        <v>1</v>
      </c>
      <c r="N96" s="14" t="n">
        <f aca="false">IF(M96="","",J96-M96)</f>
        <v>0</v>
      </c>
      <c r="O96" s="15" t="str">
        <f aca="false">IF(J96&gt;=1,"Completado",IF(H96="","Sin fecha plan",IF(H96&lt;Parámetros!$B$4,"Atrasado",IF(J96&lt;=0,"No iniciado","En proceso"))))</f>
        <v>Completado</v>
      </c>
      <c r="P96" s="15" t="n">
        <f aca="false">IF(AND(J96&lt;1,H96&lt;&gt;"",H96&lt;Parámetros!$B$4),Parámetros!$B$4-H96,0)</f>
        <v>0</v>
      </c>
      <c r="Q96" s="15" t="str">
        <f aca="false">IF(OR(D96="Proyecto",D96="Riesgos",D96="Obs. Auditoría"),"Sí","No")</f>
        <v>No</v>
      </c>
      <c r="R96" s="15" t="n">
        <f aca="false">IF(I96="","",IF(I96&lt;=H96,1,0))</f>
        <v>1</v>
      </c>
    </row>
    <row r="97" customFormat="false" ht="15" hidden="false" customHeight="false" outlineLevel="0" collapsed="false">
      <c r="A97" s="10" t="n">
        <v>2026</v>
      </c>
      <c r="B97" s="10" t="s">
        <v>349</v>
      </c>
      <c r="C97" s="11" t="s">
        <v>356</v>
      </c>
      <c r="D97" s="10" t="s">
        <v>357</v>
      </c>
      <c r="E97" s="10" t="s">
        <v>306</v>
      </c>
      <c r="F97" s="11" t="s">
        <v>306</v>
      </c>
      <c r="G97" s="12" t="n">
        <v>46082</v>
      </c>
      <c r="H97" s="12" t="n">
        <v>46183</v>
      </c>
      <c r="I97" s="12" t="n">
        <v>46183</v>
      </c>
      <c r="J97" s="13" t="n">
        <v>1</v>
      </c>
      <c r="K97" s="10" t="s">
        <v>223</v>
      </c>
      <c r="L97" s="11" t="s">
        <v>358</v>
      </c>
      <c r="M97" s="14" t="n">
        <f aca="false">IF(OR(G97="",H97=""),"",IF(H97&lt;=G97,1,MIN(1,MAX(0,(Parámetros!$B$4-G97)/(H97-G97)))))</f>
        <v>1</v>
      </c>
      <c r="N97" s="14" t="n">
        <f aca="false">IF(M97="","",J97-M97)</f>
        <v>0</v>
      </c>
      <c r="O97" s="15" t="str">
        <f aca="false">IF(J97&gt;=1,"Completado",IF(H97="","Sin fecha plan",IF(H97&lt;Parámetros!$B$4,"Atrasado",IF(J97&lt;=0,"No iniciado","En proceso"))))</f>
        <v>Completado</v>
      </c>
      <c r="P97" s="15" t="n">
        <f aca="false">IF(AND(J97&lt;1,H97&lt;&gt;"",H97&lt;Parámetros!$B$4),Parámetros!$B$4-H97,0)</f>
        <v>0</v>
      </c>
      <c r="Q97" s="15" t="str">
        <f aca="false">IF(OR(D97="Proyecto",D97="Riesgos",D97="Obs. Auditoría"),"Sí","No")</f>
        <v>Sí</v>
      </c>
      <c r="R97" s="15" t="n">
        <f aca="false">IF(I97="","",IF(I97&lt;=H97,1,0))</f>
        <v>1</v>
      </c>
    </row>
    <row r="98" customFormat="false" ht="28.35" hidden="false" customHeight="false" outlineLevel="0" collapsed="false">
      <c r="A98" s="10" t="n">
        <v>2026</v>
      </c>
      <c r="B98" s="10" t="s">
        <v>349</v>
      </c>
      <c r="C98" s="11" t="s">
        <v>359</v>
      </c>
      <c r="D98" s="10" t="s">
        <v>115</v>
      </c>
      <c r="E98" s="10" t="s">
        <v>306</v>
      </c>
      <c r="F98" s="11" t="s">
        <v>360</v>
      </c>
      <c r="G98" s="12" t="n">
        <v>46196</v>
      </c>
      <c r="H98" s="12" t="n">
        <v>46224</v>
      </c>
      <c r="I98" s="12" t="n">
        <v>46224</v>
      </c>
      <c r="J98" s="13" t="n">
        <v>1</v>
      </c>
      <c r="K98" s="10" t="s">
        <v>147</v>
      </c>
      <c r="L98" s="11" t="s">
        <v>361</v>
      </c>
      <c r="M98" s="14" t="n">
        <f aca="false">IF(OR(G98="",H98=""),"",IF(H98&lt;=G98,1,MIN(1,MAX(0,(Parámetros!$B$4-G98)/(H98-G98)))))</f>
        <v>1</v>
      </c>
      <c r="N98" s="14" t="n">
        <f aca="false">IF(M98="","",J98-M98)</f>
        <v>0</v>
      </c>
      <c r="O98" s="15" t="str">
        <f aca="false">IF(J98&gt;=1,"Completado",IF(H98="","Sin fecha plan",IF(H98&lt;Parámetros!$B$4,"Atrasado",IF(J98&lt;=0,"No iniciado","En proceso"))))</f>
        <v>Completado</v>
      </c>
      <c r="P98" s="15" t="n">
        <f aca="false">IF(AND(J98&lt;1,H98&lt;&gt;"",H98&lt;Parámetros!$B$4),Parámetros!$B$4-H98,0)</f>
        <v>0</v>
      </c>
      <c r="Q98" s="15" t="str">
        <f aca="false">IF(OR(D98="Proyecto",D98="Riesgos",D98="Obs. Auditoría"),"Sí","No")</f>
        <v>No</v>
      </c>
      <c r="R98" s="15" t="n">
        <f aca="false">IF(I98="","",IF(I98&lt;=H98,1,0))</f>
        <v>1</v>
      </c>
    </row>
    <row r="99" customFormat="false" ht="19.4" hidden="false" customHeight="false" outlineLevel="0" collapsed="false">
      <c r="A99" s="10" t="n">
        <v>2026</v>
      </c>
      <c r="B99" s="10" t="s">
        <v>349</v>
      </c>
      <c r="C99" s="11" t="s">
        <v>362</v>
      </c>
      <c r="D99" s="10" t="s">
        <v>115</v>
      </c>
      <c r="E99" s="10" t="s">
        <v>354</v>
      </c>
      <c r="F99" s="11" t="s">
        <v>354</v>
      </c>
      <c r="G99" s="12" t="n">
        <v>46082</v>
      </c>
      <c r="H99" s="12" t="n">
        <v>46295</v>
      </c>
      <c r="I99" s="12"/>
      <c r="J99" s="13" t="n">
        <v>0.05</v>
      </c>
      <c r="K99" s="10" t="s">
        <v>117</v>
      </c>
      <c r="L99" s="11" t="s">
        <v>363</v>
      </c>
      <c r="M99" s="14" t="n">
        <f aca="false">IF(OR(G99="",H99=""),"",IF(H99&lt;=G99,1,MIN(1,MAX(0,(Parámetros!$B$4-G99)/(H99-G99)))))</f>
        <v>0.938967136150235</v>
      </c>
      <c r="N99" s="14" t="n">
        <f aca="false">IF(M99="","",J99-M99)</f>
        <v>-0.888967136150235</v>
      </c>
      <c r="O99" s="15" t="str">
        <f aca="false">IF(J99&gt;=1,"Completado",IF(H99="","Sin fecha plan",IF(H99&lt;Parámetros!$B$4,"Atrasado",IF(J99&lt;=0,"No iniciado","En proceso"))))</f>
        <v>En proceso</v>
      </c>
      <c r="P99" s="15" t="n">
        <f aca="false">IF(AND(J99&lt;1,H99&lt;&gt;"",H99&lt;Parámetros!$B$4),Parámetros!$B$4-H99,0)</f>
        <v>0</v>
      </c>
      <c r="Q99" s="15" t="str">
        <f aca="false">IF(OR(D99="Proyecto",D99="Riesgos",D99="Obs. Auditoría"),"Sí","No")</f>
        <v>No</v>
      </c>
      <c r="R99" s="15" t="str">
        <f aca="false">IF(I99="","",IF(I99&lt;=H99,1,0))</f>
        <v/>
      </c>
    </row>
    <row r="100" customFormat="false" ht="19.4" hidden="false" customHeight="false" outlineLevel="0" collapsed="false">
      <c r="A100" s="10" t="n">
        <v>2026</v>
      </c>
      <c r="B100" s="10" t="s">
        <v>349</v>
      </c>
      <c r="C100" s="11" t="s">
        <v>364</v>
      </c>
      <c r="D100" s="10" t="s">
        <v>339</v>
      </c>
      <c r="E100" s="10" t="s">
        <v>306</v>
      </c>
      <c r="F100" s="11" t="s">
        <v>365</v>
      </c>
      <c r="G100" s="12" t="n">
        <v>46210</v>
      </c>
      <c r="H100" s="12" t="n">
        <v>46239</v>
      </c>
      <c r="I100" s="12" t="n">
        <v>46239</v>
      </c>
      <c r="J100" s="13" t="n">
        <v>1</v>
      </c>
      <c r="K100" s="10" t="s">
        <v>147</v>
      </c>
      <c r="L100" s="11" t="s">
        <v>366</v>
      </c>
      <c r="M100" s="14" t="n">
        <f aca="false">IF(OR(G100="",H100=""),"",IF(H100&lt;=G100,1,MIN(1,MAX(0,(Parámetros!$B$4-G100)/(H100-G100)))))</f>
        <v>1</v>
      </c>
      <c r="N100" s="14" t="n">
        <f aca="false">IF(M100="","",J100-M100)</f>
        <v>0</v>
      </c>
      <c r="O100" s="15" t="str">
        <f aca="false">IF(J100&gt;=1,"Completado",IF(H100="","Sin fecha plan",IF(H100&lt;Parámetros!$B$4,"Atrasado",IF(J100&lt;=0,"No iniciado","En proceso"))))</f>
        <v>Completado</v>
      </c>
      <c r="P100" s="15" t="n">
        <f aca="false">IF(AND(J100&lt;1,H100&lt;&gt;"",H100&lt;Parámetros!$B$4),Parámetros!$B$4-H100,0)</f>
        <v>0</v>
      </c>
      <c r="Q100" s="15" t="str">
        <f aca="false">IF(OR(D100="Proyecto",D100="Riesgos",D100="Obs. Auditoría"),"Sí","No")</f>
        <v>Sí</v>
      </c>
      <c r="R100" s="15" t="n">
        <f aca="false">IF(I100="","",IF(I100&lt;=H100,1,0))</f>
        <v>1</v>
      </c>
    </row>
    <row r="101" customFormat="false" ht="37.3" hidden="false" customHeight="false" outlineLevel="0" collapsed="false">
      <c r="A101" s="10" t="n">
        <v>2026</v>
      </c>
      <c r="B101" s="10" t="s">
        <v>349</v>
      </c>
      <c r="C101" s="11" t="s">
        <v>367</v>
      </c>
      <c r="D101" s="10" t="s">
        <v>339</v>
      </c>
      <c r="E101" s="10" t="s">
        <v>306</v>
      </c>
      <c r="F101" s="11" t="s">
        <v>365</v>
      </c>
      <c r="G101" s="12" t="n">
        <v>46133</v>
      </c>
      <c r="H101" s="12" t="n">
        <v>46156</v>
      </c>
      <c r="I101" s="12" t="n">
        <v>46156</v>
      </c>
      <c r="J101" s="13" t="n">
        <v>1</v>
      </c>
      <c r="K101" s="10" t="s">
        <v>147</v>
      </c>
      <c r="L101" s="11" t="s">
        <v>368</v>
      </c>
      <c r="M101" s="14" t="n">
        <f aca="false">IF(OR(G101="",H101=""),"",IF(H101&lt;=G101,1,MIN(1,MAX(0,(Parámetros!$B$4-G101)/(H101-G101)))))</f>
        <v>1</v>
      </c>
      <c r="N101" s="14" t="n">
        <f aca="false">IF(M101="","",J101-M101)</f>
        <v>0</v>
      </c>
      <c r="O101" s="15" t="str">
        <f aca="false">IF(J101&gt;=1,"Completado",IF(H101="","Sin fecha plan",IF(H101&lt;Parámetros!$B$4,"Atrasado",IF(J101&lt;=0,"No iniciado","En proceso"))))</f>
        <v>Completado</v>
      </c>
      <c r="P101" s="15" t="n">
        <f aca="false">IF(AND(J101&lt;1,H101&lt;&gt;"",H101&lt;Parámetros!$B$4),Parámetros!$B$4-H101,0)</f>
        <v>0</v>
      </c>
      <c r="Q101" s="15" t="str">
        <f aca="false">IF(OR(D101="Proyecto",D101="Riesgos",D101="Obs. Auditoría"),"Sí","No")</f>
        <v>Sí</v>
      </c>
      <c r="R101" s="15" t="n">
        <f aca="false">IF(I101="","",IF(I101&lt;=H101,1,0))</f>
        <v>1</v>
      </c>
    </row>
    <row r="102" customFormat="false" ht="19.4" hidden="false" customHeight="false" outlineLevel="0" collapsed="false">
      <c r="A102" s="10" t="n">
        <v>2026</v>
      </c>
      <c r="B102" s="10" t="s">
        <v>369</v>
      </c>
      <c r="C102" s="11" t="s">
        <v>370</v>
      </c>
      <c r="D102" s="10" t="s">
        <v>339</v>
      </c>
      <c r="E102" s="10" t="s">
        <v>306</v>
      </c>
      <c r="F102" s="11" t="s">
        <v>306</v>
      </c>
      <c r="G102" s="12" t="n">
        <v>46028</v>
      </c>
      <c r="H102" s="12" t="n">
        <v>46295</v>
      </c>
      <c r="I102" s="12" t="n">
        <v>46295</v>
      </c>
      <c r="J102" s="13" t="n">
        <v>1</v>
      </c>
      <c r="K102" s="10" t="s">
        <v>223</v>
      </c>
      <c r="L102" s="11" t="s">
        <v>371</v>
      </c>
      <c r="M102" s="14" t="n">
        <f aca="false">IF(OR(G102="",H102=""),"",IF(H102&lt;=G102,1,MIN(1,MAX(0,(Parámetros!$B$4-G102)/(H102-G102)))))</f>
        <v>0.951310861423221</v>
      </c>
      <c r="N102" s="14" t="n">
        <f aca="false">IF(M102="","",J102-M102)</f>
        <v>0.048689138576779</v>
      </c>
      <c r="O102" s="15" t="str">
        <f aca="false">IF(J102&gt;=1,"Completado",IF(H102="","Sin fecha plan",IF(H102&lt;Parámetros!$B$4,"Atrasado",IF(J102&lt;=0,"No iniciado","En proceso"))))</f>
        <v>Completado</v>
      </c>
      <c r="P102" s="15" t="n">
        <f aca="false">IF(AND(J102&lt;1,H102&lt;&gt;"",H102&lt;Parámetros!$B$4),Parámetros!$B$4-H102,0)</f>
        <v>0</v>
      </c>
      <c r="Q102" s="15" t="str">
        <f aca="false">IF(OR(D102="Proyecto",D102="Riesgos",D102="Obs. Auditoría"),"Sí","No")</f>
        <v>Sí</v>
      </c>
      <c r="R102" s="15" t="n">
        <f aca="false">IF(I102="","",IF(I102&lt;=H102,1,0))</f>
        <v>1</v>
      </c>
    </row>
    <row r="103" customFormat="false" ht="19.4" hidden="false" customHeight="false" outlineLevel="0" collapsed="false">
      <c r="A103" s="10" t="n">
        <v>2026</v>
      </c>
      <c r="B103" s="10" t="s">
        <v>369</v>
      </c>
      <c r="C103" s="11" t="s">
        <v>372</v>
      </c>
      <c r="D103" s="10" t="s">
        <v>339</v>
      </c>
      <c r="E103" s="10" t="s">
        <v>306</v>
      </c>
      <c r="F103" s="11" t="s">
        <v>306</v>
      </c>
      <c r="G103" s="12" t="n">
        <v>46028</v>
      </c>
      <c r="H103" s="12" t="n">
        <v>46295</v>
      </c>
      <c r="I103" s="12" t="n">
        <v>46295</v>
      </c>
      <c r="J103" s="13" t="n">
        <v>1</v>
      </c>
      <c r="K103" s="10" t="s">
        <v>132</v>
      </c>
      <c r="L103" s="11" t="s">
        <v>373</v>
      </c>
      <c r="M103" s="14" t="n">
        <f aca="false">IF(OR(G103="",H103=""),"",IF(H103&lt;=G103,1,MIN(1,MAX(0,(Parámetros!$B$4-G103)/(H103-G103)))))</f>
        <v>0.951310861423221</v>
      </c>
      <c r="N103" s="14" t="n">
        <f aca="false">IF(M103="","",J103-M103)</f>
        <v>0.048689138576779</v>
      </c>
      <c r="O103" s="15" t="str">
        <f aca="false">IF(J103&gt;=1,"Completado",IF(H103="","Sin fecha plan",IF(H103&lt;Parámetros!$B$4,"Atrasado",IF(J103&lt;=0,"No iniciado","En proceso"))))</f>
        <v>Completado</v>
      </c>
      <c r="P103" s="15" t="n">
        <f aca="false">IF(AND(J103&lt;1,H103&lt;&gt;"",H103&lt;Parámetros!$B$4),Parámetros!$B$4-H103,0)</f>
        <v>0</v>
      </c>
      <c r="Q103" s="15" t="str">
        <f aca="false">IF(OR(D103="Proyecto",D103="Riesgos",D103="Obs. Auditoría"),"Sí","No")</f>
        <v>Sí</v>
      </c>
      <c r="R103" s="15" t="n">
        <f aca="false">IF(I103="","",IF(I103&lt;=H103,1,0))</f>
        <v>1</v>
      </c>
    </row>
    <row r="104" customFormat="false" ht="28.35" hidden="false" customHeight="false" outlineLevel="0" collapsed="false">
      <c r="A104" s="10" t="n">
        <v>2026</v>
      </c>
      <c r="B104" s="10" t="s">
        <v>369</v>
      </c>
      <c r="C104" s="11" t="s">
        <v>374</v>
      </c>
      <c r="D104" s="10" t="s">
        <v>339</v>
      </c>
      <c r="E104" s="10" t="s">
        <v>306</v>
      </c>
      <c r="F104" s="11" t="s">
        <v>306</v>
      </c>
      <c r="G104" s="12" t="n">
        <v>46064</v>
      </c>
      <c r="H104" s="12" t="n">
        <v>46295</v>
      </c>
      <c r="I104" s="12"/>
      <c r="J104" s="13" t="n">
        <v>0.5</v>
      </c>
      <c r="K104" s="10" t="s">
        <v>223</v>
      </c>
      <c r="L104" s="11" t="s">
        <v>375</v>
      </c>
      <c r="M104" s="14" t="n">
        <f aca="false">IF(OR(G104="",H104=""),"",IF(H104&lt;=G104,1,MIN(1,MAX(0,(Parámetros!$B$4-G104)/(H104-G104)))))</f>
        <v>0.943722943722944</v>
      </c>
      <c r="N104" s="14" t="n">
        <f aca="false">IF(M104="","",J104-M104)</f>
        <v>-0.443722943722944</v>
      </c>
      <c r="O104" s="15" t="str">
        <f aca="false">IF(J104&gt;=1,"Completado",IF(H104="","Sin fecha plan",IF(H104&lt;Parámetros!$B$4,"Atrasado",IF(J104&lt;=0,"No iniciado","En proceso"))))</f>
        <v>En proceso</v>
      </c>
      <c r="P104" s="15" t="n">
        <f aca="false">IF(AND(J104&lt;1,H104&lt;&gt;"",H104&lt;Parámetros!$B$4),Parámetros!$B$4-H104,0)</f>
        <v>0</v>
      </c>
      <c r="Q104" s="15" t="str">
        <f aca="false">IF(OR(D104="Proyecto",D104="Riesgos",D104="Obs. Auditoría"),"Sí","No")</f>
        <v>Sí</v>
      </c>
      <c r="R104" s="15" t="str">
        <f aca="false">IF(I104="","",IF(I104&lt;=H104,1,0))</f>
        <v/>
      </c>
    </row>
    <row r="105" customFormat="false" ht="46.25" hidden="false" customHeight="false" outlineLevel="0" collapsed="false">
      <c r="A105" s="10" t="n">
        <v>2026</v>
      </c>
      <c r="B105" s="10" t="s">
        <v>369</v>
      </c>
      <c r="C105" s="11" t="s">
        <v>376</v>
      </c>
      <c r="D105" s="10" t="s">
        <v>339</v>
      </c>
      <c r="E105" s="10" t="s">
        <v>306</v>
      </c>
      <c r="F105" s="11" t="s">
        <v>306</v>
      </c>
      <c r="G105" s="12" t="n">
        <v>46295</v>
      </c>
      <c r="H105" s="12" t="n">
        <v>46295</v>
      </c>
      <c r="I105" s="12"/>
      <c r="J105" s="13" t="n">
        <v>0.5</v>
      </c>
      <c r="K105" s="10" t="s">
        <v>223</v>
      </c>
      <c r="L105" s="11" t="s">
        <v>377</v>
      </c>
      <c r="M105" s="14" t="n">
        <f aca="false">IF(OR(G105="",H105=""),"",IF(H105&lt;=G105,1,MIN(1,MAX(0,(Parámetros!$B$4-G105)/(H105-G105)))))</f>
        <v>1</v>
      </c>
      <c r="N105" s="14" t="n">
        <f aca="false">IF(M105="","",J105-M105)</f>
        <v>-0.5</v>
      </c>
      <c r="O105" s="15" t="str">
        <f aca="false">IF(J105&gt;=1,"Completado",IF(H105="","Sin fecha plan",IF(H105&lt;Parámetros!$B$4,"Atrasado",IF(J105&lt;=0,"No iniciado","En proceso"))))</f>
        <v>En proceso</v>
      </c>
      <c r="P105" s="15" t="n">
        <f aca="false">IF(AND(J105&lt;1,H105&lt;&gt;"",H105&lt;Parámetros!$B$4),Parámetros!$B$4-H105,0)</f>
        <v>0</v>
      </c>
      <c r="Q105" s="15" t="str">
        <f aca="false">IF(OR(D105="Proyecto",D105="Riesgos",D105="Obs. Auditoría"),"Sí","No")</f>
        <v>Sí</v>
      </c>
      <c r="R105" s="15" t="str">
        <f aca="false">IF(I105="","",IF(I105&lt;=H105,1,0))</f>
        <v/>
      </c>
    </row>
    <row r="106" customFormat="false" ht="19.4" hidden="false" customHeight="false" outlineLevel="0" collapsed="false">
      <c r="A106" s="10" t="n">
        <v>2026</v>
      </c>
      <c r="B106" s="10" t="s">
        <v>378</v>
      </c>
      <c r="C106" s="11" t="s">
        <v>379</v>
      </c>
      <c r="D106" s="10" t="s">
        <v>137</v>
      </c>
      <c r="E106" s="10" t="s">
        <v>306</v>
      </c>
      <c r="F106" s="11" t="s">
        <v>306</v>
      </c>
      <c r="G106" s="12" t="n">
        <v>46082</v>
      </c>
      <c r="H106" s="12" t="n">
        <v>46184</v>
      </c>
      <c r="I106" s="12" t="n">
        <v>46184</v>
      </c>
      <c r="J106" s="13" t="n">
        <v>1</v>
      </c>
      <c r="K106" s="10" t="s">
        <v>117</v>
      </c>
      <c r="L106" s="11" t="s">
        <v>380</v>
      </c>
      <c r="M106" s="14" t="n">
        <f aca="false">IF(OR(G106="",H106=""),"",IF(H106&lt;=G106,1,MIN(1,MAX(0,(Parámetros!$B$4-G106)/(H106-G106)))))</f>
        <v>1</v>
      </c>
      <c r="N106" s="14" t="n">
        <f aca="false">IF(M106="","",J106-M106)</f>
        <v>0</v>
      </c>
      <c r="O106" s="15" t="str">
        <f aca="false">IF(J106&gt;=1,"Completado",IF(H106="","Sin fecha plan",IF(H106&lt;Parámetros!$B$4,"Atrasado",IF(J106&lt;=0,"No iniciado","En proceso"))))</f>
        <v>Completado</v>
      </c>
      <c r="P106" s="15" t="n">
        <f aca="false">IF(AND(J106&lt;1,H106&lt;&gt;"",H106&lt;Parámetros!$B$4),Parámetros!$B$4-H106,0)</f>
        <v>0</v>
      </c>
      <c r="Q106" s="15" t="str">
        <f aca="false">IF(OR(D106="Proyecto",D106="Riesgos",D106="Obs. Auditoría"),"Sí","No")</f>
        <v>No</v>
      </c>
      <c r="R106" s="15" t="n">
        <f aca="false">IF(I106="","",IF(I106&lt;=H106,1,0))</f>
        <v>1</v>
      </c>
    </row>
    <row r="107" customFormat="false" ht="19.4" hidden="false" customHeight="false" outlineLevel="0" collapsed="false">
      <c r="A107" s="10" t="n">
        <v>2026</v>
      </c>
      <c r="B107" s="10" t="s">
        <v>381</v>
      </c>
      <c r="C107" s="11" t="s">
        <v>382</v>
      </c>
      <c r="D107" s="10" t="s">
        <v>137</v>
      </c>
      <c r="E107" s="10" t="s">
        <v>306</v>
      </c>
      <c r="F107" s="11" t="s">
        <v>306</v>
      </c>
      <c r="G107" s="12" t="n">
        <v>46279</v>
      </c>
      <c r="H107" s="12" t="n">
        <v>46387</v>
      </c>
      <c r="I107" s="12"/>
      <c r="J107" s="13" t="n">
        <v>0</v>
      </c>
      <c r="K107" s="10" t="s">
        <v>117</v>
      </c>
      <c r="L107" s="11" t="s">
        <v>383</v>
      </c>
      <c r="M107" s="14" t="n">
        <f aca="false">IF(OR(G107="",H107=""),"",IF(H107&lt;=G107,1,MIN(1,MAX(0,(Parámetros!$B$4-G107)/(H107-G107)))))</f>
        <v>0.0277777777777778</v>
      </c>
      <c r="N107" s="14" t="n">
        <f aca="false">IF(M107="","",J107-M107)</f>
        <v>-0.0277777777777778</v>
      </c>
      <c r="O107" s="15" t="str">
        <f aca="false">IF(J107&gt;=1,"Completado",IF(H107="","Sin fecha plan",IF(H107&lt;Parámetros!$B$4,"Atrasado",IF(J107&lt;=0,"No iniciado","En proceso"))))</f>
        <v>No iniciado</v>
      </c>
      <c r="P107" s="15" t="n">
        <f aca="false">IF(AND(J107&lt;1,H107&lt;&gt;"",H107&lt;Parámetros!$B$4),Parámetros!$B$4-H107,0)</f>
        <v>0</v>
      </c>
      <c r="Q107" s="15" t="str">
        <f aca="false">IF(OR(D107="Proyecto",D107="Riesgos",D107="Obs. Auditoría"),"Sí","No")</f>
        <v>No</v>
      </c>
      <c r="R107" s="15" t="str">
        <f aca="false">IF(I107="","",IF(I107&lt;=H107,1,0))</f>
        <v/>
      </c>
    </row>
    <row r="108" customFormat="false" ht="19.4" hidden="false" customHeight="false" outlineLevel="0" collapsed="false">
      <c r="A108" s="10" t="n">
        <v>2026</v>
      </c>
      <c r="B108" s="10" t="s">
        <v>384</v>
      </c>
      <c r="C108" s="11" t="s">
        <v>385</v>
      </c>
      <c r="D108" s="10" t="s">
        <v>137</v>
      </c>
      <c r="E108" s="10" t="s">
        <v>242</v>
      </c>
      <c r="F108" s="11" t="s">
        <v>242</v>
      </c>
      <c r="G108" s="12" t="n">
        <v>46082</v>
      </c>
      <c r="H108" s="12" t="n">
        <v>46265</v>
      </c>
      <c r="I108" s="12"/>
      <c r="J108" s="13" t="n">
        <v>0.93</v>
      </c>
      <c r="K108" s="10" t="s">
        <v>132</v>
      </c>
      <c r="L108" s="11" t="s">
        <v>386</v>
      </c>
      <c r="M108" s="14" t="n">
        <f aca="false">IF(OR(G108="",H108=""),"",IF(H108&lt;=G108,1,MIN(1,MAX(0,(Parámetros!$B$4-G108)/(H108-G108)))))</f>
        <v>1</v>
      </c>
      <c r="N108" s="14" t="n">
        <f aca="false">IF(M108="","",J108-M108)</f>
        <v>-0.07</v>
      </c>
      <c r="O108" s="15" t="str">
        <f aca="false">IF(J108&gt;=1,"Completado",IF(H108="","Sin fecha plan",IF(H108&lt;Parámetros!$B$4,"Atrasado",IF(J108&lt;=0,"No iniciado","En proceso"))))</f>
        <v>Atrasado</v>
      </c>
      <c r="P108" s="15" t="n">
        <f aca="false">IF(AND(J108&lt;1,H108&lt;&gt;"",H108&lt;Parámetros!$B$4),Parámetros!$B$4-H108,0)</f>
        <v>17</v>
      </c>
      <c r="Q108" s="15" t="str">
        <f aca="false">IF(OR(D108="Proyecto",D108="Riesgos",D108="Obs. Auditoría"),"Sí","No")</f>
        <v>No</v>
      </c>
      <c r="R108" s="15" t="str">
        <f aca="false">IF(I108="","",IF(I108&lt;=H108,1,0))</f>
        <v/>
      </c>
    </row>
    <row r="109" customFormat="false" ht="15" hidden="false" customHeight="false" outlineLevel="0" collapsed="false">
      <c r="A109" s="10" t="n">
        <v>2026</v>
      </c>
      <c r="B109" s="10" t="s">
        <v>387</v>
      </c>
      <c r="C109" s="11" t="s">
        <v>388</v>
      </c>
      <c r="D109" s="10" t="s">
        <v>137</v>
      </c>
      <c r="E109" s="10" t="s">
        <v>242</v>
      </c>
      <c r="F109" s="11" t="s">
        <v>242</v>
      </c>
      <c r="G109" s="12" t="n">
        <v>46113</v>
      </c>
      <c r="H109" s="12" t="n">
        <v>46204</v>
      </c>
      <c r="I109" s="12" t="n">
        <v>46204</v>
      </c>
      <c r="J109" s="13" t="n">
        <v>1</v>
      </c>
      <c r="K109" s="10" t="s">
        <v>117</v>
      </c>
      <c r="L109" s="11"/>
      <c r="M109" s="14" t="n">
        <f aca="false">IF(OR(G109="",H109=""),"",IF(H109&lt;=G109,1,MIN(1,MAX(0,(Parámetros!$B$4-G109)/(H109-G109)))))</f>
        <v>1</v>
      </c>
      <c r="N109" s="14" t="n">
        <f aca="false">IF(M109="","",J109-M109)</f>
        <v>0</v>
      </c>
      <c r="O109" s="15" t="str">
        <f aca="false">IF(J109&gt;=1,"Completado",IF(H109="","Sin fecha plan",IF(H109&lt;Parámetros!$B$4,"Atrasado",IF(J109&lt;=0,"No iniciado","En proceso"))))</f>
        <v>Completado</v>
      </c>
      <c r="P109" s="15" t="n">
        <f aca="false">IF(AND(J109&lt;1,H109&lt;&gt;"",H109&lt;Parámetros!$B$4),Parámetros!$B$4-H109,0)</f>
        <v>0</v>
      </c>
      <c r="Q109" s="15" t="str">
        <f aca="false">IF(OR(D109="Proyecto",D109="Riesgos",D109="Obs. Auditoría"),"Sí","No")</f>
        <v>No</v>
      </c>
      <c r="R109" s="15" t="n">
        <f aca="false">IF(I109="","",IF(I109&lt;=H109,1,0))</f>
        <v>1</v>
      </c>
    </row>
    <row r="110" customFormat="false" ht="19.4" hidden="false" customHeight="false" outlineLevel="0" collapsed="false">
      <c r="A110" s="10" t="n">
        <v>2026</v>
      </c>
      <c r="B110" s="10" t="s">
        <v>389</v>
      </c>
      <c r="C110" s="11" t="s">
        <v>390</v>
      </c>
      <c r="D110" s="10" t="s">
        <v>137</v>
      </c>
      <c r="E110" s="10" t="s">
        <v>391</v>
      </c>
      <c r="F110" s="11" t="s">
        <v>391</v>
      </c>
      <c r="G110" s="12" t="n">
        <v>46082</v>
      </c>
      <c r="H110" s="12" t="n">
        <v>46223</v>
      </c>
      <c r="I110" s="12" t="n">
        <v>46223</v>
      </c>
      <c r="J110" s="13" t="n">
        <v>1</v>
      </c>
      <c r="K110" s="10" t="s">
        <v>117</v>
      </c>
      <c r="L110" s="11"/>
      <c r="M110" s="14" t="n">
        <f aca="false">IF(OR(G110="",H110=""),"",IF(H110&lt;=G110,1,MIN(1,MAX(0,(Parámetros!$B$4-G110)/(H110-G110)))))</f>
        <v>1</v>
      </c>
      <c r="N110" s="14" t="n">
        <f aca="false">IF(M110="","",J110-M110)</f>
        <v>0</v>
      </c>
      <c r="O110" s="15" t="str">
        <f aca="false">IF(J110&gt;=1,"Completado",IF(H110="","Sin fecha plan",IF(H110&lt;Parámetros!$B$4,"Atrasado",IF(J110&lt;=0,"No iniciado","En proceso"))))</f>
        <v>Completado</v>
      </c>
      <c r="P110" s="15" t="n">
        <f aca="false">IF(AND(J110&lt;1,H110&lt;&gt;"",H110&lt;Parámetros!$B$4),Parámetros!$B$4-H110,0)</f>
        <v>0</v>
      </c>
      <c r="Q110" s="15" t="str">
        <f aca="false">IF(OR(D110="Proyecto",D110="Riesgos",D110="Obs. Auditoría"),"Sí","No")</f>
        <v>No</v>
      </c>
      <c r="R110" s="15" t="n">
        <f aca="false">IF(I110="","",IF(I110&lt;=H110,1,0))</f>
        <v>1</v>
      </c>
    </row>
    <row r="111" customFormat="false" ht="126.85" hidden="false" customHeight="false" outlineLevel="0" collapsed="false">
      <c r="A111" s="10" t="n">
        <v>2026</v>
      </c>
      <c r="B111" s="10" t="s">
        <v>389</v>
      </c>
      <c r="C111" s="11" t="s">
        <v>392</v>
      </c>
      <c r="D111" s="10" t="s">
        <v>137</v>
      </c>
      <c r="E111" s="10" t="s">
        <v>242</v>
      </c>
      <c r="F111" s="11" t="s">
        <v>393</v>
      </c>
      <c r="G111" s="12" t="n">
        <v>46224</v>
      </c>
      <c r="H111" s="12" t="n">
        <v>46226</v>
      </c>
      <c r="I111" s="12" t="n">
        <v>46226</v>
      </c>
      <c r="J111" s="13" t="n">
        <v>1</v>
      </c>
      <c r="K111" s="10" t="s">
        <v>117</v>
      </c>
      <c r="L111" s="11" t="s">
        <v>394</v>
      </c>
      <c r="M111" s="14" t="n">
        <f aca="false">IF(OR(G111="",H111=""),"",IF(H111&lt;=G111,1,MIN(1,MAX(0,(Parámetros!$B$4-G111)/(H111-G111)))))</f>
        <v>1</v>
      </c>
      <c r="N111" s="14" t="n">
        <f aca="false">IF(M111="","",J111-M111)</f>
        <v>0</v>
      </c>
      <c r="O111" s="15" t="str">
        <f aca="false">IF(J111&gt;=1,"Completado",IF(H111="","Sin fecha plan",IF(H111&lt;Parámetros!$B$4,"Atrasado",IF(J111&lt;=0,"No iniciado","En proceso"))))</f>
        <v>Completado</v>
      </c>
      <c r="P111" s="15" t="n">
        <f aca="false">IF(AND(J111&lt;1,H111&lt;&gt;"",H111&lt;Parámetros!$B$4),Parámetros!$B$4-H111,0)</f>
        <v>0</v>
      </c>
      <c r="Q111" s="15" t="str">
        <f aca="false">IF(OR(D111="Proyecto",D111="Riesgos",D111="Obs. Auditoría"),"Sí","No")</f>
        <v>No</v>
      </c>
      <c r="R111" s="15" t="n">
        <f aca="false">IF(I111="","",IF(I111&lt;=H111,1,0))</f>
        <v>1</v>
      </c>
    </row>
    <row r="112" customFormat="false" ht="19.4" hidden="false" customHeight="false" outlineLevel="0" collapsed="false">
      <c r="A112" s="10" t="n">
        <v>2026</v>
      </c>
      <c r="B112" s="10" t="s">
        <v>389</v>
      </c>
      <c r="C112" s="11" t="s">
        <v>395</v>
      </c>
      <c r="D112" s="10" t="s">
        <v>137</v>
      </c>
      <c r="E112" s="10" t="s">
        <v>391</v>
      </c>
      <c r="F112" s="11" t="s">
        <v>391</v>
      </c>
      <c r="G112" s="12" t="n">
        <v>46082</v>
      </c>
      <c r="H112" s="12" t="n">
        <v>46282</v>
      </c>
      <c r="I112" s="12" t="n">
        <v>46282</v>
      </c>
      <c r="J112" s="13" t="n">
        <v>1</v>
      </c>
      <c r="K112" s="10" t="s">
        <v>117</v>
      </c>
      <c r="L112" s="11" t="s">
        <v>396</v>
      </c>
      <c r="M112" s="14" t="n">
        <f aca="false">IF(OR(G112="",H112=""),"",IF(H112&lt;=G112,1,MIN(1,MAX(0,(Parámetros!$B$4-G112)/(H112-G112)))))</f>
        <v>1</v>
      </c>
      <c r="N112" s="14" t="n">
        <f aca="false">IF(M112="","",J112-M112)</f>
        <v>0</v>
      </c>
      <c r="O112" s="15" t="str">
        <f aca="false">IF(J112&gt;=1,"Completado",IF(H112="","Sin fecha plan",IF(H112&lt;Parámetros!$B$4,"Atrasado",IF(J112&lt;=0,"No iniciado","En proceso"))))</f>
        <v>Completado</v>
      </c>
      <c r="P112" s="15" t="n">
        <f aca="false">IF(AND(J112&lt;1,H112&lt;&gt;"",H112&lt;Parámetros!$B$4),Parámetros!$B$4-H112,0)</f>
        <v>0</v>
      </c>
      <c r="Q112" s="15" t="str">
        <f aca="false">IF(OR(D112="Proyecto",D112="Riesgos",D112="Obs. Auditoría"),"Sí","No")</f>
        <v>No</v>
      </c>
      <c r="R112" s="15" t="n">
        <f aca="false">IF(I112="","",IF(I112&lt;=H112,1,0))</f>
        <v>1</v>
      </c>
    </row>
    <row r="113" customFormat="false" ht="55.2" hidden="false" customHeight="false" outlineLevel="0" collapsed="false">
      <c r="A113" s="10" t="n">
        <v>2026</v>
      </c>
      <c r="B113" s="10" t="s">
        <v>389</v>
      </c>
      <c r="C113" s="11" t="s">
        <v>397</v>
      </c>
      <c r="D113" s="10" t="s">
        <v>137</v>
      </c>
      <c r="E113" s="10" t="s">
        <v>242</v>
      </c>
      <c r="F113" s="11" t="s">
        <v>398</v>
      </c>
      <c r="G113" s="12" t="n">
        <v>46174</v>
      </c>
      <c r="H113" s="12" t="n">
        <v>46295</v>
      </c>
      <c r="I113" s="12"/>
      <c r="J113" s="13" t="n">
        <v>0.9</v>
      </c>
      <c r="K113" s="10" t="s">
        <v>117</v>
      </c>
      <c r="L113" s="11" t="s">
        <v>399</v>
      </c>
      <c r="M113" s="14" t="n">
        <f aca="false">IF(OR(G113="",H113=""),"",IF(H113&lt;=G113,1,MIN(1,MAX(0,(Parámetros!$B$4-G113)/(H113-G113)))))</f>
        <v>0.892561983471074</v>
      </c>
      <c r="N113" s="14" t="n">
        <f aca="false">IF(M113="","",J113-M113)</f>
        <v>0.00743801652892562</v>
      </c>
      <c r="O113" s="15" t="str">
        <f aca="false">IF(J113&gt;=1,"Completado",IF(H113="","Sin fecha plan",IF(H113&lt;Parámetros!$B$4,"Atrasado",IF(J113&lt;=0,"No iniciado","En proceso"))))</f>
        <v>En proceso</v>
      </c>
      <c r="P113" s="15" t="n">
        <f aca="false">IF(AND(J113&lt;1,H113&lt;&gt;"",H113&lt;Parámetros!$B$4),Parámetros!$B$4-H113,0)</f>
        <v>0</v>
      </c>
      <c r="Q113" s="15" t="str">
        <f aca="false">IF(OR(D113="Proyecto",D113="Riesgos",D113="Obs. Auditoría"),"Sí","No")</f>
        <v>No</v>
      </c>
      <c r="R113" s="15" t="str">
        <f aca="false">IF(I113="","",IF(I113&lt;=H113,1,0))</f>
        <v/>
      </c>
    </row>
    <row r="114" customFormat="false" ht="19.4" hidden="false" customHeight="false" outlineLevel="0" collapsed="false">
      <c r="A114" s="10" t="n">
        <v>2026</v>
      </c>
      <c r="B114" s="10" t="s">
        <v>389</v>
      </c>
      <c r="C114" s="11" t="s">
        <v>400</v>
      </c>
      <c r="D114" s="10" t="s">
        <v>137</v>
      </c>
      <c r="E114" s="10" t="s">
        <v>242</v>
      </c>
      <c r="F114" s="11" t="s">
        <v>242</v>
      </c>
      <c r="G114" s="12" t="n">
        <v>46218</v>
      </c>
      <c r="H114" s="12" t="n">
        <v>46325</v>
      </c>
      <c r="I114" s="12"/>
      <c r="J114" s="13" t="n">
        <v>0.25</v>
      </c>
      <c r="K114" s="10" t="s">
        <v>117</v>
      </c>
      <c r="L114" s="11" t="s">
        <v>401</v>
      </c>
      <c r="M114" s="14" t="n">
        <f aca="false">IF(OR(G114="",H114=""),"",IF(H114&lt;=G114,1,MIN(1,MAX(0,(Parámetros!$B$4-G114)/(H114-G114)))))</f>
        <v>0.598130841121495</v>
      </c>
      <c r="N114" s="14" t="n">
        <f aca="false">IF(M114="","",J114-M114)</f>
        <v>-0.348130841121495</v>
      </c>
      <c r="O114" s="15" t="str">
        <f aca="false">IF(J114&gt;=1,"Completado",IF(H114="","Sin fecha plan",IF(H114&lt;Parámetros!$B$4,"Atrasado",IF(J114&lt;=0,"No iniciado","En proceso"))))</f>
        <v>En proceso</v>
      </c>
      <c r="P114" s="15" t="n">
        <f aca="false">IF(AND(J114&lt;1,H114&lt;&gt;"",H114&lt;Parámetros!$B$4),Parámetros!$B$4-H114,0)</f>
        <v>0</v>
      </c>
      <c r="Q114" s="15" t="str">
        <f aca="false">IF(OR(D114="Proyecto",D114="Riesgos",D114="Obs. Auditoría"),"Sí","No")</f>
        <v>No</v>
      </c>
      <c r="R114" s="15" t="str">
        <f aca="false">IF(I114="","",IF(I114&lt;=H114,1,0))</f>
        <v/>
      </c>
    </row>
    <row r="115" customFormat="false" ht="28.35" hidden="false" customHeight="false" outlineLevel="0" collapsed="false">
      <c r="A115" s="10" t="n">
        <v>2026</v>
      </c>
      <c r="B115" s="10" t="s">
        <v>357</v>
      </c>
      <c r="C115" s="11" t="s">
        <v>402</v>
      </c>
      <c r="D115" s="10" t="s">
        <v>357</v>
      </c>
      <c r="E115" s="10" t="s">
        <v>306</v>
      </c>
      <c r="F115" s="11" t="s">
        <v>306</v>
      </c>
      <c r="G115" s="12" t="n">
        <v>46082</v>
      </c>
      <c r="H115" s="12" t="n">
        <v>46326</v>
      </c>
      <c r="I115" s="12" t="n">
        <v>46326</v>
      </c>
      <c r="J115" s="13" t="n">
        <v>1</v>
      </c>
      <c r="K115" s="10" t="s">
        <v>223</v>
      </c>
      <c r="L115" s="11" t="s">
        <v>403</v>
      </c>
      <c r="M115" s="14" t="n">
        <f aca="false">IF(OR(G115="",H115=""),"",IF(H115&lt;=G115,1,MIN(1,MAX(0,(Parámetros!$B$4-G115)/(H115-G115)))))</f>
        <v>0.819672131147541</v>
      </c>
      <c r="N115" s="14" t="n">
        <f aca="false">IF(M115="","",J115-M115)</f>
        <v>0.180327868852459</v>
      </c>
      <c r="O115" s="15" t="str">
        <f aca="false">IF(J115&gt;=1,"Completado",IF(H115="","Sin fecha plan",IF(H115&lt;Parámetros!$B$4,"Atrasado",IF(J115&lt;=0,"No iniciado","En proceso"))))</f>
        <v>Completado</v>
      </c>
      <c r="P115" s="15" t="n">
        <f aca="false">IF(AND(J115&lt;1,H115&lt;&gt;"",H115&lt;Parámetros!$B$4),Parámetros!$B$4-H115,0)</f>
        <v>0</v>
      </c>
      <c r="Q115" s="15" t="str">
        <f aca="false">IF(OR(D115="Proyecto",D115="Riesgos",D115="Obs. Auditoría"),"Sí","No")</f>
        <v>Sí</v>
      </c>
      <c r="R115" s="15" t="n">
        <f aca="false">IF(I115="","",IF(I115&lt;=H115,1,0))</f>
        <v>1</v>
      </c>
    </row>
    <row r="116" customFormat="false" ht="19.4" hidden="false" customHeight="false" outlineLevel="0" collapsed="false">
      <c r="A116" s="10" t="n">
        <v>2026</v>
      </c>
      <c r="B116" s="10" t="s">
        <v>357</v>
      </c>
      <c r="C116" s="11" t="s">
        <v>404</v>
      </c>
      <c r="D116" s="10" t="s">
        <v>357</v>
      </c>
      <c r="E116" s="10" t="s">
        <v>306</v>
      </c>
      <c r="F116" s="11" t="s">
        <v>405</v>
      </c>
      <c r="G116" s="12" t="n">
        <v>46082</v>
      </c>
      <c r="H116" s="12" t="n">
        <v>46295</v>
      </c>
      <c r="I116" s="12"/>
      <c r="J116" s="13" t="n">
        <v>0.5</v>
      </c>
      <c r="K116" s="10" t="s">
        <v>223</v>
      </c>
      <c r="L116" s="11" t="s">
        <v>406</v>
      </c>
      <c r="M116" s="14" t="n">
        <f aca="false">IF(OR(G116="",H116=""),"",IF(H116&lt;=G116,1,MIN(1,MAX(0,(Parámetros!$B$4-G116)/(H116-G116)))))</f>
        <v>0.938967136150235</v>
      </c>
      <c r="N116" s="14" t="n">
        <f aca="false">IF(M116="","",J116-M116)</f>
        <v>-0.438967136150235</v>
      </c>
      <c r="O116" s="15" t="str">
        <f aca="false">IF(J116&gt;=1,"Completado",IF(H116="","Sin fecha plan",IF(H116&lt;Parámetros!$B$4,"Atrasado",IF(J116&lt;=0,"No iniciado","En proceso"))))</f>
        <v>En proceso</v>
      </c>
      <c r="P116" s="15" t="n">
        <f aca="false">IF(AND(J116&lt;1,H116&lt;&gt;"",H116&lt;Parámetros!$B$4),Parámetros!$B$4-H116,0)</f>
        <v>0</v>
      </c>
      <c r="Q116" s="15" t="str">
        <f aca="false">IF(OR(D116="Proyecto",D116="Riesgos",D116="Obs. Auditoría"),"Sí","No")</f>
        <v>Sí</v>
      </c>
      <c r="R116" s="15" t="str">
        <f aca="false">IF(I116="","",IF(I116&lt;=H116,1,0))</f>
        <v/>
      </c>
    </row>
    <row r="117" customFormat="false" ht="19.4" hidden="false" customHeight="false" outlineLevel="0" collapsed="false">
      <c r="A117" s="10" t="n">
        <v>2026</v>
      </c>
      <c r="B117" s="10" t="s">
        <v>357</v>
      </c>
      <c r="C117" s="11" t="s">
        <v>407</v>
      </c>
      <c r="D117" s="10" t="s">
        <v>357</v>
      </c>
      <c r="E117" s="10" t="s">
        <v>222</v>
      </c>
      <c r="F117" s="11" t="s">
        <v>222</v>
      </c>
      <c r="G117" s="12" t="n">
        <v>46082</v>
      </c>
      <c r="H117" s="12" t="n">
        <v>46165</v>
      </c>
      <c r="I117" s="12" t="n">
        <v>46165</v>
      </c>
      <c r="J117" s="13" t="n">
        <v>1</v>
      </c>
      <c r="K117" s="10" t="s">
        <v>223</v>
      </c>
      <c r="L117" s="11"/>
      <c r="M117" s="14" t="n">
        <f aca="false">IF(OR(G117="",H117=""),"",IF(H117&lt;=G117,1,MIN(1,MAX(0,(Parámetros!$B$4-G117)/(H117-G117)))))</f>
        <v>1</v>
      </c>
      <c r="N117" s="14" t="n">
        <f aca="false">IF(M117="","",J117-M117)</f>
        <v>0</v>
      </c>
      <c r="O117" s="15" t="str">
        <f aca="false">IF(J117&gt;=1,"Completado",IF(H117="","Sin fecha plan",IF(H117&lt;Parámetros!$B$4,"Atrasado",IF(J117&lt;=0,"No iniciado","En proceso"))))</f>
        <v>Completado</v>
      </c>
      <c r="P117" s="15" t="n">
        <f aca="false">IF(AND(J117&lt;1,H117&lt;&gt;"",H117&lt;Parámetros!$B$4),Parámetros!$B$4-H117,0)</f>
        <v>0</v>
      </c>
      <c r="Q117" s="15" t="str">
        <f aca="false">IF(OR(D117="Proyecto",D117="Riesgos",D117="Obs. Auditoría"),"Sí","No")</f>
        <v>Sí</v>
      </c>
      <c r="R117" s="15" t="n">
        <f aca="false">IF(I117="","",IF(I117&lt;=H117,1,0))</f>
        <v>1</v>
      </c>
    </row>
    <row r="118" customFormat="false" ht="19.4" hidden="false" customHeight="false" outlineLevel="0" collapsed="false">
      <c r="A118" s="10" t="n">
        <v>2026</v>
      </c>
      <c r="B118" s="10" t="s">
        <v>357</v>
      </c>
      <c r="C118" s="11" t="s">
        <v>408</v>
      </c>
      <c r="D118" s="10" t="s">
        <v>357</v>
      </c>
      <c r="E118" s="10" t="s">
        <v>222</v>
      </c>
      <c r="F118" s="11" t="s">
        <v>222</v>
      </c>
      <c r="G118" s="12"/>
      <c r="H118" s="12" t="n">
        <v>46233</v>
      </c>
      <c r="I118" s="12"/>
      <c r="J118" s="13" t="n">
        <v>0</v>
      </c>
      <c r="K118" s="10" t="s">
        <v>132</v>
      </c>
      <c r="L118" s="11"/>
      <c r="M118" s="14" t="str">
        <f aca="false">IF(OR(G118="",H118=""),"",IF(H118&lt;=G118,1,MIN(1,MAX(0,(Parámetros!$B$4-G118)/(H118-G118)))))</f>
        <v/>
      </c>
      <c r="N118" s="14" t="str">
        <f aca="false">IF(M118="","",J118-M118)</f>
        <v/>
      </c>
      <c r="O118" s="15" t="str">
        <f aca="false">IF(J118&gt;=1,"Completado",IF(H118="","Sin fecha plan",IF(H118&lt;Parámetros!$B$4,"Atrasado",IF(J118&lt;=0,"No iniciado","En proceso"))))</f>
        <v>Atrasado</v>
      </c>
      <c r="P118" s="15" t="n">
        <f aca="false">IF(AND(J118&lt;1,H118&lt;&gt;"",H118&lt;Parámetros!$B$4),Parámetros!$B$4-H118,0)</f>
        <v>49</v>
      </c>
      <c r="Q118" s="15" t="str">
        <f aca="false">IF(OR(D118="Proyecto",D118="Riesgos",D118="Obs. Auditoría"),"Sí","No")</f>
        <v>Sí</v>
      </c>
      <c r="R118" s="15" t="str">
        <f aca="false">IF(I118="","",IF(I118&lt;=H118,1,0))</f>
        <v/>
      </c>
    </row>
    <row r="119" customFormat="false" ht="28.35" hidden="false" customHeight="false" outlineLevel="0" collapsed="false">
      <c r="A119" s="10" t="n">
        <v>2026</v>
      </c>
      <c r="B119" s="10" t="s">
        <v>357</v>
      </c>
      <c r="C119" s="11" t="s">
        <v>409</v>
      </c>
      <c r="D119" s="10" t="s">
        <v>357</v>
      </c>
      <c r="E119" s="10" t="s">
        <v>410</v>
      </c>
      <c r="F119" s="11" t="s">
        <v>411</v>
      </c>
      <c r="G119" s="12" t="n">
        <v>46084</v>
      </c>
      <c r="H119" s="12" t="n">
        <v>46203</v>
      </c>
      <c r="I119" s="12" t="n">
        <v>46203</v>
      </c>
      <c r="J119" s="13" t="n">
        <v>1</v>
      </c>
      <c r="K119" s="10" t="s">
        <v>132</v>
      </c>
      <c r="L119" s="11"/>
      <c r="M119" s="14" t="n">
        <f aca="false">IF(OR(G119="",H119=""),"",IF(H119&lt;=G119,1,MIN(1,MAX(0,(Parámetros!$B$4-G119)/(H119-G119)))))</f>
        <v>1</v>
      </c>
      <c r="N119" s="14" t="n">
        <f aca="false">IF(M119="","",J119-M119)</f>
        <v>0</v>
      </c>
      <c r="O119" s="15" t="str">
        <f aca="false">IF(J119&gt;=1,"Completado",IF(H119="","Sin fecha plan",IF(H119&lt;Parámetros!$B$4,"Atrasado",IF(J119&lt;=0,"No iniciado","En proceso"))))</f>
        <v>Completado</v>
      </c>
      <c r="P119" s="15" t="n">
        <f aca="false">IF(AND(J119&lt;1,H119&lt;&gt;"",H119&lt;Parámetros!$B$4),Parámetros!$B$4-H119,0)</f>
        <v>0</v>
      </c>
      <c r="Q119" s="15" t="str">
        <f aca="false">IF(OR(D119="Proyecto",D119="Riesgos",D119="Obs. Auditoría"),"Sí","No")</f>
        <v>Sí</v>
      </c>
      <c r="R119" s="15" t="n">
        <f aca="false">IF(I119="","",IF(I119&lt;=H119,1,0))</f>
        <v>1</v>
      </c>
    </row>
    <row r="120" customFormat="false" ht="28.35" hidden="false" customHeight="false" outlineLevel="0" collapsed="false">
      <c r="A120" s="10" t="n">
        <v>2026</v>
      </c>
      <c r="B120" s="10" t="s">
        <v>357</v>
      </c>
      <c r="C120" s="11" t="s">
        <v>412</v>
      </c>
      <c r="D120" s="10" t="s">
        <v>357</v>
      </c>
      <c r="E120" s="10" t="s">
        <v>222</v>
      </c>
      <c r="F120" s="11" t="s">
        <v>222</v>
      </c>
      <c r="G120" s="12"/>
      <c r="H120" s="12" t="n">
        <v>46265</v>
      </c>
      <c r="I120" s="12"/>
      <c r="J120" s="13" t="n">
        <v>0</v>
      </c>
      <c r="K120" s="10" t="s">
        <v>223</v>
      </c>
      <c r="L120" s="11"/>
      <c r="M120" s="14" t="str">
        <f aca="false">IF(OR(G120="",H120=""),"",IF(H120&lt;=G120,1,MIN(1,MAX(0,(Parámetros!$B$4-G120)/(H120-G120)))))</f>
        <v/>
      </c>
      <c r="N120" s="14" t="str">
        <f aca="false">IF(M120="","",J120-M120)</f>
        <v/>
      </c>
      <c r="O120" s="15" t="str">
        <f aca="false">IF(J120&gt;=1,"Completado",IF(H120="","Sin fecha plan",IF(H120&lt;Parámetros!$B$4,"Atrasado",IF(J120&lt;=0,"No iniciado","En proceso"))))</f>
        <v>Atrasado</v>
      </c>
      <c r="P120" s="15" t="n">
        <f aca="false">IF(AND(J120&lt;1,H120&lt;&gt;"",H120&lt;Parámetros!$B$4),Parámetros!$B$4-H120,0)</f>
        <v>17</v>
      </c>
      <c r="Q120" s="15" t="str">
        <f aca="false">IF(OR(D120="Proyecto",D120="Riesgos",D120="Obs. Auditoría"),"Sí","No")</f>
        <v>Sí</v>
      </c>
      <c r="R120" s="15" t="str">
        <f aca="false">IF(I120="","",IF(I120&lt;=H120,1,0))</f>
        <v/>
      </c>
    </row>
    <row r="121" customFormat="false" ht="15" hidden="false" customHeight="false" outlineLevel="0" collapsed="false">
      <c r="A121" s="10" t="n">
        <v>2026</v>
      </c>
      <c r="B121" s="10" t="s">
        <v>357</v>
      </c>
      <c r="C121" s="11" t="s">
        <v>413</v>
      </c>
      <c r="D121" s="10" t="s">
        <v>172</v>
      </c>
      <c r="E121" s="10" t="s">
        <v>131</v>
      </c>
      <c r="F121" s="11" t="s">
        <v>131</v>
      </c>
      <c r="G121" s="12" t="n">
        <v>46188</v>
      </c>
      <c r="H121" s="12" t="n">
        <v>46264</v>
      </c>
      <c r="I121" s="12"/>
      <c r="J121" s="13" t="n">
        <v>0.5</v>
      </c>
      <c r="K121" s="10" t="s">
        <v>223</v>
      </c>
      <c r="L121" s="11" t="s">
        <v>414</v>
      </c>
      <c r="M121" s="14" t="n">
        <f aca="false">IF(OR(G121="",H121=""),"",IF(H121&lt;=G121,1,MIN(1,MAX(0,(Parámetros!$B$4-G121)/(H121-G121)))))</f>
        <v>1</v>
      </c>
      <c r="N121" s="14" t="n">
        <f aca="false">IF(M121="","",J121-M121)</f>
        <v>-0.5</v>
      </c>
      <c r="O121" s="15" t="str">
        <f aca="false">IF(J121&gt;=1,"Completado",IF(H121="","Sin fecha plan",IF(H121&lt;Parámetros!$B$4,"Atrasado",IF(J121&lt;=0,"No iniciado","En proceso"))))</f>
        <v>Atrasado</v>
      </c>
      <c r="P121" s="15" t="n">
        <f aca="false">IF(AND(J121&lt;1,H121&lt;&gt;"",H121&lt;Parámetros!$B$4),Parámetros!$B$4-H121,0)</f>
        <v>18</v>
      </c>
      <c r="Q121" s="15" t="str">
        <f aca="false">IF(OR(D121="Proyecto",D121="Riesgos",D121="Obs. Auditoría"),"Sí","No")</f>
        <v>No</v>
      </c>
      <c r="R121" s="15" t="str">
        <f aca="false">IF(I121="","",IF(I121&lt;=H121,1,0))</f>
        <v/>
      </c>
    </row>
    <row r="122" customFormat="false" ht="37.3" hidden="false" customHeight="false" outlineLevel="0" collapsed="false">
      <c r="A122" s="10" t="n">
        <v>2026</v>
      </c>
      <c r="B122" s="10" t="s">
        <v>415</v>
      </c>
      <c r="C122" s="11" t="s">
        <v>416</v>
      </c>
      <c r="D122" s="10" t="s">
        <v>172</v>
      </c>
      <c r="E122" s="10" t="s">
        <v>306</v>
      </c>
      <c r="F122" s="11" t="s">
        <v>306</v>
      </c>
      <c r="G122" s="12" t="n">
        <v>46181</v>
      </c>
      <c r="H122" s="12"/>
      <c r="I122" s="12"/>
      <c r="J122" s="13" t="n">
        <v>1</v>
      </c>
      <c r="K122" s="10" t="s">
        <v>117</v>
      </c>
      <c r="L122" s="11" t="s">
        <v>417</v>
      </c>
      <c r="M122" s="14" t="str">
        <f aca="false">IF(OR(G122="",H122=""),"",IF(H122&lt;=G122,1,MIN(1,MAX(0,(Parámetros!$B$4-G122)/(H122-G122)))))</f>
        <v/>
      </c>
      <c r="N122" s="14" t="str">
        <f aca="false">IF(M122="","",J122-M122)</f>
        <v/>
      </c>
      <c r="O122" s="15" t="str">
        <f aca="false">IF(J122&gt;=1,"Completado",IF(H122="","Sin fecha plan",IF(H122&lt;Parámetros!$B$4,"Atrasado",IF(J122&lt;=0,"No iniciado","En proceso"))))</f>
        <v>Completado</v>
      </c>
      <c r="P122" s="15" t="n">
        <f aca="false">IF(AND(J122&lt;1,H122&lt;&gt;"",H122&lt;Parámetros!$B$4),Parámetros!$B$4-H122,0)</f>
        <v>0</v>
      </c>
      <c r="Q122" s="15" t="str">
        <f aca="false">IF(OR(D122="Proyecto",D122="Riesgos",D122="Obs. Auditoría"),"Sí","No")</f>
        <v>No</v>
      </c>
      <c r="R122" s="15" t="str">
        <f aca="false">IF(I122="","",IF(I122&lt;=H122,1,0))</f>
        <v/>
      </c>
    </row>
    <row r="123" customFormat="false" ht="55.2" hidden="false" customHeight="false" outlineLevel="0" collapsed="false">
      <c r="A123" s="10" t="n">
        <v>2026</v>
      </c>
      <c r="B123" s="10" t="s">
        <v>415</v>
      </c>
      <c r="C123" s="11" t="s">
        <v>418</v>
      </c>
      <c r="D123" s="10" t="s">
        <v>172</v>
      </c>
      <c r="E123" s="10" t="s">
        <v>306</v>
      </c>
      <c r="F123" s="11" t="s">
        <v>306</v>
      </c>
      <c r="G123" s="12" t="n">
        <v>46167</v>
      </c>
      <c r="H123" s="12" t="n">
        <v>46185</v>
      </c>
      <c r="I123" s="12" t="n">
        <v>46185</v>
      </c>
      <c r="J123" s="13" t="n">
        <v>1</v>
      </c>
      <c r="K123" s="10" t="s">
        <v>117</v>
      </c>
      <c r="L123" s="11" t="s">
        <v>419</v>
      </c>
      <c r="M123" s="14" t="n">
        <f aca="false">IF(OR(G123="",H123=""),"",IF(H123&lt;=G123,1,MIN(1,MAX(0,(Parámetros!$B$4-G123)/(H123-G123)))))</f>
        <v>1</v>
      </c>
      <c r="N123" s="14" t="n">
        <f aca="false">IF(M123="","",J123-M123)</f>
        <v>0</v>
      </c>
      <c r="O123" s="15" t="str">
        <f aca="false">IF(J123&gt;=1,"Completado",IF(H123="","Sin fecha plan",IF(H123&lt;Parámetros!$B$4,"Atrasado",IF(J123&lt;=0,"No iniciado","En proceso"))))</f>
        <v>Completado</v>
      </c>
      <c r="P123" s="15" t="n">
        <f aca="false">IF(AND(J123&lt;1,H123&lt;&gt;"",H123&lt;Parámetros!$B$4),Parámetros!$B$4-H123,0)</f>
        <v>0</v>
      </c>
      <c r="Q123" s="15" t="str">
        <f aca="false">IF(OR(D123="Proyecto",D123="Riesgos",D123="Obs. Auditoría"),"Sí","No")</f>
        <v>No</v>
      </c>
      <c r="R123" s="15" t="n">
        <f aca="false">IF(I123="","",IF(I123&lt;=H123,1,0))</f>
        <v>1</v>
      </c>
    </row>
    <row r="124" customFormat="false" ht="19.4" hidden="false" customHeight="false" outlineLevel="0" collapsed="false">
      <c r="A124" s="10" t="n">
        <v>2026</v>
      </c>
      <c r="B124" s="10" t="s">
        <v>415</v>
      </c>
      <c r="C124" s="11" t="s">
        <v>420</v>
      </c>
      <c r="D124" s="10" t="s">
        <v>172</v>
      </c>
      <c r="E124" s="10" t="s">
        <v>306</v>
      </c>
      <c r="F124" s="11" t="s">
        <v>306</v>
      </c>
      <c r="G124" s="12" t="n">
        <v>46211</v>
      </c>
      <c r="H124" s="12" t="n">
        <v>46240</v>
      </c>
      <c r="I124" s="12" t="n">
        <v>46240</v>
      </c>
      <c r="J124" s="13" t="n">
        <v>1</v>
      </c>
      <c r="K124" s="10" t="s">
        <v>132</v>
      </c>
      <c r="L124" s="11" t="s">
        <v>421</v>
      </c>
      <c r="M124" s="14" t="n">
        <f aca="false">IF(OR(G124="",H124=""),"",IF(H124&lt;=G124,1,MIN(1,MAX(0,(Parámetros!$B$4-G124)/(H124-G124)))))</f>
        <v>1</v>
      </c>
      <c r="N124" s="14" t="n">
        <f aca="false">IF(M124="","",J124-M124)</f>
        <v>0</v>
      </c>
      <c r="O124" s="15" t="str">
        <f aca="false">IF(J124&gt;=1,"Completado",IF(H124="","Sin fecha plan",IF(H124&lt;Parámetros!$B$4,"Atrasado",IF(J124&lt;=0,"No iniciado","En proceso"))))</f>
        <v>Completado</v>
      </c>
      <c r="P124" s="15" t="n">
        <f aca="false">IF(AND(J124&lt;1,H124&lt;&gt;"",H124&lt;Parámetros!$B$4),Parámetros!$B$4-H124,0)</f>
        <v>0</v>
      </c>
      <c r="Q124" s="15" t="str">
        <f aca="false">IF(OR(D124="Proyecto",D124="Riesgos",D124="Obs. Auditoría"),"Sí","No")</f>
        <v>No</v>
      </c>
      <c r="R124" s="15" t="n">
        <f aca="false">IF(I124="","",IF(I124&lt;=H124,1,0))</f>
        <v>1</v>
      </c>
    </row>
    <row r="125" customFormat="false" ht="19.4" hidden="false" customHeight="false" outlineLevel="0" collapsed="false">
      <c r="A125" s="10" t="n">
        <v>2026</v>
      </c>
      <c r="B125" s="10" t="s">
        <v>415</v>
      </c>
      <c r="C125" s="11" t="s">
        <v>422</v>
      </c>
      <c r="D125" s="10" t="s">
        <v>172</v>
      </c>
      <c r="E125" s="10" t="s">
        <v>306</v>
      </c>
      <c r="F125" s="11" t="s">
        <v>306</v>
      </c>
      <c r="G125" s="12" t="n">
        <v>46223</v>
      </c>
      <c r="H125" s="12" t="n">
        <v>46387</v>
      </c>
      <c r="I125" s="12"/>
      <c r="J125" s="13" t="n">
        <v>0.75</v>
      </c>
      <c r="K125" s="10" t="s">
        <v>117</v>
      </c>
      <c r="L125" s="11" t="s">
        <v>423</v>
      </c>
      <c r="M125" s="14" t="n">
        <f aca="false">IF(OR(G125="",H125=""),"",IF(H125&lt;=G125,1,MIN(1,MAX(0,(Parámetros!$B$4-G125)/(H125-G125)))))</f>
        <v>0.359756097560976</v>
      </c>
      <c r="N125" s="14" t="n">
        <f aca="false">IF(M125="","",J125-M125)</f>
        <v>0.390243902439024</v>
      </c>
      <c r="O125" s="15" t="str">
        <f aca="false">IF(J125&gt;=1,"Completado",IF(H125="","Sin fecha plan",IF(H125&lt;Parámetros!$B$4,"Atrasado",IF(J125&lt;=0,"No iniciado","En proceso"))))</f>
        <v>En proceso</v>
      </c>
      <c r="P125" s="15" t="n">
        <f aca="false">IF(AND(J125&lt;1,H125&lt;&gt;"",H125&lt;Parámetros!$B$4),Parámetros!$B$4-H125,0)</f>
        <v>0</v>
      </c>
      <c r="Q125" s="15" t="str">
        <f aca="false">IF(OR(D125="Proyecto",D125="Riesgos",D125="Obs. Auditoría"),"Sí","No")</f>
        <v>No</v>
      </c>
      <c r="R125" s="15" t="str">
        <f aca="false">IF(I125="","",IF(I125&lt;=H125,1,0))</f>
        <v/>
      </c>
    </row>
    <row r="126" customFormat="false" ht="46.25" hidden="false" customHeight="false" outlineLevel="0" collapsed="false">
      <c r="A126" s="10" t="n">
        <v>2026</v>
      </c>
      <c r="B126" s="10" t="s">
        <v>415</v>
      </c>
      <c r="C126" s="11" t="s">
        <v>424</v>
      </c>
      <c r="D126" s="10" t="s">
        <v>172</v>
      </c>
      <c r="E126" s="10" t="s">
        <v>306</v>
      </c>
      <c r="F126" s="11" t="s">
        <v>306</v>
      </c>
      <c r="G126" s="12" t="n">
        <v>46220</v>
      </c>
      <c r="H126" s="12" t="n">
        <v>46241</v>
      </c>
      <c r="I126" s="12" t="n">
        <v>46241</v>
      </c>
      <c r="J126" s="13" t="n">
        <v>1</v>
      </c>
      <c r="K126" s="10" t="s">
        <v>117</v>
      </c>
      <c r="L126" s="11" t="s">
        <v>425</v>
      </c>
      <c r="M126" s="14" t="n">
        <f aca="false">IF(OR(G126="",H126=""),"",IF(H126&lt;=G126,1,MIN(1,MAX(0,(Parámetros!$B$4-G126)/(H126-G126)))))</f>
        <v>1</v>
      </c>
      <c r="N126" s="14" t="n">
        <f aca="false">IF(M126="","",J126-M126)</f>
        <v>0</v>
      </c>
      <c r="O126" s="15" t="str">
        <f aca="false">IF(J126&gt;=1,"Completado",IF(H126="","Sin fecha plan",IF(H126&lt;Parámetros!$B$4,"Atrasado",IF(J126&lt;=0,"No iniciado","En proceso"))))</f>
        <v>Completado</v>
      </c>
      <c r="P126" s="15" t="n">
        <f aca="false">IF(AND(J126&lt;1,H126&lt;&gt;"",H126&lt;Parámetros!$B$4),Parámetros!$B$4-H126,0)</f>
        <v>0</v>
      </c>
      <c r="Q126" s="15" t="str">
        <f aca="false">IF(OR(D126="Proyecto",D126="Riesgos",D126="Obs. Auditoría"),"Sí","No")</f>
        <v>No</v>
      </c>
      <c r="R126" s="15" t="n">
        <f aca="false">IF(I126="","",IF(I126&lt;=H126,1,0))</f>
        <v>1</v>
      </c>
    </row>
    <row r="127" customFormat="false" ht="15" hidden="false" customHeight="false" outlineLevel="0" collapsed="false">
      <c r="A127" s="10" t="n">
        <v>2026</v>
      </c>
      <c r="B127" s="10" t="s">
        <v>415</v>
      </c>
      <c r="C127" s="11" t="s">
        <v>426</v>
      </c>
      <c r="D127" s="10" t="s">
        <v>172</v>
      </c>
      <c r="E127" s="10" t="s">
        <v>306</v>
      </c>
      <c r="F127" s="11" t="s">
        <v>306</v>
      </c>
      <c r="G127" s="12" t="n">
        <v>46234</v>
      </c>
      <c r="H127" s="12" t="n">
        <v>46255</v>
      </c>
      <c r="I127" s="12"/>
      <c r="J127" s="13" t="n">
        <v>0.8</v>
      </c>
      <c r="K127" s="10" t="s">
        <v>159</v>
      </c>
      <c r="L127" s="11" t="s">
        <v>427</v>
      </c>
      <c r="M127" s="14" t="n">
        <f aca="false">IF(OR(G127="",H127=""),"",IF(H127&lt;=G127,1,MIN(1,MAX(0,(Parámetros!$B$4-G127)/(H127-G127)))))</f>
        <v>1</v>
      </c>
      <c r="N127" s="14" t="n">
        <f aca="false">IF(M127="","",J127-M127)</f>
        <v>-0.2</v>
      </c>
      <c r="O127" s="15" t="str">
        <f aca="false">IF(J127&gt;=1,"Completado",IF(H127="","Sin fecha plan",IF(H127&lt;Parámetros!$B$4,"Atrasado",IF(J127&lt;=0,"No iniciado","En proceso"))))</f>
        <v>Atrasado</v>
      </c>
      <c r="P127" s="15" t="n">
        <f aca="false">IF(AND(J127&lt;1,H127&lt;&gt;"",H127&lt;Parámetros!$B$4),Parámetros!$B$4-H127,0)</f>
        <v>27</v>
      </c>
      <c r="Q127" s="15" t="str">
        <f aca="false">IF(OR(D127="Proyecto",D127="Riesgos",D127="Obs. Auditoría"),"Sí","No")</f>
        <v>No</v>
      </c>
      <c r="R127" s="15" t="str">
        <f aca="false">IF(I127="","",IF(I127&lt;=H127,1,0))</f>
        <v/>
      </c>
    </row>
    <row r="128" customFormat="false" ht="15" hidden="false" customHeight="false" outlineLevel="0" collapsed="false">
      <c r="A128" s="10" t="n">
        <v>2026</v>
      </c>
      <c r="B128" s="10" t="s">
        <v>428</v>
      </c>
      <c r="C128" s="11" t="s">
        <v>429</v>
      </c>
      <c r="D128" s="10" t="s">
        <v>172</v>
      </c>
      <c r="E128" s="10" t="s">
        <v>306</v>
      </c>
      <c r="F128" s="11" t="s">
        <v>306</v>
      </c>
      <c r="G128" s="12" t="n">
        <v>46210</v>
      </c>
      <c r="H128" s="12" t="n">
        <v>46272</v>
      </c>
      <c r="I128" s="12" t="n">
        <v>46272</v>
      </c>
      <c r="J128" s="13" t="n">
        <v>1</v>
      </c>
      <c r="K128" s="10" t="s">
        <v>132</v>
      </c>
      <c r="L128" s="11" t="s">
        <v>430</v>
      </c>
      <c r="M128" s="14" t="n">
        <f aca="false">IF(OR(G128="",H128=""),"",IF(H128&lt;=G128,1,MIN(1,MAX(0,(Parámetros!$B$4-G128)/(H128-G128)))))</f>
        <v>1</v>
      </c>
      <c r="N128" s="14" t="n">
        <f aca="false">IF(M128="","",J128-M128)</f>
        <v>0</v>
      </c>
      <c r="O128" s="15" t="str">
        <f aca="false">IF(J128&gt;=1,"Completado",IF(H128="","Sin fecha plan",IF(H128&lt;Parámetros!$B$4,"Atrasado",IF(J128&lt;=0,"No iniciado","En proceso"))))</f>
        <v>Completado</v>
      </c>
      <c r="P128" s="15" t="n">
        <f aca="false">IF(AND(J128&lt;1,H128&lt;&gt;"",H128&lt;Parámetros!$B$4),Parámetros!$B$4-H128,0)</f>
        <v>0</v>
      </c>
      <c r="Q128" s="15" t="str">
        <f aca="false">IF(OR(D128="Proyecto",D128="Riesgos",D128="Obs. Auditoría"),"Sí","No")</f>
        <v>No</v>
      </c>
      <c r="R128" s="15" t="n">
        <f aca="false">IF(I128="","",IF(I128&lt;=H128,1,0))</f>
        <v>1</v>
      </c>
    </row>
    <row r="129" customFormat="false" ht="15" hidden="false" customHeight="false" outlineLevel="0" collapsed="false">
      <c r="A129" s="10" t="n">
        <v>2026</v>
      </c>
      <c r="B129" s="10" t="s">
        <v>431</v>
      </c>
      <c r="C129" s="11" t="s">
        <v>432</v>
      </c>
      <c r="D129" s="10" t="s">
        <v>172</v>
      </c>
      <c r="E129" s="10" t="s">
        <v>306</v>
      </c>
      <c r="F129" s="11" t="s">
        <v>306</v>
      </c>
      <c r="G129" s="12" t="n">
        <v>46203</v>
      </c>
      <c r="H129" s="12" t="n">
        <v>46211</v>
      </c>
      <c r="I129" s="12" t="n">
        <v>46211</v>
      </c>
      <c r="J129" s="13" t="n">
        <v>1</v>
      </c>
      <c r="K129" s="10" t="s">
        <v>117</v>
      </c>
      <c r="L129" s="11" t="s">
        <v>433</v>
      </c>
      <c r="M129" s="14" t="n">
        <f aca="false">IF(OR(G129="",H129=""),"",IF(H129&lt;=G129,1,MIN(1,MAX(0,(Parámetros!$B$4-G129)/(H129-G129)))))</f>
        <v>1</v>
      </c>
      <c r="N129" s="14" t="n">
        <f aca="false">IF(M129="","",J129-M129)</f>
        <v>0</v>
      </c>
      <c r="O129" s="15" t="str">
        <f aca="false">IF(J129&gt;=1,"Completado",IF(H129="","Sin fecha plan",IF(H129&lt;Parámetros!$B$4,"Atrasado",IF(J129&lt;=0,"No iniciado","En proceso"))))</f>
        <v>Completado</v>
      </c>
      <c r="P129" s="15" t="n">
        <f aca="false">IF(AND(J129&lt;1,H129&lt;&gt;"",H129&lt;Parámetros!$B$4),Parámetros!$B$4-H129,0)</f>
        <v>0</v>
      </c>
      <c r="Q129" s="15" t="str">
        <f aca="false">IF(OR(D129="Proyecto",D129="Riesgos",D129="Obs. Auditoría"),"Sí","No")</f>
        <v>No</v>
      </c>
      <c r="R129" s="15" t="n">
        <f aca="false">IF(I129="","",IF(I129&lt;=H129,1,0))</f>
        <v>1</v>
      </c>
    </row>
    <row r="130" customFormat="false" ht="15" hidden="false" customHeight="false" outlineLevel="0" collapsed="false">
      <c r="A130" s="10" t="n">
        <v>2026</v>
      </c>
      <c r="B130" s="10" t="s">
        <v>434</v>
      </c>
      <c r="C130" s="11" t="s">
        <v>435</v>
      </c>
      <c r="D130" s="10" t="s">
        <v>172</v>
      </c>
      <c r="E130" s="10" t="s">
        <v>131</v>
      </c>
      <c r="F130" s="11" t="s">
        <v>131</v>
      </c>
      <c r="G130" s="12" t="n">
        <v>46153</v>
      </c>
      <c r="H130" s="12" t="n">
        <v>46199</v>
      </c>
      <c r="I130" s="12" t="n">
        <v>46197</v>
      </c>
      <c r="J130" s="13" t="n">
        <v>1</v>
      </c>
      <c r="K130" s="10" t="s">
        <v>117</v>
      </c>
      <c r="L130" s="11" t="s">
        <v>436</v>
      </c>
      <c r="M130" s="14" t="n">
        <f aca="false">IF(OR(G130="",H130=""),"",IF(H130&lt;=G130,1,MIN(1,MAX(0,(Parámetros!$B$4-G130)/(H130-G130)))))</f>
        <v>1</v>
      </c>
      <c r="N130" s="14" t="n">
        <f aca="false">IF(M130="","",J130-M130)</f>
        <v>0</v>
      </c>
      <c r="O130" s="15" t="str">
        <f aca="false">IF(J130&gt;=1,"Completado",IF(H130="","Sin fecha plan",IF(H130&lt;Parámetros!$B$4,"Atrasado",IF(J130&lt;=0,"No iniciado","En proceso"))))</f>
        <v>Completado</v>
      </c>
      <c r="P130" s="15" t="n">
        <f aca="false">IF(AND(J130&lt;1,H130&lt;&gt;"",H130&lt;Parámetros!$B$4),Parámetros!$B$4-H130,0)</f>
        <v>0</v>
      </c>
      <c r="Q130" s="15" t="str">
        <f aca="false">IF(OR(D130="Proyecto",D130="Riesgos",D130="Obs. Auditoría"),"Sí","No")</f>
        <v>No</v>
      </c>
      <c r="R130" s="15" t="n">
        <f aca="false">IF(I130="","",IF(I130&lt;=H130,1,0))</f>
        <v>1</v>
      </c>
    </row>
    <row r="131" customFormat="false" ht="55.2" hidden="false" customHeight="false" outlineLevel="0" collapsed="false">
      <c r="A131" s="10" t="n">
        <v>2026</v>
      </c>
      <c r="B131" s="10" t="s">
        <v>437</v>
      </c>
      <c r="C131" s="11" t="s">
        <v>438</v>
      </c>
      <c r="D131" s="10" t="s">
        <v>115</v>
      </c>
      <c r="E131" s="10" t="s">
        <v>116</v>
      </c>
      <c r="F131" s="11" t="s">
        <v>116</v>
      </c>
      <c r="G131" s="12" t="n">
        <v>46204</v>
      </c>
      <c r="H131" s="12" t="n">
        <v>46326</v>
      </c>
      <c r="I131" s="12"/>
      <c r="J131" s="13" t="n">
        <v>0.3</v>
      </c>
      <c r="K131" s="10" t="s">
        <v>159</v>
      </c>
      <c r="L131" s="11" t="s">
        <v>439</v>
      </c>
      <c r="M131" s="14" t="n">
        <f aca="false">IF(OR(G131="",H131=""),"",IF(H131&lt;=G131,1,MIN(1,MAX(0,(Parámetros!$B$4-G131)/(H131-G131)))))</f>
        <v>0.639344262295082</v>
      </c>
      <c r="N131" s="14" t="n">
        <f aca="false">IF(M131="","",J131-M131)</f>
        <v>-0.339344262295082</v>
      </c>
      <c r="O131" s="15" t="str">
        <f aca="false">IF(J131&gt;=1,"Completado",IF(H131="","Sin fecha plan",IF(H131&lt;Parámetros!$B$4,"Atrasado",IF(J131&lt;=0,"No iniciado","En proceso"))))</f>
        <v>En proceso</v>
      </c>
      <c r="P131" s="15" t="n">
        <f aca="false">IF(AND(J131&lt;1,H131&lt;&gt;"",H131&lt;Parámetros!$B$4),Parámetros!$B$4-H131,0)</f>
        <v>0</v>
      </c>
      <c r="Q131" s="15" t="str">
        <f aca="false">IF(OR(D131="Proyecto",D131="Riesgos",D131="Obs. Auditoría"),"Sí","No")</f>
        <v>No</v>
      </c>
      <c r="R131" s="15" t="str">
        <f aca="false">IF(I131="","",IF(I131&lt;=H131,1,0))</f>
        <v/>
      </c>
    </row>
    <row r="132" customFormat="false" ht="28.35" hidden="false" customHeight="false" outlineLevel="0" collapsed="false">
      <c r="A132" s="10" t="n">
        <v>2026</v>
      </c>
      <c r="B132" s="10" t="s">
        <v>440</v>
      </c>
      <c r="C132" s="11" t="s">
        <v>441</v>
      </c>
      <c r="D132" s="10" t="s">
        <v>115</v>
      </c>
      <c r="E132" s="10" t="s">
        <v>242</v>
      </c>
      <c r="F132" s="11" t="s">
        <v>442</v>
      </c>
      <c r="G132" s="12" t="n">
        <v>46235</v>
      </c>
      <c r="H132" s="12" t="n">
        <v>46325</v>
      </c>
      <c r="I132" s="12"/>
      <c r="J132" s="13" t="n">
        <v>0.33</v>
      </c>
      <c r="K132" s="10" t="s">
        <v>223</v>
      </c>
      <c r="L132" s="11"/>
      <c r="M132" s="14" t="n">
        <f aca="false">IF(OR(G132="",H132=""),"",IF(H132&lt;=G132,1,MIN(1,MAX(0,(Parámetros!$B$4-G132)/(H132-G132)))))</f>
        <v>0.522222222222222</v>
      </c>
      <c r="N132" s="14" t="n">
        <f aca="false">IF(M132="","",J132-M132)</f>
        <v>-0.192222222222222</v>
      </c>
      <c r="O132" s="15" t="str">
        <f aca="false">IF(J132&gt;=1,"Completado",IF(H132="","Sin fecha plan",IF(H132&lt;Parámetros!$B$4,"Atrasado",IF(J132&lt;=0,"No iniciado","En proceso"))))</f>
        <v>En proceso</v>
      </c>
      <c r="P132" s="15" t="n">
        <f aca="false">IF(AND(J132&lt;1,H132&lt;&gt;"",H132&lt;Parámetros!$B$4),Parámetros!$B$4-H132,0)</f>
        <v>0</v>
      </c>
      <c r="Q132" s="15" t="str">
        <f aca="false">IF(OR(D132="Proyecto",D132="Riesgos",D132="Obs. Auditoría"),"Sí","No")</f>
        <v>No</v>
      </c>
      <c r="R132" s="15" t="str">
        <f aca="false">IF(I132="","",IF(I132&lt;=H132,1,0))</f>
        <v/>
      </c>
    </row>
    <row r="133" customFormat="false" ht="19.4" hidden="false" customHeight="false" outlineLevel="0" collapsed="false">
      <c r="A133" s="10" t="n">
        <v>2026</v>
      </c>
      <c r="B133" s="10" t="s">
        <v>443</v>
      </c>
      <c r="C133" s="11" t="s">
        <v>444</v>
      </c>
      <c r="D133" s="10" t="s">
        <v>115</v>
      </c>
      <c r="E133" s="10" t="s">
        <v>222</v>
      </c>
      <c r="F133" s="11" t="s">
        <v>445</v>
      </c>
      <c r="G133" s="12" t="n">
        <v>46082</v>
      </c>
      <c r="H133" s="12" t="n">
        <v>46199</v>
      </c>
      <c r="I133" s="12" t="n">
        <v>46199</v>
      </c>
      <c r="J133" s="13" t="n">
        <v>1</v>
      </c>
      <c r="K133" s="10" t="s">
        <v>147</v>
      </c>
      <c r="L133" s="11"/>
      <c r="M133" s="14" t="n">
        <f aca="false">IF(OR(G133="",H133=""),"",IF(H133&lt;=G133,1,MIN(1,MAX(0,(Parámetros!$B$4-G133)/(H133-G133)))))</f>
        <v>1</v>
      </c>
      <c r="N133" s="14" t="n">
        <f aca="false">IF(M133="","",J133-M133)</f>
        <v>0</v>
      </c>
      <c r="O133" s="15" t="str">
        <f aca="false">IF(J133&gt;=1,"Completado",IF(H133="","Sin fecha plan",IF(H133&lt;Parámetros!$B$4,"Atrasado",IF(J133&lt;=0,"No iniciado","En proceso"))))</f>
        <v>Completado</v>
      </c>
      <c r="P133" s="15" t="n">
        <f aca="false">IF(AND(J133&lt;1,H133&lt;&gt;"",H133&lt;Parámetros!$B$4),Parámetros!$B$4-H133,0)</f>
        <v>0</v>
      </c>
      <c r="Q133" s="15" t="str">
        <f aca="false">IF(OR(D133="Proyecto",D133="Riesgos",D133="Obs. Auditoría"),"Sí","No")</f>
        <v>No</v>
      </c>
      <c r="R133" s="15" t="n">
        <f aca="false">IF(I133="","",IF(I133&lt;=H133,1,0))</f>
        <v>1</v>
      </c>
    </row>
    <row r="134" customFormat="false" ht="82.05" hidden="false" customHeight="false" outlineLevel="0" collapsed="false">
      <c r="A134" s="10" t="n">
        <v>2026</v>
      </c>
      <c r="B134" s="10" t="s">
        <v>443</v>
      </c>
      <c r="C134" s="11" t="s">
        <v>446</v>
      </c>
      <c r="D134" s="10" t="s">
        <v>115</v>
      </c>
      <c r="E134" s="10" t="s">
        <v>410</v>
      </c>
      <c r="F134" s="11" t="s">
        <v>410</v>
      </c>
      <c r="G134" s="12" t="n">
        <v>46185</v>
      </c>
      <c r="H134" s="12" t="n">
        <v>46326</v>
      </c>
      <c r="I134" s="12"/>
      <c r="J134" s="13" t="n">
        <v>0</v>
      </c>
      <c r="K134" s="10" t="s">
        <v>117</v>
      </c>
      <c r="L134" s="11" t="s">
        <v>447</v>
      </c>
      <c r="M134" s="14" t="n">
        <f aca="false">IF(OR(G134="",H134=""),"",IF(H134&lt;=G134,1,MIN(1,MAX(0,(Parámetros!$B$4-G134)/(H134-G134)))))</f>
        <v>0.687943262411348</v>
      </c>
      <c r="N134" s="14" t="n">
        <f aca="false">IF(M134="","",J134-M134)</f>
        <v>-0.687943262411348</v>
      </c>
      <c r="O134" s="15" t="str">
        <f aca="false">IF(J134&gt;=1,"Completado",IF(H134="","Sin fecha plan",IF(H134&lt;Parámetros!$B$4,"Atrasado",IF(J134&lt;=0,"No iniciado","En proceso"))))</f>
        <v>No iniciado</v>
      </c>
      <c r="P134" s="15" t="n">
        <f aca="false">IF(AND(J134&lt;1,H134&lt;&gt;"",H134&lt;Parámetros!$B$4),Parámetros!$B$4-H134,0)</f>
        <v>0</v>
      </c>
      <c r="Q134" s="15" t="str">
        <f aca="false">IF(OR(D134="Proyecto",D134="Riesgos",D134="Obs. Auditoría"),"Sí","No")</f>
        <v>No</v>
      </c>
      <c r="R134" s="15" t="str">
        <f aca="false">IF(I134="","",IF(I134&lt;=H134,1,0))</f>
        <v/>
      </c>
    </row>
    <row r="135" customFormat="false" ht="28.35" hidden="false" customHeight="false" outlineLevel="0" collapsed="false">
      <c r="A135" s="10" t="n">
        <v>2026</v>
      </c>
      <c r="B135" s="10" t="s">
        <v>448</v>
      </c>
      <c r="C135" s="11" t="s">
        <v>449</v>
      </c>
      <c r="D135" s="10" t="s">
        <v>146</v>
      </c>
      <c r="E135" s="10" t="s">
        <v>242</v>
      </c>
      <c r="F135" s="11" t="s">
        <v>450</v>
      </c>
      <c r="G135" s="12" t="n">
        <v>46163</v>
      </c>
      <c r="H135" s="12" t="n">
        <v>46224</v>
      </c>
      <c r="I135" s="12" t="n">
        <v>46224</v>
      </c>
      <c r="J135" s="13" t="n">
        <v>1</v>
      </c>
      <c r="K135" s="10" t="s">
        <v>147</v>
      </c>
      <c r="L135" s="11"/>
      <c r="M135" s="14" t="n">
        <f aca="false">IF(OR(G135="",H135=""),"",IF(H135&lt;=G135,1,MIN(1,MAX(0,(Parámetros!$B$4-G135)/(H135-G135)))))</f>
        <v>1</v>
      </c>
      <c r="N135" s="14" t="n">
        <f aca="false">IF(M135="","",J135-M135)</f>
        <v>0</v>
      </c>
      <c r="O135" s="15" t="str">
        <f aca="false">IF(J135&gt;=1,"Completado",IF(H135="","Sin fecha plan",IF(H135&lt;Parámetros!$B$4,"Atrasado",IF(J135&lt;=0,"No iniciado","En proceso"))))</f>
        <v>Completado</v>
      </c>
      <c r="P135" s="15" t="n">
        <f aca="false">IF(AND(J135&lt;1,H135&lt;&gt;"",H135&lt;Parámetros!$B$4),Parámetros!$B$4-H135,0)</f>
        <v>0</v>
      </c>
      <c r="Q135" s="15" t="str">
        <f aca="false">IF(OR(D135="Proyecto",D135="Riesgos",D135="Obs. Auditoría"),"Sí","No")</f>
        <v>No</v>
      </c>
      <c r="R135" s="15" t="n">
        <f aca="false">IF(I135="","",IF(I135&lt;=H135,1,0))</f>
        <v>1</v>
      </c>
    </row>
    <row r="136" customFormat="false" ht="19.4" hidden="false" customHeight="false" outlineLevel="0" collapsed="false">
      <c r="A136" s="10" t="n">
        <v>2026</v>
      </c>
      <c r="B136" s="10" t="s">
        <v>448</v>
      </c>
      <c r="C136" s="11" t="s">
        <v>451</v>
      </c>
      <c r="D136" s="10" t="s">
        <v>146</v>
      </c>
      <c r="E136" s="10" t="s">
        <v>242</v>
      </c>
      <c r="F136" s="11" t="s">
        <v>450</v>
      </c>
      <c r="G136" s="12" t="n">
        <v>46163</v>
      </c>
      <c r="H136" s="12" t="n">
        <v>46196</v>
      </c>
      <c r="I136" s="12" t="n">
        <v>46196</v>
      </c>
      <c r="J136" s="13" t="n">
        <v>1</v>
      </c>
      <c r="K136" s="10" t="s">
        <v>147</v>
      </c>
      <c r="L136" s="11" t="s">
        <v>452</v>
      </c>
      <c r="M136" s="14" t="n">
        <f aca="false">IF(OR(G136="",H136=""),"",IF(H136&lt;=G136,1,MIN(1,MAX(0,(Parámetros!$B$4-G136)/(H136-G136)))))</f>
        <v>1</v>
      </c>
      <c r="N136" s="14" t="n">
        <f aca="false">IF(M136="","",J136-M136)</f>
        <v>0</v>
      </c>
      <c r="O136" s="15" t="str">
        <f aca="false">IF(J136&gt;=1,"Completado",IF(H136="","Sin fecha plan",IF(H136&lt;Parámetros!$B$4,"Atrasado",IF(J136&lt;=0,"No iniciado","En proceso"))))</f>
        <v>Completado</v>
      </c>
      <c r="P136" s="15" t="n">
        <f aca="false">IF(AND(J136&lt;1,H136&lt;&gt;"",H136&lt;Parámetros!$B$4),Parámetros!$B$4-H136,0)</f>
        <v>0</v>
      </c>
      <c r="Q136" s="15" t="str">
        <f aca="false">IF(OR(D136="Proyecto",D136="Riesgos",D136="Obs. Auditoría"),"Sí","No")</f>
        <v>No</v>
      </c>
      <c r="R136" s="15" t="n">
        <f aca="false">IF(I136="","",IF(I136&lt;=H136,1,0))</f>
        <v>1</v>
      </c>
    </row>
    <row r="137" customFormat="false" ht="46.25" hidden="false" customHeight="false" outlineLevel="0" collapsed="false">
      <c r="A137" s="10" t="n">
        <v>2026</v>
      </c>
      <c r="B137" s="10" t="s">
        <v>453</v>
      </c>
      <c r="C137" s="11" t="s">
        <v>454</v>
      </c>
      <c r="D137" s="10" t="s">
        <v>155</v>
      </c>
      <c r="E137" s="10" t="s">
        <v>116</v>
      </c>
      <c r="F137" s="11" t="s">
        <v>116</v>
      </c>
      <c r="G137" s="12" t="n">
        <v>46188</v>
      </c>
      <c r="H137" s="12" t="n">
        <v>46295</v>
      </c>
      <c r="I137" s="12"/>
      <c r="J137" s="13" t="n">
        <v>0.8</v>
      </c>
      <c r="K137" s="10" t="s">
        <v>455</v>
      </c>
      <c r="L137" s="11" t="s">
        <v>456</v>
      </c>
      <c r="M137" s="14" t="n">
        <f aca="false">IF(OR(G137="",H137=""),"",IF(H137&lt;=G137,1,MIN(1,MAX(0,(Parámetros!$B$4-G137)/(H137-G137)))))</f>
        <v>0.878504672897196</v>
      </c>
      <c r="N137" s="14" t="n">
        <f aca="false">IF(M137="","",J137-M137)</f>
        <v>-0.0785046728971962</v>
      </c>
      <c r="O137" s="15" t="str">
        <f aca="false">IF(J137&gt;=1,"Completado",IF(H137="","Sin fecha plan",IF(H137&lt;Parámetros!$B$4,"Atrasado",IF(J137&lt;=0,"No iniciado","En proceso"))))</f>
        <v>En proceso</v>
      </c>
      <c r="P137" s="15" t="n">
        <f aca="false">IF(AND(J137&lt;1,H137&lt;&gt;"",H137&lt;Parámetros!$B$4),Parámetros!$B$4-H137,0)</f>
        <v>0</v>
      </c>
      <c r="Q137" s="15" t="str">
        <f aca="false">IF(OR(D137="Proyecto",D137="Riesgos",D137="Obs. Auditoría"),"Sí","No")</f>
        <v>Sí</v>
      </c>
      <c r="R137" s="15" t="str">
        <f aca="false">IF(I137="","",IF(I137&lt;=H137,1,0))</f>
        <v/>
      </c>
    </row>
    <row r="138" customFormat="false" ht="46.25" hidden="false" customHeight="false" outlineLevel="0" collapsed="false">
      <c r="A138" s="10" t="n">
        <v>2026</v>
      </c>
      <c r="B138" s="10" t="s">
        <v>457</v>
      </c>
      <c r="C138" s="11" t="s">
        <v>458</v>
      </c>
      <c r="D138" s="10" t="s">
        <v>155</v>
      </c>
      <c r="E138" s="10" t="s">
        <v>116</v>
      </c>
      <c r="F138" s="11" t="s">
        <v>116</v>
      </c>
      <c r="G138" s="12" t="n">
        <v>46204</v>
      </c>
      <c r="H138" s="12" t="n">
        <v>46254</v>
      </c>
      <c r="I138" s="12" t="n">
        <v>46244</v>
      </c>
      <c r="J138" s="13" t="n">
        <v>1</v>
      </c>
      <c r="K138" s="10" t="s">
        <v>223</v>
      </c>
      <c r="L138" s="11" t="s">
        <v>459</v>
      </c>
      <c r="M138" s="14" t="n">
        <f aca="false">IF(OR(G138="",H138=""),"",IF(H138&lt;=G138,1,MIN(1,MAX(0,(Parámetros!$B$4-G138)/(H138-G138)))))</f>
        <v>1</v>
      </c>
      <c r="N138" s="14" t="n">
        <f aca="false">IF(M138="","",J138-M138)</f>
        <v>0</v>
      </c>
      <c r="O138" s="15" t="str">
        <f aca="false">IF(J138&gt;=1,"Completado",IF(H138="","Sin fecha plan",IF(H138&lt;Parámetros!$B$4,"Atrasado",IF(J138&lt;=0,"No iniciado","En proceso"))))</f>
        <v>Completado</v>
      </c>
      <c r="P138" s="15" t="n">
        <f aca="false">IF(AND(J138&lt;1,H138&lt;&gt;"",H138&lt;Parámetros!$B$4),Parámetros!$B$4-H138,0)</f>
        <v>0</v>
      </c>
      <c r="Q138" s="15" t="str">
        <f aca="false">IF(OR(D138="Proyecto",D138="Riesgos",D138="Obs. Auditoría"),"Sí","No")</f>
        <v>Sí</v>
      </c>
      <c r="R138" s="15" t="n">
        <f aca="false">IF(I138="","",IF(I138&lt;=H138,1,0))</f>
        <v>1</v>
      </c>
    </row>
    <row r="139" customFormat="false" ht="37.3" hidden="false" customHeight="false" outlineLevel="0" collapsed="false">
      <c r="A139" s="10" t="n">
        <v>2026</v>
      </c>
      <c r="B139" s="10" t="s">
        <v>460</v>
      </c>
      <c r="C139" s="11" t="s">
        <v>461</v>
      </c>
      <c r="D139" s="10" t="s">
        <v>172</v>
      </c>
      <c r="E139" s="10" t="s">
        <v>410</v>
      </c>
      <c r="F139" s="11" t="s">
        <v>410</v>
      </c>
      <c r="G139" s="12" t="n">
        <v>46181</v>
      </c>
      <c r="H139" s="12"/>
      <c r="I139" s="12"/>
      <c r="J139" s="13" t="n">
        <v>1</v>
      </c>
      <c r="K139" s="10" t="s">
        <v>159</v>
      </c>
      <c r="L139" s="11" t="s">
        <v>462</v>
      </c>
      <c r="M139" s="14" t="str">
        <f aca="false">IF(OR(G139="",H139=""),"",IF(H139&lt;=G139,1,MIN(1,MAX(0,(Parámetros!$B$4-G139)/(H139-G139)))))</f>
        <v/>
      </c>
      <c r="N139" s="14" t="str">
        <f aca="false">IF(M139="","",J139-M139)</f>
        <v/>
      </c>
      <c r="O139" s="15" t="str">
        <f aca="false">IF(J139&gt;=1,"Completado",IF(H139="","Sin fecha plan",IF(H139&lt;Parámetros!$B$4,"Atrasado",IF(J139&lt;=0,"No iniciado","En proceso"))))</f>
        <v>Completado</v>
      </c>
      <c r="P139" s="15" t="n">
        <f aca="false">IF(AND(J139&lt;1,H139&lt;&gt;"",H139&lt;Parámetros!$B$4),Parámetros!$B$4-H139,0)</f>
        <v>0</v>
      </c>
      <c r="Q139" s="15" t="str">
        <f aca="false">IF(OR(D139="Proyecto",D139="Riesgos",D139="Obs. Auditoría"),"Sí","No")</f>
        <v>No</v>
      </c>
      <c r="R139" s="15" t="str">
        <f aca="false">IF(I139="","",IF(I139&lt;=H139,1,0))</f>
        <v/>
      </c>
    </row>
    <row r="140" customFormat="false" ht="28.35" hidden="false" customHeight="false" outlineLevel="0" collapsed="false">
      <c r="A140" s="10" t="n">
        <v>2026</v>
      </c>
      <c r="B140" s="10" t="s">
        <v>463</v>
      </c>
      <c r="C140" s="11" t="s">
        <v>464</v>
      </c>
      <c r="D140" s="10" t="s">
        <v>172</v>
      </c>
      <c r="E140" s="10" t="s">
        <v>410</v>
      </c>
      <c r="F140" s="11" t="s">
        <v>410</v>
      </c>
      <c r="G140" s="12" t="n">
        <v>46181</v>
      </c>
      <c r="H140" s="12"/>
      <c r="I140" s="12"/>
      <c r="J140" s="13" t="n">
        <v>1</v>
      </c>
      <c r="K140" s="10" t="s">
        <v>159</v>
      </c>
      <c r="L140" s="11" t="s">
        <v>462</v>
      </c>
      <c r="M140" s="14" t="str">
        <f aca="false">IF(OR(G140="",H140=""),"",IF(H140&lt;=G140,1,MIN(1,MAX(0,(Parámetros!$B$4-G140)/(H140-G140)))))</f>
        <v/>
      </c>
      <c r="N140" s="14" t="str">
        <f aca="false">IF(M140="","",J140-M140)</f>
        <v/>
      </c>
      <c r="O140" s="15" t="str">
        <f aca="false">IF(J140&gt;=1,"Completado",IF(H140="","Sin fecha plan",IF(H140&lt;Parámetros!$B$4,"Atrasado",IF(J140&lt;=0,"No iniciado","En proceso"))))</f>
        <v>Completado</v>
      </c>
      <c r="P140" s="15" t="n">
        <f aca="false">IF(AND(J140&lt;1,H140&lt;&gt;"",H140&lt;Parámetros!$B$4),Parámetros!$B$4-H140,0)</f>
        <v>0</v>
      </c>
      <c r="Q140" s="15" t="str">
        <f aca="false">IF(OR(D140="Proyecto",D140="Riesgos",D140="Obs. Auditoría"),"Sí","No")</f>
        <v>No</v>
      </c>
      <c r="R140" s="15" t="str">
        <f aca="false">IF(I140="","",IF(I140&lt;=H140,1,0))</f>
        <v/>
      </c>
    </row>
    <row r="141" customFormat="false" ht="55.2" hidden="false" customHeight="false" outlineLevel="0" collapsed="false">
      <c r="A141" s="10" t="n">
        <v>2026</v>
      </c>
      <c r="B141" s="10" t="s">
        <v>465</v>
      </c>
      <c r="C141" s="11" t="s">
        <v>466</v>
      </c>
      <c r="D141" s="10" t="s">
        <v>172</v>
      </c>
      <c r="E141" s="10" t="s">
        <v>410</v>
      </c>
      <c r="F141" s="11" t="s">
        <v>410</v>
      </c>
      <c r="G141" s="12" t="n">
        <v>46113</v>
      </c>
      <c r="H141" s="12"/>
      <c r="I141" s="12"/>
      <c r="J141" s="13" t="n">
        <v>1</v>
      </c>
      <c r="K141" s="10" t="s">
        <v>117</v>
      </c>
      <c r="L141" s="11" t="s">
        <v>467</v>
      </c>
      <c r="M141" s="14" t="str">
        <f aca="false">IF(OR(G141="",H141=""),"",IF(H141&lt;=G141,1,MIN(1,MAX(0,(Parámetros!$B$4-G141)/(H141-G141)))))</f>
        <v/>
      </c>
      <c r="N141" s="14" t="str">
        <f aca="false">IF(M141="","",J141-M141)</f>
        <v/>
      </c>
      <c r="O141" s="15" t="str">
        <f aca="false">IF(J141&gt;=1,"Completado",IF(H141="","Sin fecha plan",IF(H141&lt;Parámetros!$B$4,"Atrasado",IF(J141&lt;=0,"No iniciado","En proceso"))))</f>
        <v>Completado</v>
      </c>
      <c r="P141" s="15" t="n">
        <f aca="false">IF(AND(J141&lt;1,H141&lt;&gt;"",H141&lt;Parámetros!$B$4),Parámetros!$B$4-H141,0)</f>
        <v>0</v>
      </c>
      <c r="Q141" s="15" t="str">
        <f aca="false">IF(OR(D141="Proyecto",D141="Riesgos",D141="Obs. Auditoría"),"Sí","No")</f>
        <v>No</v>
      </c>
      <c r="R141" s="15" t="str">
        <f aca="false">IF(I141="","",IF(I141&lt;=H141,1,0))</f>
        <v/>
      </c>
    </row>
    <row r="142" customFormat="false" ht="28.35" hidden="false" customHeight="false" outlineLevel="0" collapsed="false">
      <c r="A142" s="10" t="n">
        <v>2026</v>
      </c>
      <c r="B142" s="10" t="s">
        <v>465</v>
      </c>
      <c r="C142" s="11" t="s">
        <v>468</v>
      </c>
      <c r="D142" s="10" t="s">
        <v>172</v>
      </c>
      <c r="E142" s="10" t="s">
        <v>410</v>
      </c>
      <c r="F142" s="11" t="s">
        <v>410</v>
      </c>
      <c r="G142" s="12" t="n">
        <v>46178</v>
      </c>
      <c r="H142" s="12" t="n">
        <v>46245</v>
      </c>
      <c r="I142" s="12"/>
      <c r="J142" s="13" t="n">
        <v>0.25</v>
      </c>
      <c r="K142" s="10" t="s">
        <v>117</v>
      </c>
      <c r="L142" s="11" t="s">
        <v>469</v>
      </c>
      <c r="M142" s="14" t="n">
        <f aca="false">IF(OR(G142="",H142=""),"",IF(H142&lt;=G142,1,MIN(1,MAX(0,(Parámetros!$B$4-G142)/(H142-G142)))))</f>
        <v>1</v>
      </c>
      <c r="N142" s="14" t="n">
        <f aca="false">IF(M142="","",J142-M142)</f>
        <v>-0.75</v>
      </c>
      <c r="O142" s="15" t="str">
        <f aca="false">IF(J142&gt;=1,"Completado",IF(H142="","Sin fecha plan",IF(H142&lt;Parámetros!$B$4,"Atrasado",IF(J142&lt;=0,"No iniciado","En proceso"))))</f>
        <v>Atrasado</v>
      </c>
      <c r="P142" s="15" t="n">
        <f aca="false">IF(AND(J142&lt;1,H142&lt;&gt;"",H142&lt;Parámetros!$B$4),Parámetros!$B$4-H142,0)</f>
        <v>37</v>
      </c>
      <c r="Q142" s="15" t="str">
        <f aca="false">IF(OR(D142="Proyecto",D142="Riesgos",D142="Obs. Auditoría"),"Sí","No")</f>
        <v>No</v>
      </c>
      <c r="R142" s="15" t="str">
        <f aca="false">IF(I142="","",IF(I142&lt;=H142,1,0))</f>
        <v/>
      </c>
    </row>
    <row r="143" customFormat="false" ht="19.4" hidden="false" customHeight="false" outlineLevel="0" collapsed="false">
      <c r="A143" s="10" t="n">
        <v>2026</v>
      </c>
      <c r="B143" s="10" t="s">
        <v>470</v>
      </c>
      <c r="C143" s="11" t="s">
        <v>471</v>
      </c>
      <c r="D143" s="10" t="s">
        <v>172</v>
      </c>
      <c r="E143" s="10" t="s">
        <v>410</v>
      </c>
      <c r="F143" s="11" t="s">
        <v>410</v>
      </c>
      <c r="G143" s="12" t="n">
        <v>46023</v>
      </c>
      <c r="H143" s="12"/>
      <c r="I143" s="12"/>
      <c r="J143" s="13" t="n">
        <v>1</v>
      </c>
      <c r="K143" s="10" t="s">
        <v>117</v>
      </c>
      <c r="L143" s="11" t="s">
        <v>472</v>
      </c>
      <c r="M143" s="14" t="str">
        <f aca="false">IF(OR(G143="",H143=""),"",IF(H143&lt;=G143,1,MIN(1,MAX(0,(Parámetros!$B$4-G143)/(H143-G143)))))</f>
        <v/>
      </c>
      <c r="N143" s="14" t="str">
        <f aca="false">IF(M143="","",J143-M143)</f>
        <v/>
      </c>
      <c r="O143" s="15" t="str">
        <f aca="false">IF(J143&gt;=1,"Completado",IF(H143="","Sin fecha plan",IF(H143&lt;Parámetros!$B$4,"Atrasado",IF(J143&lt;=0,"No iniciado","En proceso"))))</f>
        <v>Completado</v>
      </c>
      <c r="P143" s="15" t="n">
        <f aca="false">IF(AND(J143&lt;1,H143&lt;&gt;"",H143&lt;Parámetros!$B$4),Parámetros!$B$4-H143,0)</f>
        <v>0</v>
      </c>
      <c r="Q143" s="15" t="str">
        <f aca="false">IF(OR(D143="Proyecto",D143="Riesgos",D143="Obs. Auditoría"),"Sí","No")</f>
        <v>No</v>
      </c>
      <c r="R143" s="15" t="str">
        <f aca="false">IF(I143="","",IF(I143&lt;=H143,1,0))</f>
        <v/>
      </c>
    </row>
    <row r="144" customFormat="false" ht="37.3" hidden="false" customHeight="false" outlineLevel="0" collapsed="false">
      <c r="A144" s="10" t="n">
        <v>2026</v>
      </c>
      <c r="B144" s="10" t="s">
        <v>473</v>
      </c>
      <c r="C144" s="11" t="s">
        <v>474</v>
      </c>
      <c r="D144" s="10" t="s">
        <v>172</v>
      </c>
      <c r="E144" s="10" t="s">
        <v>410</v>
      </c>
      <c r="F144" s="11" t="s">
        <v>410</v>
      </c>
      <c r="G144" s="12" t="n">
        <v>46023</v>
      </c>
      <c r="H144" s="12"/>
      <c r="I144" s="12"/>
      <c r="J144" s="13" t="n">
        <v>1</v>
      </c>
      <c r="K144" s="10" t="s">
        <v>223</v>
      </c>
      <c r="L144" s="11" t="s">
        <v>475</v>
      </c>
      <c r="M144" s="14" t="str">
        <f aca="false">IF(OR(G144="",H144=""),"",IF(H144&lt;=G144,1,MIN(1,MAX(0,(Parámetros!$B$4-G144)/(H144-G144)))))</f>
        <v/>
      </c>
      <c r="N144" s="14" t="str">
        <f aca="false">IF(M144="","",J144-M144)</f>
        <v/>
      </c>
      <c r="O144" s="15" t="str">
        <f aca="false">IF(J144&gt;=1,"Completado",IF(H144="","Sin fecha plan",IF(H144&lt;Parámetros!$B$4,"Atrasado",IF(J144&lt;=0,"No iniciado","En proceso"))))</f>
        <v>Completado</v>
      </c>
      <c r="P144" s="15" t="n">
        <f aca="false">IF(AND(J144&lt;1,H144&lt;&gt;"",H144&lt;Parámetros!$B$4),Parámetros!$B$4-H144,0)</f>
        <v>0</v>
      </c>
      <c r="Q144" s="15" t="str">
        <f aca="false">IF(OR(D144="Proyecto",D144="Riesgos",D144="Obs. Auditoría"),"Sí","No")</f>
        <v>No</v>
      </c>
      <c r="R144" s="15" t="str">
        <f aca="false">IF(I144="","",IF(I144&lt;=H144,1,0))</f>
        <v/>
      </c>
    </row>
    <row r="145" customFormat="false" ht="28.35" hidden="false" customHeight="false" outlineLevel="0" collapsed="false">
      <c r="A145" s="10" t="n">
        <v>2026</v>
      </c>
      <c r="B145" s="10" t="s">
        <v>476</v>
      </c>
      <c r="C145" s="11" t="s">
        <v>477</v>
      </c>
      <c r="D145" s="10" t="s">
        <v>172</v>
      </c>
      <c r="E145" s="10" t="s">
        <v>410</v>
      </c>
      <c r="F145" s="11" t="s">
        <v>410</v>
      </c>
      <c r="G145" s="12" t="n">
        <v>46023</v>
      </c>
      <c r="H145" s="12"/>
      <c r="I145" s="12"/>
      <c r="J145" s="13" t="n">
        <v>1</v>
      </c>
      <c r="K145" s="10" t="s">
        <v>117</v>
      </c>
      <c r="L145" s="11" t="s">
        <v>478</v>
      </c>
      <c r="M145" s="14" t="str">
        <f aca="false">IF(OR(G145="",H145=""),"",IF(H145&lt;=G145,1,MIN(1,MAX(0,(Parámetros!$B$4-G145)/(H145-G145)))))</f>
        <v/>
      </c>
      <c r="N145" s="14" t="str">
        <f aca="false">IF(M145="","",J145-M145)</f>
        <v/>
      </c>
      <c r="O145" s="15" t="str">
        <f aca="false">IF(J145&gt;=1,"Completado",IF(H145="","Sin fecha plan",IF(H145&lt;Parámetros!$B$4,"Atrasado",IF(J145&lt;=0,"No iniciado","En proceso"))))</f>
        <v>Completado</v>
      </c>
      <c r="P145" s="15" t="n">
        <f aca="false">IF(AND(J145&lt;1,H145&lt;&gt;"",H145&lt;Parámetros!$B$4),Parámetros!$B$4-H145,0)</f>
        <v>0</v>
      </c>
      <c r="Q145" s="15" t="str">
        <f aca="false">IF(OR(D145="Proyecto",D145="Riesgos",D145="Obs. Auditoría"),"Sí","No")</f>
        <v>No</v>
      </c>
      <c r="R145" s="15" t="str">
        <f aca="false">IF(I145="","",IF(I145&lt;=H145,1,0))</f>
        <v/>
      </c>
    </row>
    <row r="146" customFormat="false" ht="28.35" hidden="false" customHeight="false" outlineLevel="0" collapsed="false">
      <c r="A146" s="10" t="n">
        <v>2026</v>
      </c>
      <c r="B146" s="10" t="s">
        <v>479</v>
      </c>
      <c r="C146" s="11" t="s">
        <v>480</v>
      </c>
      <c r="D146" s="10" t="s">
        <v>172</v>
      </c>
      <c r="E146" s="10" t="s">
        <v>410</v>
      </c>
      <c r="F146" s="11" t="s">
        <v>410</v>
      </c>
      <c r="G146" s="12" t="n">
        <v>46023</v>
      </c>
      <c r="H146" s="12"/>
      <c r="I146" s="12"/>
      <c r="J146" s="13" t="n">
        <v>1</v>
      </c>
      <c r="K146" s="10" t="s">
        <v>117</v>
      </c>
      <c r="L146" s="11" t="s">
        <v>481</v>
      </c>
      <c r="M146" s="14" t="str">
        <f aca="false">IF(OR(G146="",H146=""),"",IF(H146&lt;=G146,1,MIN(1,MAX(0,(Parámetros!$B$4-G146)/(H146-G146)))))</f>
        <v/>
      </c>
      <c r="N146" s="14" t="str">
        <f aca="false">IF(M146="","",J146-M146)</f>
        <v/>
      </c>
      <c r="O146" s="15" t="str">
        <f aca="false">IF(J146&gt;=1,"Completado",IF(H146="","Sin fecha plan",IF(H146&lt;Parámetros!$B$4,"Atrasado",IF(J146&lt;=0,"No iniciado","En proceso"))))</f>
        <v>Completado</v>
      </c>
      <c r="P146" s="15" t="n">
        <f aca="false">IF(AND(J146&lt;1,H146&lt;&gt;"",H146&lt;Parámetros!$B$4),Parámetros!$B$4-H146,0)</f>
        <v>0</v>
      </c>
      <c r="Q146" s="15" t="str">
        <f aca="false">IF(OR(D146="Proyecto",D146="Riesgos",D146="Obs. Auditoría"),"Sí","No")</f>
        <v>No</v>
      </c>
      <c r="R146" s="15" t="str">
        <f aca="false">IF(I146="","",IF(I146&lt;=H146,1,0))</f>
        <v/>
      </c>
    </row>
    <row r="147" customFormat="false" ht="19.4" hidden="false" customHeight="false" outlineLevel="0" collapsed="false">
      <c r="A147" s="10" t="n">
        <v>2026</v>
      </c>
      <c r="B147" s="10" t="s">
        <v>482</v>
      </c>
      <c r="C147" s="11" t="s">
        <v>483</v>
      </c>
      <c r="D147" s="10" t="s">
        <v>172</v>
      </c>
      <c r="E147" s="10" t="s">
        <v>410</v>
      </c>
      <c r="F147" s="11" t="s">
        <v>410</v>
      </c>
      <c r="G147" s="12" t="n">
        <v>46023</v>
      </c>
      <c r="H147" s="12"/>
      <c r="I147" s="12"/>
      <c r="J147" s="13" t="n">
        <v>1</v>
      </c>
      <c r="K147" s="10" t="s">
        <v>455</v>
      </c>
      <c r="L147" s="11" t="s">
        <v>484</v>
      </c>
      <c r="M147" s="14" t="str">
        <f aca="false">IF(OR(G147="",H147=""),"",IF(H147&lt;=G147,1,MIN(1,MAX(0,(Parámetros!$B$4-G147)/(H147-G147)))))</f>
        <v/>
      </c>
      <c r="N147" s="14" t="str">
        <f aca="false">IF(M147="","",J147-M147)</f>
        <v/>
      </c>
      <c r="O147" s="15" t="str">
        <f aca="false">IF(J147&gt;=1,"Completado",IF(H147="","Sin fecha plan",IF(H147&lt;Parámetros!$B$4,"Atrasado",IF(J147&lt;=0,"No iniciado","En proceso"))))</f>
        <v>Completado</v>
      </c>
      <c r="P147" s="15" t="n">
        <f aca="false">IF(AND(J147&lt;1,H147&lt;&gt;"",H147&lt;Parámetros!$B$4),Parámetros!$B$4-H147,0)</f>
        <v>0</v>
      </c>
      <c r="Q147" s="15" t="str">
        <f aca="false">IF(OR(D147="Proyecto",D147="Riesgos",D147="Obs. Auditoría"),"Sí","No")</f>
        <v>No</v>
      </c>
      <c r="R147" s="15" t="str">
        <f aca="false">IF(I147="","",IF(I147&lt;=H147,1,0))</f>
        <v/>
      </c>
    </row>
    <row r="148" customFormat="false" ht="19.4" hidden="false" customHeight="false" outlineLevel="0" collapsed="false">
      <c r="A148" s="10" t="n">
        <v>2026</v>
      </c>
      <c r="B148" s="10" t="s">
        <v>485</v>
      </c>
      <c r="C148" s="11" t="s">
        <v>486</v>
      </c>
      <c r="D148" s="10" t="s">
        <v>172</v>
      </c>
      <c r="E148" s="10" t="s">
        <v>410</v>
      </c>
      <c r="F148" s="11" t="s">
        <v>410</v>
      </c>
      <c r="G148" s="12" t="n">
        <v>46023</v>
      </c>
      <c r="H148" s="12"/>
      <c r="I148" s="12"/>
      <c r="J148" s="13" t="n">
        <v>1</v>
      </c>
      <c r="K148" s="10" t="s">
        <v>117</v>
      </c>
      <c r="L148" s="11" t="s">
        <v>487</v>
      </c>
      <c r="M148" s="14" t="str">
        <f aca="false">IF(OR(G148="",H148=""),"",IF(H148&lt;=G148,1,MIN(1,MAX(0,(Parámetros!$B$4-G148)/(H148-G148)))))</f>
        <v/>
      </c>
      <c r="N148" s="14" t="str">
        <f aca="false">IF(M148="","",J148-M148)</f>
        <v/>
      </c>
      <c r="O148" s="15" t="str">
        <f aca="false">IF(J148&gt;=1,"Completado",IF(H148="","Sin fecha plan",IF(H148&lt;Parámetros!$B$4,"Atrasado",IF(J148&lt;=0,"No iniciado","En proceso"))))</f>
        <v>Completado</v>
      </c>
      <c r="P148" s="15" t="n">
        <f aca="false">IF(AND(J148&lt;1,H148&lt;&gt;"",H148&lt;Parámetros!$B$4),Parámetros!$B$4-H148,0)</f>
        <v>0</v>
      </c>
      <c r="Q148" s="15" t="str">
        <f aca="false">IF(OR(D148="Proyecto",D148="Riesgos",D148="Obs. Auditoría"),"Sí","No")</f>
        <v>No</v>
      </c>
      <c r="R148" s="15" t="str">
        <f aca="false">IF(I148="","",IF(I148&lt;=H148,1,0))</f>
        <v/>
      </c>
    </row>
    <row r="149" customFormat="false" ht="28.35" hidden="false" customHeight="false" outlineLevel="0" collapsed="false">
      <c r="A149" s="10" t="n">
        <v>2026</v>
      </c>
      <c r="B149" s="10" t="s">
        <v>488</v>
      </c>
      <c r="C149" s="11" t="s">
        <v>489</v>
      </c>
      <c r="D149" s="10" t="s">
        <v>172</v>
      </c>
      <c r="E149" s="10" t="s">
        <v>410</v>
      </c>
      <c r="F149" s="11" t="s">
        <v>410</v>
      </c>
      <c r="G149" s="12" t="n">
        <v>46023</v>
      </c>
      <c r="H149" s="12"/>
      <c r="I149" s="12"/>
      <c r="J149" s="13" t="n">
        <v>1</v>
      </c>
      <c r="K149" s="10" t="s">
        <v>117</v>
      </c>
      <c r="L149" s="11" t="s">
        <v>490</v>
      </c>
      <c r="M149" s="14" t="str">
        <f aca="false">IF(OR(G149="",H149=""),"",IF(H149&lt;=G149,1,MIN(1,MAX(0,(Parámetros!$B$4-G149)/(H149-G149)))))</f>
        <v/>
      </c>
      <c r="N149" s="14" t="str">
        <f aca="false">IF(M149="","",J149-M149)</f>
        <v/>
      </c>
      <c r="O149" s="15" t="str">
        <f aca="false">IF(J149&gt;=1,"Completado",IF(H149="","Sin fecha plan",IF(H149&lt;Parámetros!$B$4,"Atrasado",IF(J149&lt;=0,"No iniciado","En proceso"))))</f>
        <v>Completado</v>
      </c>
      <c r="P149" s="15" t="n">
        <f aca="false">IF(AND(J149&lt;1,H149&lt;&gt;"",H149&lt;Parámetros!$B$4),Parámetros!$B$4-H149,0)</f>
        <v>0</v>
      </c>
      <c r="Q149" s="15" t="str">
        <f aca="false">IF(OR(D149="Proyecto",D149="Riesgos",D149="Obs. Auditoría"),"Sí","No")</f>
        <v>No</v>
      </c>
      <c r="R149" s="15" t="str">
        <f aca="false">IF(I149="","",IF(I149&lt;=H149,1,0))</f>
        <v/>
      </c>
    </row>
    <row r="150" customFormat="false" ht="28.35" hidden="false" customHeight="false" outlineLevel="0" collapsed="false">
      <c r="A150" s="10" t="n">
        <v>2026</v>
      </c>
      <c r="B150" s="10" t="s">
        <v>491</v>
      </c>
      <c r="C150" s="11" t="s">
        <v>492</v>
      </c>
      <c r="D150" s="10" t="s">
        <v>357</v>
      </c>
      <c r="E150" s="10" t="s">
        <v>410</v>
      </c>
      <c r="F150" s="11" t="s">
        <v>410</v>
      </c>
      <c r="G150" s="12" t="n">
        <v>46023</v>
      </c>
      <c r="H150" s="12" t="n">
        <v>46295</v>
      </c>
      <c r="I150" s="12"/>
      <c r="J150" s="13" t="n">
        <v>0.95</v>
      </c>
      <c r="K150" s="10" t="s">
        <v>132</v>
      </c>
      <c r="L150" s="11" t="s">
        <v>493</v>
      </c>
      <c r="M150" s="14" t="n">
        <f aca="false">IF(OR(G150="",H150=""),"",IF(H150&lt;=G150,1,MIN(1,MAX(0,(Parámetros!$B$4-G150)/(H150-G150)))))</f>
        <v>0.952205882352941</v>
      </c>
      <c r="N150" s="14" t="n">
        <f aca="false">IF(M150="","",J150-M150)</f>
        <v>-0.00220588235294117</v>
      </c>
      <c r="O150" s="15" t="str">
        <f aca="false">IF(J150&gt;=1,"Completado",IF(H150="","Sin fecha plan",IF(H150&lt;Parámetros!$B$4,"Atrasado",IF(J150&lt;=0,"No iniciado","En proceso"))))</f>
        <v>En proceso</v>
      </c>
      <c r="P150" s="15" t="n">
        <f aca="false">IF(AND(J150&lt;1,H150&lt;&gt;"",H150&lt;Parámetros!$B$4),Parámetros!$B$4-H150,0)</f>
        <v>0</v>
      </c>
      <c r="Q150" s="15" t="str">
        <f aca="false">IF(OR(D150="Proyecto",D150="Riesgos",D150="Obs. Auditoría"),"Sí","No")</f>
        <v>Sí</v>
      </c>
      <c r="R150" s="15" t="str">
        <f aca="false">IF(I150="","",IF(I150&lt;=H150,1,0))</f>
        <v/>
      </c>
    </row>
    <row r="151" customFormat="false" ht="28.35" hidden="false" customHeight="false" outlineLevel="0" collapsed="false">
      <c r="A151" s="10" t="n">
        <v>2026</v>
      </c>
      <c r="B151" s="10" t="s">
        <v>494</v>
      </c>
      <c r="C151" s="11" t="s">
        <v>495</v>
      </c>
      <c r="D151" s="10" t="s">
        <v>357</v>
      </c>
      <c r="E151" s="10" t="s">
        <v>410</v>
      </c>
      <c r="F151" s="11" t="s">
        <v>410</v>
      </c>
      <c r="G151" s="12" t="n">
        <v>46023</v>
      </c>
      <c r="H151" s="12" t="n">
        <v>46356</v>
      </c>
      <c r="I151" s="12"/>
      <c r="J151" s="13" t="n">
        <v>0.5</v>
      </c>
      <c r="K151" s="10" t="s">
        <v>132</v>
      </c>
      <c r="L151" s="11" t="s">
        <v>496</v>
      </c>
      <c r="M151" s="14" t="n">
        <f aca="false">IF(OR(G151="",H151=""),"",IF(H151&lt;=G151,1,MIN(1,MAX(0,(Parámetros!$B$4-G151)/(H151-G151)))))</f>
        <v>0.777777777777778</v>
      </c>
      <c r="N151" s="14" t="n">
        <f aca="false">IF(M151="","",J151-M151)</f>
        <v>-0.277777777777778</v>
      </c>
      <c r="O151" s="15" t="str">
        <f aca="false">IF(J151&gt;=1,"Completado",IF(H151="","Sin fecha plan",IF(H151&lt;Parámetros!$B$4,"Atrasado",IF(J151&lt;=0,"No iniciado","En proceso"))))</f>
        <v>En proceso</v>
      </c>
      <c r="P151" s="15" t="n">
        <f aca="false">IF(AND(J151&lt;1,H151&lt;&gt;"",H151&lt;Parámetros!$B$4),Parámetros!$B$4-H151,0)</f>
        <v>0</v>
      </c>
      <c r="Q151" s="15" t="str">
        <f aca="false">IF(OR(D151="Proyecto",D151="Riesgos",D151="Obs. Auditoría"),"Sí","No")</f>
        <v>Sí</v>
      </c>
      <c r="R151" s="15" t="str">
        <f aca="false">IF(I151="","",IF(I151&lt;=H151,1,0))</f>
        <v/>
      </c>
    </row>
    <row r="152" customFormat="false" ht="37.3" hidden="false" customHeight="false" outlineLevel="0" collapsed="false">
      <c r="A152" s="10" t="n">
        <v>2026</v>
      </c>
      <c r="B152" s="10" t="s">
        <v>497</v>
      </c>
      <c r="C152" s="11" t="s">
        <v>498</v>
      </c>
      <c r="D152" s="10" t="s">
        <v>146</v>
      </c>
      <c r="E152" s="10" t="s">
        <v>410</v>
      </c>
      <c r="F152" s="11" t="s">
        <v>410</v>
      </c>
      <c r="G152" s="12" t="n">
        <v>46204</v>
      </c>
      <c r="H152" s="12" t="n">
        <v>46387</v>
      </c>
      <c r="I152" s="12"/>
      <c r="J152" s="13" t="n">
        <v>0.25</v>
      </c>
      <c r="K152" s="10" t="s">
        <v>147</v>
      </c>
      <c r="L152" s="11" t="s">
        <v>499</v>
      </c>
      <c r="M152" s="14" t="n">
        <f aca="false">IF(OR(G152="",H152=""),"",IF(H152&lt;=G152,1,MIN(1,MAX(0,(Parámetros!$B$4-G152)/(H152-G152)))))</f>
        <v>0.426229508196721</v>
      </c>
      <c r="N152" s="14" t="n">
        <f aca="false">IF(M152="","",J152-M152)</f>
        <v>-0.176229508196721</v>
      </c>
      <c r="O152" s="15" t="str">
        <f aca="false">IF(J152&gt;=1,"Completado",IF(H152="","Sin fecha plan",IF(H152&lt;Parámetros!$B$4,"Atrasado",IF(J152&lt;=0,"No iniciado","En proceso"))))</f>
        <v>En proceso</v>
      </c>
      <c r="P152" s="15" t="n">
        <f aca="false">IF(AND(J152&lt;1,H152&lt;&gt;"",H152&lt;Parámetros!$B$4),Parámetros!$B$4-H152,0)</f>
        <v>0</v>
      </c>
      <c r="Q152" s="15" t="str">
        <f aca="false">IF(OR(D152="Proyecto",D152="Riesgos",D152="Obs. Auditoría"),"Sí","No")</f>
        <v>No</v>
      </c>
      <c r="R152" s="15" t="str">
        <f aca="false">IF(I152="","",IF(I152&lt;=H152,1,0))</f>
        <v/>
      </c>
    </row>
    <row r="153" customFormat="false" ht="15" hidden="false" customHeight="false" outlineLevel="0" collapsed="false">
      <c r="A153" s="10" t="n">
        <v>2026</v>
      </c>
      <c r="B153" s="10" t="s">
        <v>500</v>
      </c>
      <c r="C153" s="11" t="s">
        <v>501</v>
      </c>
      <c r="D153" s="10" t="s">
        <v>115</v>
      </c>
      <c r="E153" s="10" t="s">
        <v>410</v>
      </c>
      <c r="F153" s="11" t="s">
        <v>410</v>
      </c>
      <c r="G153" s="12" t="n">
        <v>46204</v>
      </c>
      <c r="H153" s="12" t="n">
        <v>46247</v>
      </c>
      <c r="I153" s="12"/>
      <c r="J153" s="13" t="n">
        <v>0.2</v>
      </c>
      <c r="K153" s="10" t="s">
        <v>223</v>
      </c>
      <c r="L153" s="11"/>
      <c r="M153" s="14" t="n">
        <f aca="false">IF(OR(G153="",H153=""),"",IF(H153&lt;=G153,1,MIN(1,MAX(0,(Parámetros!$B$4-G153)/(H153-G153)))))</f>
        <v>1</v>
      </c>
      <c r="N153" s="14" t="n">
        <f aca="false">IF(M153="","",J153-M153)</f>
        <v>-0.8</v>
      </c>
      <c r="O153" s="15" t="str">
        <f aca="false">IF(J153&gt;=1,"Completado",IF(H153="","Sin fecha plan",IF(H153&lt;Parámetros!$B$4,"Atrasado",IF(J153&lt;=0,"No iniciado","En proceso"))))</f>
        <v>Atrasado</v>
      </c>
      <c r="P153" s="15" t="n">
        <f aca="false">IF(AND(J153&lt;1,H153&lt;&gt;"",H153&lt;Parámetros!$B$4),Parámetros!$B$4-H153,0)</f>
        <v>35</v>
      </c>
      <c r="Q153" s="15" t="str">
        <f aca="false">IF(OR(D153="Proyecto",D153="Riesgos",D153="Obs. Auditoría"),"Sí","No")</f>
        <v>No</v>
      </c>
      <c r="R153" s="15" t="str">
        <f aca="false">IF(I153="","",IF(I153&lt;=H153,1,0))</f>
        <v/>
      </c>
    </row>
    <row r="154" customFormat="false" ht="19.4" hidden="false" customHeight="false" outlineLevel="0" collapsed="false">
      <c r="A154" s="10" t="n">
        <v>2026</v>
      </c>
      <c r="B154" s="10" t="s">
        <v>502</v>
      </c>
      <c r="C154" s="11" t="s">
        <v>503</v>
      </c>
      <c r="D154" s="10" t="s">
        <v>115</v>
      </c>
      <c r="E154" s="10" t="s">
        <v>242</v>
      </c>
      <c r="F154" s="11" t="s">
        <v>242</v>
      </c>
      <c r="G154" s="12" t="n">
        <v>46244</v>
      </c>
      <c r="H154" s="12" t="n">
        <v>46265</v>
      </c>
      <c r="I154" s="12" t="n">
        <v>46265</v>
      </c>
      <c r="J154" s="13" t="n">
        <v>1</v>
      </c>
      <c r="K154" s="10" t="s">
        <v>132</v>
      </c>
      <c r="L154" s="11" t="s">
        <v>504</v>
      </c>
      <c r="M154" s="14" t="n">
        <f aca="false">IF(OR(G154="",H154=""),"",IF(H154&lt;=G154,1,MIN(1,MAX(0,(Parámetros!$B$4-G154)/(H154-G154)))))</f>
        <v>1</v>
      </c>
      <c r="N154" s="14" t="n">
        <f aca="false">IF(M154="","",J154-M154)</f>
        <v>0</v>
      </c>
      <c r="O154" s="15" t="str">
        <f aca="false">IF(J154&gt;=1,"Completado",IF(H154="","Sin fecha plan",IF(H154&lt;Parámetros!$B$4,"Atrasado",IF(J154&lt;=0,"No iniciado","En proceso"))))</f>
        <v>Completado</v>
      </c>
      <c r="P154" s="15" t="n">
        <f aca="false">IF(AND(J154&lt;1,H154&lt;&gt;"",H154&lt;Parámetros!$B$4),Parámetros!$B$4-H154,0)</f>
        <v>0</v>
      </c>
      <c r="Q154" s="15" t="str">
        <f aca="false">IF(OR(D154="Proyecto",D154="Riesgos",D154="Obs. Auditoría"),"Sí","No")</f>
        <v>No</v>
      </c>
      <c r="R154" s="15" t="n">
        <f aca="false">IF(I154="","",IF(I154&lt;=H154,1,0))</f>
        <v>1</v>
      </c>
    </row>
    <row r="155" customFormat="false" ht="19.4" hidden="false" customHeight="false" outlineLevel="0" collapsed="false">
      <c r="A155" s="10" t="n">
        <v>2026</v>
      </c>
      <c r="B155" s="10" t="s">
        <v>240</v>
      </c>
      <c r="C155" s="11" t="s">
        <v>505</v>
      </c>
      <c r="D155" s="10" t="s">
        <v>115</v>
      </c>
      <c r="E155" s="10" t="s">
        <v>242</v>
      </c>
      <c r="F155" s="11" t="s">
        <v>242</v>
      </c>
      <c r="G155" s="12" t="n">
        <v>46266</v>
      </c>
      <c r="H155" s="12" t="n">
        <v>46295</v>
      </c>
      <c r="I155" s="12"/>
      <c r="J155" s="13" t="n">
        <v>0.4</v>
      </c>
      <c r="K155" s="10" t="s">
        <v>117</v>
      </c>
      <c r="L155" s="11" t="s">
        <v>506</v>
      </c>
      <c r="M155" s="14" t="n">
        <f aca="false">IF(OR(G155="",H155=""),"",IF(H155&lt;=G155,1,MIN(1,MAX(0,(Parámetros!$B$4-G155)/(H155-G155)))))</f>
        <v>0.551724137931035</v>
      </c>
      <c r="N155" s="14" t="n">
        <f aca="false">IF(M155="","",J155-M155)</f>
        <v>-0.151724137931034</v>
      </c>
      <c r="O155" s="15" t="str">
        <f aca="false">IF(J155&gt;=1,"Completado",IF(H155="","Sin fecha plan",IF(H155&lt;Parámetros!$B$4,"Atrasado",IF(J155&lt;=0,"No iniciado","En proceso"))))</f>
        <v>En proceso</v>
      </c>
      <c r="P155" s="15" t="n">
        <f aca="false">IF(AND(J155&lt;1,H155&lt;&gt;"",H155&lt;Parámetros!$B$4),Parámetros!$B$4-H155,0)</f>
        <v>0</v>
      </c>
      <c r="Q155" s="15" t="str">
        <f aca="false">IF(OR(D155="Proyecto",D155="Riesgos",D155="Obs. Auditoría"),"Sí","No")</f>
        <v>No</v>
      </c>
      <c r="R155" s="15" t="str">
        <f aca="false">IF(I155="","",IF(I155&lt;=H155,1,0))</f>
        <v/>
      </c>
    </row>
    <row r="156" customFormat="false" ht="19.4" hidden="false" customHeight="false" outlineLevel="0" collapsed="false">
      <c r="A156" s="10" t="n">
        <v>2026</v>
      </c>
      <c r="B156" s="10" t="s">
        <v>500</v>
      </c>
      <c r="C156" s="11" t="s">
        <v>507</v>
      </c>
      <c r="D156" s="10" t="s">
        <v>115</v>
      </c>
      <c r="E156" s="10" t="s">
        <v>242</v>
      </c>
      <c r="F156" s="11" t="s">
        <v>450</v>
      </c>
      <c r="G156" s="12" t="n">
        <v>46157</v>
      </c>
      <c r="H156" s="12" t="n">
        <v>46249</v>
      </c>
      <c r="I156" s="12" t="n">
        <v>46249</v>
      </c>
      <c r="J156" s="13" t="n">
        <v>1</v>
      </c>
      <c r="K156" s="10" t="s">
        <v>223</v>
      </c>
      <c r="L156" s="11" t="s">
        <v>508</v>
      </c>
      <c r="M156" s="14" t="n">
        <f aca="false">IF(OR(G156="",H156=""),"",IF(H156&lt;=G156,1,MIN(1,MAX(0,(Parámetros!$B$4-G156)/(H156-G156)))))</f>
        <v>1</v>
      </c>
      <c r="N156" s="14" t="n">
        <f aca="false">IF(M156="","",J156-M156)</f>
        <v>0</v>
      </c>
      <c r="O156" s="15" t="str">
        <f aca="false">IF(J156&gt;=1,"Completado",IF(H156="","Sin fecha plan",IF(H156&lt;Parámetros!$B$4,"Atrasado",IF(J156&lt;=0,"No iniciado","En proceso"))))</f>
        <v>Completado</v>
      </c>
      <c r="P156" s="15" t="n">
        <f aca="false">IF(AND(J156&lt;1,H156&lt;&gt;"",H156&lt;Parámetros!$B$4),Parámetros!$B$4-H156,0)</f>
        <v>0</v>
      </c>
      <c r="Q156" s="15" t="str">
        <f aca="false">IF(OR(D156="Proyecto",D156="Riesgos",D156="Obs. Auditoría"),"Sí","No")</f>
        <v>No</v>
      </c>
      <c r="R156" s="15" t="n">
        <f aca="false">IF(I156="","",IF(I156&lt;=H156,1,0))</f>
        <v>1</v>
      </c>
    </row>
    <row r="157" customFormat="false" ht="19.4" hidden="false" customHeight="false" outlineLevel="0" collapsed="false">
      <c r="A157" s="10" t="n">
        <v>2026</v>
      </c>
      <c r="B157" s="10" t="s">
        <v>500</v>
      </c>
      <c r="C157" s="11" t="s">
        <v>509</v>
      </c>
      <c r="D157" s="10" t="s">
        <v>115</v>
      </c>
      <c r="E157" s="10" t="s">
        <v>131</v>
      </c>
      <c r="F157" s="11" t="s">
        <v>131</v>
      </c>
      <c r="G157" s="12" t="n">
        <v>45901</v>
      </c>
      <c r="H157" s="12"/>
      <c r="I157" s="12"/>
      <c r="J157" s="13" t="n">
        <v>1</v>
      </c>
      <c r="K157" s="10" t="s">
        <v>223</v>
      </c>
      <c r="L157" s="11" t="s">
        <v>508</v>
      </c>
      <c r="M157" s="14" t="str">
        <f aca="false">IF(OR(G157="",H157=""),"",IF(H157&lt;=G157,1,MIN(1,MAX(0,(Parámetros!$B$4-G157)/(H157-G157)))))</f>
        <v/>
      </c>
      <c r="N157" s="14" t="str">
        <f aca="false">IF(M157="","",J157-M157)</f>
        <v/>
      </c>
      <c r="O157" s="15" t="str">
        <f aca="false">IF(J157&gt;=1,"Completado",IF(H157="","Sin fecha plan",IF(H157&lt;Parámetros!$B$4,"Atrasado",IF(J157&lt;=0,"No iniciado","En proceso"))))</f>
        <v>Completado</v>
      </c>
      <c r="P157" s="15" t="n">
        <f aca="false">IF(AND(J157&lt;1,H157&lt;&gt;"",H157&lt;Parámetros!$B$4),Parámetros!$B$4-H157,0)</f>
        <v>0</v>
      </c>
      <c r="Q157" s="15" t="str">
        <f aca="false">IF(OR(D157="Proyecto",D157="Riesgos",D157="Obs. Auditoría"),"Sí","No")</f>
        <v>No</v>
      </c>
      <c r="R157" s="15" t="str">
        <f aca="false">IF(I157="","",IF(I157&lt;=H157,1,0))</f>
        <v/>
      </c>
    </row>
    <row r="158" customFormat="false" ht="19.4" hidden="false" customHeight="false" outlineLevel="0" collapsed="false">
      <c r="A158" s="10" t="n">
        <v>2026</v>
      </c>
      <c r="B158" s="10" t="s">
        <v>510</v>
      </c>
      <c r="C158" s="11" t="s">
        <v>511</v>
      </c>
      <c r="D158" s="10" t="s">
        <v>115</v>
      </c>
      <c r="E158" s="10" t="s">
        <v>306</v>
      </c>
      <c r="F158" s="11" t="s">
        <v>405</v>
      </c>
      <c r="G158" s="12" t="n">
        <v>46171</v>
      </c>
      <c r="H158" s="12" t="n">
        <v>46295</v>
      </c>
      <c r="I158" s="12"/>
      <c r="J158" s="13" t="n">
        <v>0.25</v>
      </c>
      <c r="K158" s="10" t="s">
        <v>147</v>
      </c>
      <c r="L158" s="11" t="s">
        <v>512</v>
      </c>
      <c r="M158" s="14" t="n">
        <f aca="false">IF(OR(G158="",H158=""),"",IF(H158&lt;=G158,1,MIN(1,MAX(0,(Parámetros!$B$4-G158)/(H158-G158)))))</f>
        <v>0.895161290322581</v>
      </c>
      <c r="N158" s="14" t="n">
        <f aca="false">IF(M158="","",J158-M158)</f>
        <v>-0.645161290322581</v>
      </c>
      <c r="O158" s="15" t="str">
        <f aca="false">IF(J158&gt;=1,"Completado",IF(H158="","Sin fecha plan",IF(H158&lt;Parámetros!$B$4,"Atrasado",IF(J158&lt;=0,"No iniciado","En proceso"))))</f>
        <v>En proceso</v>
      </c>
      <c r="P158" s="15" t="n">
        <f aca="false">IF(AND(J158&lt;1,H158&lt;&gt;"",H158&lt;Parámetros!$B$4),Parámetros!$B$4-H158,0)</f>
        <v>0</v>
      </c>
      <c r="Q158" s="15" t="str">
        <f aca="false">IF(OR(D158="Proyecto",D158="Riesgos",D158="Obs. Auditoría"),"Sí","No")</f>
        <v>No</v>
      </c>
      <c r="R158" s="15" t="str">
        <f aca="false">IF(I158="","",IF(I158&lt;=H158,1,0))</f>
        <v/>
      </c>
    </row>
    <row r="159" customFormat="false" ht="15" hidden="false" customHeight="false" outlineLevel="0" collapsed="false">
      <c r="A159" s="10" t="n">
        <v>2026</v>
      </c>
      <c r="B159" s="10" t="s">
        <v>513</v>
      </c>
      <c r="C159" s="11" t="s">
        <v>514</v>
      </c>
      <c r="D159" s="10" t="s">
        <v>172</v>
      </c>
      <c r="E159" s="10" t="s">
        <v>131</v>
      </c>
      <c r="F159" s="11" t="s">
        <v>131</v>
      </c>
      <c r="G159" s="12" t="n">
        <v>45867</v>
      </c>
      <c r="H159" s="12"/>
      <c r="I159" s="12"/>
      <c r="J159" s="13" t="n">
        <v>1</v>
      </c>
      <c r="K159" s="10" t="s">
        <v>117</v>
      </c>
      <c r="L159" s="11"/>
      <c r="M159" s="14" t="str">
        <f aca="false">IF(OR(G159="",H159=""),"",IF(H159&lt;=G159,1,MIN(1,MAX(0,(Parámetros!$B$4-G159)/(H159-G159)))))</f>
        <v/>
      </c>
      <c r="N159" s="14" t="str">
        <f aca="false">IF(M159="","",J159-M159)</f>
        <v/>
      </c>
      <c r="O159" s="15" t="str">
        <f aca="false">IF(J159&gt;=1,"Completado",IF(H159="","Sin fecha plan",IF(H159&lt;Parámetros!$B$4,"Atrasado",IF(J159&lt;=0,"No iniciado","En proceso"))))</f>
        <v>Completado</v>
      </c>
      <c r="P159" s="15" t="n">
        <f aca="false">IF(AND(J159&lt;1,H159&lt;&gt;"",H159&lt;Parámetros!$B$4),Parámetros!$B$4-H159,0)</f>
        <v>0</v>
      </c>
      <c r="Q159" s="15" t="str">
        <f aca="false">IF(OR(D159="Proyecto",D159="Riesgos",D159="Obs. Auditoría"),"Sí","No")</f>
        <v>No</v>
      </c>
      <c r="R159" s="15" t="str">
        <f aca="false">IF(I159="","",IF(I159&lt;=H159,1,0))</f>
        <v/>
      </c>
    </row>
    <row r="160" customFormat="false" ht="19.4" hidden="false" customHeight="false" outlineLevel="0" collapsed="false">
      <c r="A160" s="10" t="n">
        <v>2026</v>
      </c>
      <c r="B160" s="10" t="s">
        <v>357</v>
      </c>
      <c r="C160" s="11" t="s">
        <v>515</v>
      </c>
      <c r="D160" s="10" t="s">
        <v>172</v>
      </c>
      <c r="E160" s="10" t="s">
        <v>131</v>
      </c>
      <c r="F160" s="11" t="s">
        <v>131</v>
      </c>
      <c r="G160" s="12" t="n">
        <v>46204</v>
      </c>
      <c r="H160" s="12" t="n">
        <v>46264</v>
      </c>
      <c r="I160" s="12"/>
      <c r="J160" s="13" t="n">
        <v>0.5</v>
      </c>
      <c r="K160" s="10" t="s">
        <v>132</v>
      </c>
      <c r="L160" s="11"/>
      <c r="M160" s="14" t="n">
        <f aca="false">IF(OR(G160="",H160=""),"",IF(H160&lt;=G160,1,MIN(1,MAX(0,(Parámetros!$B$4-G160)/(H160-G160)))))</f>
        <v>1</v>
      </c>
      <c r="N160" s="14" t="n">
        <f aca="false">IF(M160="","",J160-M160)</f>
        <v>-0.5</v>
      </c>
      <c r="O160" s="15" t="str">
        <f aca="false">IF(J160&gt;=1,"Completado",IF(H160="","Sin fecha plan",IF(H160&lt;Parámetros!$B$4,"Atrasado",IF(J160&lt;=0,"No iniciado","En proceso"))))</f>
        <v>Atrasado</v>
      </c>
      <c r="P160" s="15" t="n">
        <f aca="false">IF(AND(J160&lt;1,H160&lt;&gt;"",H160&lt;Parámetros!$B$4),Parámetros!$B$4-H160,0)</f>
        <v>18</v>
      </c>
      <c r="Q160" s="15" t="str">
        <f aca="false">IF(OR(D160="Proyecto",D160="Riesgos",D160="Obs. Auditoría"),"Sí","No")</f>
        <v>No</v>
      </c>
      <c r="R160" s="15" t="str">
        <f aca="false">IF(I160="","",IF(I160&lt;=H160,1,0))</f>
        <v/>
      </c>
    </row>
    <row r="161" customFormat="false" ht="15" hidden="false" customHeight="false" outlineLevel="0" collapsed="false">
      <c r="A161" s="10" t="n">
        <v>2026</v>
      </c>
      <c r="B161" s="10" t="s">
        <v>357</v>
      </c>
      <c r="C161" s="11" t="s">
        <v>516</v>
      </c>
      <c r="D161" s="10" t="s">
        <v>172</v>
      </c>
      <c r="E161" s="10" t="s">
        <v>131</v>
      </c>
      <c r="F161" s="11" t="s">
        <v>131</v>
      </c>
      <c r="G161" s="12" t="n">
        <v>46204</v>
      </c>
      <c r="H161" s="12" t="n">
        <v>46264</v>
      </c>
      <c r="I161" s="12"/>
      <c r="J161" s="13" t="n">
        <v>0.5</v>
      </c>
      <c r="K161" s="10" t="s">
        <v>132</v>
      </c>
      <c r="L161" s="11"/>
      <c r="M161" s="14" t="n">
        <f aca="false">IF(OR(G161="",H161=""),"",IF(H161&lt;=G161,1,MIN(1,MAX(0,(Parámetros!$B$4-G161)/(H161-G161)))))</f>
        <v>1</v>
      </c>
      <c r="N161" s="14" t="n">
        <f aca="false">IF(M161="","",J161-M161)</f>
        <v>-0.5</v>
      </c>
      <c r="O161" s="15" t="str">
        <f aca="false">IF(J161&gt;=1,"Completado",IF(H161="","Sin fecha plan",IF(H161&lt;Parámetros!$B$4,"Atrasado",IF(J161&lt;=0,"No iniciado","En proceso"))))</f>
        <v>Atrasado</v>
      </c>
      <c r="P161" s="15" t="n">
        <f aca="false">IF(AND(J161&lt;1,H161&lt;&gt;"",H161&lt;Parámetros!$B$4),Parámetros!$B$4-H161,0)</f>
        <v>18</v>
      </c>
      <c r="Q161" s="15" t="str">
        <f aca="false">IF(OR(D161="Proyecto",D161="Riesgos",D161="Obs. Auditoría"),"Sí","No")</f>
        <v>No</v>
      </c>
      <c r="R161" s="15" t="str">
        <f aca="false">IF(I161="","",IF(I161&lt;=H161,1,0))</f>
        <v/>
      </c>
    </row>
    <row r="162" customFormat="false" ht="28.35" hidden="false" customHeight="false" outlineLevel="0" collapsed="false">
      <c r="A162" s="10" t="n">
        <v>2026</v>
      </c>
      <c r="B162" s="10" t="s">
        <v>517</v>
      </c>
      <c r="C162" s="11" t="s">
        <v>518</v>
      </c>
      <c r="D162" s="10" t="s">
        <v>115</v>
      </c>
      <c r="E162" s="10" t="s">
        <v>131</v>
      </c>
      <c r="F162" s="11" t="s">
        <v>131</v>
      </c>
      <c r="G162" s="12" t="n">
        <v>46204</v>
      </c>
      <c r="H162" s="12" t="n">
        <v>46290</v>
      </c>
      <c r="I162" s="12"/>
      <c r="J162" s="13" t="n">
        <v>0.15</v>
      </c>
      <c r="K162" s="10" t="s">
        <v>132</v>
      </c>
      <c r="L162" s="11"/>
      <c r="M162" s="14" t="n">
        <f aca="false">IF(OR(G162="",H162=""),"",IF(H162&lt;=G162,1,MIN(1,MAX(0,(Parámetros!$B$4-G162)/(H162-G162)))))</f>
        <v>0.906976744186047</v>
      </c>
      <c r="N162" s="14" t="n">
        <f aca="false">IF(M162="","",J162-M162)</f>
        <v>-0.756976744186046</v>
      </c>
      <c r="O162" s="15" t="str">
        <f aca="false">IF(J162&gt;=1,"Completado",IF(H162="","Sin fecha plan",IF(H162&lt;Parámetros!$B$4,"Atrasado",IF(J162&lt;=0,"No iniciado","En proceso"))))</f>
        <v>En proceso</v>
      </c>
      <c r="P162" s="15" t="n">
        <f aca="false">IF(AND(J162&lt;1,H162&lt;&gt;"",H162&lt;Parámetros!$B$4),Parámetros!$B$4-H162,0)</f>
        <v>0</v>
      </c>
      <c r="Q162" s="15" t="str">
        <f aca="false">IF(OR(D162="Proyecto",D162="Riesgos",D162="Obs. Auditoría"),"Sí","No")</f>
        <v>No</v>
      </c>
      <c r="R162" s="15" t="str">
        <f aca="false">IF(I162="","",IF(I162&lt;=H162,1,0))</f>
        <v/>
      </c>
    </row>
    <row r="163" customFormat="false" ht="19.4" hidden="false" customHeight="false" outlineLevel="0" collapsed="false">
      <c r="A163" s="10" t="n">
        <v>2026</v>
      </c>
      <c r="B163" s="10" t="s">
        <v>519</v>
      </c>
      <c r="C163" s="11" t="s">
        <v>520</v>
      </c>
      <c r="D163" s="10" t="s">
        <v>115</v>
      </c>
      <c r="E163" s="10" t="s">
        <v>131</v>
      </c>
      <c r="F163" s="11" t="s">
        <v>131</v>
      </c>
      <c r="G163" s="12" t="n">
        <v>45867</v>
      </c>
      <c r="H163" s="12"/>
      <c r="I163" s="12"/>
      <c r="J163" s="13" t="n">
        <v>1</v>
      </c>
      <c r="K163" s="10" t="s">
        <v>117</v>
      </c>
      <c r="L163" s="11"/>
      <c r="M163" s="14" t="str">
        <f aca="false">IF(OR(G163="",H163=""),"",IF(H163&lt;=G163,1,MIN(1,MAX(0,(Parámetros!$B$4-G163)/(H163-G163)))))</f>
        <v/>
      </c>
      <c r="N163" s="14" t="str">
        <f aca="false">IF(M163="","",J163-M163)</f>
        <v/>
      </c>
      <c r="O163" s="15" t="str">
        <f aca="false">IF(J163&gt;=1,"Completado",IF(H163="","Sin fecha plan",IF(H163&lt;Parámetros!$B$4,"Atrasado",IF(J163&lt;=0,"No iniciado","En proceso"))))</f>
        <v>Completado</v>
      </c>
      <c r="P163" s="15" t="n">
        <f aca="false">IF(AND(J163&lt;1,H163&lt;&gt;"",H163&lt;Parámetros!$B$4),Parámetros!$B$4-H163,0)</f>
        <v>0</v>
      </c>
      <c r="Q163" s="15" t="str">
        <f aca="false">IF(OR(D163="Proyecto",D163="Riesgos",D163="Obs. Auditoría"),"Sí","No")</f>
        <v>No</v>
      </c>
      <c r="R163" s="15" t="str">
        <f aca="false">IF(I163="","",IF(I163&lt;=H163,1,0))</f>
        <v/>
      </c>
    </row>
    <row r="164" customFormat="false" ht="19.4" hidden="false" customHeight="false" outlineLevel="0" collapsed="false">
      <c r="A164" s="10" t="n">
        <v>2026</v>
      </c>
      <c r="B164" s="10" t="s">
        <v>521</v>
      </c>
      <c r="C164" s="11" t="s">
        <v>522</v>
      </c>
      <c r="D164" s="10" t="s">
        <v>115</v>
      </c>
      <c r="E164" s="10" t="s">
        <v>131</v>
      </c>
      <c r="F164" s="11" t="s">
        <v>131</v>
      </c>
      <c r="G164" s="12" t="n">
        <v>45867</v>
      </c>
      <c r="H164" s="12"/>
      <c r="I164" s="12"/>
      <c r="J164" s="13" t="n">
        <v>1</v>
      </c>
      <c r="K164" s="10" t="s">
        <v>117</v>
      </c>
      <c r="L164" s="11"/>
      <c r="M164" s="14" t="str">
        <f aca="false">IF(OR(G164="",H164=""),"",IF(H164&lt;=G164,1,MIN(1,MAX(0,(Parámetros!$B$4-G164)/(H164-G164)))))</f>
        <v/>
      </c>
      <c r="N164" s="14" t="str">
        <f aca="false">IF(M164="","",J164-M164)</f>
        <v/>
      </c>
      <c r="O164" s="15" t="str">
        <f aca="false">IF(J164&gt;=1,"Completado",IF(H164="","Sin fecha plan",IF(H164&lt;Parámetros!$B$4,"Atrasado",IF(J164&lt;=0,"No iniciado","En proceso"))))</f>
        <v>Completado</v>
      </c>
      <c r="P164" s="15" t="n">
        <f aca="false">IF(AND(J164&lt;1,H164&lt;&gt;"",H164&lt;Parámetros!$B$4),Parámetros!$B$4-H164,0)</f>
        <v>0</v>
      </c>
      <c r="Q164" s="15" t="str">
        <f aca="false">IF(OR(D164="Proyecto",D164="Riesgos",D164="Obs. Auditoría"),"Sí","No")</f>
        <v>No</v>
      </c>
      <c r="R164" s="15" t="str">
        <f aca="false">IF(I164="","",IF(I164&lt;=H164,1,0))</f>
        <v/>
      </c>
    </row>
    <row r="165" customFormat="false" ht="28.35" hidden="false" customHeight="false" outlineLevel="0" collapsed="false">
      <c r="A165" s="10" t="n">
        <v>2026</v>
      </c>
      <c r="B165" s="10" t="s">
        <v>523</v>
      </c>
      <c r="C165" s="11" t="s">
        <v>524</v>
      </c>
      <c r="D165" s="10" t="s">
        <v>172</v>
      </c>
      <c r="E165" s="10" t="s">
        <v>306</v>
      </c>
      <c r="F165" s="11" t="s">
        <v>306</v>
      </c>
      <c r="G165" s="12" t="n">
        <v>46237</v>
      </c>
      <c r="H165" s="12" t="n">
        <v>46237</v>
      </c>
      <c r="I165" s="12" t="n">
        <v>46237</v>
      </c>
      <c r="J165" s="13" t="n">
        <v>1</v>
      </c>
      <c r="K165" s="10" t="s">
        <v>223</v>
      </c>
      <c r="L165" s="11" t="s">
        <v>525</v>
      </c>
      <c r="M165" s="14" t="n">
        <f aca="false">IF(OR(G165="",H165=""),"",IF(H165&lt;=G165,1,MIN(1,MAX(0,(Parámetros!$B$4-G165)/(H165-G165)))))</f>
        <v>1</v>
      </c>
      <c r="N165" s="14" t="n">
        <f aca="false">IF(M165="","",J165-M165)</f>
        <v>0</v>
      </c>
      <c r="O165" s="15" t="str">
        <f aca="false">IF(J165&gt;=1,"Completado",IF(H165="","Sin fecha plan",IF(H165&lt;Parámetros!$B$4,"Atrasado",IF(J165&lt;=0,"No iniciado","En proceso"))))</f>
        <v>Completado</v>
      </c>
      <c r="P165" s="15" t="n">
        <f aca="false">IF(AND(J165&lt;1,H165&lt;&gt;"",H165&lt;Parámetros!$B$4),Parámetros!$B$4-H165,0)</f>
        <v>0</v>
      </c>
      <c r="Q165" s="15" t="str">
        <f aca="false">IF(OR(D165="Proyecto",D165="Riesgos",D165="Obs. Auditoría"),"Sí","No")</f>
        <v>No</v>
      </c>
      <c r="R165" s="15" t="n">
        <f aca="false">IF(I165="","",IF(I165&lt;=H165,1,0))</f>
        <v>1</v>
      </c>
    </row>
    <row r="166" customFormat="false" ht="46.25" hidden="false" customHeight="false" outlineLevel="0" collapsed="false">
      <c r="A166" s="10" t="n">
        <v>2026</v>
      </c>
      <c r="B166" s="10" t="s">
        <v>526</v>
      </c>
      <c r="C166" s="11" t="s">
        <v>527</v>
      </c>
      <c r="D166" s="10" t="s">
        <v>172</v>
      </c>
      <c r="E166" s="10" t="s">
        <v>306</v>
      </c>
      <c r="F166" s="11" t="s">
        <v>306</v>
      </c>
      <c r="G166" s="12" t="n">
        <v>46240</v>
      </c>
      <c r="H166" s="12"/>
      <c r="I166" s="12"/>
      <c r="J166" s="13" t="n">
        <v>1</v>
      </c>
      <c r="K166" s="10" t="s">
        <v>117</v>
      </c>
      <c r="L166" s="11" t="s">
        <v>528</v>
      </c>
      <c r="M166" s="14" t="str">
        <f aca="false">IF(OR(G166="",H166=""),"",IF(H166&lt;=G166,1,MIN(1,MAX(0,(Parámetros!$B$4-G166)/(H166-G166)))))</f>
        <v/>
      </c>
      <c r="N166" s="14" t="str">
        <f aca="false">IF(M166="","",J166-M166)</f>
        <v/>
      </c>
      <c r="O166" s="15" t="str">
        <f aca="false">IF(J166&gt;=1,"Completado",IF(H166="","Sin fecha plan",IF(H166&lt;Parámetros!$B$4,"Atrasado",IF(J166&lt;=0,"No iniciado","En proceso"))))</f>
        <v>Completado</v>
      </c>
      <c r="P166" s="15" t="n">
        <f aca="false">IF(AND(J166&lt;1,H166&lt;&gt;"",H166&lt;Parámetros!$B$4),Parámetros!$B$4-H166,0)</f>
        <v>0</v>
      </c>
      <c r="Q166" s="15" t="str">
        <f aca="false">IF(OR(D166="Proyecto",D166="Riesgos",D166="Obs. Auditoría"),"Sí","No")</f>
        <v>No</v>
      </c>
      <c r="R166" s="15" t="str">
        <f aca="false">IF(I166="","",IF(I166&lt;=H166,1,0))</f>
        <v/>
      </c>
    </row>
    <row r="167" customFormat="false" ht="46.25" hidden="false" customHeight="false" outlineLevel="0" collapsed="false">
      <c r="A167" s="10" t="n">
        <v>2026</v>
      </c>
      <c r="B167" s="10" t="s">
        <v>529</v>
      </c>
      <c r="C167" s="11" t="s">
        <v>530</v>
      </c>
      <c r="D167" s="10" t="s">
        <v>172</v>
      </c>
      <c r="E167" s="10" t="s">
        <v>306</v>
      </c>
      <c r="F167" s="11" t="s">
        <v>306</v>
      </c>
      <c r="G167" s="12" t="n">
        <v>46244</v>
      </c>
      <c r="H167" s="12"/>
      <c r="I167" s="12"/>
      <c r="J167" s="13" t="n">
        <v>1</v>
      </c>
      <c r="K167" s="10" t="s">
        <v>117</v>
      </c>
      <c r="L167" s="11" t="s">
        <v>531</v>
      </c>
      <c r="M167" s="14" t="str">
        <f aca="false">IF(OR(G167="",H167=""),"",IF(H167&lt;=G167,1,MIN(1,MAX(0,(Parámetros!$B$4-G167)/(H167-G167)))))</f>
        <v/>
      </c>
      <c r="N167" s="14" t="str">
        <f aca="false">IF(M167="","",J167-M167)</f>
        <v/>
      </c>
      <c r="O167" s="15" t="str">
        <f aca="false">IF(J167&gt;=1,"Completado",IF(H167="","Sin fecha plan",IF(H167&lt;Parámetros!$B$4,"Atrasado",IF(J167&lt;=0,"No iniciado","En proceso"))))</f>
        <v>Completado</v>
      </c>
      <c r="P167" s="15" t="n">
        <f aca="false">IF(AND(J167&lt;1,H167&lt;&gt;"",H167&lt;Parámetros!$B$4),Parámetros!$B$4-H167,0)</f>
        <v>0</v>
      </c>
      <c r="Q167" s="15" t="str">
        <f aca="false">IF(OR(D167="Proyecto",D167="Riesgos",D167="Obs. Auditoría"),"Sí","No")</f>
        <v>No</v>
      </c>
      <c r="R167" s="15" t="str">
        <f aca="false">IF(I167="","",IF(I167&lt;=H167,1,0))</f>
        <v/>
      </c>
    </row>
    <row r="168" customFormat="false" ht="28.35" hidden="false" customHeight="false" outlineLevel="0" collapsed="false">
      <c r="A168" s="10" t="n">
        <v>2026</v>
      </c>
      <c r="B168" s="10" t="s">
        <v>329</v>
      </c>
      <c r="C168" s="11" t="s">
        <v>532</v>
      </c>
      <c r="D168" s="10" t="s">
        <v>115</v>
      </c>
      <c r="E168" s="10" t="s">
        <v>121</v>
      </c>
      <c r="F168" s="11" t="s">
        <v>121</v>
      </c>
      <c r="G168" s="12" t="n">
        <v>46235</v>
      </c>
      <c r="H168" s="12" t="n">
        <v>46356</v>
      </c>
      <c r="I168" s="12"/>
      <c r="J168" s="13" t="n">
        <v>0.9</v>
      </c>
      <c r="K168" s="10" t="s">
        <v>132</v>
      </c>
      <c r="L168" s="11" t="s">
        <v>533</v>
      </c>
      <c r="M168" s="14" t="n">
        <f aca="false">IF(OR(G168="",H168=""),"",IF(H168&lt;=G168,1,MIN(1,MAX(0,(Parámetros!$B$4-G168)/(H168-G168)))))</f>
        <v>0.388429752066116</v>
      </c>
      <c r="N168" s="14" t="n">
        <f aca="false">IF(M168="","",J168-M168)</f>
        <v>0.511570247933884</v>
      </c>
      <c r="O168" s="15" t="str">
        <f aca="false">IF(J168&gt;=1,"Completado",IF(H168="","Sin fecha plan",IF(H168&lt;Parámetros!$B$4,"Atrasado",IF(J168&lt;=0,"No iniciado","En proceso"))))</f>
        <v>En proceso</v>
      </c>
      <c r="P168" s="15" t="n">
        <f aca="false">IF(AND(J168&lt;1,H168&lt;&gt;"",H168&lt;Parámetros!$B$4),Parámetros!$B$4-H168,0)</f>
        <v>0</v>
      </c>
      <c r="Q168" s="15" t="str">
        <f aca="false">IF(OR(D168="Proyecto",D168="Riesgos",D168="Obs. Auditoría"),"Sí","No")</f>
        <v>No</v>
      </c>
      <c r="R168" s="15" t="str">
        <f aca="false">IF(I168="","",IF(I168&lt;=H168,1,0))</f>
        <v/>
      </c>
    </row>
    <row r="169" customFormat="false" ht="28.35" hidden="false" customHeight="false" outlineLevel="0" collapsed="false">
      <c r="A169" s="10" t="n">
        <v>2026</v>
      </c>
      <c r="B169" s="10" t="s">
        <v>285</v>
      </c>
      <c r="C169" s="11" t="s">
        <v>534</v>
      </c>
      <c r="D169" s="10" t="s">
        <v>172</v>
      </c>
      <c r="E169" s="10" t="s">
        <v>131</v>
      </c>
      <c r="F169" s="11" t="s">
        <v>535</v>
      </c>
      <c r="G169" s="12" t="n">
        <v>46204</v>
      </c>
      <c r="H169" s="12"/>
      <c r="I169" s="12"/>
      <c r="J169" s="13" t="n">
        <v>1</v>
      </c>
      <c r="K169" s="10" t="s">
        <v>117</v>
      </c>
      <c r="L169" s="11"/>
      <c r="M169" s="14" t="str">
        <f aca="false">IF(OR(G169="",H169=""),"",IF(H169&lt;=G169,1,MIN(1,MAX(0,(Parámetros!$B$4-G169)/(H169-G169)))))</f>
        <v/>
      </c>
      <c r="N169" s="14" t="str">
        <f aca="false">IF(M169="","",J169-M169)</f>
        <v/>
      </c>
      <c r="O169" s="15" t="str">
        <f aca="false">IF(J169&gt;=1,"Completado",IF(H169="","Sin fecha plan",IF(H169&lt;Parámetros!$B$4,"Atrasado",IF(J169&lt;=0,"No iniciado","En proceso"))))</f>
        <v>Completado</v>
      </c>
      <c r="P169" s="15" t="n">
        <f aca="false">IF(AND(J169&lt;1,H169&lt;&gt;"",H169&lt;Parámetros!$B$4),Parámetros!$B$4-H169,0)</f>
        <v>0</v>
      </c>
      <c r="Q169" s="15" t="str">
        <f aca="false">IF(OR(D169="Proyecto",D169="Riesgos",D169="Obs. Auditoría"),"Sí","No")</f>
        <v>No</v>
      </c>
      <c r="R169" s="15" t="str">
        <f aca="false">IF(I169="","",IF(I169&lt;=H169,1,0))</f>
        <v/>
      </c>
    </row>
    <row r="170" customFormat="false" ht="15" hidden="false" customHeight="false" outlineLevel="0" collapsed="false">
      <c r="A170" s="10" t="n">
        <v>2026</v>
      </c>
      <c r="B170" s="10" t="s">
        <v>335</v>
      </c>
      <c r="C170" s="11" t="s">
        <v>536</v>
      </c>
      <c r="D170" s="10" t="s">
        <v>172</v>
      </c>
      <c r="E170" s="10" t="s">
        <v>121</v>
      </c>
      <c r="F170" s="11" t="s">
        <v>121</v>
      </c>
      <c r="G170" s="12" t="n">
        <v>46235</v>
      </c>
      <c r="H170" s="12" t="n">
        <v>46262</v>
      </c>
      <c r="I170" s="12" t="n">
        <v>46262</v>
      </c>
      <c r="J170" s="13" t="n">
        <v>1</v>
      </c>
      <c r="K170" s="10" t="s">
        <v>132</v>
      </c>
      <c r="L170" s="11"/>
      <c r="M170" s="14" t="n">
        <f aca="false">IF(OR(G170="",H170=""),"",IF(H170&lt;=G170,1,MIN(1,MAX(0,(Parámetros!$B$4-G170)/(H170-G170)))))</f>
        <v>1</v>
      </c>
      <c r="N170" s="14" t="n">
        <f aca="false">IF(M170="","",J170-M170)</f>
        <v>0</v>
      </c>
      <c r="O170" s="15" t="str">
        <f aca="false">IF(J170&gt;=1,"Completado",IF(H170="","Sin fecha plan",IF(H170&lt;Parámetros!$B$4,"Atrasado",IF(J170&lt;=0,"No iniciado","En proceso"))))</f>
        <v>Completado</v>
      </c>
      <c r="P170" s="15" t="n">
        <f aca="false">IF(AND(J170&lt;1,H170&lt;&gt;"",H170&lt;Parámetros!$B$4),Parámetros!$B$4-H170,0)</f>
        <v>0</v>
      </c>
      <c r="Q170" s="15" t="str">
        <f aca="false">IF(OR(D170="Proyecto",D170="Riesgos",D170="Obs. Auditoría"),"Sí","No")</f>
        <v>No</v>
      </c>
      <c r="R170" s="15" t="n">
        <f aca="false">IF(I170="","",IF(I170&lt;=H170,1,0))</f>
        <v>1</v>
      </c>
    </row>
    <row r="171" customFormat="false" ht="15" hidden="false" customHeight="false" outlineLevel="0" collapsed="false">
      <c r="A171" s="10" t="n">
        <v>2026</v>
      </c>
      <c r="B171" s="10" t="s">
        <v>335</v>
      </c>
      <c r="C171" s="11" t="s">
        <v>537</v>
      </c>
      <c r="D171" s="10" t="s">
        <v>172</v>
      </c>
      <c r="E171" s="10" t="s">
        <v>121</v>
      </c>
      <c r="F171" s="11" t="s">
        <v>121</v>
      </c>
      <c r="G171" s="12" t="n">
        <v>46258</v>
      </c>
      <c r="H171" s="12" t="n">
        <v>46289</v>
      </c>
      <c r="I171" s="12"/>
      <c r="J171" s="13" t="n">
        <v>0.1</v>
      </c>
      <c r="K171" s="10" t="s">
        <v>132</v>
      </c>
      <c r="L171" s="11"/>
      <c r="M171" s="14" t="n">
        <f aca="false">IF(OR(G171="",H171=""),"",IF(H171&lt;=G171,1,MIN(1,MAX(0,(Parámetros!$B$4-G171)/(H171-G171)))))</f>
        <v>0.774193548387097</v>
      </c>
      <c r="N171" s="14" t="n">
        <f aca="false">IF(M171="","",J171-M171)</f>
        <v>-0.674193548387097</v>
      </c>
      <c r="O171" s="15" t="str">
        <f aca="false">IF(J171&gt;=1,"Completado",IF(H171="","Sin fecha plan",IF(H171&lt;Parámetros!$B$4,"Atrasado",IF(J171&lt;=0,"No iniciado","En proceso"))))</f>
        <v>En proceso</v>
      </c>
      <c r="P171" s="15" t="n">
        <f aca="false">IF(AND(J171&lt;1,H171&lt;&gt;"",H171&lt;Parámetros!$B$4),Parámetros!$B$4-H171,0)</f>
        <v>0</v>
      </c>
      <c r="Q171" s="15" t="str">
        <f aca="false">IF(OR(D171="Proyecto",D171="Riesgos",D171="Obs. Auditoría"),"Sí","No")</f>
        <v>No</v>
      </c>
      <c r="R171" s="15" t="str">
        <f aca="false">IF(I171="","",IF(I171&lt;=H171,1,0))</f>
        <v/>
      </c>
    </row>
    <row r="172" customFormat="false" ht="15" hidden="false" customHeight="false" outlineLevel="0" collapsed="false">
      <c r="A172" s="10" t="n">
        <v>2026</v>
      </c>
      <c r="B172" s="10" t="s">
        <v>335</v>
      </c>
      <c r="C172" s="11" t="s">
        <v>538</v>
      </c>
      <c r="D172" s="10" t="s">
        <v>172</v>
      </c>
      <c r="E172" s="10" t="s">
        <v>121</v>
      </c>
      <c r="F172" s="11" t="s">
        <v>121</v>
      </c>
      <c r="G172" s="12" t="n">
        <v>46266</v>
      </c>
      <c r="H172" s="12" t="n">
        <v>46289</v>
      </c>
      <c r="I172" s="12"/>
      <c r="J172" s="13" t="n">
        <v>0.1</v>
      </c>
      <c r="K172" s="10" t="s">
        <v>132</v>
      </c>
      <c r="L172" s="11"/>
      <c r="M172" s="14" t="n">
        <f aca="false">IF(OR(G172="",H172=""),"",IF(H172&lt;=G172,1,MIN(1,MAX(0,(Parámetros!$B$4-G172)/(H172-G172)))))</f>
        <v>0.695652173913044</v>
      </c>
      <c r="N172" s="14" t="n">
        <f aca="false">IF(M172="","",J172-M172)</f>
        <v>-0.595652173913044</v>
      </c>
      <c r="O172" s="15" t="str">
        <f aca="false">IF(J172&gt;=1,"Completado",IF(H172="","Sin fecha plan",IF(H172&lt;Parámetros!$B$4,"Atrasado",IF(J172&lt;=0,"No iniciado","En proceso"))))</f>
        <v>En proceso</v>
      </c>
      <c r="P172" s="15" t="n">
        <f aca="false">IF(AND(J172&lt;1,H172&lt;&gt;"",H172&lt;Parámetros!$B$4),Parámetros!$B$4-H172,0)</f>
        <v>0</v>
      </c>
      <c r="Q172" s="15" t="str">
        <f aca="false">IF(OR(D172="Proyecto",D172="Riesgos",D172="Obs. Auditoría"),"Sí","No")</f>
        <v>No</v>
      </c>
      <c r="R172" s="15" t="str">
        <f aca="false">IF(I172="","",IF(I172&lt;=H172,1,0))</f>
        <v/>
      </c>
    </row>
    <row r="173" customFormat="false" ht="37.3" hidden="false" customHeight="false" outlineLevel="0" collapsed="false">
      <c r="A173" s="10" t="n">
        <v>2026</v>
      </c>
      <c r="B173" s="10" t="s">
        <v>539</v>
      </c>
      <c r="C173" s="11" t="s">
        <v>540</v>
      </c>
      <c r="D173" s="10" t="s">
        <v>146</v>
      </c>
      <c r="E173" s="10" t="s">
        <v>121</v>
      </c>
      <c r="F173" s="11" t="s">
        <v>121</v>
      </c>
      <c r="G173" s="12" t="n">
        <v>46266</v>
      </c>
      <c r="H173" s="12" t="n">
        <v>46295</v>
      </c>
      <c r="I173" s="12"/>
      <c r="J173" s="13" t="n">
        <v>0.25</v>
      </c>
      <c r="K173" s="10" t="s">
        <v>147</v>
      </c>
      <c r="L173" s="11"/>
      <c r="M173" s="14" t="n">
        <f aca="false">IF(OR(G173="",H173=""),"",IF(H173&lt;=G173,1,MIN(1,MAX(0,(Parámetros!$B$4-G173)/(H173-G173)))))</f>
        <v>0.551724137931035</v>
      </c>
      <c r="N173" s="14" t="n">
        <f aca="false">IF(M173="","",J173-M173)</f>
        <v>-0.301724137931035</v>
      </c>
      <c r="O173" s="15" t="str">
        <f aca="false">IF(J173&gt;=1,"Completado",IF(H173="","Sin fecha plan",IF(H173&lt;Parámetros!$B$4,"Atrasado",IF(J173&lt;=0,"No iniciado","En proceso"))))</f>
        <v>En proceso</v>
      </c>
      <c r="P173" s="15" t="n">
        <f aca="false">IF(AND(J173&lt;1,H173&lt;&gt;"",H173&lt;Parámetros!$B$4),Parámetros!$B$4-H173,0)</f>
        <v>0</v>
      </c>
      <c r="Q173" s="15" t="str">
        <f aca="false">IF(OR(D173="Proyecto",D173="Riesgos",D173="Obs. Auditoría"),"Sí","No")</f>
        <v>No</v>
      </c>
      <c r="R173" s="15" t="str">
        <f aca="false">IF(I173="","",IF(I173&lt;=H173,1,0))</f>
        <v/>
      </c>
    </row>
    <row r="174" customFormat="false" ht="19.4" hidden="false" customHeight="false" outlineLevel="0" collapsed="false">
      <c r="A174" s="10" t="n">
        <v>2026</v>
      </c>
      <c r="B174" s="10" t="s">
        <v>214</v>
      </c>
      <c r="C174" s="11" t="s">
        <v>541</v>
      </c>
      <c r="D174" s="10" t="s">
        <v>172</v>
      </c>
      <c r="E174" s="10" t="s">
        <v>121</v>
      </c>
      <c r="F174" s="11" t="s">
        <v>121</v>
      </c>
      <c r="G174" s="12" t="n">
        <v>46275</v>
      </c>
      <c r="H174" s="12" t="n">
        <v>46386</v>
      </c>
      <c r="I174" s="12"/>
      <c r="J174" s="13" t="n">
        <v>0.05</v>
      </c>
      <c r="K174" s="10" t="s">
        <v>223</v>
      </c>
      <c r="L174" s="11"/>
      <c r="M174" s="14" t="n">
        <f aca="false">IF(OR(G174="",H174=""),"",IF(H174&lt;=G174,1,MIN(1,MAX(0,(Parámetros!$B$4-G174)/(H174-G174)))))</f>
        <v>0.0630630630630631</v>
      </c>
      <c r="N174" s="14" t="n">
        <f aca="false">IF(M174="","",J174-M174)</f>
        <v>-0.0130630630630631</v>
      </c>
      <c r="O174" s="15" t="str">
        <f aca="false">IF(J174&gt;=1,"Completado",IF(H174="","Sin fecha plan",IF(H174&lt;Parámetros!$B$4,"Atrasado",IF(J174&lt;=0,"No iniciado","En proceso"))))</f>
        <v>En proceso</v>
      </c>
      <c r="P174" s="15" t="n">
        <f aca="false">IF(AND(J174&lt;1,H174&lt;&gt;"",H174&lt;Parámetros!$B$4),Parámetros!$B$4-H174,0)</f>
        <v>0</v>
      </c>
      <c r="Q174" s="15" t="str">
        <f aca="false">IF(OR(D174="Proyecto",D174="Riesgos",D174="Obs. Auditoría"),"Sí","No")</f>
        <v>No</v>
      </c>
      <c r="R174" s="15" t="str">
        <f aca="false">IF(I174="","",IF(I174&lt;=H174,1,0))</f>
        <v/>
      </c>
    </row>
    <row r="175" customFormat="false" ht="15" hidden="false" customHeight="false" outlineLevel="0" collapsed="false">
      <c r="A175" s="10" t="n">
        <v>2026</v>
      </c>
      <c r="B175" s="10" t="s">
        <v>214</v>
      </c>
      <c r="C175" s="11" t="s">
        <v>542</v>
      </c>
      <c r="D175" s="10" t="s">
        <v>172</v>
      </c>
      <c r="E175" s="10" t="s">
        <v>121</v>
      </c>
      <c r="F175" s="11" t="s">
        <v>121</v>
      </c>
      <c r="G175" s="12" t="n">
        <v>46280</v>
      </c>
      <c r="H175" s="12" t="n">
        <v>46386</v>
      </c>
      <c r="I175" s="12"/>
      <c r="J175" s="13" t="n">
        <v>0.05</v>
      </c>
      <c r="K175" s="10" t="s">
        <v>159</v>
      </c>
      <c r="L175" s="11"/>
      <c r="M175" s="14" t="n">
        <f aca="false">IF(OR(G175="",H175=""),"",IF(H175&lt;=G175,1,MIN(1,MAX(0,(Parámetros!$B$4-G175)/(H175-G175)))))</f>
        <v>0.0188679245283019</v>
      </c>
      <c r="N175" s="14" t="n">
        <f aca="false">IF(M175="","",J175-M175)</f>
        <v>0.0311320754716981</v>
      </c>
      <c r="O175" s="15" t="str">
        <f aca="false">IF(J175&gt;=1,"Completado",IF(H175="","Sin fecha plan",IF(H175&lt;Parámetros!$B$4,"Atrasado",IF(J175&lt;=0,"No iniciado","En proceso"))))</f>
        <v>En proceso</v>
      </c>
      <c r="P175" s="15" t="n">
        <f aca="false">IF(AND(J175&lt;1,H175&lt;&gt;"",H175&lt;Parámetros!$B$4),Parámetros!$B$4-H175,0)</f>
        <v>0</v>
      </c>
      <c r="Q175" s="15" t="str">
        <f aca="false">IF(OR(D175="Proyecto",D175="Riesgos",D175="Obs. Auditoría"),"Sí","No")</f>
        <v>No</v>
      </c>
      <c r="R175" s="15" t="str">
        <f aca="false">IF(I175="","",IF(I175&lt;=H175,1,0))</f>
        <v/>
      </c>
    </row>
    <row r="176" customFormat="false" ht="15" hidden="false" customHeight="false" outlineLevel="0" collapsed="false">
      <c r="A176" s="10" t="n">
        <v>2026</v>
      </c>
      <c r="B176" s="10" t="s">
        <v>214</v>
      </c>
      <c r="C176" s="11" t="s">
        <v>543</v>
      </c>
      <c r="D176" s="10" t="s">
        <v>172</v>
      </c>
      <c r="E176" s="10" t="s">
        <v>121</v>
      </c>
      <c r="F176" s="11" t="s">
        <v>121</v>
      </c>
      <c r="G176" s="12" t="n">
        <v>46279</v>
      </c>
      <c r="H176" s="12" t="n">
        <v>46325</v>
      </c>
      <c r="I176" s="12"/>
      <c r="J176" s="13" t="n">
        <v>0.05</v>
      </c>
      <c r="K176" s="10" t="s">
        <v>159</v>
      </c>
      <c r="L176" s="11"/>
      <c r="M176" s="14" t="n">
        <f aca="false">IF(OR(G176="",H176=""),"",IF(H176&lt;=G176,1,MIN(1,MAX(0,(Parámetros!$B$4-G176)/(H176-G176)))))</f>
        <v>0.0652173913043478</v>
      </c>
      <c r="N176" s="14" t="n">
        <f aca="false">IF(M176="","",J176-M176)</f>
        <v>-0.0152173913043478</v>
      </c>
      <c r="O176" s="15" t="str">
        <f aca="false">IF(J176&gt;=1,"Completado",IF(H176="","Sin fecha plan",IF(H176&lt;Parámetros!$B$4,"Atrasado",IF(J176&lt;=0,"No iniciado","En proceso"))))</f>
        <v>En proceso</v>
      </c>
      <c r="P176" s="15" t="n">
        <f aca="false">IF(AND(J176&lt;1,H176&lt;&gt;"",H176&lt;Parámetros!$B$4),Parámetros!$B$4-H176,0)</f>
        <v>0</v>
      </c>
      <c r="Q176" s="15" t="str">
        <f aca="false">IF(OR(D176="Proyecto",D176="Riesgos",D176="Obs. Auditoría"),"Sí","No")</f>
        <v>No</v>
      </c>
      <c r="R176" s="15" t="str">
        <f aca="false">IF(I176="","",IF(I176&lt;=H176,1,0))</f>
        <v/>
      </c>
    </row>
    <row r="177" customFormat="false" ht="19.4" hidden="false" customHeight="false" outlineLevel="0" collapsed="false">
      <c r="A177" s="10" t="n">
        <v>2026</v>
      </c>
      <c r="B177" s="10" t="s">
        <v>544</v>
      </c>
      <c r="C177" s="11" t="s">
        <v>545</v>
      </c>
      <c r="D177" s="10" t="s">
        <v>146</v>
      </c>
      <c r="E177" s="10" t="s">
        <v>242</v>
      </c>
      <c r="F177" s="11" t="s">
        <v>393</v>
      </c>
      <c r="G177" s="12" t="n">
        <v>46279</v>
      </c>
      <c r="H177" s="12" t="n">
        <v>46325</v>
      </c>
      <c r="I177" s="12"/>
      <c r="J177" s="13" t="n">
        <v>0.05</v>
      </c>
      <c r="K177" s="10" t="s">
        <v>147</v>
      </c>
      <c r="L177" s="11"/>
      <c r="M177" s="14" t="n">
        <f aca="false">IF(OR(G177="",H177=""),"",IF(H177&lt;=G177,1,MIN(1,MAX(0,(Parámetros!$B$4-G177)/(H177-G177)))))</f>
        <v>0.0652173913043478</v>
      </c>
      <c r="N177" s="14" t="n">
        <f aca="false">IF(M177="","",J177-M177)</f>
        <v>-0.0152173913043478</v>
      </c>
      <c r="O177" s="15" t="str">
        <f aca="false">IF(J177&gt;=1,"Completado",IF(H177="","Sin fecha plan",IF(H177&lt;Parámetros!$B$4,"Atrasado",IF(J177&lt;=0,"No iniciado","En proceso"))))</f>
        <v>En proceso</v>
      </c>
      <c r="P177" s="15" t="n">
        <f aca="false">IF(AND(J177&lt;1,H177&lt;&gt;"",H177&lt;Parámetros!$B$4),Parámetros!$B$4-H177,0)</f>
        <v>0</v>
      </c>
      <c r="Q177" s="15" t="str">
        <f aca="false">IF(OR(D177="Proyecto",D177="Riesgos",D177="Obs. Auditoría"),"Sí","No")</f>
        <v>No</v>
      </c>
      <c r="R177" s="15" t="str">
        <f aca="false">IF(I177="","",IF(I177&lt;=H177,1,0))</f>
        <v/>
      </c>
    </row>
    <row r="178" customFormat="false" ht="15" hidden="false" customHeight="false" outlineLevel="0" collapsed="false">
      <c r="A178" s="10" t="n">
        <v>2026</v>
      </c>
      <c r="B178" s="10" t="s">
        <v>546</v>
      </c>
      <c r="C178" s="11" t="s">
        <v>547</v>
      </c>
      <c r="D178" s="10" t="s">
        <v>172</v>
      </c>
      <c r="E178" s="10" t="s">
        <v>242</v>
      </c>
      <c r="F178" s="11" t="s">
        <v>242</v>
      </c>
      <c r="G178" s="12" t="n">
        <v>46279</v>
      </c>
      <c r="H178" s="12" t="n">
        <v>46387</v>
      </c>
      <c r="I178" s="12"/>
      <c r="J178" s="13" t="n">
        <v>0.25</v>
      </c>
      <c r="K178" s="10" t="s">
        <v>455</v>
      </c>
      <c r="L178" s="11"/>
      <c r="M178" s="14" t="n">
        <f aca="false">IF(OR(G178="",H178=""),"",IF(H178&lt;=G178,1,MIN(1,MAX(0,(Parámetros!$B$4-G178)/(H178-G178)))))</f>
        <v>0.0277777777777778</v>
      </c>
      <c r="N178" s="14" t="n">
        <f aca="false">IF(M178="","",J178-M178)</f>
        <v>0.222222222222222</v>
      </c>
      <c r="O178" s="15" t="str">
        <f aca="false">IF(J178&gt;=1,"Completado",IF(H178="","Sin fecha plan",IF(H178&lt;Parámetros!$B$4,"Atrasado",IF(J178&lt;=0,"No iniciado","En proceso"))))</f>
        <v>En proceso</v>
      </c>
      <c r="P178" s="15" t="n">
        <f aca="false">IF(AND(J178&lt;1,H178&lt;&gt;"",H178&lt;Parámetros!$B$4),Parámetros!$B$4-H178,0)</f>
        <v>0</v>
      </c>
      <c r="Q178" s="15" t="str">
        <f aca="false">IF(OR(D178="Proyecto",D178="Riesgos",D178="Obs. Auditoría"),"Sí","No")</f>
        <v>No</v>
      </c>
      <c r="R178" s="15" t="str">
        <f aca="false">IF(I178="","",IF(I178&lt;=H178,1,0))</f>
        <v/>
      </c>
    </row>
    <row r="180" customFormat="false" ht="15" hidden="false" customHeight="false" outlineLevel="0" collapsed="false">
      <c r="M180" s="16" t="s">
        <v>548</v>
      </c>
    </row>
  </sheetData>
  <autoFilter ref="A1:R1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54"/>
    <col collapsed="false" customWidth="true" hidden="false" outlineLevel="0" max="4" min="4" style="0" width="52"/>
    <col collapsed="false" customWidth="true" hidden="false" outlineLevel="0" max="5" min="5" style="0" width="38"/>
  </cols>
  <sheetData>
    <row r="1" customFormat="false" ht="17.35" hidden="false" customHeight="false" outlineLevel="0" collapsed="false">
      <c r="A1" s="1" t="s">
        <v>549</v>
      </c>
    </row>
    <row r="2" customFormat="false" ht="15" hidden="false" customHeight="false" outlineLevel="0" collapsed="false">
      <c r="A2" s="2" t="s">
        <v>550</v>
      </c>
    </row>
    <row r="3" customFormat="false" ht="25.5" hidden="false" customHeight="true" outlineLevel="0" collapsed="false">
      <c r="A3" s="3" t="s">
        <v>551</v>
      </c>
      <c r="B3" s="3" t="s">
        <v>552</v>
      </c>
      <c r="C3" s="3" t="s">
        <v>553</v>
      </c>
      <c r="D3" s="3" t="s">
        <v>554</v>
      </c>
      <c r="E3" s="3" t="s">
        <v>555</v>
      </c>
    </row>
    <row r="4" customFormat="false" ht="15" hidden="false" customHeight="false" outlineLevel="0" collapsed="false">
      <c r="A4" s="4"/>
      <c r="B4" s="4"/>
      <c r="C4" s="5"/>
      <c r="D4" s="5"/>
      <c r="E4" s="5"/>
    </row>
    <row r="5" customFormat="false" ht="22.35" hidden="false" customHeight="false" outlineLevel="0" collapsed="false">
      <c r="A5" s="4" t="s">
        <v>8</v>
      </c>
      <c r="B5" s="4" t="s">
        <v>556</v>
      </c>
      <c r="C5" s="5" t="s">
        <v>557</v>
      </c>
      <c r="D5" s="5" t="s">
        <v>558</v>
      </c>
      <c r="E5" s="5" t="s">
        <v>559</v>
      </c>
    </row>
    <row r="6" customFormat="false" ht="22.35" hidden="false" customHeight="false" outlineLevel="0" collapsed="false">
      <c r="A6" s="4" t="s">
        <v>560</v>
      </c>
      <c r="B6" s="4" t="s">
        <v>561</v>
      </c>
      <c r="C6" s="5" t="s">
        <v>562</v>
      </c>
      <c r="D6" s="5" t="s">
        <v>563</v>
      </c>
      <c r="E6" s="5" t="s">
        <v>564</v>
      </c>
    </row>
    <row r="7" customFormat="false" ht="22.35" hidden="false" customHeight="false" outlineLevel="0" collapsed="false">
      <c r="A7" s="4" t="s">
        <v>565</v>
      </c>
      <c r="B7" s="4" t="s">
        <v>561</v>
      </c>
      <c r="C7" s="5" t="s">
        <v>566</v>
      </c>
      <c r="D7" s="5" t="s">
        <v>567</v>
      </c>
      <c r="E7" s="5" t="s">
        <v>568</v>
      </c>
    </row>
    <row r="8" customFormat="false" ht="22.35" hidden="false" customHeight="false" outlineLevel="0" collapsed="false">
      <c r="A8" s="4" t="s">
        <v>569</v>
      </c>
      <c r="B8" s="4" t="s">
        <v>561</v>
      </c>
      <c r="C8" s="5" t="s">
        <v>570</v>
      </c>
      <c r="D8" s="5" t="s">
        <v>571</v>
      </c>
      <c r="E8" s="5" t="s">
        <v>572</v>
      </c>
    </row>
    <row r="9" customFormat="false" ht="15" hidden="false" customHeight="false" outlineLevel="0" collapsed="false">
      <c r="A9" s="4" t="s">
        <v>573</v>
      </c>
      <c r="B9" s="4" t="s">
        <v>561</v>
      </c>
      <c r="C9" s="5" t="s">
        <v>574</v>
      </c>
      <c r="D9" s="5" t="s">
        <v>575</v>
      </c>
      <c r="E9" s="5" t="s">
        <v>576</v>
      </c>
    </row>
    <row r="10" customFormat="false" ht="15" hidden="false" customHeight="false" outlineLevel="0" collapsed="false">
      <c r="A10" s="4" t="s">
        <v>577</v>
      </c>
      <c r="B10" s="4" t="s">
        <v>578</v>
      </c>
      <c r="C10" s="5" t="s">
        <v>579</v>
      </c>
      <c r="D10" s="5" t="s">
        <v>580</v>
      </c>
      <c r="E10" s="5" t="s">
        <v>581</v>
      </c>
    </row>
    <row r="11" customFormat="false" ht="22.35" hidden="false" customHeight="false" outlineLevel="0" collapsed="false">
      <c r="A11" s="4" t="s">
        <v>582</v>
      </c>
      <c r="B11" s="4" t="s">
        <v>583</v>
      </c>
      <c r="C11" s="5" t="s">
        <v>584</v>
      </c>
      <c r="D11" s="5" t="s">
        <v>585</v>
      </c>
      <c r="E11" s="5" t="s">
        <v>586</v>
      </c>
    </row>
    <row r="12" customFormat="false" ht="15" hidden="false" customHeight="false" outlineLevel="0" collapsed="false">
      <c r="A12" s="0" t="s">
        <v>587</v>
      </c>
      <c r="B12" s="0" t="s">
        <v>588</v>
      </c>
      <c r="C12" s="0" t="s">
        <v>589</v>
      </c>
      <c r="D12" s="0" t="s">
        <v>590</v>
      </c>
      <c r="E12" s="0" t="s">
        <v>591</v>
      </c>
    </row>
    <row r="13" customFormat="false" ht="15" hidden="false" customHeight="false" outlineLevel="0" collapsed="false">
      <c r="A13" s="6" t="s">
        <v>592</v>
      </c>
    </row>
    <row r="14" customFormat="false" ht="25.5" hidden="false" customHeight="true" outlineLevel="0" collapsed="false">
      <c r="A14" s="3" t="s">
        <v>593</v>
      </c>
      <c r="B14" s="3" t="s">
        <v>594</v>
      </c>
      <c r="C14" s="3" t="s">
        <v>595</v>
      </c>
      <c r="D14" s="3" t="s">
        <v>596</v>
      </c>
      <c r="E14" s="3" t="s">
        <v>597</v>
      </c>
    </row>
    <row r="15" customFormat="false" ht="15" hidden="false" customHeight="false" outlineLevel="0" collapsed="false">
      <c r="A15" s="4" t="s">
        <v>598</v>
      </c>
      <c r="B15" s="4" t="s">
        <v>599</v>
      </c>
      <c r="C15" s="4" t="s">
        <v>600</v>
      </c>
      <c r="D15" s="4" t="s">
        <v>601</v>
      </c>
      <c r="E15" s="5"/>
    </row>
    <row r="16" customFormat="false" ht="22.35" hidden="false" customHeight="false" outlineLevel="0" collapsed="false">
      <c r="A16" s="4" t="s">
        <v>602</v>
      </c>
      <c r="B16" s="4" t="s">
        <v>603</v>
      </c>
      <c r="C16" s="4" t="s">
        <v>600</v>
      </c>
      <c r="D16" s="4" t="s">
        <v>601</v>
      </c>
      <c r="E16" s="5" t="s">
        <v>604</v>
      </c>
    </row>
    <row r="17" customFormat="false" ht="15" hidden="false" customHeight="false" outlineLevel="0" collapsed="false">
      <c r="A17" s="4" t="s">
        <v>605</v>
      </c>
      <c r="B17" s="4" t="s">
        <v>606</v>
      </c>
      <c r="C17" s="4" t="s">
        <v>600</v>
      </c>
      <c r="D17" s="4" t="s">
        <v>601</v>
      </c>
      <c r="E17" s="5"/>
    </row>
    <row r="18" customFormat="false" ht="15" hidden="false" customHeight="false" outlineLevel="0" collapsed="false">
      <c r="A18" s="4" t="s">
        <v>607</v>
      </c>
      <c r="B18" s="4" t="s">
        <v>608</v>
      </c>
      <c r="C18" s="4" t="s">
        <v>600</v>
      </c>
      <c r="D18" s="4" t="s">
        <v>601</v>
      </c>
      <c r="E18" s="5"/>
    </row>
    <row r="19" customFormat="false" ht="22.35" hidden="false" customHeight="false" outlineLevel="0" collapsed="false">
      <c r="A19" s="4" t="s">
        <v>609</v>
      </c>
      <c r="B19" s="4" t="s">
        <v>610</v>
      </c>
      <c r="C19" s="4" t="s">
        <v>600</v>
      </c>
      <c r="D19" s="4" t="s">
        <v>601</v>
      </c>
      <c r="E19" s="5" t="s">
        <v>611</v>
      </c>
    </row>
    <row r="20" customFormat="false" ht="32.8" hidden="false" customHeight="false" outlineLevel="0" collapsed="false">
      <c r="A20" s="4" t="s">
        <v>612</v>
      </c>
      <c r="B20" s="4" t="s">
        <v>610</v>
      </c>
      <c r="C20" s="4" t="s">
        <v>600</v>
      </c>
      <c r="D20" s="4" t="s">
        <v>601</v>
      </c>
      <c r="E20" s="5" t="s">
        <v>613</v>
      </c>
    </row>
    <row r="21" customFormat="false" ht="22.35" hidden="false" customHeight="false" outlineLevel="0" collapsed="false">
      <c r="A21" s="4" t="s">
        <v>614</v>
      </c>
      <c r="B21" s="4" t="s">
        <v>615</v>
      </c>
      <c r="C21" s="4" t="s">
        <v>600</v>
      </c>
      <c r="D21" s="4" t="s">
        <v>601</v>
      </c>
      <c r="E21" s="5"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9"/>
    <col collapsed="false" customWidth="true" hidden="false" outlineLevel="0" max="3" min="3" style="0" width="14"/>
    <col collapsed="false" customWidth="true" hidden="false" outlineLevel="0" max="4" min="4" style="0" width="62"/>
    <col collapsed="false" customWidth="true" hidden="false" outlineLevel="0" max="5" min="5" style="0" width="52"/>
    <col collapsed="false" customWidth="true" hidden="false" outlineLevel="0" max="6" min="6" style="0" width="44"/>
  </cols>
  <sheetData>
    <row r="1" customFormat="false" ht="17.35" hidden="false" customHeight="false" outlineLevel="0" collapsed="false">
      <c r="A1" s="1" t="s">
        <v>617</v>
      </c>
    </row>
    <row r="2" customFormat="false" ht="15" hidden="false" customHeight="false" outlineLevel="0" collapsed="false">
      <c r="A2" s="2" t="s">
        <v>618</v>
      </c>
    </row>
    <row r="3" customFormat="false" ht="25.5" hidden="false" customHeight="true" outlineLevel="0" collapsed="false">
      <c r="A3" s="3" t="s">
        <v>36</v>
      </c>
      <c r="B3" s="3" t="s">
        <v>619</v>
      </c>
      <c r="C3" s="3" t="s">
        <v>620</v>
      </c>
      <c r="D3" s="3" t="s">
        <v>621</v>
      </c>
      <c r="E3" s="3" t="s">
        <v>622</v>
      </c>
      <c r="F3" s="3" t="s">
        <v>623</v>
      </c>
    </row>
    <row r="4" customFormat="false" ht="117.75" hidden="false" customHeight="true" outlineLevel="0" collapsed="false">
      <c r="A4" s="4"/>
      <c r="B4" s="4"/>
      <c r="C4" s="5"/>
      <c r="D4" s="17"/>
      <c r="E4" s="17"/>
      <c r="F4" s="5"/>
    </row>
    <row r="5" customFormat="false" ht="117.75" hidden="false" customHeight="true" outlineLevel="0" collapsed="false">
      <c r="A5" s="4" t="s">
        <v>39</v>
      </c>
      <c r="B5" s="4" t="s">
        <v>107</v>
      </c>
      <c r="C5" s="5" t="s">
        <v>624</v>
      </c>
      <c r="D5" s="17" t="s">
        <v>625</v>
      </c>
      <c r="E5" s="17" t="s">
        <v>626</v>
      </c>
      <c r="F5" s="5" t="s">
        <v>627</v>
      </c>
    </row>
    <row r="6" customFormat="false" ht="117.75" hidden="false" customHeight="true" outlineLevel="0" collapsed="false">
      <c r="A6" s="4" t="s">
        <v>42</v>
      </c>
      <c r="B6" s="4" t="s">
        <v>108</v>
      </c>
      <c r="C6" s="5" t="s">
        <v>624</v>
      </c>
      <c r="D6" s="17" t="s">
        <v>628</v>
      </c>
      <c r="E6" s="17" t="s">
        <v>629</v>
      </c>
      <c r="F6" s="5" t="s">
        <v>630</v>
      </c>
    </row>
    <row r="7" customFormat="false" ht="117.75" hidden="false" customHeight="true" outlineLevel="0" collapsed="false">
      <c r="A7" s="4" t="s">
        <v>45</v>
      </c>
      <c r="B7" s="4" t="s">
        <v>109</v>
      </c>
      <c r="C7" s="5" t="s">
        <v>631</v>
      </c>
      <c r="D7" s="17" t="s">
        <v>632</v>
      </c>
      <c r="E7" s="17" t="s">
        <v>633</v>
      </c>
      <c r="F7" s="5" t="s">
        <v>634</v>
      </c>
    </row>
    <row r="8" customFormat="false" ht="117.75" hidden="false" customHeight="true" outlineLevel="0" collapsed="false">
      <c r="A8" s="4" t="s">
        <v>48</v>
      </c>
      <c r="B8" s="4" t="s">
        <v>110</v>
      </c>
      <c r="C8" s="5" t="s">
        <v>635</v>
      </c>
      <c r="D8" s="17" t="s">
        <v>636</v>
      </c>
      <c r="E8" s="17" t="s">
        <v>637</v>
      </c>
      <c r="F8" s="5" t="s">
        <v>638</v>
      </c>
    </row>
    <row r="9" customFormat="false" ht="117.75" hidden="false" customHeight="true" outlineLevel="0" collapsed="false">
      <c r="A9" s="4" t="s">
        <v>51</v>
      </c>
      <c r="B9" s="4" t="s">
        <v>111</v>
      </c>
      <c r="C9" s="5" t="s">
        <v>639</v>
      </c>
      <c r="D9" s="17" t="s">
        <v>640</v>
      </c>
      <c r="E9" s="17" t="s">
        <v>641</v>
      </c>
      <c r="F9" s="5" t="s">
        <v>642</v>
      </c>
    </row>
    <row r="10" customFormat="false" ht="117.75" hidden="false" customHeight="true" outlineLevel="0" collapsed="false">
      <c r="A10" s="4" t="s">
        <v>54</v>
      </c>
      <c r="B10" s="4" t="s">
        <v>112</v>
      </c>
      <c r="C10" s="5" t="s">
        <v>643</v>
      </c>
      <c r="D10" s="17" t="s">
        <v>644</v>
      </c>
      <c r="E10" s="17" t="s">
        <v>645</v>
      </c>
      <c r="F10" s="5" t="s">
        <v>646</v>
      </c>
    </row>
    <row r="11" customFormat="false" ht="122.35" hidden="false" customHeight="false" outlineLevel="0" collapsed="false">
      <c r="A11" s="0" t="s">
        <v>57</v>
      </c>
      <c r="B11" s="0" t="s">
        <v>647</v>
      </c>
      <c r="C11" s="0" t="s">
        <v>631</v>
      </c>
      <c r="D11" s="18" t="s">
        <v>648</v>
      </c>
      <c r="E11" s="0" t="s">
        <v>649</v>
      </c>
      <c r="F11" s="0" t="s">
        <v>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6"/>
    <col collapsed="false" customWidth="true" hidden="false" outlineLevel="0" max="4" min="4" style="0" width="13"/>
    <col collapsed="false" customWidth="true" hidden="false" outlineLevel="0" max="5" min="5" style="0" width="64"/>
    <col collapsed="false" customWidth="true" hidden="false" outlineLevel="0" max="6" min="6" style="0" width="52"/>
    <col collapsed="false" customWidth="true" hidden="false" outlineLevel="0" max="7" min="7" style="0" width="18"/>
  </cols>
  <sheetData>
    <row r="1" customFormat="false" ht="17.35" hidden="false" customHeight="false" outlineLevel="0" collapsed="false">
      <c r="A1" s="1" t="s">
        <v>17</v>
      </c>
    </row>
    <row r="2" customFormat="false" ht="15" hidden="false" customHeight="false" outlineLevel="0" collapsed="false">
      <c r="A2" s="2" t="s">
        <v>651</v>
      </c>
    </row>
    <row r="3" customFormat="false" ht="25.5" hidden="false" customHeight="true" outlineLevel="0" collapsed="false">
      <c r="A3" s="3" t="s">
        <v>36</v>
      </c>
      <c r="B3" s="3" t="s">
        <v>652</v>
      </c>
      <c r="C3" s="3" t="s">
        <v>653</v>
      </c>
      <c r="D3" s="3" t="s">
        <v>654</v>
      </c>
      <c r="E3" s="3" t="s">
        <v>655</v>
      </c>
      <c r="F3" s="3" t="s">
        <v>656</v>
      </c>
      <c r="G3" s="3" t="s">
        <v>657</v>
      </c>
    </row>
    <row r="4" customFormat="false" ht="40.5" hidden="false" customHeight="true" outlineLevel="0" collapsed="false">
      <c r="A4" s="4"/>
      <c r="B4" s="4"/>
      <c r="C4" s="4"/>
      <c r="D4" s="4"/>
      <c r="E4" s="17"/>
      <c r="F4" s="5"/>
      <c r="G4" s="19"/>
    </row>
    <row r="5" customFormat="false" ht="40.5" hidden="false" customHeight="true" outlineLevel="0" collapsed="false">
      <c r="A5" s="4" t="s">
        <v>39</v>
      </c>
      <c r="B5" s="4" t="s">
        <v>658</v>
      </c>
      <c r="C5" s="4" t="s">
        <v>659</v>
      </c>
      <c r="D5" s="4" t="s">
        <v>660</v>
      </c>
      <c r="E5" s="17" t="s">
        <v>661</v>
      </c>
      <c r="F5" s="5" t="s">
        <v>662</v>
      </c>
      <c r="G5" s="19" t="s">
        <v>663</v>
      </c>
    </row>
    <row r="6" customFormat="false" ht="40.5" hidden="false" customHeight="true" outlineLevel="0" collapsed="false">
      <c r="A6" s="4" t="s">
        <v>42</v>
      </c>
      <c r="B6" s="4" t="s">
        <v>658</v>
      </c>
      <c r="C6" s="4" t="s">
        <v>664</v>
      </c>
      <c r="D6" s="4" t="s">
        <v>665</v>
      </c>
      <c r="E6" s="17" t="s">
        <v>666</v>
      </c>
      <c r="F6" s="5" t="s">
        <v>667</v>
      </c>
      <c r="G6" s="19" t="s">
        <v>668</v>
      </c>
    </row>
    <row r="7" customFormat="false" ht="40.5" hidden="false" customHeight="true" outlineLevel="0" collapsed="false">
      <c r="A7" s="4" t="s">
        <v>45</v>
      </c>
      <c r="B7" s="4" t="s">
        <v>658</v>
      </c>
      <c r="C7" s="4" t="s">
        <v>669</v>
      </c>
      <c r="D7" s="4" t="s">
        <v>660</v>
      </c>
      <c r="E7" s="17" t="s">
        <v>670</v>
      </c>
      <c r="F7" s="5" t="s">
        <v>671</v>
      </c>
      <c r="G7" s="19" t="s">
        <v>672</v>
      </c>
    </row>
    <row r="8" customFormat="false" ht="40.5" hidden="false" customHeight="true" outlineLevel="0" collapsed="false">
      <c r="A8" s="4" t="s">
        <v>48</v>
      </c>
      <c r="B8" s="4" t="s">
        <v>658</v>
      </c>
      <c r="C8" s="4" t="s">
        <v>673</v>
      </c>
      <c r="D8" s="4" t="s">
        <v>660</v>
      </c>
      <c r="E8" s="17" t="s">
        <v>674</v>
      </c>
      <c r="F8" s="5" t="s">
        <v>675</v>
      </c>
      <c r="G8" s="19" t="s">
        <v>676</v>
      </c>
    </row>
    <row r="9" customFormat="false" ht="40.5" hidden="false" customHeight="true" outlineLevel="0" collapsed="false">
      <c r="A9" s="4" t="s">
        <v>51</v>
      </c>
      <c r="B9" s="4" t="s">
        <v>658</v>
      </c>
      <c r="C9" s="4" t="s">
        <v>677</v>
      </c>
      <c r="D9" s="4" t="s">
        <v>660</v>
      </c>
      <c r="E9" s="17" t="s">
        <v>678</v>
      </c>
      <c r="F9" s="5" t="s">
        <v>679</v>
      </c>
      <c r="G9" s="19" t="s">
        <v>680</v>
      </c>
    </row>
    <row r="10" customFormat="false" ht="40.5" hidden="false" customHeight="true" outlineLevel="0" collapsed="false">
      <c r="A10" s="4" t="s">
        <v>54</v>
      </c>
      <c r="B10" s="4" t="s">
        <v>658</v>
      </c>
      <c r="C10" s="4" t="s">
        <v>681</v>
      </c>
      <c r="D10" s="4" t="s">
        <v>660</v>
      </c>
      <c r="E10" s="17" t="s">
        <v>682</v>
      </c>
      <c r="F10" s="5" t="s">
        <v>683</v>
      </c>
      <c r="G10" s="19" t="s">
        <v>45</v>
      </c>
    </row>
    <row r="11" customFormat="false" ht="40.5" hidden="false" customHeight="true" outlineLevel="0" collapsed="false">
      <c r="A11" s="4" t="s">
        <v>57</v>
      </c>
      <c r="B11" s="4" t="s">
        <v>684</v>
      </c>
      <c r="C11" s="4" t="s">
        <v>685</v>
      </c>
      <c r="D11" s="4" t="s">
        <v>686</v>
      </c>
      <c r="E11" s="17" t="s">
        <v>687</v>
      </c>
      <c r="F11" s="5" t="s">
        <v>688</v>
      </c>
      <c r="G11" s="19" t="s">
        <v>689</v>
      </c>
    </row>
    <row r="12" customFormat="false" ht="40.5" hidden="false" customHeight="true" outlineLevel="0" collapsed="false">
      <c r="A12" s="4" t="s">
        <v>690</v>
      </c>
      <c r="B12" s="4" t="s">
        <v>684</v>
      </c>
      <c r="C12" s="4" t="s">
        <v>691</v>
      </c>
      <c r="D12" s="4" t="s">
        <v>686</v>
      </c>
      <c r="E12" s="17" t="s">
        <v>692</v>
      </c>
      <c r="F12" s="5" t="s">
        <v>693</v>
      </c>
      <c r="G12" s="19" t="s">
        <v>694</v>
      </c>
    </row>
    <row r="13" customFormat="false" ht="40.5" hidden="false" customHeight="true" outlineLevel="0" collapsed="false">
      <c r="A13" s="4" t="s">
        <v>695</v>
      </c>
      <c r="B13" s="4" t="s">
        <v>684</v>
      </c>
      <c r="C13" s="4" t="s">
        <v>696</v>
      </c>
      <c r="D13" s="4" t="s">
        <v>697</v>
      </c>
      <c r="E13" s="17" t="s">
        <v>698</v>
      </c>
      <c r="F13" s="5" t="s">
        <v>699</v>
      </c>
      <c r="G13" s="19" t="s">
        <v>700</v>
      </c>
    </row>
    <row r="14" customFormat="false" ht="51.75" hidden="false" customHeight="true" outlineLevel="0" collapsed="false">
      <c r="A14" s="4" t="s">
        <v>701</v>
      </c>
      <c r="B14" s="4" t="s">
        <v>684</v>
      </c>
      <c r="C14" s="4" t="s">
        <v>702</v>
      </c>
      <c r="D14" s="4" t="s">
        <v>697</v>
      </c>
      <c r="E14" s="17" t="s">
        <v>703</v>
      </c>
      <c r="F14" s="5" t="s">
        <v>704</v>
      </c>
      <c r="G14" s="19" t="s">
        <v>705</v>
      </c>
    </row>
    <row r="15" customFormat="false" ht="40.5" hidden="false" customHeight="true" outlineLevel="0" collapsed="false">
      <c r="A15" s="4" t="s">
        <v>706</v>
      </c>
      <c r="B15" s="4" t="s">
        <v>707</v>
      </c>
      <c r="C15" s="4" t="s">
        <v>708</v>
      </c>
      <c r="D15" s="4" t="s">
        <v>709</v>
      </c>
      <c r="E15" s="17" t="s">
        <v>710</v>
      </c>
      <c r="F15" s="5" t="s">
        <v>711</v>
      </c>
      <c r="G15" s="19" t="s">
        <v>712</v>
      </c>
    </row>
    <row r="16" customFormat="false" ht="40.5" hidden="false" customHeight="true" outlineLevel="0" collapsed="false">
      <c r="A16" s="4" t="s">
        <v>713</v>
      </c>
      <c r="B16" s="4" t="s">
        <v>707</v>
      </c>
      <c r="C16" s="4" t="s">
        <v>714</v>
      </c>
      <c r="D16" s="4" t="s">
        <v>715</v>
      </c>
      <c r="E16" s="17" t="s">
        <v>716</v>
      </c>
      <c r="F16" s="5" t="s">
        <v>717</v>
      </c>
      <c r="G16" s="19" t="s">
        <v>718</v>
      </c>
    </row>
    <row r="17" customFormat="false" ht="40.5" hidden="false" customHeight="true" outlineLevel="0" collapsed="false">
      <c r="A17" s="4" t="s">
        <v>719</v>
      </c>
      <c r="B17" s="4" t="s">
        <v>707</v>
      </c>
      <c r="C17" s="4" t="s">
        <v>720</v>
      </c>
      <c r="D17" s="4" t="s">
        <v>686</v>
      </c>
      <c r="E17" s="17" t="s">
        <v>721</v>
      </c>
      <c r="F17" s="5" t="s">
        <v>722</v>
      </c>
      <c r="G17" s="19" t="s">
        <v>723</v>
      </c>
    </row>
    <row r="18" customFormat="false" ht="63" hidden="false" customHeight="true" outlineLevel="0" collapsed="false">
      <c r="A18" s="4" t="s">
        <v>724</v>
      </c>
      <c r="B18" s="4" t="s">
        <v>707</v>
      </c>
      <c r="C18" s="4" t="s">
        <v>725</v>
      </c>
      <c r="D18" s="4" t="s">
        <v>660</v>
      </c>
      <c r="E18" s="17" t="s">
        <v>726</v>
      </c>
      <c r="F18" s="5" t="s">
        <v>727</v>
      </c>
      <c r="G18" s="19" t="s">
        <v>728</v>
      </c>
    </row>
    <row r="19" customFormat="false" ht="40.5" hidden="false" customHeight="true" outlineLevel="0" collapsed="false">
      <c r="A19" s="4" t="s">
        <v>729</v>
      </c>
      <c r="B19" s="4" t="s">
        <v>707</v>
      </c>
      <c r="C19" s="4" t="s">
        <v>730</v>
      </c>
      <c r="D19" s="4" t="s">
        <v>660</v>
      </c>
      <c r="E19" s="17" t="s">
        <v>731</v>
      </c>
      <c r="F19" s="5" t="s">
        <v>732</v>
      </c>
      <c r="G19" s="19" t="s">
        <v>733</v>
      </c>
    </row>
    <row r="20" customFormat="false" ht="51.75" hidden="false" customHeight="true" outlineLevel="0" collapsed="false">
      <c r="A20" s="4" t="s">
        <v>734</v>
      </c>
      <c r="B20" s="4" t="s">
        <v>707</v>
      </c>
      <c r="C20" s="4" t="s">
        <v>735</v>
      </c>
      <c r="D20" s="4" t="s">
        <v>709</v>
      </c>
      <c r="E20" s="17" t="s">
        <v>736</v>
      </c>
      <c r="F20" s="5" t="s">
        <v>737</v>
      </c>
      <c r="G20" s="19" t="s">
        <v>738</v>
      </c>
    </row>
    <row r="21" customFormat="false" ht="51.75" hidden="false" customHeight="true" outlineLevel="0" collapsed="false">
      <c r="A21" s="4" t="s">
        <v>739</v>
      </c>
      <c r="B21" s="4" t="s">
        <v>707</v>
      </c>
      <c r="C21" s="4" t="s">
        <v>740</v>
      </c>
      <c r="D21" s="4" t="s">
        <v>686</v>
      </c>
      <c r="E21" s="17" t="s">
        <v>741</v>
      </c>
      <c r="F21" s="5" t="s">
        <v>742</v>
      </c>
      <c r="G21" s="19" t="s">
        <v>743</v>
      </c>
    </row>
    <row r="22" customFormat="false" ht="63" hidden="false" customHeight="true" outlineLevel="0" collapsed="false">
      <c r="A22" s="4" t="s">
        <v>744</v>
      </c>
      <c r="B22" s="4" t="s">
        <v>707</v>
      </c>
      <c r="C22" s="4" t="s">
        <v>745</v>
      </c>
      <c r="D22" s="4" t="s">
        <v>709</v>
      </c>
      <c r="E22" s="17" t="s">
        <v>746</v>
      </c>
      <c r="F22" s="5" t="s">
        <v>747</v>
      </c>
      <c r="G22" s="19" t="s">
        <v>748</v>
      </c>
    </row>
    <row r="23" customFormat="false" ht="75" hidden="false" customHeight="true" outlineLevel="0" collapsed="false">
      <c r="A23" s="4" t="s">
        <v>749</v>
      </c>
      <c r="B23" s="4" t="s">
        <v>750</v>
      </c>
      <c r="C23" s="4" t="s">
        <v>751</v>
      </c>
      <c r="D23" s="4" t="s">
        <v>660</v>
      </c>
      <c r="E23" s="17" t="s">
        <v>752</v>
      </c>
      <c r="F23" s="5" t="s">
        <v>753</v>
      </c>
      <c r="G23" s="19" t="s">
        <v>754</v>
      </c>
    </row>
    <row r="24" customFormat="false" ht="63" hidden="false" customHeight="true" outlineLevel="0" collapsed="false">
      <c r="A24" s="4" t="s">
        <v>755</v>
      </c>
      <c r="B24" s="4" t="s">
        <v>750</v>
      </c>
      <c r="C24" s="4" t="s">
        <v>756</v>
      </c>
      <c r="D24" s="4" t="s">
        <v>660</v>
      </c>
      <c r="E24" s="17" t="s">
        <v>757</v>
      </c>
      <c r="F24" s="5" t="s">
        <v>758</v>
      </c>
      <c r="G24" s="19" t="s">
        <v>690</v>
      </c>
    </row>
    <row r="25" customFormat="false" ht="97.5" hidden="false" customHeight="true" outlineLevel="0" collapsed="false">
      <c r="A25" s="4" t="s">
        <v>759</v>
      </c>
      <c r="B25" s="4" t="s">
        <v>750</v>
      </c>
      <c r="C25" s="4" t="s">
        <v>760</v>
      </c>
      <c r="D25" s="4" t="s">
        <v>660</v>
      </c>
      <c r="E25" s="17" t="s">
        <v>761</v>
      </c>
      <c r="F25" s="5" t="s">
        <v>762</v>
      </c>
      <c r="G25" s="19" t="s">
        <v>763</v>
      </c>
    </row>
    <row r="26" customFormat="false" ht="97.5" hidden="false" customHeight="true" outlineLevel="0" collapsed="false">
      <c r="A26" s="4" t="s">
        <v>764</v>
      </c>
      <c r="B26" s="4" t="s">
        <v>750</v>
      </c>
      <c r="C26" s="4" t="s">
        <v>765</v>
      </c>
      <c r="D26" s="4" t="s">
        <v>660</v>
      </c>
      <c r="E26" s="17" t="s">
        <v>766</v>
      </c>
      <c r="F26" s="5" t="s">
        <v>767</v>
      </c>
      <c r="G26" s="19" t="s">
        <v>768</v>
      </c>
    </row>
    <row r="27" customFormat="false" ht="40.5" hidden="false" customHeight="true" outlineLevel="0" collapsed="false">
      <c r="A27" s="4" t="s">
        <v>769</v>
      </c>
      <c r="B27" s="4" t="s">
        <v>750</v>
      </c>
      <c r="C27" s="4" t="s">
        <v>770</v>
      </c>
      <c r="D27" s="4" t="s">
        <v>660</v>
      </c>
      <c r="E27" s="17" t="s">
        <v>771</v>
      </c>
      <c r="F27" s="5" t="s">
        <v>772</v>
      </c>
      <c r="G27" s="19" t="s">
        <v>680</v>
      </c>
    </row>
    <row r="28" customFormat="false" ht="63" hidden="false" customHeight="true" outlineLevel="0" collapsed="false">
      <c r="A28" s="4" t="s">
        <v>773</v>
      </c>
      <c r="B28" s="4" t="s">
        <v>774</v>
      </c>
      <c r="C28" s="4" t="s">
        <v>775</v>
      </c>
      <c r="D28" s="4" t="s">
        <v>709</v>
      </c>
      <c r="E28" s="17" t="s">
        <v>776</v>
      </c>
      <c r="F28" s="5" t="s">
        <v>777</v>
      </c>
      <c r="G28" s="19" t="s">
        <v>778</v>
      </c>
    </row>
    <row r="29" customFormat="false" ht="40.5" hidden="false" customHeight="true" outlineLevel="0" collapsed="false">
      <c r="A29" s="4" t="s">
        <v>680</v>
      </c>
      <c r="B29" s="4" t="s">
        <v>774</v>
      </c>
      <c r="C29" s="4" t="s">
        <v>779</v>
      </c>
      <c r="D29" s="4" t="s">
        <v>697</v>
      </c>
      <c r="E29" s="17" t="s">
        <v>780</v>
      </c>
      <c r="F29" s="5" t="s">
        <v>781</v>
      </c>
      <c r="G29" s="19" t="s">
        <v>778</v>
      </c>
    </row>
    <row r="30" customFormat="false" ht="55.2" hidden="false" customHeight="false" outlineLevel="0" collapsed="false">
      <c r="A30" s="0" t="s">
        <v>782</v>
      </c>
      <c r="B30" s="0" t="s">
        <v>783</v>
      </c>
      <c r="C30" s="0" t="s">
        <v>784</v>
      </c>
      <c r="D30" s="0" t="s">
        <v>631</v>
      </c>
      <c r="E30" s="18" t="s">
        <v>785</v>
      </c>
      <c r="F30" s="0" t="s">
        <v>786</v>
      </c>
      <c r="G30" s="0" t="s">
        <v>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6"/>
    <col collapsed="false" customWidth="true" hidden="false" outlineLevel="0" max="3" min="3" style="0" width="62"/>
  </cols>
  <sheetData>
    <row r="1" customFormat="false" ht="17.35" hidden="false" customHeight="false" outlineLevel="0" collapsed="false">
      <c r="A1" s="1" t="s">
        <v>788</v>
      </c>
    </row>
    <row r="2" customFormat="false" ht="15" hidden="false" customHeight="false" outlineLevel="0" collapsed="false">
      <c r="A2" s="2" t="s">
        <v>789</v>
      </c>
    </row>
    <row r="3" customFormat="false" ht="25.5" hidden="false" customHeight="true" outlineLevel="0" collapsed="false">
      <c r="A3" s="3" t="s">
        <v>790</v>
      </c>
      <c r="B3" s="3" t="s">
        <v>791</v>
      </c>
      <c r="C3" s="3" t="s">
        <v>597</v>
      </c>
    </row>
    <row r="4" customFormat="false" ht="150" hidden="false" customHeight="true" outlineLevel="0" collapsed="false">
      <c r="A4" s="4"/>
      <c r="B4" s="17"/>
      <c r="C4" s="5"/>
    </row>
    <row r="5" customFormat="false" ht="150" hidden="false" customHeight="true" outlineLevel="0" collapsed="false">
      <c r="A5" s="4" t="s">
        <v>577</v>
      </c>
      <c r="B5" s="17" t="s">
        <v>792</v>
      </c>
      <c r="C5" s="5" t="s">
        <v>793</v>
      </c>
    </row>
    <row r="6" customFormat="false" ht="150" hidden="false" customHeight="true" outlineLevel="0" collapsed="false">
      <c r="A6" s="4" t="s">
        <v>794</v>
      </c>
      <c r="B6" s="17" t="s">
        <v>795</v>
      </c>
      <c r="C6" s="5" t="s">
        <v>796</v>
      </c>
    </row>
    <row r="7" customFormat="false" ht="150" hidden="false" customHeight="true" outlineLevel="0" collapsed="false">
      <c r="A7" s="4" t="s">
        <v>797</v>
      </c>
      <c r="B7" s="17" t="s">
        <v>666</v>
      </c>
      <c r="C7" s="5" t="s">
        <v>798</v>
      </c>
    </row>
    <row r="8" customFormat="false" ht="135.8" hidden="false" customHeight="false" outlineLevel="0" collapsed="false">
      <c r="A8" s="0" t="s">
        <v>799</v>
      </c>
      <c r="B8" s="18" t="s">
        <v>800</v>
      </c>
      <c r="C8" s="0" t="s">
        <v>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30"/>
    <col collapsed="false" customWidth="true" hidden="false" outlineLevel="0" max="4" min="4" style="0" width="42"/>
    <col collapsed="false" customWidth="true" hidden="false" outlineLevel="0" max="5" min="5" style="0" width="44"/>
    <col collapsed="false" customWidth="true" hidden="false" outlineLevel="0" max="6" min="6" style="0" width="42"/>
    <col collapsed="false" customWidth="true" hidden="false" outlineLevel="0" max="7" min="7" style="0" width="40"/>
  </cols>
  <sheetData>
    <row r="1" customFormat="false" ht="17.35" hidden="false" customHeight="false" outlineLevel="0" collapsed="false">
      <c r="A1" s="1" t="s">
        <v>802</v>
      </c>
    </row>
    <row r="2" customFormat="false" ht="15" hidden="false" customHeight="false" outlineLevel="0" collapsed="false">
      <c r="A2" s="2" t="s">
        <v>803</v>
      </c>
    </row>
    <row r="3" customFormat="false" ht="25.5" hidden="false" customHeight="true" outlineLevel="0" collapsed="false">
      <c r="A3" s="3" t="s">
        <v>804</v>
      </c>
      <c r="B3" s="3" t="s">
        <v>805</v>
      </c>
      <c r="C3" s="3" t="s">
        <v>806</v>
      </c>
      <c r="D3" s="3" t="s">
        <v>807</v>
      </c>
      <c r="E3" s="3" t="s">
        <v>808</v>
      </c>
      <c r="F3" s="3" t="s">
        <v>809</v>
      </c>
      <c r="G3" s="3" t="s">
        <v>810</v>
      </c>
    </row>
    <row r="4" customFormat="false" ht="15" hidden="false" customHeight="false" outlineLevel="0" collapsed="false">
      <c r="A4" s="4"/>
      <c r="B4" s="4"/>
      <c r="C4" s="4"/>
      <c r="D4" s="5"/>
      <c r="E4" s="5"/>
      <c r="F4" s="5"/>
      <c r="G4" s="5"/>
    </row>
    <row r="5" customFormat="false" ht="32.8" hidden="false" customHeight="false" outlineLevel="0" collapsed="false">
      <c r="A5" s="4" t="s">
        <v>39</v>
      </c>
      <c r="B5" s="4" t="s">
        <v>811</v>
      </c>
      <c r="C5" s="4" t="s">
        <v>812</v>
      </c>
      <c r="D5" s="5" t="s">
        <v>813</v>
      </c>
      <c r="E5" s="5" t="s">
        <v>814</v>
      </c>
      <c r="F5" s="5" t="s">
        <v>815</v>
      </c>
      <c r="G5" s="5" t="s">
        <v>816</v>
      </c>
    </row>
    <row r="6" customFormat="false" ht="22.35" hidden="false" customHeight="false" outlineLevel="0" collapsed="false">
      <c r="A6" s="4" t="s">
        <v>39</v>
      </c>
      <c r="B6" s="4" t="s">
        <v>817</v>
      </c>
      <c r="C6" s="4" t="s">
        <v>818</v>
      </c>
      <c r="D6" s="5" t="s">
        <v>813</v>
      </c>
      <c r="E6" s="5" t="s">
        <v>819</v>
      </c>
      <c r="F6" s="5" t="s">
        <v>820</v>
      </c>
      <c r="G6" s="5" t="s">
        <v>821</v>
      </c>
    </row>
    <row r="7" customFormat="false" ht="22.35" hidden="false" customHeight="false" outlineLevel="0" collapsed="false">
      <c r="A7" s="4" t="s">
        <v>39</v>
      </c>
      <c r="B7" s="4" t="s">
        <v>822</v>
      </c>
      <c r="C7" s="4" t="s">
        <v>823</v>
      </c>
      <c r="D7" s="5" t="s">
        <v>824</v>
      </c>
      <c r="E7" s="5" t="s">
        <v>825</v>
      </c>
      <c r="F7" s="5" t="s">
        <v>826</v>
      </c>
      <c r="G7" s="5" t="s">
        <v>827</v>
      </c>
    </row>
    <row r="8" customFormat="false" ht="22.35" hidden="false" customHeight="false" outlineLevel="0" collapsed="false">
      <c r="A8" s="4" t="s">
        <v>39</v>
      </c>
      <c r="B8" s="4" t="s">
        <v>828</v>
      </c>
      <c r="C8" s="4" t="s">
        <v>829</v>
      </c>
      <c r="D8" s="5" t="s">
        <v>830</v>
      </c>
      <c r="E8" s="5" t="s">
        <v>831</v>
      </c>
      <c r="F8" s="5" t="s">
        <v>832</v>
      </c>
      <c r="G8" s="5" t="s">
        <v>833</v>
      </c>
    </row>
    <row r="9" customFormat="false" ht="22.35" hidden="false" customHeight="false" outlineLevel="0" collapsed="false">
      <c r="A9" s="4" t="s">
        <v>39</v>
      </c>
      <c r="B9" s="4" t="s">
        <v>834</v>
      </c>
      <c r="C9" s="4" t="s">
        <v>835</v>
      </c>
      <c r="D9" s="5" t="s">
        <v>836</v>
      </c>
      <c r="E9" s="5" t="s">
        <v>837</v>
      </c>
      <c r="F9" s="5" t="s">
        <v>838</v>
      </c>
      <c r="G9" s="5" t="s">
        <v>839</v>
      </c>
    </row>
    <row r="10" customFormat="false" ht="22.35" hidden="false" customHeight="false" outlineLevel="0" collapsed="false">
      <c r="A10" s="4" t="s">
        <v>39</v>
      </c>
      <c r="B10" s="4" t="s">
        <v>840</v>
      </c>
      <c r="C10" s="4" t="s">
        <v>841</v>
      </c>
      <c r="D10" s="5" t="s">
        <v>842</v>
      </c>
      <c r="E10" s="5" t="s">
        <v>837</v>
      </c>
      <c r="F10" s="5" t="s">
        <v>843</v>
      </c>
      <c r="G10" s="5" t="s">
        <v>844</v>
      </c>
    </row>
    <row r="11" customFormat="false" ht="22.35" hidden="false" customHeight="false" outlineLevel="0" collapsed="false">
      <c r="A11" s="4" t="s">
        <v>39</v>
      </c>
      <c r="B11" s="4" t="s">
        <v>845</v>
      </c>
      <c r="C11" s="4" t="s">
        <v>846</v>
      </c>
      <c r="D11" s="5" t="s">
        <v>847</v>
      </c>
      <c r="E11" s="5" t="s">
        <v>848</v>
      </c>
      <c r="F11" s="5" t="s">
        <v>849</v>
      </c>
      <c r="G11" s="5" t="s">
        <v>850</v>
      </c>
    </row>
    <row r="12" customFormat="false" ht="22.35" hidden="false" customHeight="false" outlineLevel="0" collapsed="false">
      <c r="A12" s="4" t="s">
        <v>42</v>
      </c>
      <c r="B12" s="4" t="s">
        <v>851</v>
      </c>
      <c r="C12" s="4" t="s">
        <v>852</v>
      </c>
      <c r="D12" s="5" t="s">
        <v>853</v>
      </c>
      <c r="E12" s="5" t="s">
        <v>854</v>
      </c>
      <c r="F12" s="5" t="s">
        <v>855</v>
      </c>
      <c r="G12" s="5" t="s">
        <v>856</v>
      </c>
    </row>
    <row r="13" customFormat="false" ht="22.35" hidden="false" customHeight="false" outlineLevel="0" collapsed="false">
      <c r="A13" s="4" t="s">
        <v>42</v>
      </c>
      <c r="B13" s="4" t="s">
        <v>857</v>
      </c>
      <c r="C13" s="4" t="s">
        <v>858</v>
      </c>
      <c r="D13" s="5" t="s">
        <v>859</v>
      </c>
      <c r="E13" s="5" t="s">
        <v>860</v>
      </c>
      <c r="F13" s="5" t="s">
        <v>861</v>
      </c>
      <c r="G13" s="5" t="s">
        <v>862</v>
      </c>
    </row>
    <row r="14" customFormat="false" ht="22.35" hidden="false" customHeight="false" outlineLevel="0" collapsed="false">
      <c r="A14" s="4" t="s">
        <v>42</v>
      </c>
      <c r="B14" s="4" t="s">
        <v>863</v>
      </c>
      <c r="C14" s="4" t="s">
        <v>864</v>
      </c>
      <c r="D14" s="5" t="s">
        <v>865</v>
      </c>
      <c r="E14" s="5" t="s">
        <v>866</v>
      </c>
      <c r="F14" s="5" t="s">
        <v>867</v>
      </c>
      <c r="G14" s="5" t="s">
        <v>868</v>
      </c>
    </row>
    <row r="15" customFormat="false" ht="22.35" hidden="false" customHeight="false" outlineLevel="0" collapsed="false">
      <c r="A15" s="4" t="s">
        <v>42</v>
      </c>
      <c r="B15" s="4" t="s">
        <v>869</v>
      </c>
      <c r="C15" s="4" t="s">
        <v>870</v>
      </c>
      <c r="D15" s="5" t="s">
        <v>871</v>
      </c>
      <c r="E15" s="5" t="s">
        <v>872</v>
      </c>
      <c r="F15" s="5" t="s">
        <v>873</v>
      </c>
      <c r="G15" s="5" t="s">
        <v>874</v>
      </c>
    </row>
    <row r="16" customFormat="false" ht="22.35" hidden="false" customHeight="false" outlineLevel="0" collapsed="false">
      <c r="A16" s="4" t="s">
        <v>45</v>
      </c>
      <c r="B16" s="4" t="s">
        <v>875</v>
      </c>
      <c r="C16" s="4" t="s">
        <v>876</v>
      </c>
      <c r="D16" s="5" t="s">
        <v>877</v>
      </c>
      <c r="E16" s="5" t="s">
        <v>878</v>
      </c>
      <c r="F16" s="5" t="s">
        <v>879</v>
      </c>
      <c r="G16" s="5" t="s">
        <v>880</v>
      </c>
    </row>
    <row r="17" customFormat="false" ht="22.35" hidden="false" customHeight="false" outlineLevel="0" collapsed="false">
      <c r="A17" s="4" t="s">
        <v>45</v>
      </c>
      <c r="B17" s="4" t="s">
        <v>881</v>
      </c>
      <c r="C17" s="4" t="s">
        <v>870</v>
      </c>
      <c r="D17" s="5" t="s">
        <v>882</v>
      </c>
      <c r="E17" s="5" t="s">
        <v>883</v>
      </c>
      <c r="F17" s="5" t="s">
        <v>884</v>
      </c>
      <c r="G17" s="5" t="s">
        <v>885</v>
      </c>
    </row>
    <row r="18" customFormat="false" ht="15" hidden="false" customHeight="false" outlineLevel="0" collapsed="false">
      <c r="A18" s="0" t="s">
        <v>45</v>
      </c>
      <c r="B18" s="0" t="s">
        <v>886</v>
      </c>
      <c r="C18" s="0" t="s">
        <v>887</v>
      </c>
      <c r="D18" s="0" t="s">
        <v>888</v>
      </c>
      <c r="E18" s="0" t="s">
        <v>889</v>
      </c>
      <c r="F18" s="0" t="s">
        <v>890</v>
      </c>
      <c r="G18" s="0" t="s">
        <v>891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12"/>
    <col collapsed="false" customWidth="true" hidden="false" outlineLevel="0" max="4" min="4" style="0" width="50"/>
  </cols>
  <sheetData>
    <row r="1" customFormat="false" ht="17.35" hidden="false" customHeight="false" outlineLevel="0" collapsed="false">
      <c r="A1" s="1" t="s">
        <v>892</v>
      </c>
    </row>
    <row r="2" customFormat="false" ht="15" hidden="false" customHeight="false" outlineLevel="0" collapsed="false">
      <c r="A2" s="2" t="s">
        <v>893</v>
      </c>
    </row>
    <row r="3" customFormat="false" ht="25.5" hidden="false" customHeight="true" outlineLevel="0" collapsed="false">
      <c r="A3" s="3" t="s">
        <v>894</v>
      </c>
      <c r="B3" s="3" t="s">
        <v>895</v>
      </c>
      <c r="C3" s="3" t="s">
        <v>896</v>
      </c>
      <c r="D3" s="3" t="s">
        <v>897</v>
      </c>
    </row>
    <row r="4" customFormat="false" ht="15" hidden="false" customHeight="false" outlineLevel="0" collapsed="false">
      <c r="A4" s="4"/>
      <c r="B4" s="5"/>
      <c r="C4" s="20"/>
      <c r="D4" s="5"/>
    </row>
    <row r="5" customFormat="false" ht="15" hidden="false" customHeight="false" outlineLevel="0" collapsed="false">
      <c r="A5" s="4" t="s">
        <v>898</v>
      </c>
      <c r="B5" s="5" t="s">
        <v>899</v>
      </c>
      <c r="C5" s="21" t="s">
        <v>900</v>
      </c>
      <c r="D5" s="5" t="s">
        <v>901</v>
      </c>
    </row>
    <row r="6" customFormat="false" ht="15" hidden="false" customHeight="false" outlineLevel="0" collapsed="false">
      <c r="A6" s="4" t="s">
        <v>902</v>
      </c>
      <c r="B6" s="5" t="s">
        <v>903</v>
      </c>
      <c r="C6" s="22" t="s">
        <v>904</v>
      </c>
      <c r="D6" s="5" t="s">
        <v>905</v>
      </c>
    </row>
    <row r="7" customFormat="false" ht="15" hidden="false" customHeight="false" outlineLevel="0" collapsed="false">
      <c r="A7" s="4" t="s">
        <v>906</v>
      </c>
      <c r="B7" s="5" t="s">
        <v>907</v>
      </c>
      <c r="C7" s="23" t="s">
        <v>908</v>
      </c>
      <c r="D7" s="5" t="s">
        <v>909</v>
      </c>
    </row>
    <row r="8" customFormat="false" ht="15" hidden="false" customHeight="false" outlineLevel="0" collapsed="false">
      <c r="A8" s="0" t="s">
        <v>910</v>
      </c>
      <c r="B8" s="0" t="s">
        <v>911</v>
      </c>
      <c r="C8" s="0" t="s">
        <v>912</v>
      </c>
      <c r="D8" s="0" t="s">
        <v>913</v>
      </c>
    </row>
    <row r="9" customFormat="false" ht="15" hidden="false" customHeight="false" outlineLevel="0" collapsed="false">
      <c r="A9" s="6" t="s">
        <v>914</v>
      </c>
    </row>
    <row r="10" customFormat="false" ht="25.5" hidden="false" customHeight="true" outlineLevel="0" collapsed="false">
      <c r="A10" s="3" t="s">
        <v>653</v>
      </c>
      <c r="B10" s="3" t="s">
        <v>655</v>
      </c>
      <c r="C10" s="3" t="s">
        <v>915</v>
      </c>
    </row>
    <row r="11" customFormat="false" ht="117.75" hidden="false" customHeight="true" outlineLevel="0" collapsed="false">
      <c r="A11" s="4" t="s">
        <v>916</v>
      </c>
      <c r="B11" s="17" t="s">
        <v>917</v>
      </c>
      <c r="C11" s="5" t="s">
        <v>918</v>
      </c>
    </row>
    <row r="12" customFormat="false" ht="117.75" hidden="false" customHeight="true" outlineLevel="0" collapsed="false">
      <c r="A12" s="4" t="s">
        <v>919</v>
      </c>
      <c r="B12" s="17" t="s">
        <v>920</v>
      </c>
      <c r="C12" s="5" t="s">
        <v>921</v>
      </c>
    </row>
    <row r="13" customFormat="false" ht="117.75" hidden="false" customHeight="true" outlineLevel="0" collapsed="false">
      <c r="A13" s="4" t="s">
        <v>922</v>
      </c>
      <c r="B13" s="17" t="s">
        <v>923</v>
      </c>
      <c r="C13" s="5" t="s">
        <v>924</v>
      </c>
    </row>
    <row r="14" customFormat="false" ht="117.75" hidden="false" customHeight="true" outlineLevel="0" collapsed="false">
      <c r="A14" s="4" t="s">
        <v>925</v>
      </c>
      <c r="B14" s="17" t="s">
        <v>926</v>
      </c>
      <c r="C14" s="5" t="s">
        <v>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74"/>
    <col collapsed="false" customWidth="true" hidden="false" outlineLevel="0" max="4" min="4" style="0" width="15"/>
    <col collapsed="false" customWidth="true" hidden="false" outlineLevel="0" max="5" min="5" style="0" width="52"/>
  </cols>
  <sheetData>
    <row r="1" customFormat="false" ht="17.35" hidden="false" customHeight="false" outlineLevel="0" collapsed="false">
      <c r="A1" s="1" t="s">
        <v>928</v>
      </c>
    </row>
    <row r="2" customFormat="false" ht="15" hidden="false" customHeight="false" outlineLevel="0" collapsed="false">
      <c r="A2" s="2" t="s">
        <v>929</v>
      </c>
    </row>
    <row r="3" customFormat="false" ht="25.5" hidden="false" customHeight="true" outlineLevel="0" collapsed="false">
      <c r="A3" s="3" t="s">
        <v>930</v>
      </c>
      <c r="B3" s="3" t="s">
        <v>931</v>
      </c>
      <c r="C3" s="3" t="s">
        <v>932</v>
      </c>
      <c r="D3" s="3" t="s">
        <v>933</v>
      </c>
      <c r="E3" s="3" t="s">
        <v>934</v>
      </c>
    </row>
    <row r="4" customFormat="false" ht="15" hidden="false" customHeight="false" outlineLevel="0" collapsed="false">
      <c r="A4" s="4"/>
      <c r="B4" s="4"/>
      <c r="C4" s="5"/>
      <c r="D4" s="4"/>
      <c r="E4" s="5"/>
    </row>
    <row r="5" customFormat="false" ht="15" hidden="false" customHeight="false" outlineLevel="0" collapsed="false">
      <c r="A5" s="4" t="s">
        <v>39</v>
      </c>
      <c r="B5" s="4" t="s">
        <v>455</v>
      </c>
      <c r="C5" s="5" t="s">
        <v>935</v>
      </c>
      <c r="D5" s="4" t="s">
        <v>45</v>
      </c>
      <c r="E5" s="5" t="s">
        <v>936</v>
      </c>
    </row>
    <row r="6" customFormat="false" ht="15" hidden="false" customHeight="false" outlineLevel="0" collapsed="false">
      <c r="A6" s="4" t="s">
        <v>42</v>
      </c>
      <c r="B6" s="4" t="s">
        <v>147</v>
      </c>
      <c r="C6" s="5" t="s">
        <v>937</v>
      </c>
      <c r="D6" s="4" t="s">
        <v>719</v>
      </c>
      <c r="E6" s="5" t="s">
        <v>938</v>
      </c>
    </row>
    <row r="7" customFormat="false" ht="15" hidden="false" customHeight="false" outlineLevel="0" collapsed="false">
      <c r="A7" s="4" t="s">
        <v>45</v>
      </c>
      <c r="B7" s="4" t="s">
        <v>132</v>
      </c>
      <c r="C7" s="5" t="s">
        <v>939</v>
      </c>
      <c r="D7" s="4" t="s">
        <v>940</v>
      </c>
      <c r="E7" s="5" t="s">
        <v>941</v>
      </c>
    </row>
    <row r="8" customFormat="false" ht="22.35" hidden="false" customHeight="false" outlineLevel="0" collapsed="false">
      <c r="A8" s="4" t="s">
        <v>48</v>
      </c>
      <c r="B8" s="4" t="s">
        <v>223</v>
      </c>
      <c r="C8" s="5" t="s">
        <v>942</v>
      </c>
      <c r="D8" s="4" t="s">
        <v>769</v>
      </c>
      <c r="E8" s="5" t="s">
        <v>943</v>
      </c>
    </row>
    <row r="9" customFormat="false" ht="22.35" hidden="false" customHeight="false" outlineLevel="0" collapsed="false">
      <c r="A9" s="4" t="s">
        <v>51</v>
      </c>
      <c r="B9" s="4" t="s">
        <v>159</v>
      </c>
      <c r="C9" s="5" t="s">
        <v>944</v>
      </c>
      <c r="D9" s="4" t="s">
        <v>701</v>
      </c>
      <c r="E9" s="5" t="s">
        <v>945</v>
      </c>
    </row>
    <row r="10" customFormat="false" ht="15" hidden="false" customHeight="false" outlineLevel="0" collapsed="false">
      <c r="A10" s="0" t="s">
        <v>54</v>
      </c>
      <c r="B10" s="0" t="s">
        <v>117</v>
      </c>
      <c r="C10" s="0" t="s">
        <v>946</v>
      </c>
      <c r="D10" s="0" t="s">
        <v>947</v>
      </c>
      <c r="E10" s="0" t="s">
        <v>948</v>
      </c>
    </row>
    <row r="11" customFormat="false" ht="15" hidden="false" customHeight="false" outlineLevel="0" collapsed="false">
      <c r="A11" s="2" t="s">
        <v>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30"/>
    <col collapsed="false" customWidth="true" hidden="false" outlineLevel="0" max="4" min="4" style="0" width="60"/>
    <col collapsed="false" customWidth="true" hidden="false" outlineLevel="0" max="5" min="5" style="0" width="16"/>
    <col collapsed="false" customWidth="true" hidden="false" outlineLevel="0" max="6" min="6" style="0" width="14"/>
    <col collapsed="false" customWidth="true" hidden="false" outlineLevel="0" max="7" min="7" style="0" width="11"/>
  </cols>
  <sheetData>
    <row r="1" customFormat="false" ht="17.35" hidden="false" customHeight="false" outlineLevel="0" collapsed="false">
      <c r="A1" s="1" t="s">
        <v>950</v>
      </c>
    </row>
    <row r="2" customFormat="false" ht="15" hidden="false" customHeight="false" outlineLevel="0" collapsed="false">
      <c r="A2" s="2" t="s">
        <v>951</v>
      </c>
    </row>
    <row r="3" customFormat="false" ht="25.5" hidden="false" customHeight="true" outlineLevel="0" collapsed="false">
      <c r="A3" s="3" t="s">
        <v>36</v>
      </c>
      <c r="B3" s="3" t="s">
        <v>952</v>
      </c>
      <c r="C3" s="3" t="s">
        <v>953</v>
      </c>
      <c r="D3" s="3" t="s">
        <v>954</v>
      </c>
      <c r="E3" s="3" t="s">
        <v>955</v>
      </c>
      <c r="F3" s="3" t="s">
        <v>956</v>
      </c>
      <c r="G3" s="3" t="s">
        <v>957</v>
      </c>
    </row>
    <row r="4" customFormat="false" ht="15" hidden="false" customHeight="false" outlineLevel="0" collapsed="false">
      <c r="A4" s="4" t="s">
        <v>39</v>
      </c>
      <c r="B4" s="5" t="s">
        <v>958</v>
      </c>
      <c r="C4" s="4" t="s">
        <v>837</v>
      </c>
      <c r="D4" s="17" t="s">
        <v>959</v>
      </c>
      <c r="E4" s="24" t="n">
        <f aca="false">COUNTA(F_Hitos!$C$2:$C$178)</f>
        <v>177</v>
      </c>
      <c r="F4" s="25" t="n">
        <v>177</v>
      </c>
      <c r="G4" s="26" t="str">
        <f aca="false">IF(ABS(E4-F4)&lt;=MAX(0.51,ABS(F4)*0.01),"OK","Revisar")</f>
        <v>OK</v>
      </c>
    </row>
    <row r="5" customFormat="false" ht="15" hidden="false" customHeight="false" outlineLevel="0" collapsed="false">
      <c r="A5" s="4" t="s">
        <v>42</v>
      </c>
      <c r="B5" s="5" t="s">
        <v>960</v>
      </c>
      <c r="C5" s="4" t="s">
        <v>961</v>
      </c>
      <c r="D5" s="17" t="s">
        <v>962</v>
      </c>
      <c r="E5" s="27" t="n">
        <f aca="false">AVERAGE(F_Hitos!$J$2:$J$178)</f>
        <v>0.717062146892655</v>
      </c>
      <c r="F5" s="28" t="n">
        <v>0.717</v>
      </c>
      <c r="G5" s="26" t="str">
        <f aca="false">IF(ABS(E5-F5)&lt;=MAX(0.51,ABS(F5)*0.01),"OK","Revisar")</f>
        <v>OK</v>
      </c>
    </row>
    <row r="6" customFormat="false" ht="15" hidden="false" customHeight="false" outlineLevel="0" collapsed="false">
      <c r="A6" s="4" t="s">
        <v>45</v>
      </c>
      <c r="B6" s="5" t="s">
        <v>963</v>
      </c>
      <c r="C6" s="4" t="s">
        <v>964</v>
      </c>
      <c r="D6" s="17" t="s">
        <v>965</v>
      </c>
      <c r="E6" s="27" t="n">
        <f aca="false">AVERAGE(F_Hitos!$M$2:$M$178)</f>
        <v>0.846786752054702</v>
      </c>
      <c r="F6" s="28" t="n">
        <v>0.847</v>
      </c>
      <c r="G6" s="26" t="str">
        <f aca="false">IF(ABS(E6-F6)&lt;=MAX(0.51,ABS(F6)*0.01),"OK","Revisar")</f>
        <v>OK</v>
      </c>
    </row>
    <row r="7" customFormat="false" ht="15" hidden="false" customHeight="false" outlineLevel="0" collapsed="false">
      <c r="A7" s="4" t="s">
        <v>48</v>
      </c>
      <c r="B7" s="5" t="s">
        <v>966</v>
      </c>
      <c r="C7" s="4" t="s">
        <v>967</v>
      </c>
      <c r="D7" s="17" t="s">
        <v>968</v>
      </c>
      <c r="E7" s="29" t="n">
        <f aca="false">IFERROR(E5/E6,0)</f>
        <v>0.84680369071992</v>
      </c>
      <c r="F7" s="30" t="n">
        <v>0.847</v>
      </c>
      <c r="G7" s="26" t="str">
        <f aca="false">IF(ABS(E7-F7)&lt;=MAX(0.51,ABS(F7)*0.01),"OK","Revisar")</f>
        <v>OK</v>
      </c>
    </row>
    <row r="8" customFormat="false" ht="15" hidden="false" customHeight="false" outlineLevel="0" collapsed="false">
      <c r="A8" s="4" t="s">
        <v>51</v>
      </c>
      <c r="B8" s="5" t="s">
        <v>969</v>
      </c>
      <c r="C8" s="4" t="s">
        <v>970</v>
      </c>
      <c r="D8" s="17" t="s">
        <v>971</v>
      </c>
      <c r="E8" s="27" t="n">
        <f aca="false">E5-E6</f>
        <v>-0.129724605162047</v>
      </c>
      <c r="F8" s="28" t="n">
        <v>-0.13</v>
      </c>
      <c r="G8" s="26" t="str">
        <f aca="false">IF(ABS(E8-F8)&lt;=MAX(0.51,ABS(F8)*0.01),"OK","Revisar")</f>
        <v>OK</v>
      </c>
    </row>
    <row r="9" customFormat="false" ht="15" hidden="false" customHeight="false" outlineLevel="0" collapsed="false">
      <c r="A9" s="4" t="s">
        <v>54</v>
      </c>
      <c r="B9" s="5" t="s">
        <v>972</v>
      </c>
      <c r="C9" s="4" t="s">
        <v>973</v>
      </c>
      <c r="D9" s="17" t="s">
        <v>974</v>
      </c>
      <c r="E9" s="24" t="n">
        <f aca="false">COUNTIF(F_Hitos!$O$2:$O$178,"Completado")</f>
        <v>92</v>
      </c>
      <c r="F9" s="25" t="n">
        <v>92</v>
      </c>
      <c r="G9" s="26" t="str">
        <f aca="false">IF(ABS(E9-F9)&lt;=MAX(0.51,ABS(F9)*0.01),"OK","Revisar")</f>
        <v>OK</v>
      </c>
    </row>
    <row r="10" customFormat="false" ht="15" hidden="false" customHeight="false" outlineLevel="0" collapsed="false">
      <c r="A10" s="4" t="s">
        <v>57</v>
      </c>
      <c r="B10" s="5" t="s">
        <v>975</v>
      </c>
      <c r="C10" s="4" t="s">
        <v>976</v>
      </c>
      <c r="D10" s="17" t="s">
        <v>977</v>
      </c>
      <c r="E10" s="24" t="n">
        <f aca="false">COUNTIF(F_Hitos!$O$2:$O$178,"En proceso")</f>
        <v>57</v>
      </c>
      <c r="F10" s="25" t="n">
        <v>57</v>
      </c>
      <c r="G10" s="26" t="str">
        <f aca="false">IF(ABS(E10-F10)&lt;=MAX(0.51,ABS(F10)*0.01),"OK","Revisar")</f>
        <v>OK</v>
      </c>
    </row>
    <row r="11" customFormat="false" ht="15" hidden="false" customHeight="false" outlineLevel="0" collapsed="false">
      <c r="A11" s="4" t="s">
        <v>690</v>
      </c>
      <c r="B11" s="5" t="s">
        <v>978</v>
      </c>
      <c r="C11" s="4" t="s">
        <v>860</v>
      </c>
      <c r="D11" s="17" t="s">
        <v>979</v>
      </c>
      <c r="E11" s="24" t="n">
        <f aca="false">COUNTIF(F_Hitos!$O$2:$O$178,"Atrasado")</f>
        <v>25</v>
      </c>
      <c r="F11" s="25" t="n">
        <v>25</v>
      </c>
      <c r="G11" s="26" t="str">
        <f aca="false">IF(ABS(E11-F11)&lt;=MAX(0.51,ABS(F11)*0.01),"OK","Revisar")</f>
        <v>OK</v>
      </c>
    </row>
    <row r="12" customFormat="false" ht="15" hidden="false" customHeight="false" outlineLevel="0" collapsed="false">
      <c r="A12" s="4" t="s">
        <v>695</v>
      </c>
      <c r="B12" s="5" t="s">
        <v>980</v>
      </c>
      <c r="C12" s="4" t="s">
        <v>981</v>
      </c>
      <c r="D12" s="17" t="s">
        <v>982</v>
      </c>
      <c r="E12" s="24" t="n">
        <f aca="false">COUNTIF(F_Hitos!$O$2:$O$178,"No iniciado")</f>
        <v>3</v>
      </c>
      <c r="F12" s="25" t="n">
        <v>3</v>
      </c>
      <c r="G12" s="26" t="str">
        <f aca="false">IF(ABS(E12-F12)&lt;=MAX(0.51,ABS(F12)*0.01),"OK","Revisar")</f>
        <v>OK</v>
      </c>
    </row>
    <row r="13" customFormat="false" ht="15" hidden="false" customHeight="false" outlineLevel="0" collapsed="false">
      <c r="A13" s="4" t="s">
        <v>701</v>
      </c>
      <c r="B13" s="5" t="s">
        <v>983</v>
      </c>
      <c r="C13" s="4" t="s">
        <v>984</v>
      </c>
      <c r="D13" s="17" t="s">
        <v>985</v>
      </c>
      <c r="E13" s="27" t="n">
        <f aca="false">IFERROR(E11/E4,0)</f>
        <v>0.141242937853107</v>
      </c>
      <c r="F13" s="28" t="n">
        <v>0.141</v>
      </c>
      <c r="G13" s="26" t="str">
        <f aca="false">IF(ABS(E13-F13)&lt;=MAX(0.51,ABS(F13)*0.01),"OK","Revisar")</f>
        <v>OK</v>
      </c>
    </row>
    <row r="14" customFormat="false" ht="15" hidden="false" customHeight="false" outlineLevel="0" collapsed="false">
      <c r="A14" s="4" t="s">
        <v>706</v>
      </c>
      <c r="B14" s="5" t="s">
        <v>986</v>
      </c>
      <c r="C14" s="4" t="s">
        <v>987</v>
      </c>
      <c r="D14" s="17" t="s">
        <v>988</v>
      </c>
      <c r="E14" s="24" t="n">
        <f aca="false">AVERAGEIF(F_Hitos!$P$2:$P$178,"&gt;0")</f>
        <v>30.36</v>
      </c>
      <c r="F14" s="25" t="n">
        <v>30</v>
      </c>
      <c r="G14" s="26" t="str">
        <f aca="false">IF(ABS(E14-F14)&lt;=MAX(0.51,ABS(F14)*0.01),"OK","Revisar")</f>
        <v>OK</v>
      </c>
    </row>
    <row r="15" customFormat="false" ht="15" hidden="false" customHeight="false" outlineLevel="0" collapsed="false">
      <c r="A15" s="4" t="s">
        <v>713</v>
      </c>
      <c r="B15" s="5" t="s">
        <v>989</v>
      </c>
      <c r="C15" s="4" t="s">
        <v>990</v>
      </c>
      <c r="D15" s="17" t="s">
        <v>991</v>
      </c>
      <c r="E15" s="24" t="n">
        <f aca="false">MAX(F_Hitos!$P$2:$P$178)</f>
        <v>100</v>
      </c>
      <c r="F15" s="25" t="n">
        <v>100</v>
      </c>
      <c r="G15" s="26" t="str">
        <f aca="false">IF(ABS(E15-F15)&lt;=MAX(0.51,ABS(F15)*0.01),"OK","Revisar")</f>
        <v>OK</v>
      </c>
    </row>
    <row r="16" customFormat="false" ht="15" hidden="false" customHeight="false" outlineLevel="0" collapsed="false">
      <c r="A16" s="4" t="s">
        <v>719</v>
      </c>
      <c r="B16" s="5" t="s">
        <v>992</v>
      </c>
      <c r="C16" s="4" t="s">
        <v>813</v>
      </c>
      <c r="D16" s="17" t="s">
        <v>993</v>
      </c>
      <c r="E16" s="24" t="n">
        <f aca="false">COUNTIF(F_Hitos!$Q$2:$Q$178,"Sí")</f>
        <v>42</v>
      </c>
      <c r="F16" s="25" t="n">
        <v>42</v>
      </c>
      <c r="G16" s="26" t="str">
        <f aca="false">IF(ABS(E16-F16)&lt;=MAX(0.51,ABS(F16)*0.01),"OK","Revisar")</f>
        <v>OK</v>
      </c>
    </row>
    <row r="17" customFormat="false" ht="20.85" hidden="false" customHeight="false" outlineLevel="0" collapsed="false">
      <c r="A17" s="4" t="s">
        <v>724</v>
      </c>
      <c r="B17" s="5" t="s">
        <v>994</v>
      </c>
      <c r="C17" s="4" t="s">
        <v>813</v>
      </c>
      <c r="D17" s="17" t="s">
        <v>995</v>
      </c>
      <c r="E17" s="24" t="n">
        <f aca="false">COUNTIFS(F_Hitos!$Q$2:$Q$178,"Sí",F_Hitos!$O$2:$O$178,"Completado")</f>
        <v>15</v>
      </c>
      <c r="F17" s="25" t="n">
        <v>15</v>
      </c>
      <c r="G17" s="26" t="str">
        <f aca="false">IF(ABS(E17-F17)&lt;=MAX(0.51,ABS(F17)*0.01),"OK","Revisar")</f>
        <v>OK</v>
      </c>
    </row>
    <row r="18" customFormat="false" ht="15" hidden="false" customHeight="false" outlineLevel="0" collapsed="false">
      <c r="A18" s="4" t="s">
        <v>729</v>
      </c>
      <c r="B18" s="5" t="s">
        <v>996</v>
      </c>
      <c r="C18" s="4" t="s">
        <v>997</v>
      </c>
      <c r="D18" s="17" t="s">
        <v>998</v>
      </c>
      <c r="E18" s="29" t="n">
        <f aca="false">IFERROR(E17/E16,0)</f>
        <v>0.357142857142857</v>
      </c>
      <c r="F18" s="30" t="n">
        <v>0.357</v>
      </c>
      <c r="G18" s="26" t="str">
        <f aca="false">IF(ABS(E18-F18)&lt;=MAX(0.51,ABS(F18)*0.01),"OK","Revisar")</f>
        <v>OK</v>
      </c>
    </row>
    <row r="19" customFormat="false" ht="15" hidden="false" customHeight="false" outlineLevel="0" collapsed="false">
      <c r="A19" s="4" t="s">
        <v>734</v>
      </c>
      <c r="B19" s="5" t="s">
        <v>999</v>
      </c>
      <c r="C19" s="4" t="s">
        <v>1000</v>
      </c>
      <c r="D19" s="17" t="s">
        <v>1001</v>
      </c>
      <c r="E19" s="27" t="n">
        <f aca="false">IFERROR(SUM(F_Hitos!$R$2:$R$178)/COUNT(F_Hitos!$R$2:$R$178),0)</f>
        <v>0.957142857142857</v>
      </c>
      <c r="F19" s="28" t="n">
        <v>0.957</v>
      </c>
      <c r="G19" s="26" t="str">
        <f aca="false">IF(ABS(E19-F19)&lt;=MAX(0.51,ABS(F19)*0.01),"OK","Revisar")</f>
        <v>OK</v>
      </c>
    </row>
    <row r="20" customFormat="false" ht="15" hidden="false" customHeight="false" outlineLevel="0" collapsed="false">
      <c r="A20" s="4" t="s">
        <v>739</v>
      </c>
      <c r="B20" s="5" t="s">
        <v>1002</v>
      </c>
      <c r="C20" s="4" t="s">
        <v>1003</v>
      </c>
      <c r="D20" s="17" t="s">
        <v>1004</v>
      </c>
      <c r="E20" s="24" t="n">
        <f aca="false">COUNTIF(F_Hitos!$H$2:$H$178,"&lt;="&amp;Parámetros!$B$4)</f>
        <v>92</v>
      </c>
      <c r="F20" s="25" t="n">
        <v>92</v>
      </c>
      <c r="G20" s="26" t="str">
        <f aca="false">IF(ABS(E20-F20)&lt;=MAX(0.51,ABS(F20)*0.01),"OK","Revisar")</f>
        <v>OK</v>
      </c>
    </row>
    <row r="21" customFormat="false" ht="20.85" hidden="false" customHeight="false" outlineLevel="0" collapsed="false">
      <c r="A21" s="4" t="s">
        <v>744</v>
      </c>
      <c r="B21" s="5" t="s">
        <v>1005</v>
      </c>
      <c r="C21" s="4" t="s">
        <v>1006</v>
      </c>
      <c r="D21" s="17" t="s">
        <v>1007</v>
      </c>
      <c r="E21" s="24" t="n">
        <f aca="false">COUNTIFS(F_Hitos!$I$2:$I$178,"&lt;="&amp;Parámetros!$B$4,F_Hitos!$I$2:$I$178,"&gt;0")</f>
        <v>67</v>
      </c>
      <c r="F21" s="25" t="n">
        <v>67</v>
      </c>
      <c r="G21" s="26" t="str">
        <f aca="false">IF(ABS(E21-F21)&lt;=MAX(0.51,ABS(F21)*0.01),"OK","Revisar")</f>
        <v>OK</v>
      </c>
    </row>
    <row r="22" customFormat="false" ht="15" hidden="false" customHeight="false" outlineLevel="0" collapsed="false">
      <c r="A22" s="4" t="s">
        <v>749</v>
      </c>
      <c r="B22" s="5" t="s">
        <v>1008</v>
      </c>
      <c r="C22" s="4" t="s">
        <v>1009</v>
      </c>
      <c r="D22" s="17" t="s">
        <v>1010</v>
      </c>
      <c r="E22" s="24" t="n">
        <f aca="false">E20-E21</f>
        <v>25</v>
      </c>
      <c r="F22" s="25" t="n">
        <v>25</v>
      </c>
      <c r="G22" s="26" t="str">
        <f aca="false">IF(ABS(E22-F22)&lt;=MAX(0.51,ABS(F22)*0.01),"OK","Revisar")</f>
        <v>OK</v>
      </c>
    </row>
    <row r="23" customFormat="false" ht="20.85" hidden="false" customHeight="false" outlineLevel="0" collapsed="false">
      <c r="A23" s="4" t="s">
        <v>755</v>
      </c>
      <c r="B23" s="5" t="s">
        <v>1011</v>
      </c>
      <c r="C23" s="4" t="s">
        <v>1012</v>
      </c>
      <c r="D23" s="17" t="s">
        <v>1013</v>
      </c>
      <c r="E23" s="24" t="n">
        <f aca="false">COUNTIFS(F_Hitos!$H$2:$H$178,"&gt;="&amp;Parámetros!$B$12,F_Hitos!$J$2:$J$178,"&lt;1")</f>
        <v>40</v>
      </c>
      <c r="F23" s="25" t="n">
        <v>40</v>
      </c>
      <c r="G23" s="26" t="str">
        <f aca="false">IF(ABS(E23-F23)&lt;=MAX(0.51,ABS(F23)*0.01),"OK","Revisar")</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2026-09-17T20:55:07Z</dcterms:created>
  <dc:creator>openpyxl</dc:creator>
  <dc:description/>
  <dc:language>en-US</dc:language>
  <cp:lastModifiedBy/>
  <dcterms:modified xsi:type="dcterms:W3CDTF">2026-09-17T20:55:07Z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