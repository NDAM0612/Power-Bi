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8.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fHitos" sheetId="2" state="visible" r:id="rId4"/>
    <sheet name="Validacion" sheetId="3" state="visible" r:id="rId5"/>
    <sheet name="Medidas_DAX" sheetId="4" state="visible" r:id="rId6"/>
    <sheet name="Columnas_DAX" sheetId="5" state="visible" r:id="rId7"/>
    <sheet name="Visuales" sheetId="6" state="visible" r:id="rId8"/>
    <sheet name="PowerQuery_M" sheetId="7" state="visible" r:id="rId9"/>
    <sheet name="Tema_PowerBI" sheetId="8" state="visible" r:id="rId10"/>
    <sheet name="Parametros" sheetId="9" state="visible" r:id="rId11"/>
    <sheet name="dFrente" sheetId="10" state="visible" r:id="rId12"/>
    <sheet name="dFrenteLista" sheetId="11" state="visible" r:id="rId13"/>
    <sheet name="dNIST" sheetId="12" state="visible" r:id="rId14"/>
    <sheet name="dEstado" sheetId="13" state="visible" r:id="rId15"/>
    <sheet name="dTipo" sheetId="14" state="visible" r:id="rId16"/>
    <sheet name="dCalendario" sheetId="15" state="visible" r:id="rId17"/>
  </sheets>
  <definedNames>
    <definedName function="false" hidden="false" name="DiasMes" vbProcedure="false">Parametros!$B$9</definedName>
    <definedName function="false" hidden="false" name="FechaCorte" vbProcedure="false">Parametros!$B$3</definedName>
    <definedName function="false" hidden="false" name="FinAnio" vbProcedure="false">Parametros!$B$8</definedName>
    <definedName function="false" hidden="false" name="HorizonteExpuestos" vbProcedure="false">Parametros!$B$10</definedName>
    <definedName function="false" hidden="false" name="InicioRitmo" vbProcedure="false">Parametros!$B$7</definedName>
    <definedName function="false" hidden="false" name="SPI_Amarillo" vbProcedure="false">Parametros!$B$6</definedName>
    <definedName function="false" hidden="false" name="SPI_Verde" vbProcedure="false">Parametros!$B$5</definedName>
    <definedName function="false" hidden="false" name="UmbralRiesgo" vbProcedure="false">Parametros!$B$4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M1" authorId="0">
      <text>
        <r>
          <rPr>
            <sz val="10"/>
            <rFont val="Arial"/>
            <family val="2"/>
          </rPr>
          <t xml:space="preserve">Propuesta de mapeo NIST CSF 2.0 inferida por palabras clave (la columna NIST original está vacía). Validar con Gobierno CS. Códigos válidos en la hoja dNIST.</t>
        </r>
      </text>
    </comment>
  </commentList>
</comments>
</file>

<file path=xl/sharedStrings.xml><?xml version="1.0" encoding="utf-8"?>
<sst xmlns="http://schemas.openxmlformats.org/spreadsheetml/2006/main" count="2126" uniqueCount="1072">
  <si>
    <t xml:space="preserve">Modelo Power BI · Portafolio 2026 de Gestión de Identidades</t>
  </si>
  <si>
    <t xml:space="preserve">Especificación para replicar en Power BI el dashboard PDF (4 páginas). Fuente: ACTIVIDADES_GI.xlsx, hoja «Actividades GI 2026».</t>
  </si>
  <si>
    <t xml:space="preserve">Cómo usar este libro</t>
  </si>
  <si>
    <t xml:space="preserve">1. Parámetros</t>
  </si>
  <si>
    <t xml:space="preserve">Hoja «Parametros»: fecha de corte y umbrales. Las celdas amarillas con texto azul son las únicas que se editan. Todo lo demás se recalcula.</t>
  </si>
  <si>
    <t xml:space="preserve">2. Tabla de hechos</t>
  </si>
  <si>
    <t xml:space="preserve">Hoja «fHitos»: un registro por hito del plan 2026. Columnas A–L son la copia del origen; M (NIST_Categoria) es la propuesta de mapeo a validar; N en adelante son columnas calculadas con fórmula Excel (su equivalente DAX está en «Columnas_DAX»).</t>
  </si>
  <si>
    <t xml:space="preserve">3. Dimensiones</t>
  </si>
  <si>
    <t xml:space="preserve">dFrente (Actividad → Frente, editable), dNIST (categorías CSF 2.0), dEstado y dTipo (orden y colores), dCalendario.</t>
  </si>
  <si>
    <t xml:space="preserve">4. Medidas</t>
  </si>
  <si>
    <t xml:space="preserve">Hoja «Medidas_DAX»: todas las medidas con carpeta, formato y el visual donde se usan. Se copian a Power BI con «Nueva medida».</t>
  </si>
  <si>
    <t xml:space="preserve">5. Visuales</t>
  </si>
  <si>
    <t xml:space="preserve">Hoja «Visuales»: cada visual del dashboard, tipo de visual en Power BI, campos y formato condicional.</t>
  </si>
  <si>
    <t xml:space="preserve">6. Validación</t>
  </si>
  <si>
    <t xml:space="preserve">Hoja «Validacion»: KPIs calculados con fórmulas Excel y el valor publicado en el PDF. Si Power BI da otro número, revisar la medida.</t>
  </si>
  <si>
    <t xml:space="preserve">7. Power Query</t>
  </si>
  <si>
    <t xml:space="preserve">Hoja «PowerQuery_M»: script para cargar el Excel original y reproducir fHitos dentro de Power BI.</t>
  </si>
  <si>
    <t xml:space="preserve">8. Tema</t>
  </si>
  <si>
    <t xml:space="preserve">Hoja «Tema_PowerBI»: JSON con la paleta Banco Pichincha. Guardar como .json e importarlo en Vista &gt; Temas &gt; Examinar temas.</t>
  </si>
  <si>
    <t xml:space="preserve">Modelo recomendado</t>
  </si>
  <si>
    <t xml:space="preserve">Relaciones</t>
  </si>
  <si>
    <t xml:space="preserve">dCalendario[Fecha] 1 → * fHitos[Fecha Fin Planificación] (activa)
dCalendario[Fecha] 1 → * fHitos[Fecha Fin] (inactiva, se activa con USERELATIONSHIP en [Cierres Reales])
dFrente[Actividad] 1 → * fHitos[Actividad]
dNIST[Codigo] 1 → * fHitos[NIST_Categoria]
dEstado[Estado] 1 → * fHitos[Estado]
dTipo[Tipo] 1 → * fHitos[Tipo Actividad]
Parametros: tabla desconectada de una fila.</t>
  </si>
  <si>
    <t xml:space="preserve">Opción A (rápida)</t>
  </si>
  <si>
    <t xml:space="preserve">Importar directamente las tablas de este libro (fHitos, dFrente, dNIST, dEstado, dTipo, dCalendario, Parametros). Las columnas calculadas llegan con el valor que Excel calculó: al cambiar la fecha de corte hay que abrir el libro en Excel, guardar y actualizar Power BI.</t>
  </si>
  <si>
    <t xml:space="preserve">Opción B (recomendada)</t>
  </si>
  <si>
    <t xml:space="preserve">Cargar el Excel original con el script de «PowerQuery_M», importar de este libro solo las dimensiones y la columna NIST_Categoria, y crear las columnas calculadas con el DAX de «Columnas_DAX». La fecha de corte se toma de la tabla Parametros.</t>
  </si>
  <si>
    <t xml:space="preserve">Clave de unión</t>
  </si>
  <si>
    <t xml:space="preserve">ID = número de fila del hito en la hoja «Actividades GI 2026» (fila Excel − 1). Si se insertan filas en el origen, volver a revisar el mapeo NIST, que va por ID.</t>
  </si>
  <si>
    <t xml:space="preserve">Reglas de negocio</t>
  </si>
  <si>
    <t xml:space="preserve">Recurrente</t>
  </si>
  <si>
    <t xml:space="preserve">Hito con valor en «Frecuencia» (mensual, semestral, diario). Se excluye de avance, SPI y estados.</t>
  </si>
  <si>
    <t xml:space="preserve">Avance esperado</t>
  </si>
  <si>
    <t xml:space="preserve">(Corte − Fecha Inicio) / (Fecha Fin Planificación − Fecha Inicio), acotado entre 0 y 1.</t>
  </si>
  <si>
    <t xml:space="preserve">Estado</t>
  </si>
  <si>
    <t xml:space="preserve">Completado: avance = 100%. Vencido: &lt; 100% y fecha plan &lt; corte. Por iniciar: 0% y sin inicio o inicio posterior al corte. En riesgo: avance − esperado ≤ umbral (−25 pts). En plazo: el resto.</t>
  </si>
  <si>
    <t xml:space="preserve">SPI</t>
  </si>
  <si>
    <t xml:space="preserve">Avance real promedio / avance esperado promedio (hitos no recurrentes). Azul ≥ 0,90; amarillo 0,75–0,89; rojo &lt; 0,75.</t>
  </si>
  <si>
    <t xml:space="preserve">Frente</t>
  </si>
  <si>
    <t xml:space="preserve">Agrupación de «Actividad» en 10 frentes de trabajo (tabla dFrente, editable).</t>
  </si>
  <si>
    <t xml:space="preserve">NIST_Categoria</t>
  </si>
  <si>
    <t xml:space="preserve">Propuesta inferida por palabras clave: la columna NIST del Excel original está vacía. Validar con Gobierno CS antes de publicar.</t>
  </si>
  <si>
    <t xml:space="preserve">Convención de colores</t>
  </si>
  <si>
    <t xml:space="preserve">Texto azul sobre fondo amarillo = dato editable. Texto negro = fórmula. Fondo gris azulado = columna calculada.</t>
  </si>
  <si>
    <t xml:space="preserve">ID</t>
  </si>
  <si>
    <t xml:space="preserve">Periodo</t>
  </si>
  <si>
    <t xml:space="preserve">Actividad</t>
  </si>
  <si>
    <t xml:space="preserve">Descripcion_Hitos</t>
  </si>
  <si>
    <t xml:space="preserve">Frecuencia</t>
  </si>
  <si>
    <t xml:space="preserve">Tipo Actividad</t>
  </si>
  <si>
    <t xml:space="preserve">Encargado</t>
  </si>
  <si>
    <t xml:space="preserve">Fecha Inicio</t>
  </si>
  <si>
    <t xml:space="preserve">Fecha Fin</t>
  </si>
  <si>
    <t xml:space="preserve">Fecha Fin Planificación</t>
  </si>
  <si>
    <t xml:space="preserve">% avance</t>
  </si>
  <si>
    <t xml:space="preserve">Observación</t>
  </si>
  <si>
    <t xml:space="preserve">NIST_Funcion</t>
  </si>
  <si>
    <t xml:space="preserve">Lider</t>
  </si>
  <si>
    <t xml:space="preserve">NumEncargados</t>
  </si>
  <si>
    <t xml:space="preserve">AvanceEsperado</t>
  </si>
  <si>
    <t xml:space="preserve">Brecha</t>
  </si>
  <si>
    <t xml:space="preserve">Abierto</t>
  </si>
  <si>
    <t xml:space="preserve">DiasVencido</t>
  </si>
  <si>
    <t xml:space="preserve">DiasRestantes</t>
  </si>
  <si>
    <t xml:space="preserve">MesPlan</t>
  </si>
  <si>
    <t xml:space="preserve">MesCierre</t>
  </si>
  <si>
    <t xml:space="preserve">PlanFinDeMes</t>
  </si>
  <si>
    <t xml:space="preserve">FinIgualPlan</t>
  </si>
  <si>
    <t xml:space="preserve">DQ_FinFuturo</t>
  </si>
  <si>
    <t xml:space="preserve">DQ_FinAntesInicio</t>
  </si>
  <si>
    <t xml:space="preserve">EsRegulatorio</t>
  </si>
  <si>
    <t xml:space="preserve">CodigoPMC</t>
  </si>
  <si>
    <t xml:space="preserve">Expuesto</t>
  </si>
  <si>
    <t xml:space="preserve">Gestor de Identidades Sailpoint | Fase 1</t>
  </si>
  <si>
    <t xml:space="preserve">Integración con fuente autoritativa de internos Success Factors | Conector nativo</t>
  </si>
  <si>
    <t xml:space="preserve">Iniciativa</t>
  </si>
  <si>
    <t xml:space="preserve">Ana María Vergara</t>
  </si>
  <si>
    <t xml:space="preserve">PR.AA-01</t>
  </si>
  <si>
    <t xml:space="preserve">Integración aplicaciones conectadas: AD, EntraID, Bancs, Siglo21, RHDS y Logiflow</t>
  </si>
  <si>
    <t xml:space="preserve">Implementación módulo usuarios externos y genéricos NERM</t>
  </si>
  <si>
    <t xml:space="preserve">Depuración accesos acorde al cargo Red de Agencias</t>
  </si>
  <si>
    <t xml:space="preserve">Ana María Fierro</t>
  </si>
  <si>
    <t xml:space="preserve">PR.AA-05</t>
  </si>
  <si>
    <t xml:space="preserve">Depuración accesos acorde al cargo Microfinanzas | Tecnología | Banca Personas</t>
  </si>
  <si>
    <t xml:space="preserve">Implementación modelo de accesos basado en roles</t>
  </si>
  <si>
    <t xml:space="preserve">Richard Requelme</t>
  </si>
  <si>
    <t xml:space="preserve">Eliminación de accesos a personal de Negocios (Red de Agencias) para cambiar perfiles globales y centros de costos directamente.</t>
  </si>
  <si>
    <t xml:space="preserve">Gestionaban 1478 requerimientos al mes, que pasaron a GI.</t>
  </si>
  <si>
    <t xml:space="preserve">Gestor de Identidades Sailpoint | Fase 2</t>
  </si>
  <si>
    <t xml:space="preserve">Inactivar cuentas de usuarios por vacaciones/licencias/maternidad, etc. (Flujo y revisión RRHH)</t>
  </si>
  <si>
    <t xml:space="preserve">Dependencia de revisión con RRHH.  Se realizará el acercamiento para validar la factibilidad de implementación</t>
  </si>
  <si>
    <t xml:space="preserve">Evaluación automatización y Monitoreo de Accesos VPN Integrado a ISC SailPoint</t>
  </si>
  <si>
    <t xml:space="preserve">Jhonny Barreiro</t>
  </si>
  <si>
    <t xml:space="preserve">en diseño de definiciones</t>
  </si>
  <si>
    <t xml:space="preserve">DE.CM</t>
  </si>
  <si>
    <t xml:space="preserve">Implementar la deshabilitación automática en SailPoint para el offboarding de internos</t>
  </si>
  <si>
    <t xml:space="preserve">Flujo implementado dependencia con "end date" consumido desde SSFF</t>
  </si>
  <si>
    <t xml:space="preserve">Ajustar las notificaciones generadas por ISC para retirar informaión sensible.  Ajustar formatos</t>
  </si>
  <si>
    <t xml:space="preserve">Mejora</t>
  </si>
  <si>
    <t xml:space="preserve">- Revisión integral de datos sensibles en comunicados fueron retirados
- Flujo notificación onboarding de usuarios externos revisado e implementado
- Fecha fin vigencia externos (comunicado).</t>
  </si>
  <si>
    <t xml:space="preserve">Revisión duplicidad tickets generados desde ISC</t>
  </si>
  <si>
    <t xml:space="preserve">- En proceso de revisión dependencia con la marca SailPoint
- Se requiere soporte del proveedor Heaven a espera de apertura de adenda de servicios
- 16 Sept 2026 se realizaron las pruebas en ambiente de test y se desplegaron de forma exitosa.  Se solicita a marca SailPoint el despliegue en producción, en espera de respuesta de confirmación</t>
  </si>
  <si>
    <t xml:space="preserve">Ajustar configuración para catálogo "Cambio Centro Costos" reducción generación tickets </t>
  </si>
  <si>
    <t xml:space="preserve">Se implemento el ajuste en SailPoint para que solo consuma las aplicaciones en las que se debe generar un cambio en el centro de costos</t>
  </si>
  <si>
    <t xml:space="preserve">Cambio de dominio de sailpoint.com a pichincha.com para las notificaciones generadas.</t>
  </si>
  <si>
    <t xml:space="preserve">Sincronización Campo AD Manager</t>
  </si>
  <si>
    <t xml:space="preserve">Depuración usuarios duplicados en AD | Identificación y corrección de inconsistencias asociadas a la causa raíz</t>
  </si>
  <si>
    <t xml:space="preserve">Incidencia</t>
  </si>
  <si>
    <t xml:space="preserve">108 usuarios duplicados. Se incluye en el control mensual de TCS.</t>
  </si>
  <si>
    <t xml:space="preserve">Modificación campo "Last Name" en Externos y revisar novedad en los apellidos que se envia desde ISC hacia el AD.</t>
  </si>
  <si>
    <t xml:space="preserve">Ana María Vergara
Jhonny Barreiro</t>
  </si>
  <si>
    <t xml:space="preserve">Revisión de Fusion: Integración de aplicación - Revisión de lectura y aprovisionamiento automatizado por Sailpoint a Fusion</t>
  </si>
  <si>
    <t xml:space="preserve">Richard Requelme
Ana María Vergara</t>
  </si>
  <si>
    <t xml:space="preserve">15- sep - Se crearon los roles, pendiente análisis de Assertiva para creación de APs
17-Ago - Se ejecutaron las pruebas del conector, fueron exitosas. Pendiente confirmar roles con Agencia y Dueño de app
Se encendio el conector en modo lectura, se levantaron con QA los escenarios, se tiene pendiente las pruebas en producción</t>
  </si>
  <si>
    <t xml:space="preserve">Análisis integración Monitoreo de Fraude</t>
  </si>
  <si>
    <t xml:space="preserve">Proyecto</t>
  </si>
  <si>
    <t xml:space="preserve">Ana María Vergara
Richard Requelme
Jhonny Barreiro</t>
  </si>
  <si>
    <t xml:space="preserve">- 17-ago- Se corrigio el esquema y está pendiente del lado del dueño del aplicativo la confirmación de la integración total (auth + autorización) 
Monitoreo Fraude: Acercamiento con el proyecto en revisión de integración con Entra ID (autenticación)</t>
  </si>
  <si>
    <t xml:space="preserve">Análisis integración AS400 - GAF</t>
  </si>
  <si>
    <t xml:space="preserve">- GAF: Solicitud interdependencia a la célula.  En etapa de evaluación
- 17/08/2026 Se identificó la necesidad de construir un microservicio para disponibilizar la información que consume SailPoint.  El proveedor NTTData compartió una proforma para la construcción, valor que esta fuera del presupuesto</t>
  </si>
  <si>
    <t xml:space="preserve">Análisis integración PIVI - CAO (Interdin)</t>
  </si>
  <si>
    <t xml:space="preserve">- PIVI | CAO: Solicitud interdependencia a la célula.  En etapa de evaluación
- 17/08/2026 La célula de Interdin - William Correa comunica que por temas de capacidad no es viable contar con el análisis técnico de integración por lo que quedaría en backlog</t>
  </si>
  <si>
    <t xml:space="preserve">Reemplazo microservicios Bancs, Siglo21, Logiflow</t>
  </si>
  <si>
    <t xml:space="preserve">- Microservicio Bancs: con retraso
- Microservicio Siglo21: dependencia de micro de bancs
- Microservicio Logiflow: En proceso.  Pruebas funcionales 18/08/2026</t>
  </si>
  <si>
    <t xml:space="preserve">Integración automática CRM Salesforce.  Análisis construcción roles automáticos</t>
  </si>
  <si>
    <t xml:space="preserve">- 15- sept- quitar el CSV
-17 ago - Se remite los roles validados (con agencia y con el dueño del app) para creación de roles y proceder con el encendido
 CRM: Conector implementado, activo modo lectura</t>
  </si>
  <si>
    <t xml:space="preserve">Diferencia hora comunicados generados por Sailpoint</t>
  </si>
  <si>
    <t xml:space="preserve">Diferencia de 5 horas aprox entre la fecha y hora de la notificación y la fecha y hora reales de envío del correo
Ticket de soporte generado para atención de Assertiva #3260 21/07/2026
Comunicado con diferencia de hora corregido</t>
  </si>
  <si>
    <t xml:space="preserve">Soporte Assertiva: Flujo Genéricos ATM´s | #2953 (Eliminación)</t>
  </si>
  <si>
    <t xml:space="preserve">Se configura para que se elimine automáticamente el genérico en AD, BANCS y Siglo una vez ingresado por el flujo de eliminación.</t>
  </si>
  <si>
    <t xml:space="preserve">Corrección de roles reportados con inconsistencia</t>
  </si>
  <si>
    <t xml:space="preserve">Mensual</t>
  </si>
  <si>
    <t xml:space="preserve">Operación</t>
  </si>
  <si>
    <t xml:space="preserve">- Las sesiones de revisión de roles se generan una vez al mes con el equipo de Assertiva, se analiza y se realiza las correcciones reportadas
- Actividad ejecutada bajo demanda</t>
  </si>
  <si>
    <t xml:space="preserve">Revisión, Ajustes y Corrección Implementación Rol Ejecutivo Integral 2.0</t>
  </si>
  <si>
    <t xml:space="preserve">- Revisión integral del proceso del levantamiento de roles para el piloto Ejecutivo Integral 2.0
- Corrección de roles asociados
- Sesión y comunicación con los responsables del proyecto piloto
- Procesamiento de 130 usuarios bajo este esquema
- Comunicación del proceso al equipo interno y externo</t>
  </si>
  <si>
    <t xml:space="preserve">Revisión y correlación de cuentas huérfanas en AD</t>
  </si>
  <si>
    <t xml:space="preserve">Ana María Vergara
Richard Requelme
Bryan Uyana</t>
  </si>
  <si>
    <t xml:space="preserve">Se genero el ticket #3446 para identificar la causa raiz</t>
  </si>
  <si>
    <t xml:space="preserve">Cambio en el ciclo de vida de offboarding para usuarios internos y externos en AD.  (No se mantendrán por 30 días, se eliminará el mismo día).</t>
  </si>
  <si>
    <t xml:space="preserve">- Solicitud soporte Assertiva ticket #3089
- Análisis de impacto sobre identidades VIP o excepcionadas
- Se mantendrá una sesión el viernes 24/06/2026 con el equipo de Assertiva para realizar pruebas sobre el grupo de excepción de AD, para garantizar que la cuenta se mantenga y no  sea eliminada
- Eliminación lista marcada sobre usuarios excepcionados en NERM, para manejar un proceso transversal para todas las identidades
- 17/08/2026 Se crea el grupo de AD: Grupo usuarios VIP, para agregar a los usuarios que requieren excepción en el proceso de offboarding</t>
  </si>
  <si>
    <t xml:space="preserve">Deshabilitación automática baja colaborador</t>
  </si>
  <si>
    <t xml:space="preserve">- Solicitud Soporte Assertiva #2762
- Proceso implementado operativo.  Depedencia con la carga en SSFF del atributo "end date"</t>
  </si>
  <si>
    <t xml:space="preserve">Flujo de Deshabilitación de Cuentas/permisos - Usuarios Cesantes /Crossboarding- Conector BANCS</t>
  </si>
  <si>
    <t xml:space="preserve">Richard Requelme
Bryan Uyana</t>
  </si>
  <si>
    <t xml:space="preserve">Se levanto un workflow ya establecido para cuentas cesantes y que haga el reprocesamiento. Sin embargo toca ajustar la configuración para el crossboarding</t>
  </si>
  <si>
    <t xml:space="preserve">Revisión y correlación de cuentas huérfanas en Bancs</t>
  </si>
  <si>
    <t xml:space="preserve">Se deshabilito cuentas cesantes. Sin embargo, se debe regularizar la información de las cuentas no correlacionadas para el control en vuelo</t>
  </si>
  <si>
    <t xml:space="preserve">Asociación de cuentas privilegiadas (ENTRAID y AD) -priv.- y no el nominado (sailpoint)
Correlacionar las cuentas priv. a la identidad del usuario en Sailpoint</t>
  </si>
  <si>
    <t xml:space="preserve">-15 de sept - se enciende el conector nuevo de privc
En la reunión de seguimiento con Assertiva se reviso este tema, y se vio dos opciones para trabajar este tema, se genero un ticket a Assertiva para regularizar. Para las privc, se evalua ajustes en el conector.</t>
  </si>
  <si>
    <t xml:space="preserve">Certificación de Accesos: Accesos usuarios</t>
  </si>
  <si>
    <t xml:space="preserve">Depuración de cuentas de usuarios priv. y privc.</t>
  </si>
  <si>
    <t xml:space="preserve">Flujo de Deshabilitación de Cuentas/permisos - Usuarios Cesantes /Crossboarding- Conector RHDS</t>
  </si>
  <si>
    <t xml:space="preserve">Se tiene el análisis de las cuentas no correlacionadas. Se debe determinar causa raíz y corrección.</t>
  </si>
  <si>
    <t xml:space="preserve">Revisión y correlación de cuentas huérfanas RHDS</t>
  </si>
  <si>
    <t xml:space="preserve">Regularización de Roles</t>
  </si>
  <si>
    <t xml:space="preserve">Regularización de Accesos y Permisos Crowstrike. Desde la aplicación hacia ISC Sailpoint</t>
  </si>
  <si>
    <t xml:space="preserve">Se incia con Valerai Tandazo la depuracion de accesos en Crowstrike, Fase 1 en la aplicación. Fase 2 en ISC actualmente en la aplicación</t>
  </si>
  <si>
    <t xml:space="preserve">Regularización de Accesos y Permisos Firewall Checkpoint. Desde la aplicación hacia ISC Sailpoint</t>
  </si>
  <si>
    <t xml:space="preserve">Se incia con Maria Peñaherrera la depuracion de accesos en Firewall Checkpoint, Fase 1 en la aplicación. Fase 2 en ISC actualmente en la aplicación</t>
  </si>
  <si>
    <t xml:space="preserve">Gestión de accesos y permisos</t>
  </si>
  <si>
    <t xml:space="preserve">Integración de nuevas fuentes al control - Access Request Center - Fuentes Nube (My Access).</t>
  </si>
  <si>
    <t xml:space="preserve">Se levantaron scripts para obtener la información y se creo una pestaña en GEMA para visualizar todos los permisos asignados fuera del rol</t>
  </si>
  <si>
    <t xml:space="preserve">Actualización Flujo de Accesos y Permisos SNOW. (Unificar flujo de perfiles globales y modificación de atributos, para que se coloquen los autorizadores de la CMDB en función de la aplicación a la que estan solicitando acceso el usuario).</t>
  </si>
  <si>
    <t xml:space="preserve">- Se paso a producción y se tiene el comunicado aprobado por Juan. 
Se revisa con equipo NTT y equipo de SNOW para pasar a producción 
- Solicitud de comunicado al área de gobierno</t>
  </si>
  <si>
    <t xml:space="preserve">Usuarios y Perfiles Globales</t>
  </si>
  <si>
    <t xml:space="preserve">Eliminación de accesos a usuarios de Tecnología, Operaciones y Tribu para que puedan crear usuarios de dominio directamente con perfil.</t>
  </si>
  <si>
    <t xml:space="preserve">Automatizaciones</t>
  </si>
  <si>
    <t xml:space="preserve">Automatización de la gestión de accesos para las aplicaciones: AS400, GAF, Sistema Monitoreo Fraudes con RPA.</t>
  </si>
  <si>
    <t xml:space="preserve">Pendiente validación API con heaven para luego validación en test y posterior paso a producción.</t>
  </si>
  <si>
    <t xml:space="preserve">Migración de módulos de seguridad</t>
  </si>
  <si>
    <t xml:space="preserve">Apagado Siglo 21: Sincronización en Test y Producción; Desarrollo Módulo de Seguridad</t>
  </si>
  <si>
    <t xml:space="preserve">Ana María Fierro
Daniel Lescano</t>
  </si>
  <si>
    <t xml:space="preserve">Se han realizado pruebas, certificación, capacitación; pendiente corregir ciertos hallazgos identificados, validar y pasar el periodo de estabilización (10 días).</t>
  </si>
  <si>
    <t xml:space="preserve">PR.PS</t>
  </si>
  <si>
    <t xml:space="preserve">Recepción de Aplicaciones</t>
  </si>
  <si>
    <t xml:space="preserve">Transferir aplicaciones al equipo de Gestión de Identidades para su gestión de identidades y accesos.
En enero 2026 se tenia 154 aplicaciones administradas, a diciembre se debe llegar a 232 aplicaciones. Llevamos 165 aplicaciones. Pestaña "Recepción de Aplicaciones".</t>
  </si>
  <si>
    <t xml:space="preserve">Jhonny Barreiro
Yolanda León</t>
  </si>
  <si>
    <t xml:space="preserve">Comprometido en indicador gerencial y fuga de información.
Junio.26: Se tienen 169 aplicaciones.
Julio.26: Se tienen 176 aplicaciones.</t>
  </si>
  <si>
    <t xml:space="preserve">ID.AM</t>
  </si>
  <si>
    <t xml:space="preserve">Indicador</t>
  </si>
  <si>
    <t xml:space="preserve">Indicador IDE 01 Universo de aplicaciones y aplicaicones administradas
Monitoreo de Aplicaciones CMDB para validacion de criterios</t>
  </si>
  <si>
    <t xml:space="preserve">Indicador a Gobierno CS</t>
  </si>
  <si>
    <t xml:space="preserve">GV.OV</t>
  </si>
  <si>
    <t xml:space="preserve">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</si>
  <si>
    <t xml:space="preserve">Ariel Villacis</t>
  </si>
  <si>
    <t xml:space="preserve">Plan de riesgos</t>
  </si>
  <si>
    <t xml:space="preserve">GV.PO</t>
  </si>
  <si>
    <t xml:space="preserve">NERM - Externos</t>
  </si>
  <si>
    <t xml:space="preserve">Perfilamiento y Gestión de Accesos de Usuarios Externos basado en Estructura Organizacional (Seguimiento a través de la pestaña "Planificación Externos")</t>
  </si>
  <si>
    <t xml:space="preserve">Ana María Vergara
Jhonny Barreiro
Richard Requelme</t>
  </si>
  <si>
    <t xml:space="preserve">Comprometido en indicador gerencial y fuga de información.
Desarrollo dashboard.</t>
  </si>
  <si>
    <t xml:space="preserve">Integrar la aplicación de contratos como fuente autoritativa dentro del sistema de control de accesos de terceros</t>
  </si>
  <si>
    <t xml:space="preserve">17-ago - El equipo de automatizacion ya se integro con Pegasus (ETL de correo). Pendiente definir campos a consumir en NERM y actualizar el catálogo en SNOW
Se revisaron los campos para obtener de Fusion. Se tiene una reunión esta semana con el equipo de automatización para integrar NERM-Pegasus-Fusion</t>
  </si>
  <si>
    <t xml:space="preserve">Modificar el flujo de requerimientos para centralizar y automatizar la gestión de solicitudes ABM de terceros</t>
  </si>
  <si>
    <t xml:space="preserve">Usuarios disponibles para ser contraparte de genérico (#2994)</t>
  </si>
  <si>
    <t xml:space="preserve">Se amplia la contraparte para filiales de Pichincha Sistemas Acovi con nivel jerárquico 90 o menos debido a que ellos requieren ser contraparte de sus externos.</t>
  </si>
  <si>
    <t xml:space="preserve">Implementación identificador roles externos</t>
  </si>
  <si>
    <t xml:space="preserve">- Solicitud Soporte Assertiva #2914
- Implementación del identificador XXXXXXXXXX en todos los roles de externos con el fin de evitar que queden vacíos y disparen una asignación de accesos incorrecta</t>
  </si>
  <si>
    <t xml:space="preserve">Definición | Implementación Nomenclatura Código y Nombre de Cargos Externos</t>
  </si>
  <si>
    <t xml:space="preserve">- Solicitud Soporte Assertiva #2682 | #2767
- Definición e implementación código y nombre de cargo para usuarios externos
- Pruebas en aplicaciones evaluar impacto en aprovisionamiento.  Prueba Logiflow para que cumpla con la condición de 8 carácteres</t>
  </si>
  <si>
    <t xml:space="preserve">Ampliación vigencia externos.  Encendido sync del atributo</t>
  </si>
  <si>
    <t xml:space="preserve">- Solicitud soporte Assertiva ticket #2986
- Análisis de impacto previo al encendido de atributos
- Se corregieron 7 casos con inconsistencia previo al encendido
-  Se ejecuto el encendido de la sincronización se encuentra funcionando correctamente</t>
  </si>
  <si>
    <t xml:space="preserve">NERM - Genéricos</t>
  </si>
  <si>
    <t xml:space="preserve">Actualización de contrapartes para usuarios genéricos en AD (#2993)</t>
  </si>
  <si>
    <t xml:space="preserve">Bryan Uyana
Richard Requelme</t>
  </si>
  <si>
    <t xml:space="preserve">Sincronización entre actualización de contrapartes genéricas. Una vez ingresado en NERM la actualización, se replica en el campo "Calle" la contraparte al igual que en externos.</t>
  </si>
  <si>
    <t xml:space="preserve">NERM - VIP</t>
  </si>
  <si>
    <t xml:space="preserve">Registro y administración de usuarios VIP en NERM, garantizando la correcta creación y actualización, ya que actualmente no se registran en el gestor de identidades por tener un contrato como honorarios profesionales registrados en SSFF</t>
  </si>
  <si>
    <t xml:space="preserve">- Análisis para incluir los casos de usuarios existentes en AD adicionales a usuarios VIP
- Coordinación con Andrea Moncayo RRHH a partir de la fecha de inicio del plan para validación e implementación de casos de usuarios VIP de forma controlada
- 17/08/2026 Creación de grupo de AD: Grupo Usuarios VIP para colocar a los usuarios con excepción</t>
  </si>
  <si>
    <t xml:space="preserve">Certificación de Accesos: Nombres de roles</t>
  </si>
  <si>
    <t xml:space="preserve">Documentar y describir de manera completa y estandarizada los roles configurados en las herramienta (para iniciar campañas de certificación).</t>
  </si>
  <si>
    <t xml:space="preserve">Bryan Uyana
Ana María Fierro
Daniel Lescano
Jhonny Barreiro
Ana María Vergara
Richard Requelme</t>
  </si>
  <si>
    <t xml:space="preserve">Comprometido para campaña de certificación.</t>
  </si>
  <si>
    <t xml:space="preserve">Certificación de Accesos: Revisión inconsistencias</t>
  </si>
  <si>
    <t xml:space="preserve">Proceso de consistencia aplicaciones vs. gestor Sailpoint</t>
  </si>
  <si>
    <t xml:space="preserve">Bryan Uyana
Ana María Fierro
Daniel Lescano</t>
  </si>
  <si>
    <t xml:space="preserve">Certificación de Accesos: Usuarios Internos/Externos</t>
  </si>
  <si>
    <t xml:space="preserve">Ejecución de campañas de certificación (Externos 100%, Internos 80%, Filiales 0%). PMC-2943</t>
  </si>
  <si>
    <t xml:space="preserve">Todo el Equipo</t>
  </si>
  <si>
    <t xml:space="preserve">Comprometido con riesgos, fuga de información.</t>
  </si>
  <si>
    <t xml:space="preserve">Usuarios Genéricos</t>
  </si>
  <si>
    <t xml:space="preserve">Integración de Registros de Caja Fuerte - NERM</t>
  </si>
  <si>
    <t xml:space="preserve">Se definio el modelo de caja fuerte, ahora se va a migrar todos los campos requeridos en NERM para no tener doble registro</t>
  </si>
  <si>
    <t xml:space="preserve">Registro de Genéricos de Sistema (#3158)</t>
  </si>
  <si>
    <t xml:space="preserve">- 15-sept: Se requiere socializar, ya se completo este flujo. Para el proceso de caja fuerte: se requiere un nuevo flujo de registro de genérico de sistema, únicamente debe vivir en NERM y no en ISC. Es netamente informativo. Es una cuenta que tiene los campos de: usuario, responsable, custodio de contraseña, descripción, ticket asociado y privilegiado (si/no).</t>
  </si>
  <si>
    <t xml:space="preserve">Proyecto genéricos (identificación, responsable, funcionalidad, caducidad clave, MFA, bloqueo inicio de sesión, depuración y monitoreo).</t>
  </si>
  <si>
    <t xml:space="preserve">Yolanda León</t>
  </si>
  <si>
    <t xml:space="preserve">Revisión de los roles asignados a los genéricos obsoletos (estos tienen los grupos de AD: GF_BP_UC, GF_FW_FILESERVER, GF_FW_FTP, GSC_CGDA_SalesforceGlobal, GSC_BP-Athento.Office-Prod_UsersBP, GSC_CGDA_MembersGeneral, GSC_CA-Persona-CorpServiceAccounts-Entra)</t>
  </si>
  <si>
    <t xml:space="preserve">-15-sept- se depuro todo el tema de Nube</t>
  </si>
  <si>
    <t xml:space="preserve">Certificación de Accesos: Genéricos</t>
  </si>
  <si>
    <t xml:space="preserve">Revisión y eliminación usuarios genéricos duplicados en AD.</t>
  </si>
  <si>
    <t xml:space="preserve">Bryan Uyana</t>
  </si>
  <si>
    <t xml:space="preserve">Identificación de usuarios genéricos de procesos manuales y procesos automáticos (habilitar políticas de seguridad).</t>
  </si>
  <si>
    <t xml:space="preserve">Ana María Fierro
Yolanda León
Santiago Barahona</t>
  </si>
  <si>
    <t xml:space="preserve">Habilitación de passworless</t>
  </si>
  <si>
    <t xml:space="preserve">Identificación de cuentas genéricas que inician sesión en las estaciones de trabajo.
Caso de uso con Ciberdefensa</t>
  </si>
  <si>
    <t xml:space="preserve">Bryan Uyana
Yolanda León
Vinicio Samaniego</t>
  </si>
  <si>
    <t xml:space="preserve">Se inactivó el usuario USRPCCPY (24-07-2026)</t>
  </si>
  <si>
    <t xml:space="preserve">Controlar el uso de cuentas de usuarios que no han iniciado sesión en 120 días. (Control con TCS).</t>
  </si>
  <si>
    <t xml:space="preserve">Esta actividad es permanente, mensual.</t>
  </si>
  <si>
    <t xml:space="preserve">Cesantes</t>
  </si>
  <si>
    <t xml:space="preserve">Actualización Automática de Contrapartes Cesantes - Genéricos y Externos (#3159)</t>
  </si>
  <si>
    <t xml:space="preserve">-15-sept- Falta únicamente socializarRevisar el proceso cuando un interno sale de la organización, y el mismo tiene asociado usuarios genéricos y externos bajo su cargo. Esto debido a que el proceso actual es manual. La idea es que se actualice automáticamente y se asigne a su línea de supervisión (siempre y cuando tenga un rango jerarquico &gt; 50 y no sea un usuario VIP) hasta que se defina un responsable nuevo.</t>
  </si>
  <si>
    <t xml:space="preserve">Onboarding</t>
  </si>
  <si>
    <t xml:space="preserve">Revision novedades en onboarding (Cargos nuevos)</t>
  </si>
  <si>
    <t xml:space="preserve">Bryan Uyana
Daniel Lescano
Ana María Vergara</t>
  </si>
  <si>
    <t xml:space="preserve">Esta actividad es permanente.</t>
  </si>
  <si>
    <t xml:space="preserve">Crossboarding</t>
  </si>
  <si>
    <t xml:space="preserve">Creación de Workflows para retiro de accesos referente a (BDD, SFTP, DLP, VPN);
Cambios Workflow de Crossboarding (#3036)</t>
  </si>
  <si>
    <t xml:space="preserve">Se retira los permisos por fuera de nube (GSC_XXX), grupos de Firewall, y permisos de Fusion cuando se detecta cambios de área + cargo.</t>
  </si>
  <si>
    <t xml:space="preserve">Flujos de Cambios de Cargo Libre (#3022)</t>
  </si>
  <si>
    <t xml:space="preserve">- Solicitud Soporte Assertiva #3052
- Se genero un nuevo formulario en la sección LauchPad de ISC para procesar los cambios de rol para usuarios nominados que compartan la misma estructura organizacional
- Flujo abierto unicamente para Gestión de Identidades banco
- Comunicación al equipo interno y externo del proceso 
Asseritva crea un flujo libre para que el equipo de GI realice cambios fuera de la matriz establecida si corresponde. Esto a raíz de lo identificado en perfilamiento (Anita V).  Adicional, se encuentra en depuración los roles solicitables que era el mecanismo usado para tratar estos cambios.</t>
  </si>
  <si>
    <t xml:space="preserve">Workflow de Crossboarding - 2,0 Retiro de permisos cuando detecta cambio de área + cargo</t>
  </si>
  <si>
    <t xml:space="preserve">implementado con ticket (#3036) 1. Cuando existan cambios de estructura sea en el atributo de área y cargo, se retiren automáticamente los accesos dados por fuera del rol de Entra ID con la nomenclatura GSC_XXX, los permisos del origen Oracle Fusion y los grupos de AD de firewall: GF_FW_XXX
2. Notificación de retiro: Agregar una notificación hacia el correo de crossboarding de los permisos fuera del rol que se retiren. En este caso, si se puede acotar únicamente para permisos de VPN sería ideal.</t>
  </si>
  <si>
    <t xml:space="preserve">Workflow de Crossboarding - 3.0 Retiro de permisos cuando detecta cambio únicamente de cargo</t>
  </si>
  <si>
    <t xml:space="preserve">-15 - sept - Se envió a minería de roles Entra ID, se están haciendo ajustes en los roles. Y ya se envió el ticket para crear el flujo. Analizar los resultados del workflow 2,0 y ajustar más permisos, y más restrictivo</t>
  </si>
  <si>
    <t xml:space="preserve">Offboarding</t>
  </si>
  <si>
    <t xml:space="preserve">Flujo de Deshabilitación de Cuentas - Usuarios Cesantes (#3157) - Conector Siglo21 - Proceso de Offboarding</t>
  </si>
  <si>
    <t xml:space="preserve">Implementar un workflow para deshabilitar las cuentas de SIGLO similar al flujo "Reprocesamiento Baja Bancs". Esto debido a que siguen existiendo casos identificados donde los usuarios de baja siguen activos en las aplicaciones.</t>
  </si>
  <si>
    <t xml:space="preserve">Reportería</t>
  </si>
  <si>
    <t xml:space="preserve">Integración GEMA - Reportes de Negocio y Gobierno CS - Disponibilizar información</t>
  </si>
  <si>
    <t xml:space="preserve">Se capacito al equipo y se finalizo la actividad de disponibilizar por GEMA lo requerido</t>
  </si>
  <si>
    <t xml:space="preserve">Vista para control de accesos asignados fuera del rol - revocaciones de permisos por Sailpoint en GEMA</t>
  </si>
  <si>
    <t xml:space="preserve">Se agrega una vista para conocer los tickets con los que se asigna un permiso o se revoca por flujos automáticos de crossboarding.</t>
  </si>
  <si>
    <t xml:space="preserve">Proceso de Reportería para Eventos de Auditoría - Scripts y nuevo formato de reportes</t>
  </si>
  <si>
    <t xml:space="preserve">Se remiten los scripts iniciales para reportería de eventos y tickets generados.</t>
  </si>
  <si>
    <t xml:space="preserve">Centros de Costos Temporales (No red de agencia).</t>
  </si>
  <si>
    <t xml:space="preserve">Colaboradores con centros de costos diferentes en las aplicaciones vs. fuente autoritativa (1187 usuarios).</t>
  </si>
  <si>
    <t xml:space="preserve">Daniel Lescano
Ana María Fierro</t>
  </si>
  <si>
    <t xml:space="preserve">El equipo de Nómina nos ha enviado el detalle de los usuarios que se debe cambiar el centro de costo y quienes lo deben mantener.
52 colaboradores han sido excepcionados, asignándoles una fecha fin temporal al 31/12/2050, con el objetivo de evitar afectaciones en futuros procesos de depuración.
113 usuarios pendientes (en revisión del área Talento Humano).
Se finalizó con las correcciones, autorizados 98 colaboradores.</t>
  </si>
  <si>
    <t xml:space="preserve">Centros de Costos y Cambios Temporales (red de agencia).</t>
  </si>
  <si>
    <t xml:space="preserve">Agregar Aprobación en Flujos de Centro de costos y Cambios temporales (#3131)
Establecer todos los controles:
- Ticket SN
- Aprobaciones
- Consideración matriz de coreografía
- Tiempos de ausencia (temporalidad).</t>
  </si>
  <si>
    <t xml:space="preserve">Richard Requelme 
Ana María Fierro</t>
  </si>
  <si>
    <t xml:space="preserve">-15-sept - Se poblo el campo de Manager en AD para poblar en Service now y llevar el flujo de agencias a este nuevo formato. *22-jul, se tiene una reunión con Agencias para validar, se requiere foro extendido con Soledad Pazmino, Pilar Vallejo y Tatiana Hoyos
-Validar opciones de como colocar aprobaciones adicionales para la liberación del flujo de centro de costos y cambios temporales. La idea es que las agencias hagan uso del flujo y cada cambio tenga su autorización requerido. De igual forma, se notifiquen estos cambios a Gestión de Identidades e involucrados para conocimiento de ejecución.</t>
  </si>
  <si>
    <t xml:space="preserve">Centros de Costos</t>
  </si>
  <si>
    <t xml:space="preserve">Revisión del error de tickets que el estado no puede ser modificado no cancelado debido a que no se encuentra la información de centro de costos</t>
  </si>
  <si>
    <t xml:space="preserve">Daniel Lescano</t>
  </si>
  <si>
    <t xml:space="preserve">Se levantó el ticket 3263 a Assertiva para solventar el inconveniente sobre el campo Centro de Costos null al momento de la creación de tickets</t>
  </si>
  <si>
    <t xml:space="preserve">Certificación de Accesos: Agencias</t>
  </si>
  <si>
    <t xml:space="preserve">Actualización matriz de coreografías y autorizadores - nuevas definiciones.</t>
  </si>
  <si>
    <t xml:space="preserve">Conversar con Diego Piedra / RRHH Estructura / Sole Pazmino</t>
  </si>
  <si>
    <t xml:space="preserve">Homologación de perfiles de agencias para disminuir cambios cuando se requiere cambio de perfil global agencias.</t>
  </si>
  <si>
    <t xml:space="preserve">Pendiente Area Comercial</t>
  </si>
  <si>
    <t xml:space="preserve">Actualización del instructivo - Nuevo proceso para la gestión de cambios de perfil y centro de costos
Correo mensual al equipo de Negocio sobre los cambios mensuales en CC y perfil global temporal.</t>
  </si>
  <si>
    <t xml:space="preserve">Reforzar con el equipo de Gye (las definiciones).</t>
  </si>
  <si>
    <t xml:space="preserve">Revisión de reseteos/deslogueo de usuarios de siglo 21 a través de VIA (787 colaboradores con este acceso), personal de Banca Relacional, Call Center, Operaciones y Banca Privada Internacional.</t>
  </si>
  <si>
    <t xml:space="preserve">Se eliminó el acceso a 555 colaboradores, pendiente 214. cargo (Administrador Comercial y Servicios)</t>
  </si>
  <si>
    <t xml:space="preserve">Certificación de Accesos: Rotativas</t>
  </si>
  <si>
    <t xml:space="preserve">Revisión proceso utilización cuentas genéricas rotativas. CAJERO ROTATIVO: 499; JEFE ROTATIVO: 195; SUPERVISOR ROTATIVO: 209</t>
  </si>
  <si>
    <t xml:space="preserve">Ana María Fierro
Yolanda León</t>
  </si>
  <si>
    <t xml:space="preserve">Se ha efectuado un proceso de depuración de estas cuentas rotativas.</t>
  </si>
  <si>
    <t xml:space="preserve">Certificación de Accesos: Estaciones Digitales</t>
  </si>
  <si>
    <t xml:space="preserve">Estaciones Digitales (Revisión de accesos, procesos y proponer nueva metodología)
Informe de ciberdefensa (plan de acción de GI) - nuevo método de autenticación.</t>
  </si>
  <si>
    <t xml:space="preserve">Se generó un informe y se realizaron correcciones.
Pendiente metodología de acceso para estos usuarios.</t>
  </si>
  <si>
    <t xml:space="preserve">Certificación de Accesos: ATM</t>
  </si>
  <si>
    <t xml:space="preserve">Depuración usuarios ATM</t>
  </si>
  <si>
    <t xml:space="preserve">Se ha procedido a eliminar los 175 usuarios genéricos de ATM.
Se mantuvo reunión con el equipo de Implementación de Canales Físicos e incluirán al equipo de GI en las notificaciones para un proceso de depuración más oportuno.</t>
  </si>
  <si>
    <t xml:space="preserve">Certificación de Accesos: Aplicaciones </t>
  </si>
  <si>
    <t xml:space="preserve">Depuración opción 677050 (segmentación de clientes), solicitud del Comité de Estrategía.</t>
  </si>
  <si>
    <t xml:space="preserve">El 22 de julio se ejecutará la primera fase, pendiente fase 2 y fase 3
Fase 1: 1658 usuarios (usuarios nominados)
Fase 2: 51 usuarios (genéricos de procesos que no registran inicios de sesión en más de 1 año) - Ejecutado 13/08/2026
Fase 3: 566 usuarios (genéricos de procesos con inicios de sesión activo)</t>
  </si>
  <si>
    <t xml:space="preserve">Observación Opciones Sensibles, depuración opción 1045 (validación opciones 21097, 21098, 21051), depuración menus en Bancs.</t>
  </si>
  <si>
    <t xml:space="preserve">Obs. Auditoría</t>
  </si>
  <si>
    <t xml:space="preserve">pendiente opción 1045 a cargo de A. Fierro; Octavio Mejia.
Se ejecutará un primer CC el 22 de julio.</t>
  </si>
  <si>
    <t xml:space="preserve">Análisis de factibilidad automatización de inconsistencias</t>
  </si>
  <si>
    <t xml:space="preserve">Se evaluara con 5 aplicaciones incialmente para automatizar</t>
  </si>
  <si>
    <t xml:space="preserve">Pipeline para aprobación de modificación de roles en BPOne (control de cambios en roles y creación de nuevos roles en BPOne)</t>
  </si>
  <si>
    <t xml:space="preserve">En periodo de pruebas.</t>
  </si>
  <si>
    <t xml:space="preserve">Apagado Portal de Negocios perfilamiento BPOne, CRM y Athento</t>
  </si>
  <si>
    <t xml:space="preserve">Perfilamiento BPOne y Athento, pendiente CRM.</t>
  </si>
  <si>
    <t xml:space="preserve">Depuración de accesos a usuarios en aplicativos priorizados.
1) GAF, 2) Cash Management, 3) CREDIFE, 4) BPOne, 5) CRM, 6) Webteller 7) Bancs.</t>
  </si>
  <si>
    <t xml:space="preserve">Inicio septiembre 2026</t>
  </si>
  <si>
    <t xml:space="preserve">Base de Datos</t>
  </si>
  <si>
    <t xml:space="preserve">Levantamiento nuevo flujo gestion de accesos a BBDD.</t>
  </si>
  <si>
    <t xml:space="preserve">Bryan Uyana
Daniel Lescano
Richard Requelme</t>
  </si>
  <si>
    <t xml:space="preserve">- 15-sept- se tiene los acuerdos, está en proceso de actualización el anexo del instructivo. Se opera en función a la estrategia</t>
  </si>
  <si>
    <t xml:space="preserve">Ejecución de controles de depuración BBDD. Control Estandar.</t>
  </si>
  <si>
    <t xml:space="preserve">Rommel Merchan</t>
  </si>
  <si>
    <t xml:space="preserve">Realización de control de cambios estándar para depuración masiva</t>
  </si>
  <si>
    <t xml:space="preserve">Eliminación de usuarios en BD Bancs P012BAND </t>
  </si>
  <si>
    <t xml:space="preserve">Riesgos</t>
  </si>
  <si>
    <t xml:space="preserve">correo enviado el 10.06.2026. 3 usuarios faltantes</t>
  </si>
  <si>
    <t xml:space="preserve">Diseño de nueva estrategia para el otorgamiento de accesos a BD, grupos AD, bloqueos fw y construcción roles en SP.</t>
  </si>
  <si>
    <t xml:space="preserve">Daniel Lescano
Richard Requelme
Bryan Uyana</t>
  </si>
  <si>
    <t xml:space="preserve">Se elaboró presentación con la nueva estrategia y se comunicó al equipo.</t>
  </si>
  <si>
    <t xml:space="preserve">Proyecto depuración de accesos a BD en función de la nueva estrategia diseñada. (BD que no tienen acceso info. Sensible -no EPI-)</t>
  </si>
  <si>
    <t xml:space="preserve">Porcentaje de acuerdo a lo avanzado con Rommel y Jhonna.</t>
  </si>
  <si>
    <t xml:space="preserve">Grupos de AD y Firewall (análisis, cambio de funcionalidad, grupos de bloqueo) - Gestión de accesos SQL</t>
  </si>
  <si>
    <t xml:space="preserve">Daniel Lescano 
Richard Requelme</t>
  </si>
  <si>
    <t xml:space="preserve">Se implementó el control de cambios CHG0775788 para las reglas de bloqueo de los grupos de AD</t>
  </si>
  <si>
    <t xml:space="preserve">Grupos de AD y Firewall (análisis, depuración, cambio de funcionalidad, grupos de bloqueo) - Gestión de accesos SQL ECBPPRQ93</t>
  </si>
  <si>
    <t xml:space="preserve">Hubo reunión con Jorge Lucero para definir la estrategia de bloqueo y la de permisos a largo plazo. Para la estrategia a largo plazo, el equipo de Firewall está analizando tiempos en función a las bases remitidas</t>
  </si>
  <si>
    <t xml:space="preserve">Gestión de accesos SQL ECBPPRQ93</t>
  </si>
  <si>
    <t xml:space="preserve">Depuración de accesos de usuarios al servidor SQL ECBPPRQ93</t>
  </si>
  <si>
    <t xml:space="preserve">Se realizó el proceso de depuración de usuarios que no han accedido a la BD</t>
  </si>
  <si>
    <t xml:space="preserve">Certificación de permisos y objetos de usuarios nominados en el servidor SQL ECBPPRQ93</t>
  </si>
  <si>
    <t xml:space="preserve">Se otorgaron permisos a objetos específicos a la BD SQL ECBPPRQ93</t>
  </si>
  <si>
    <t xml:space="preserve">Ratificación de usuarios genéricos con accesos al servidor ECBPPRQ93</t>
  </si>
  <si>
    <t xml:space="preserve">Se enviaron notificaciones a los responsables de los usuarios genéricos. Además se valida que los usuarios genéricos hayan tenido acceso a la BDD en los últimos 3 meses</t>
  </si>
  <si>
    <t xml:space="preserve">Depuración de usuarios genéricos en el servidor ECBPPRQ93</t>
  </si>
  <si>
    <t xml:space="preserve">Se levantará un control de cambios para la deshabilitación y posterior eliminación de usuarios genéricos que se hayan ratificao la eliminación.
Se envia un listado de usuarios genéricos que no se han logueado a Daniel Bosquez como responsable de la BDD para proceder con el levantamiento de controles de cambio para deshabilitación y posterior eliminación de los mismos</t>
  </si>
  <si>
    <t xml:space="preserve">Sincronización de usuarios</t>
  </si>
  <si>
    <t xml:space="preserve">Modificación del horario de ejecución del Job JSG057DO desde Control-M</t>
  </si>
  <si>
    <t xml:space="preserve">Se cambió la fecha de ejecución de 7am a 6am, para evitar la afectación que se presenta actualmente.</t>
  </si>
  <si>
    <t xml:space="preserve">Usuarios Privilegiados</t>
  </si>
  <si>
    <t xml:space="preserve">shell JSG056DO (cambio de clave del superusuario BANCS – SUPERUSR) </t>
  </si>
  <si>
    <t xml:space="preserve">Se relizará la revisión del shell en el nuevo serevicio debido a la migración de Siglo21</t>
  </si>
  <si>
    <t xml:space="preserve">Calidad de Datos</t>
  </si>
  <si>
    <t xml:space="preserve">Calidad de Datos - COE Ciberseguridad; indicador: Registro de Gestión de Identidades y Accesos con data de nuevo gestor SAILPOINT</t>
  </si>
  <si>
    <t xml:space="preserve">Se realizara una nueva medicion en el Q4</t>
  </si>
  <si>
    <t xml:space="preserve">Buzon /  Licenciamiento Office 365</t>
  </si>
  <si>
    <t xml:space="preserve">Revisión usuarios sin target address</t>
  </si>
  <si>
    <t xml:space="preserve">PR.DS</t>
  </si>
  <si>
    <t xml:space="preserve">Controles</t>
  </si>
  <si>
    <t xml:space="preserve">Fortalecimiento al proceso de otorgamiento de acceso a "dominios de confianza". Sharepoint, Onedrive, EntraID, Guest y Teams</t>
  </si>
  <si>
    <t xml:space="preserve">Dayanara Terán</t>
  </si>
  <si>
    <t xml:space="preserve">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</si>
  <si>
    <t xml:space="preserve">Bryan Uyana
Dayanara Terán</t>
  </si>
  <si>
    <t xml:space="preserve">Se ha ido depurando, y se elaboró informe (enviado el 03.08.26), pendiente lo de Teams.
Se depueraron 10 dominos de teams que no se contaba con algun habilitante.</t>
  </si>
  <si>
    <t xml:space="preserve">Usuarios Guest (eliminar dominios amplios y configurar con usuarios "Guest" B2B): 32 dominios en esta condición.</t>
  </si>
  <si>
    <t xml:space="preserve">Se eliminaron los dominios amplios y se configuraron bajo el esquema B2B.</t>
  </si>
  <si>
    <t xml:space="preserve">Fortalecimiento al proceso de otorgamiento de acceso a "Administrador Local".</t>
  </si>
  <si>
    <t xml:space="preserve">Bryan Uyana
Vinicio Samaniego</t>
  </si>
  <si>
    <t xml:space="preserve">Se presento la nueva erramienta EPM, sin embargo unicamente sirve cuando el usuario necesita ejecutar aplicaciones como administrador, se excluye MAC's.
Para el proceso cuando requieran algo a nivel de S.O se seguira usando Crowdstrike.
En proceso de migracion de los permisos que cumplan y apliquen EPM</t>
  </si>
  <si>
    <t xml:space="preserve">Fortalecimiento al proceso de otorgamiento de acceso a "Periféricos Externos".</t>
  </si>
  <si>
    <t xml:space="preserve">Se realizo una depuracion con el fin de rertirar acceso caducados.</t>
  </si>
  <si>
    <t xml:space="preserve">PMC-2166: migración FTP a SFTP</t>
  </si>
  <si>
    <t xml:space="preserve">Se realizó la migración del FTP en el SFTP en la que a los usuarios se les otorga permisos a las rutas específicas y con los minimos privilegios</t>
  </si>
  <si>
    <t xml:space="preserve">PMC-2167: ECBPPRQ93</t>
  </si>
  <si>
    <t xml:space="preserve">Daniel Lescano
Richard Requelme</t>
  </si>
  <si>
    <t xml:space="preserve">En paralelo, se trabaja proceso, depuración, grupos de fw, etc. En función a la planificación de auditoría</t>
  </si>
  <si>
    <t xml:space="preserve">PMC-1710: Afinar la matriz de línea base de accesos Cloud en coordinación con las áreas correspondientes.</t>
  </si>
  <si>
    <t xml:space="preserve">PMC-1711: Ejecutar el monitoreo de accesos a la nube conforme a la línea base actualizada.</t>
  </si>
  <si>
    <t xml:space="preserve">PMC-2052: Levantamiento e implementación de los casos de uso para el control de los usuarios privilegiados en entornos de servidores Windows y Unix.</t>
  </si>
  <si>
    <t xml:space="preserve">Vinicio Samaniego
Richard Requelme</t>
  </si>
  <si>
    <t xml:space="preserve">PMC-1315: Identificar los responsables de usuarios genéricos Cloud que no se encuentren registrados dentro de la plataforma y enviar notificación de la caducidad de las contraseñas.</t>
  </si>
  <si>
    <t xml:space="preserve">Actualización de Instructivo de Gestión de accesos VPN</t>
  </si>
  <si>
    <t xml:space="preserve">Actualización de Instructivos</t>
  </si>
  <si>
    <t xml:space="preserve">FTP - SFTP</t>
  </si>
  <si>
    <t xml:space="preserve">Eliminación de rutas que no han sido utilizadas por más de 6 meses
TEST, reduciendo el volumen de carpetas de 432.798 a 22.212.
PRODUCTIVO, volumen de carpetas se redujo significativamente de 1.117.604 a 4.834</t>
  </si>
  <si>
    <t xml:space="preserve">Semestral</t>
  </si>
  <si>
    <t xml:space="preserve">Actividad será semestral</t>
  </si>
  <si>
    <t xml:space="preserve">Eliminación de usuarios nominados que no requieren acceso a nivel del GoAnyWhere
Se levantará un ticket para que con la creación de nuevos usuarios no se poble el campo FAX.</t>
  </si>
  <si>
    <t xml:space="preserve">Se retiró el registro del campo atributo Fax a nivel de usuarios de AD.
Se procedió con la eliminación de los usuarios nominados y genéricos de dominio que se encontraban deshabilitados en GoAnyWhere.
De un total de 9618 usuarios se eliminaron 8868 solamente quedaron habilitados 750 usuarios.</t>
  </si>
  <si>
    <t xml:space="preserve">Certificación de permisos de usuarios nominados en rutas específicas</t>
  </si>
  <si>
    <t xml:space="preserve">Se está realizando la depuración de usuarios que se encontraban con accesos a rutas FTP anteriormente configurados.</t>
  </si>
  <si>
    <t xml:space="preserve">Eliminación de permisos de usuarios nominados en carpetas</t>
  </si>
  <si>
    <t xml:space="preserve">Se está realizando la depuración de usuarios a nivel de grupos que no han accedido al SFTP GoAnyWhere</t>
  </si>
  <si>
    <t xml:space="preserve">Regularización de grupos GFTP_ que mantiene los usuarios con accesos a las rutas SFTP</t>
  </si>
  <si>
    <t xml:space="preserve">Se está realizando la eliminación de grupos GFTP_ que ya no se encuentran funcionales para los usuarios nominados ya que cuentan con accesos a rutas específicas.
De un total de 318 grupos de AD,se han eliminado 289 y se mantienen 28.</t>
  </si>
  <si>
    <t xml:space="preserve">Obtención del inventario de usuarios SFTP (Global Scape).</t>
  </si>
  <si>
    <t xml:space="preserve">Revisar las rutas de SFTP Globalscape, usuarios y trasacciones</t>
  </si>
  <si>
    <t xml:space="preserve">Siglo21</t>
  </si>
  <si>
    <t xml:space="preserve">Certificación - Shells Seguridad Control-M </t>
  </si>
  <si>
    <t xml:space="preserve">Se finaliza con el proceso de sincronización de usuarios</t>
  </si>
  <si>
    <t xml:space="preserve">SFTP</t>
  </si>
  <si>
    <t xml:space="preserve">Migración SFTP - Revisión de accesos desde Interdin a rutas SFTP</t>
  </si>
  <si>
    <t xml:space="preserve">Se realizo la ratificación de los permisos de usuarios de Interdin</t>
  </si>
  <si>
    <t xml:space="preserve">VPN</t>
  </si>
  <si>
    <t xml:space="preserve">Eliminación Harmony (eliminación de accesos a la VPN).</t>
  </si>
  <si>
    <t xml:space="preserve">Actividad de Plataformas, apoyo en la migración.</t>
  </si>
  <si>
    <t xml:space="preserve">MFA</t>
  </si>
  <si>
    <t xml:space="preserve">Identificación de usuarios que no tienen activo el MFA, y revisión de procesos por los cuales no lo tienen habilitado. FIDO
MFA para usuarios excepcionados</t>
  </si>
  <si>
    <t xml:space="preserve">FIDO prueba en Contact Center.
'- 20/07/2026 sesión con Christian Flores para validar funcionamiento del dispositivo FIDO
- Proceso contacto con proveedor Yubico para proforma de dispositivos
- 17/08/2026 Se tendrá una reunión con el equipo de Call Center 21/08/2026 para validar las opciones para el control de usuarios sin MFA</t>
  </si>
  <si>
    <t xml:space="preserve">PR.AA-03</t>
  </si>
  <si>
    <t xml:space="preserve">No caduca contraseña</t>
  </si>
  <si>
    <t xml:space="preserve">Identificación de usuarios que no caduca su contraseña y gestionar la habilitación de la política en AD para estos usuarios.</t>
  </si>
  <si>
    <t xml:space="preserve">Bryan Uyana
Yolanda León
Santiago Barahona</t>
  </si>
  <si>
    <t xml:space="preserve">Usuario Genérico alto privilegio </t>
  </si>
  <si>
    <t xml:space="preserve">Revisión usuario Domain Admin (USRPREDT) utilizado por Respuesta a Incidentes (creación de usuario para acceso a equipo final y cyberark)</t>
  </si>
  <si>
    <t xml:space="preserve">Ariel Villacis
Vinicio Samaniego</t>
  </si>
  <si>
    <t xml:space="preserve">Usuarios linea base, existen tres usuarios a nivel local:
usrcclbd : Usuario genérico  para servidores de nube de desarrollo Win/Unix.
usrcclbt : Usuario genérico  para servidores de nube de test Win/Unix.
usrcclbp : Usuario genérico  para servidores de nube de producción Win/Unix.
Estos usuarios existen en servidores de nube Windows y Unix (según el ambiente) con clave diferenciada por arquitectura, (son 3 usuarios genéricos y 6 claves de acceso).</t>
  </si>
  <si>
    <t xml:space="preserve">Vinicio Samaniego</t>
  </si>
  <si>
    <t xml:space="preserve">GI será custodio de las claves de acceso, se debe rotar las claves en los 300 servidores, post rotación se validará con los dueños del proceso de escaneo LB la correcta operación.
- Personal CloudOps debe solicitar un usuario para cada administrador con permisos para realizar las validaciones y/o soporte</t>
  </si>
  <si>
    <t xml:space="preserve">Webmail</t>
  </si>
  <si>
    <t xml:space="preserve">Eliminación de buzones en webmail, aquellos usuarios que no han hecho logueo en los ultimos 30 días; y canalizar la transferencia de buzones de los usuarios pendientes (106) En total 753 buzones.</t>
  </si>
  <si>
    <t xml:space="preserve">Bryan Uyana
Yolanda León</t>
  </si>
  <si>
    <t xml:space="preserve">Listas de distribución para 128 buzones genericos eliminados y 53 que no tenian buzon, y se eliminará a los 4 buzones que fueron migrados a o365.</t>
  </si>
  <si>
    <t xml:space="preserve">Caso Reportado por Wilson Nono, indicó que ya no requieren estas cuentas. Fueron eliminadas.</t>
  </si>
  <si>
    <t xml:space="preserve">Continuidad del Negocio</t>
  </si>
  <si>
    <t xml:space="preserve">Evaluación Plan de Continuidad Gestión de Identidades</t>
  </si>
  <si>
    <t xml:space="preserve">- Se han mantenido sesiones con Julio Torres - Continuidad del Negocio.  Entendimiento del proceso
- Se levanto el registro de plataformas críticas para la operación del proceso de Gestión de Identidades
- En preparación del documento del plan de contingencia
- 17/08/2026 Documento de contingencia entregado al área de Continuidad en espera de observaciones para corrección</t>
  </si>
  <si>
    <t xml:space="preserve">RC.RP</t>
  </si>
  <si>
    <t xml:space="preserve">Gobierno y Planificación</t>
  </si>
  <si>
    <t xml:space="preserve">Evaluación Madurez NIST - BGR</t>
  </si>
  <si>
    <t xml:space="preserve">- Participación proceso evaluación madurez - NIST en BGR 
- Revisión del proceso del dominio de Gestión de Identidades
- 21/07/2026 Se ha realizado una primera sesión con BGR para el entendimiento del proceso general
- 30/07/2026 Se ha agendado una visita en sitio para la revisión de los puntos pendientes de evaluación: Caja Fuerte, proceso custodia credenciales
- 10/08/2026 Informe enviado y entregado.  Se realizó la visita presencial a BGR el 14/08/2026 se verifico el estado de la Caja Fuerte física</t>
  </si>
  <si>
    <t xml:space="preserve">ID.IM</t>
  </si>
  <si>
    <t xml:space="preserve">Control Usuarios Privilegiados: Sistemas Operativos</t>
  </si>
  <si>
    <t xml:space="preserve">Análisis y creación de informe de inventario de servidores con Sistema Operativo Windows y Unix.
Análisis y creación de informe final de usuarios privilegiados en servidores con Sistema Operativo Windows, Unix e iSeries.</t>
  </si>
  <si>
    <t xml:space="preserve">meses ejecutados/meses total del año.</t>
  </si>
  <si>
    <t xml:space="preserve">Control Usuarios Privilegiados: Bases de Datos</t>
  </si>
  <si>
    <t xml:space="preserve">Análisis y creación de informe de inventario de servidores de BDD.
Análisis y creación de informe final de usuarios privilegiados en motores de Bases de Datos: Oracle, SQL Server, DB2, Sybase y Postgres.</t>
  </si>
  <si>
    <t xml:space="preserve">Rotación de contraseña: Usuarios privilegiados Domain Admin</t>
  </si>
  <si>
    <t xml:space="preserve">20 usuarios genericos domain admin, actualización de información (reponsables, estado y procesos de control sobre usuarios) 
5 usuarios eliminados.
8 usuarios en Ejecución de rotación de contraseña (6 de 8 ejecutado el cambio y validación)
7 usuarios en porcesos automáticos.</t>
  </si>
  <si>
    <t xml:space="preserve">Próxima ejecución enero 2027
Se identificaron nuevos usuarios grupo Domain Admins (usrpwsla, usrpsail, usrpclck -listo-)
USRPWSLA: confirmo que el componente EI (Enterprise Integrator) de WSO2 se encuentra apagado.</t>
  </si>
  <si>
    <t xml:space="preserve">Quitar privilegio Domain Admin al usuario USRPWSLA y colocarle los privilegios: Read Users, Read Groups, Read Attributes,  Search Directory</t>
  </si>
  <si>
    <t xml:space="preserve">Se ha confirmado que el usuario solo requiere los permisos Read Users, Read Groups, Read Attributes,  Search Directory, y se eliminará el Domain Admin.</t>
  </si>
  <si>
    <t xml:space="preserve">Rotación de contraseña: Usuarios Kerberos </t>
  </si>
  <si>
    <t xml:space="preserve">Ejecución de rotación de contraseña para dominios bpichinhca y uio en ambientes: EP y EnP.</t>
  </si>
  <si>
    <t xml:space="preserve">Ejecutado EnP y productivo (en los dominios bpichincha, uio.bpichincha) BPKEY (revisión alcance -correo a Leonel-)</t>
  </si>
  <si>
    <t xml:space="preserve">Rotación de contraseña: Usuarios locales privilegiados - Firewall, IPS e ISE</t>
  </si>
  <si>
    <t xml:space="preserve">Ejecución de rotación de contraseña sobre usuario locales privilegiados en consolas de seguridad críticas (herencia de auditoría)</t>
  </si>
  <si>
    <t xml:space="preserve">IPS (ejecutado)
ISE (ejecutado)
Firewall (recepción de consola) -contraseña recibida-, se lo ejecutará a finales de año.</t>
  </si>
  <si>
    <t xml:space="preserve">Rotación de contraseña: Cuentas de usuarios privilegiados en servidores de virtualización </t>
  </si>
  <si>
    <t xml:space="preserve">Ejecución de rotación de contraseña en cuentas de usuarios privilegiados en componentes de virtualización VCenter, Nutanix y host virtualizados ESXi, en los ambientes EP y ENP.</t>
  </si>
  <si>
    <t xml:space="preserve">VCenter, Nutanix y host virtualizados ESXi, ejecutado en el ambiente ENP, pendiente EP (ejecutadonse para septiembre) -primer ciclo-.</t>
  </si>
  <si>
    <t xml:space="preserve">Rotación de contraseña: Usuarios privilegiados en la infraestructura de virtualización IBM</t>
  </si>
  <si>
    <t xml:space="preserve">Ejecución de rotación de contraseñas sobre cuentas de usuario locales privilegiados en la infraestructura de virtualización IBM, servidores Data Power y Hardware Management Console (HMC)</t>
  </si>
  <si>
    <t xml:space="preserve">Data Power (listo primer ciclo)
HMC (listo primer ciclo)</t>
  </si>
  <si>
    <t xml:space="preserve">Rotación de contraseña: Usuarios privilegiados en servidores Netbackup</t>
  </si>
  <si>
    <t xml:space="preserve">Ejecución de rotación de contraseñas sobre cuentas de usuario locales privilegiados en la infraestructura Storage Server y Storage Switch</t>
  </si>
  <si>
    <t xml:space="preserve">Ejecutado el primer ciclo, se coordinará segundo ciclo.</t>
  </si>
  <si>
    <t xml:space="preserve">Rotación de contraseña: Usuarios privilegiados en balanceadores F5</t>
  </si>
  <si>
    <t xml:space="preserve">Ejecución de rotación de contraseñas sobre cuentas de usuario locales privilegiados en la infraestructura de Balanceadores F5</t>
  </si>
  <si>
    <t xml:space="preserve">No se ha ejecutado ni primer ni segundo ciclo.</t>
  </si>
  <si>
    <t xml:space="preserve">Rotación de contraseña: Usuarios privilegiados en dispositivos de Networking  y Comunicaciones Unificadas.</t>
  </si>
  <si>
    <t xml:space="preserve">Ejecución de rotación de contraseñas sobre cuentas de usuario loclaes privilegiados en la infraestructura de netwoking (Switches, routers, wireless) y comunicaciones unificadas (telefonía IP).</t>
  </si>
  <si>
    <t xml:space="preserve">Ejecutado primer ciclo, se coordinará segundo ciclo.</t>
  </si>
  <si>
    <t xml:space="preserve">Implementación de casos de uso servidores Windows y Balanceadores F5 </t>
  </si>
  <si>
    <t xml:space="preserve">Implementación de Casos de uso que alerte al ejecución de acciones sensibles (crear eliminar y modificar usuarios  por usuarios no autorizados) en servidores Windows, y Balanceadores F5</t>
  </si>
  <si>
    <t xml:space="preserve">Notificación (revisar) Cual es el procedimiento a seguir … cambiaremos las claves?</t>
  </si>
  <si>
    <t xml:space="preserve">Implementación de casos de uso servidores Unix y Firewalls</t>
  </si>
  <si>
    <t xml:space="preserve">Implementación de Casos de uso que alerte al ejecución de acciones sensibles (crear eliminar y modificar usuarios  por usuarios no autorizados) en servidores Unix y Firewalls</t>
  </si>
  <si>
    <t xml:space="preserve">Avanzado en UNIX, pendiente firewalls.</t>
  </si>
  <si>
    <t xml:space="preserve">Rotación contraseñas usuario ROOT en UNIX</t>
  </si>
  <si>
    <t xml:space="preserve">Rotar manualmente la contraseña del usuario ROOT en contenedores adicionales. 
Revisar con el fabricante o proveedor, los motivos por los cuales no se replica hacia los demás contenedores.</t>
  </si>
  <si>
    <t xml:space="preserve">Revisar proveedor/fabricante.</t>
  </si>
  <si>
    <t xml:space="preserve">Dashboard</t>
  </si>
  <si>
    <t xml:space="preserve">Creación de dashboard de todo el servicio ofrecido.</t>
  </si>
  <si>
    <t xml:space="preserve">Documentacion</t>
  </si>
  <si>
    <t xml:space="preserve">Actualizacion Instructivo Monitoreo Plataformas Cloud</t>
  </si>
  <si>
    <t xml:space="preserve">Se actualizo y publico el instructivo de monitoreo de plataformas cloud.</t>
  </si>
  <si>
    <t xml:space="preserve">Ajuste Offboarding Usuarios Genericos</t>
  </si>
  <si>
    <t xml:space="preserve">Se esta trabajando el ajuste en ambiente Sandbox, se confirmo el flujo que se debe afectar</t>
  </si>
  <si>
    <t xml:space="preserve">Dashboard depuraciones de Usuarios</t>
  </si>
  <si>
    <t xml:space="preserve">Coordinación de actividades para correcta implementacion de los Dashboard en PB para Gestión de Identidades y otras areas solicitantes</t>
  </si>
  <si>
    <t xml:space="preserve">Bloqueo Login Usuario Genericos</t>
  </si>
  <si>
    <t xml:space="preserve">Nuevo formulario para que en la creación de usuarios genéricos sean incluidos el grupo de Deny Logon</t>
  </si>
  <si>
    <t xml:space="preserve">-15-sept- se tuvo sesiones con Santi Barahona que está a cargo del gobierno de usuarios genéricos</t>
  </si>
  <si>
    <t xml:space="preserve">Perfilamiento de aplicaciones</t>
  </si>
  <si>
    <t xml:space="preserve">Creacion de conectores CSV, Entitlements Genericos cuando aplica</t>
  </si>
  <si>
    <t xml:space="preserve">Actualización de Instructivo de Gestión de accesos VPN e Instructivo de Monitoreo de accesos VPN</t>
  </si>
  <si>
    <t xml:space="preserve">Actualización de Instructivo de Monitoreo de accesos VPN</t>
  </si>
  <si>
    <t xml:space="preserve">Certificación de Accesos: Descripción de Entitlements</t>
  </si>
  <si>
    <t xml:space="preserve">Actualizar los Source y los esquemas para agregar las descripciones de los entitlements compartidas por el equipo de acuerdo a la asignaciones de aplicaciones</t>
  </si>
  <si>
    <t xml:space="preserve">Requerimientos Firewall Red Interna</t>
  </si>
  <si>
    <t xml:space="preserve">Analizar y procesar en lo que respecta a GI las tareas  FW asignadas previo a la implementacion por parte del equipo de plataformas CS</t>
  </si>
  <si>
    <t xml:space="preserve">Requerimientos Firewall  VPN</t>
  </si>
  <si>
    <t xml:space="preserve">Analizar, reportar novedades y generar los requerimientos  a plataformas CS para la implementacion d e reglas FW VPN</t>
  </si>
  <si>
    <t xml:space="preserve">Requerimientos SFTP - Operaciones</t>
  </si>
  <si>
    <t xml:space="preserve">Asignación/Retiro de accesos al SFTP para usuarios de Operaciones solicitado por temas de auditoría</t>
  </si>
  <si>
    <t xml:space="preserve">Se realizó el proceso de depuración de accesos de usuarios de Operaciones solicitados por ESTEVEZ ESCOBAR PATRICIO ISRAEL por temas de auditoría</t>
  </si>
  <si>
    <t xml:space="preserve">SFTP - MFTP</t>
  </si>
  <si>
    <t xml:space="preserve">Depuración de grupos y permisos de usuarios nominados en MFTP</t>
  </si>
  <si>
    <t xml:space="preserve">Se está efectuando la depuración de los grupos de GlobalScape existentes en GoAnywhere, considerando la revisión de usuarios estan creados en GoAnyWhere, con el propósito de reducir accesos innecesarios y mantener el principio de mínimo privilegio.
De un total de 790 grupos de AD,se han eliminado 229 y se mantienen 561.</t>
  </si>
  <si>
    <t xml:space="preserve">Accesos Servidor ECBPPRQ93</t>
  </si>
  <si>
    <t xml:space="preserve">Control de usuarios que se ingresan de manera directa a la BDD Q93 de lo que se debe revisar son los permiso para que no ingresen directo a la BDD </t>
  </si>
  <si>
    <t xml:space="preserve">Se realizó la revisión de los usuarios con privilegios elevados, quienes deberán acceder a la base de datos Q93 mediante CyberArk. Por otro lado, los usuarios con privilegios no elevados deberán pertenecer al grupo GF_FW_ECBPPRQ93_11493, lo que les permitirá acceder de forma directa al servidor SQL Q93.</t>
  </si>
  <si>
    <t xml:space="preserve">Integración Estaciones Digitales con Portal REN</t>
  </si>
  <si>
    <t xml:space="preserve">Como parte del proyecto de migración de Cardholder se integrará el proceso de Autogestión de Estación Digital con Portal REN. Pendiente paso a producción</t>
  </si>
  <si>
    <t xml:space="preserve">Atención de requermientos de Crossboarding registrados en la Matriz por el equipo de Estructuras TTHH</t>
  </si>
  <si>
    <t xml:space="preserve">Diario</t>
  </si>
  <si>
    <t xml:space="preserve">Jhonny Barreiro
Richard Requelme
Ana María Fierro</t>
  </si>
  <si>
    <t xml:space="preserve">Perfilamiento BPOne Banco España, Usuarios VIP</t>
  </si>
  <si>
    <t xml:space="preserve">GAF WEB perfilamiento Microfinanzas</t>
  </si>
  <si>
    <t xml:space="preserve">GAF Web certificación roles red de agencias</t>
  </si>
  <si>
    <t xml:space="preserve">Incidente</t>
  </si>
  <si>
    <t xml:space="preserve">Generación tokens (6) para Senefelder y FESA.
Preparación documento del proceso.
Capacitación al equipo interno.
Informe de Senefelder por el incidente.</t>
  </si>
  <si>
    <t xml:space="preserve">RS.MA</t>
  </si>
  <si>
    <t xml:space="preserve">Decomiso aplicación TOTEM AIT (Checklist recepción aplicación y matriz de riesgos)</t>
  </si>
  <si>
    <t xml:space="preserve">Decomiso aplicación COBIS (Desarrollo nuevo módulo de seguridad)</t>
  </si>
  <si>
    <t xml:space="preserve">Decomiso aplicación ODILO reemplazo por ADYPTO</t>
  </si>
  <si>
    <t xml:space="preserve">Secretos</t>
  </si>
  <si>
    <t xml:space="preserve">Aplicaciones sin TechOwner (Secret ID). Identificar y completar</t>
  </si>
  <si>
    <t xml:space="preserve">Servidores</t>
  </si>
  <si>
    <t xml:space="preserve">Obsolecencia de servidores de Gestión de Identidades.</t>
  </si>
  <si>
    <t xml:space="preserve">Validación: KPIs calculados con fórmulas vs. valor publicado en el PDF</t>
  </si>
  <si>
    <t xml:space="preserve">La columna «Valor PDF» es el número impreso en el dashboard con corte 24-sep-2026. Si se cambia la fecha de corte, la diferencia deja de ser 0 y es lo esperado.</t>
  </si>
  <si>
    <t xml:space="preserve">Métrica</t>
  </si>
  <si>
    <t xml:space="preserve">Valor (fórmula)</t>
  </si>
  <si>
    <t xml:space="preserve">Valor PDF</t>
  </si>
  <si>
    <t xml:space="preserve">Diferencia</t>
  </si>
  <si>
    <t xml:space="preserve">Medida DAX equivalente</t>
  </si>
  <si>
    <t xml:space="preserve">Página PDF</t>
  </si>
  <si>
    <t xml:space="preserve">Hitos en el plan</t>
  </si>
  <si>
    <t xml:space="preserve">[Hitos Total]</t>
  </si>
  <si>
    <t xml:space="preserve">Hitos con fecha (no recurrentes)</t>
  </si>
  <si>
    <t xml:space="preserve">[Hitos con Fecha]</t>
  </si>
  <si>
    <t xml:space="preserve">Hitos recurrentes</t>
  </si>
  <si>
    <t xml:space="preserve">[Hitos Recurrentes]</t>
  </si>
  <si>
    <t xml:space="preserve">Completados</t>
  </si>
  <si>
    <t xml:space="preserve">[Hitos Completados]</t>
  </si>
  <si>
    <t xml:space="preserve">En plazo</t>
  </si>
  <si>
    <t xml:space="preserve">[Hitos En Plazo]</t>
  </si>
  <si>
    <t xml:space="preserve">En riesgo</t>
  </si>
  <si>
    <t xml:space="preserve">[Hitos En Riesgo]</t>
  </si>
  <si>
    <t xml:space="preserve">Vencidos</t>
  </si>
  <si>
    <t xml:space="preserve">[Hitos Vencidos]</t>
  </si>
  <si>
    <t xml:space="preserve">Por iniciar</t>
  </si>
  <si>
    <t xml:space="preserve">[Hitos Por Iniciar]</t>
  </si>
  <si>
    <t xml:space="preserve">% completados sobre hitos con fecha</t>
  </si>
  <si>
    <t xml:space="preserve">[% Completado]</t>
  </si>
  <si>
    <t xml:space="preserve">Avance real promedio</t>
  </si>
  <si>
    <t xml:space="preserve">[Avance Real]</t>
  </si>
  <si>
    <t xml:space="preserve">Avance esperado promedio</t>
  </si>
  <si>
    <t xml:space="preserve">[Avance Esperado]</t>
  </si>
  <si>
    <t xml:space="preserve">[SPI]</t>
  </si>
  <si>
    <t xml:space="preserve">Días de atraso promedio (vencidos)</t>
  </si>
  <si>
    <t xml:space="preserve">[Dias Atraso Promedio]</t>
  </si>
  <si>
    <t xml:space="preserve">Hitos abiertos</t>
  </si>
  <si>
    <t xml:space="preserve">[Hitos Abiertos]</t>
  </si>
  <si>
    <t xml:space="preserve">Cierres desde InicioRitmo hasta el corte</t>
  </si>
  <si>
    <t xml:space="preserve">—</t>
  </si>
  <si>
    <t xml:space="preserve">Meses de la ventana de ritmo</t>
  </si>
  <si>
    <t xml:space="preserve">Ritmo de cierre mensual</t>
  </si>
  <si>
    <t xml:space="preserve">[Ritmo Cierre Mensual]</t>
  </si>
  <si>
    <t xml:space="preserve">Meses restantes al fin de año</t>
  </si>
  <si>
    <t xml:space="preserve">[Meses Restantes]</t>
  </si>
  <si>
    <t xml:space="preserve">Ritmo requerido por mes</t>
  </si>
  <si>
    <t xml:space="preserve">[Ritmo Requerido]</t>
  </si>
  <si>
    <t xml:space="preserve">Multiplicador de capacidad</t>
  </si>
  <si>
    <t xml:space="preserve">[Multiplicador Capacidad]</t>
  </si>
  <si>
    <t xml:space="preserve">Abiertos que vencen a fin del mes de corte</t>
  </si>
  <si>
    <t xml:space="preserve">[Hitos Vencen Fin de Mes Corte]</t>
  </si>
  <si>
    <t xml:space="preserve">Avance promedio de esos hitos</t>
  </si>
  <si>
    <t xml:space="preserve">[Avance Vencen Fin de Mes Corte]</t>
  </si>
  <si>
    <t xml:space="preserve">Abiertos futuros con fecha a fin de mes</t>
  </si>
  <si>
    <t xml:space="preserve">[Abiertos Futuros Fin de Mes]</t>
  </si>
  <si>
    <t xml:space="preserve">Abiertos futuros</t>
  </si>
  <si>
    <t xml:space="preserve">[Abiertos Futuros]</t>
  </si>
  <si>
    <t xml:space="preserve">Completados con fecha real = fecha plan</t>
  </si>
  <si>
    <t xml:space="preserve">[Completados Fecha Igual Plan]</t>
  </si>
  <si>
    <t xml:space="preserve">Hitos regulatorios (Riesgos + Obs. Auditoría)</t>
  </si>
  <si>
    <t xml:space="preserve">[Hitos Regulatorios]</t>
  </si>
  <si>
    <t xml:space="preserve">% del plan en Proteger (PR)</t>
  </si>
  <si>
    <t xml:space="preserve">[% Plan Proteger]</t>
  </si>
  <si>
    <t xml:space="preserve">Hitos en DE + RS + RC</t>
  </si>
  <si>
    <t xml:space="preserve">[Hitos DE RS RC]</t>
  </si>
  <si>
    <t xml:space="preserve">Salud por frente (página 1)</t>
  </si>
  <si>
    <t xml:space="preserve">Hitos (no rec.)</t>
  </si>
  <si>
    <t xml:space="preserve">Avance real</t>
  </si>
  <si>
    <t xml:space="preserve">SailPoint IGA</t>
  </si>
  <si>
    <t xml:space="preserve">Certificación de accesos</t>
  </si>
  <si>
    <t xml:space="preserve">Bases de datos y SFTP</t>
  </si>
  <si>
    <t xml:space="preserve">Privilegiados y contraseñas</t>
  </si>
  <si>
    <t xml:space="preserve">Terceros y genéricos</t>
  </si>
  <si>
    <t xml:space="preserve">Controles, red y M365</t>
  </si>
  <si>
    <t xml:space="preserve">Aplicaciones y roles</t>
  </si>
  <si>
    <t xml:space="preserve">Ciclo de vida JML</t>
  </si>
  <si>
    <t xml:space="preserve">Gobierno y reportería</t>
  </si>
  <si>
    <t xml:space="preserve">Planes de riesgo (PMC)</t>
  </si>
  <si>
    <t xml:space="preserve">Detalle por categoría NIST CSF 2.0 (página 3)</t>
  </si>
  <si>
    <t xml:space="preserve">Categoría</t>
  </si>
  <si>
    <t xml:space="preserve">Hitos (todos)</t>
  </si>
  <si>
    <t xml:space="preserve">Qué tipo de trabajo se atrasa más (página 4)</t>
  </si>
  <si>
    <t xml:space="preserve">Tipo</t>
  </si>
  <si>
    <t xml:space="preserve">Vencidos + en riesgo</t>
  </si>
  <si>
    <t xml:space="preserve">% atrasado</t>
  </si>
  <si>
    <t xml:space="preserve">Medida</t>
  </si>
  <si>
    <t xml:space="preserve">Carpeta</t>
  </si>
  <si>
    <t xml:space="preserve">Expresión DAX</t>
  </si>
  <si>
    <t xml:space="preserve">Formato</t>
  </si>
  <si>
    <t xml:space="preserve">Descripción</t>
  </si>
  <si>
    <t xml:space="preserve">Dónde se usa</t>
  </si>
  <si>
    <t xml:space="preserve">Fecha Corte</t>
  </si>
  <si>
    <t xml:space="preserve">0 Parámetros</t>
  </si>
  <si>
    <t xml:space="preserve">CALCULATE ( MAX ( Parametros[Valor] ), Parametros[Parámetro] = "FechaCorte" )</t>
  </si>
  <si>
    <t xml:space="preserve">dd/mm/yyyy</t>
  </si>
  <si>
    <t xml:space="preserve">Fecha de corte del reporte.</t>
  </si>
  <si>
    <t xml:space="preserve">Encabezado, todas las medidas de tiempo</t>
  </si>
  <si>
    <t xml:space="preserve">Umbral Riesgo</t>
  </si>
  <si>
    <t xml:space="preserve">CALCULATE ( MAX ( Parametros[Valor] ), Parametros[Parámetro] = "UmbralRiesgo" )</t>
  </si>
  <si>
    <t xml:space="preserve">0%</t>
  </si>
  <si>
    <t xml:space="preserve">Brecha que marca un hito en riesgo.</t>
  </si>
  <si>
    <t xml:space="preserve">Columnas calculadas</t>
  </si>
  <si>
    <t xml:space="preserve">Hitos Total</t>
  </si>
  <si>
    <t xml:space="preserve">1 Conteos</t>
  </si>
  <si>
    <t xml:space="preserve">COUNTROWS ( fHitos )</t>
  </si>
  <si>
    <t xml:space="preserve">0</t>
  </si>
  <si>
    <t xml:space="preserve">Todos los hitos del plan.</t>
  </si>
  <si>
    <t xml:space="preserve">P1 KPI «Hitos en el plan», dona tipo de trabajo</t>
  </si>
  <si>
    <t xml:space="preserve">Hitos con Fecha</t>
  </si>
  <si>
    <t xml:space="preserve">CALCULATE ( [Hitos Total], fHitos[Recurrente] = "No" )</t>
  </si>
  <si>
    <t xml:space="preserve">Hitos no recurrentes (con fecha comprometida).</t>
  </si>
  <si>
    <t xml:space="preserve">P1 KPI, título barra de estados</t>
  </si>
  <si>
    <t xml:space="preserve">Hitos Recurrentes</t>
  </si>
  <si>
    <t xml:space="preserve">CALCULATE ( [Hitos Total], fHitos[Recurrente] = "Sí" )</t>
  </si>
  <si>
    <t xml:space="preserve">Hitos con frecuencia.</t>
  </si>
  <si>
    <t xml:space="preserve">P1 KPI subtítulo</t>
  </si>
  <si>
    <t xml:space="preserve">Hitos Completados</t>
  </si>
  <si>
    <t xml:space="preserve">CALCULATE ( [Hitos Total], fHitos[Estado] = "Completado" )</t>
  </si>
  <si>
    <t xml:space="preserve">P1 KPI, tabla frentes, P3 tabla NIST</t>
  </si>
  <si>
    <t xml:space="preserve">Hitos En Plazo</t>
  </si>
  <si>
    <t xml:space="preserve">CALCULATE ( [Hitos Total], fHitos[Estado] = "En plazo" )</t>
  </si>
  <si>
    <t xml:space="preserve">P1 distribución</t>
  </si>
  <si>
    <t xml:space="preserve">Hitos En Riesgo</t>
  </si>
  <si>
    <t xml:space="preserve">CALCULATE ( [Hitos Total], fHitos[Estado] = "En riesgo" )</t>
  </si>
  <si>
    <t xml:space="preserve">P1 KPI, tablas</t>
  </si>
  <si>
    <t xml:space="preserve">Hitos Vencidos</t>
  </si>
  <si>
    <t xml:space="preserve">CALCULATE ( [Hitos Total], fHitos[Estado] = "Vencido" )</t>
  </si>
  <si>
    <t xml:space="preserve">P1 KPI, tablas, P4</t>
  </si>
  <si>
    <t xml:space="preserve">Hitos Por Iniciar</t>
  </si>
  <si>
    <t xml:space="preserve">CALCULATE ( [Hitos Total], fHitos[Estado] = "Por iniciar" )</t>
  </si>
  <si>
    <t xml:space="preserve">Hitos Abiertos</t>
  </si>
  <si>
    <t xml:space="preserve">CALCULATE ( [Hitos Total], fHitos[Abierto] = 1 )</t>
  </si>
  <si>
    <t xml:space="preserve">Vencidos + en riesgo + en plazo + por iniciar.</t>
  </si>
  <si>
    <t xml:space="preserve">P2 capacidad</t>
  </si>
  <si>
    <t xml:space="preserve">% Completado</t>
  </si>
  <si>
    <t xml:space="preserve">DIVIDE ( [Hitos Completados], [Hitos con Fecha] )</t>
  </si>
  <si>
    <t xml:space="preserve">% Estado</t>
  </si>
  <si>
    <t xml:space="preserve">DIVIDE (
    [Hitos Total],
    CALCULATE ( [Hitos con Fecha], REMOVEFILTERS ( dEstado ), REMOVEFILTERS ( fHitos[Estado] ) )
)</t>
  </si>
  <si>
    <t xml:space="preserve">Participación de cada estado sobre los hitos con fecha.</t>
  </si>
  <si>
    <t xml:space="preserve">P1 barra apilada 100% de estados</t>
  </si>
  <si>
    <t xml:space="preserve">Avance Real</t>
  </si>
  <si>
    <t xml:space="preserve">2 Avance</t>
  </si>
  <si>
    <t xml:space="preserve">CALCULATE ( AVERAGE ( fHitos[% avance] ), fHitos[Recurrente] = "No" )</t>
  </si>
  <si>
    <t xml:space="preserve">Promedio simple del % de avance reportado.</t>
  </si>
  <si>
    <t xml:space="preserve">P1 KPI, tabla frentes, P2 mancuernas, P3</t>
  </si>
  <si>
    <t xml:space="preserve">Avance Esperado</t>
  </si>
  <si>
    <t xml:space="preserve">CALCULATE ( AVERAGE ( fHitos[AvanceEsperado] ), fHitos[Recurrente] = "No" )</t>
  </si>
  <si>
    <t xml:space="preserve">Avance que deberían tener según tiempo transcurrido.</t>
  </si>
  <si>
    <t xml:space="preserve">P1, P2, P3</t>
  </si>
  <si>
    <t xml:space="preserve">DIVIDE ( [Avance Real], [Avance Esperado] )</t>
  </si>
  <si>
    <t xml:space="preserve">0.00</t>
  </si>
  <si>
    <t xml:space="preserve">Índice de cumplimiento del cronograma.</t>
  </si>
  <si>
    <t xml:space="preserve">P1 KPI y tabla, P3 rueda y tabla</t>
  </si>
  <si>
    <t xml:space="preserve">Atraso vs Cronograma %</t>
  </si>
  <si>
    <t xml:space="preserve">1 - [SPI]</t>
  </si>
  <si>
    <t xml:space="preserve">«El plan va X% por detrás».</t>
  </si>
  <si>
    <t xml:space="preserve">P1 texto de lectura</t>
  </si>
  <si>
    <t xml:space="preserve">SPI Color</t>
  </si>
  <si>
    <t xml:space="preserve">VAR s = [SPI]
VAR v = CALCULATE ( MAX ( Parametros[Valor] ), Parametros[Parámetro] = "SPI_Verde" )
VAR a = CALCULATE ( MAX ( Parametros[Valor] ), Parametros[Parámetro] = "SPI_Amarillo" )
RETURN SWITCH ( TRUE (), ISBLANK ( s ), BLANK (), s &gt;= v, "#0F265C", s &gt;= a, "#F5B800", "#D64545" )</t>
  </si>
  <si>
    <t xml:space="preserve">Texto</t>
  </si>
  <si>
    <t xml:space="preserve">Color para formato condicional (valor del campo).</t>
  </si>
  <si>
    <t xml:space="preserve">Barras de avance, chips SPI, rueda NIST</t>
  </si>
  <si>
    <t xml:space="preserve">Dias Atraso Promedio</t>
  </si>
  <si>
    <t xml:space="preserve">CALCULATE ( AVERAGE ( fHitos[DiasVencido] ), fHitos[Estado] = "Vencido" )</t>
  </si>
  <si>
    <t xml:space="preserve">P1 KPI vencidos</t>
  </si>
  <si>
    <t xml:space="preserve">Vencimientos Planificados</t>
  </si>
  <si>
    <t xml:space="preserve">3 Capacidad</t>
  </si>
  <si>
    <t xml:space="preserve">[Hitos con Fecha]  -- por la relación activa dCalendario[Fecha] → fHitos[Fecha Fin Planificación]</t>
  </si>
  <si>
    <t xml:space="preserve">Hitos cuya fecha plan cae en el periodo.</t>
  </si>
  <si>
    <t xml:space="preserve">P2 columnas (barra clara)</t>
  </si>
  <si>
    <t xml:space="preserve">Abiertos por Mes Plan</t>
  </si>
  <si>
    <t xml:space="preserve">Tramo de color sobre la barra clara.</t>
  </si>
  <si>
    <t xml:space="preserve">P2 columnas</t>
  </si>
  <si>
    <t xml:space="preserve">Cierres Reales</t>
  </si>
  <si>
    <t xml:space="preserve">VAR c = [Fecha Corte]
RETURN
CALCULATE (
    [Hitos Completados],
    USERELATIONSHIP ( dCalendario[Fecha], fHitos[Fecha Fin] ),
    fHitos[Fecha Fin] &lt;= c
)</t>
  </si>
  <si>
    <t xml:space="preserve">Hitos cerrados en el periodo según fecha real.</t>
  </si>
  <si>
    <t xml:space="preserve">P2 columnas (barra azul marino)</t>
  </si>
  <si>
    <t xml:space="preserve">Ritmo Cierre Mensual</t>
  </si>
  <si>
    <t xml:space="preserve">VAR c = [Fecha Corte]
VAR ini = CALCULATE ( MAX ( Parametros[Valor] ), Parametros[Parámetro] = "InicioRitmo" )
VAR meses = DATEDIFF ( ini, c, MONTH ) + 1
RETURN
DIVIDE (
    CALCULATE ( [Hitos Completados], REMOVEFILTERS ( dCalendario ),
        fHitos[Fecha Fin] &gt;= ini, fHitos[Fecha Fin] &lt;= c ),
    meses
)</t>
  </si>
  <si>
    <t xml:space="preserve">0.0</t>
  </si>
  <si>
    <t xml:space="preserve">Cierres promedio por mes en la ventana histórica.</t>
  </si>
  <si>
    <t xml:space="preserve">P2 línea punteada, texto capacidad</t>
  </si>
  <si>
    <t xml:space="preserve">Meses Restantes</t>
  </si>
  <si>
    <t xml:space="preserve">VAR c = [Fecha Corte]
VAR fin = CALCULATE ( MAX ( Parametros[Valor] ), Parametros[Parámetro] = "FinAnio" )
RETURN DIVIDE ( fin - c, 30.4 )</t>
  </si>
  <si>
    <t xml:space="preserve">P2</t>
  </si>
  <si>
    <t xml:space="preserve">Ritmo Requerido</t>
  </si>
  <si>
    <t xml:space="preserve">DIVIDE ( CALCULATE ( [Hitos Abiertos], REMOVEFILTERS ( dCalendario ) ), [Meses Restantes] )</t>
  </si>
  <si>
    <t xml:space="preserve">Cierres por mes necesarios para terminar el año.</t>
  </si>
  <si>
    <t xml:space="preserve">P2 línea roja, P1 lectura</t>
  </si>
  <si>
    <t xml:space="preserve">Multiplicador Capacidad</t>
  </si>
  <si>
    <t xml:space="preserve">DIVIDE ( [Ritmo Requerido], [Ritmo Cierre Mensual] )</t>
  </si>
  <si>
    <t xml:space="preserve">0.0"×"</t>
  </si>
  <si>
    <t xml:space="preserve">P2 tarjeta «2,2×»</t>
  </si>
  <si>
    <t xml:space="preserve">Hitos Vencen Fin de Mes Corte</t>
  </si>
  <si>
    <t xml:space="preserve">VAR f = EOMONTH ( [Fecha Corte], 0 )
RETURN CALCULATE ( [Hitos Abiertos], REMOVEFILTERS ( dCalendario ), fHitos[Fecha Fin Planificación] = f )</t>
  </si>
  <si>
    <t xml:space="preserve">P2 tarjeta «17 hitos vencen el 30-sep»</t>
  </si>
  <si>
    <t xml:space="preserve">Avance Vencen Fin de Mes Corte</t>
  </si>
  <si>
    <t xml:space="preserve">VAR f = EOMONTH ( [Fecha Corte], 0 )
RETURN CALCULATE ( AVERAGE ( fHitos[% avance] ), REMOVEFILTERS ( dCalendario ), fHitos[Abierto] = 1, fHitos[Fecha Fin Planificación] = f )</t>
  </si>
  <si>
    <t xml:space="preserve">P2 tarjeta</t>
  </si>
  <si>
    <t xml:space="preserve">Abiertos Futuros</t>
  </si>
  <si>
    <t xml:space="preserve">VAR c = [Fecha Corte]
RETURN CALCULATE ( [Hitos Abiertos], REMOVEFILTERS ( dCalendario ), fHitos[Fecha Fin Planificación] &gt;= c )</t>
  </si>
  <si>
    <t xml:space="preserve">Abiertos Futuros Fin de Mes</t>
  </si>
  <si>
    <t xml:space="preserve">VAR c = [Fecha Corte]
RETURN CALCULATE ( [Hitos Abiertos], REMOVEFILTERS ( dCalendario ), fHitos[Fecha Fin Planificación] &gt;= c, fHitos[PlanFinDeMes] = 1 )</t>
  </si>
  <si>
    <t xml:space="preserve">Fechas «por defecto».</t>
  </si>
  <si>
    <t xml:space="preserve">P2 tarjeta «47 de 60»</t>
  </si>
  <si>
    <t xml:space="preserve">Hitos Expuestos</t>
  </si>
  <si>
    <t xml:space="preserve">CALCULATE ( [Hitos Total], fHitos[Expuesto] = 1 )</t>
  </si>
  <si>
    <t xml:space="preserve">Abiertos que vencen entre el corte y HorizonteExpuestos.</t>
  </si>
  <si>
    <t xml:space="preserve">P2 tabla (filtro visual)</t>
  </si>
  <si>
    <t xml:space="preserve">Hitos Regulatorios</t>
  </si>
  <si>
    <t xml:space="preserve">4 Alertas</t>
  </si>
  <si>
    <t xml:space="preserve">CALCULATE ( [Hitos Total], fHitos[EsRegulatorio] = 1 )</t>
  </si>
  <si>
    <t xml:space="preserve">Tipo Riesgos u Obs. Auditoría.</t>
  </si>
  <si>
    <t xml:space="preserve">P4 lista de compromisos</t>
  </si>
  <si>
    <t xml:space="preserve">% Atrasado</t>
  </si>
  <si>
    <t xml:space="preserve">DIVIDE ( [Hitos Vencidos] + [Hitos En Riesgo], [Hitos con Fecha] )</t>
  </si>
  <si>
    <t xml:space="preserve">Vencidos o en riesgo sobre hitos con fecha.</t>
  </si>
  <si>
    <t xml:space="preserve">P4 «Qué tipo de trabajo se atrasa más»</t>
  </si>
  <si>
    <t xml:space="preserve">Completados Fecha Igual Plan</t>
  </si>
  <si>
    <t xml:space="preserve">CALCULATE ( [Hitos Total], fHitos[FinIgualPlan] = 1 )</t>
  </si>
  <si>
    <t xml:space="preserve">Indicio de que la fecha plan se sobrescribe al cerrar.</t>
  </si>
  <si>
    <t xml:space="preserve">Calidad del dato</t>
  </si>
  <si>
    <t xml:space="preserve">Titulo Vencidos</t>
  </si>
  <si>
    <t xml:space="preserve">[Hitos Vencidos] &amp; " hitos vencidos en total; se muestran los 10 con mayor atraso al corte."</t>
  </si>
  <si>
    <t xml:space="preserve">Subtítulo dinámico.</t>
  </si>
  <si>
    <t xml:space="preserve">P4 subtítulo tabla</t>
  </si>
  <si>
    <t xml:space="preserve">% Plan Proteger</t>
  </si>
  <si>
    <t xml:space="preserve">5 NIST</t>
  </si>
  <si>
    <t xml:space="preserve">DIVIDE ( CALCULATE ( [Hitos Total], dNIST[Funcion] = "PR" ), CALCULATE ( [Hitos Total], REMOVEFILTERS ( dNIST ) ) )</t>
  </si>
  <si>
    <t xml:space="preserve">P3 KPI</t>
  </si>
  <si>
    <t xml:space="preserve">Hitos PR.AA</t>
  </si>
  <si>
    <t xml:space="preserve">CALCULATE ( [Hitos Total], LEFT ( dNIST[Codigo], 5 ) = "PR.AA" )</t>
  </si>
  <si>
    <t xml:space="preserve">P3 KPI subtítulo</t>
  </si>
  <si>
    <t xml:space="preserve">Hitos DE RS RC</t>
  </si>
  <si>
    <t xml:space="preserve">CALCULATE ( [Hitos Total], dNIST[Funcion] IN { "DE", "RS", "RC" } )</t>
  </si>
  <si>
    <t xml:space="preserve">SPI Autenticacion</t>
  </si>
  <si>
    <t xml:space="preserve">CALCULATE ( [SPI], dNIST[Codigo] = "PR.AA-03" )</t>
  </si>
  <si>
    <t xml:space="preserve">SPI Monitoreo</t>
  </si>
  <si>
    <t xml:space="preserve">CALCULATE ( [SPI], dNIST[Codigo] = "DE.CM" )</t>
  </si>
  <si>
    <t xml:space="preserve">Etiqueta Funcion</t>
  </si>
  <si>
    <t xml:space="preserve">SELECTEDVALUE ( dNIST[Funcion] ) &amp; " · " &amp; [Hitos Total] &amp; " hitos · SPI " &amp; FORMAT ( [SPI], "0.00" )</t>
  </si>
  <si>
    <t xml:space="preserve">Etiqueta de datos para el gráfico de funciones.</t>
  </si>
  <si>
    <t xml:space="preserve">P3 rueda / anillo</t>
  </si>
  <si>
    <t xml:space="preserve">Titulo Estados</t>
  </si>
  <si>
    <t xml:space="preserve">6 Textos</t>
  </si>
  <si>
    <t xml:space="preserve">"Estado de los " &amp; [Hitos con Fecha] &amp; " hitos con fecha"</t>
  </si>
  <si>
    <t xml:space="preserve">P1 título visual</t>
  </si>
  <si>
    <t xml:space="preserve">Texto Capacidad</t>
  </si>
  <si>
    <t xml:space="preserve">"Quedan " &amp; [Hitos Abiertos] &amp; " hitos abiertos y el equipo cierra " &amp; FORMAT ( [Ritmo Cierre Mensual], "0.0" )
    &amp; " por mes; cerrar el año exige ~" &amp; FORMAT ( [Ritmo Requerido], "0" ) &amp; " por mes, "
    &amp; FORMAT ( [Multiplicador Capacidad], "0.0" ) &amp; " veces el ritmo observado."</t>
  </si>
  <si>
    <t xml:space="preserve">Lectura dinámica.</t>
  </si>
  <si>
    <t xml:space="preserve">P1 bloque «Lo que dicen los datos»</t>
  </si>
  <si>
    <t xml:space="preserve">Texto Corte</t>
  </si>
  <si>
    <t xml:space="preserve">"Corte " &amp; FORMAT ( [Fecha Corte], "dd mmm yyyy" )</t>
  </si>
  <si>
    <t xml:space="preserve">Encabezado de todas las páginas</t>
  </si>
  <si>
    <t xml:space="preserve">Tabla</t>
  </si>
  <si>
    <t xml:space="preserve">Columna</t>
  </si>
  <si>
    <t xml:space="preserve">Expresión DAX (columna calculada)</t>
  </si>
  <si>
    <t xml:space="preserve">Equivale en fHitos (Excel)</t>
  </si>
  <si>
    <t xml:space="preserve">fHitos</t>
  </si>
  <si>
    <t xml:space="preserve">RELATED ( dFrente[Frente] )</t>
  </si>
  <si>
    <t xml:space="preserve">N</t>
  </si>
  <si>
    <t xml:space="preserve">RELATED ( dNIST[Funcion] )</t>
  </si>
  <si>
    <t xml:space="preserve">O</t>
  </si>
  <si>
    <t xml:space="preserve">VAR t = TRIM ( fHitos[Encargado] )
VAR p = SEARCH ( UNICHAR ( 10 ), t, 1, 0 )
RETURN TRIM ( IF ( p &gt; 0, LEFT ( t, p - 1 ), t ) )</t>
  </si>
  <si>
    <t xml:space="preserve">P</t>
  </si>
  <si>
    <t xml:space="preserve">VAR t = TRIM ( fHitos[Encargado] )
RETURN LEN ( t ) - LEN ( SUBSTITUTE ( t, UNICHAR ( 10 ), "" ) ) + 1</t>
  </si>
  <si>
    <t xml:space="preserve">Entero</t>
  </si>
  <si>
    <t xml:space="preserve">Q</t>
  </si>
  <si>
    <t xml:space="preserve">IF ( ISBLANK ( fHitos[Frecuencia] ) || fHitos[Frecuencia] = "", "No", "Sí" )</t>
  </si>
  <si>
    <t xml:space="preserve">R</t>
  </si>
  <si>
    <t xml:space="preserve">VAR c = CALCULATE ( MAX ( Parametros[Valor] ), Parametros[Parámetro] = "FechaCorte" )
VAR i = fHitos[Fecha Inicio]
VAR p = fHitos[Fecha Fin Planificación]
RETURN
IF ( ISBLANK ( i ) || ISBLANK ( p ), BLANK (),
    IF ( p &lt;= i, IF ( c &gt;= p, 1, 0 ),
        MAX ( 0, MIN ( 1, DIVIDE ( c - i, p - i ) ) ) ) )</t>
  </si>
  <si>
    <t xml:space="preserve">Decimal</t>
  </si>
  <si>
    <t xml:space="preserve">S</t>
  </si>
  <si>
    <t xml:space="preserve">IF ( ISBLANK ( fHitos[AvanceEsperado] ), BLANK (), fHitos[% avance] - fHitos[AvanceEsperado] )</t>
  </si>
  <si>
    <t xml:space="preserve">T</t>
  </si>
  <si>
    <t xml:space="preserve">VAR c = CALCULATE ( MAX ( Parametros[Valor] ), Parametros[Parámetro] = "FechaCorte" )
VAR u = CALCULATE ( MAX ( Parametros[Valor] ), Parametros[Parámetro] = "UmbralRiesgo" )
RETURN
SWITCH ( TRUE (),
    fHitos[Recurrente] = "Sí", "Recurrente",
    fHitos[% avance] &gt;= 1, "Completado",
    NOT ISBLANK ( fHitos[Fecha Fin Planificación] ) &amp;&amp; fHitos[Fecha Fin Planificación] &lt; c, "Vencido",
    fHitos[% avance] = 0 &amp;&amp; ( ISBLANK ( fHitos[Fecha Inicio] ) || fHitos[Fecha Inicio] &gt; c ), "Por iniciar",
    NOT ISBLANK ( fHitos[Brecha] ) &amp;&amp; fHitos[Brecha] &lt;= u, "En riesgo",
    "En plazo" )</t>
  </si>
  <si>
    <t xml:space="preserve">U</t>
  </si>
  <si>
    <t xml:space="preserve">IF ( fHitos[Estado] IN { "Vencido", "En riesgo", "En plazo", "Por iniciar" }, 1, 0 )</t>
  </si>
  <si>
    <t xml:space="preserve">V</t>
  </si>
  <si>
    <t xml:space="preserve">VAR c = CALCULATE ( MAX ( Parametros[Valor] ), Parametros[Parámetro] = "FechaCorte" )
RETURN IF ( fHitos[Estado] = "Vencido", INT ( c - fHitos[Fecha Fin Planificación] ) )</t>
  </si>
  <si>
    <t xml:space="preserve">W</t>
  </si>
  <si>
    <t xml:space="preserve">VAR c = CALCULATE ( MAX ( Parametros[Valor] ), Parametros[Parámetro] = "FechaCorte" )
RETURN IF ( fHitos[Abierto] = 1 &amp;&amp; fHitos[Estado] &lt;&gt; "Vencido", INT ( fHitos[Fecha Fin Planificación] - c ) )</t>
  </si>
  <si>
    <t xml:space="preserve">X</t>
  </si>
  <si>
    <t xml:space="preserve">IF ( NOT ISBLANK ( fHitos[Fecha Fin Planificación] ), DATE ( YEAR ( fHitos[Fecha Fin Planificación] ), MONTH ( fHitos[Fecha Fin Planificación] ), 1 ) )</t>
  </si>
  <si>
    <t xml:space="preserve">Fecha</t>
  </si>
  <si>
    <t xml:space="preserve">Y</t>
  </si>
  <si>
    <t xml:space="preserve">IF ( NOT ISBLANK ( fHitos[Fecha Fin Planificación] ), IF ( fHitos[Fecha Fin Planificación] = EOMONTH ( fHitos[Fecha Fin Planificación], 0 ), 1, 0 ) )</t>
  </si>
  <si>
    <t xml:space="preserve">AA</t>
  </si>
  <si>
    <t xml:space="preserve">IF ( fHitos[Estado] = "Completado" &amp;&amp; fHitos[Fecha Fin] = fHitos[Fecha Fin Planificación] &amp;&amp; NOT ISBLANK ( fHitos[Fecha Fin] ), 1, 0 )</t>
  </si>
  <si>
    <t xml:space="preserve">AB</t>
  </si>
  <si>
    <t xml:space="preserve">VAR c = CALCULATE ( MAX ( Parametros[Valor] ), Parametros[Parámetro] = "FechaCorte" )
RETURN IF ( fHitos[% avance] &gt;= 1 &amp;&amp; fHitos[Fecha Fin] &gt; c, 1, 0 )</t>
  </si>
  <si>
    <t xml:space="preserve">AC</t>
  </si>
  <si>
    <t xml:space="preserve">IF ( NOT ISBLANK ( fHitos[Fecha Fin] ) &amp;&amp; fHitos[Fecha Fin] &lt; fHitos[Fecha Inicio], 1, 0 )</t>
  </si>
  <si>
    <t xml:space="preserve">AD</t>
  </si>
  <si>
    <t xml:space="preserve">IF ( fHitos[Tipo Actividad] IN { "Riesgos", "Obs. Auditoría" }, 1, 0 )</t>
  </si>
  <si>
    <t xml:space="preserve">AE</t>
  </si>
  <si>
    <t xml:space="preserve">VAR p = SEARCH ( "PMC-", fHitos[Descripcion_Hitos], 1, 0 )
RETURN IF ( p &gt; 0, MID ( fHitos[Descripcion_Hitos], p, 8 ) )</t>
  </si>
  <si>
    <t xml:space="preserve">AF</t>
  </si>
  <si>
    <t xml:space="preserve">VAR c = CALCULATE ( MAX ( Parametros[Valor] ), Parametros[Parámetro] = "FechaCorte" )
VAR h = CALCULATE ( MAX ( Parametros[Valor] ), Parametros[Parámetro] = "HorizonteExpuestos" )
RETURN IF ( fHitos[Abierto] = 1 &amp;&amp; fHitos[Fecha Fin Planificación] &gt;= c &amp;&amp; fHitos[Fecha Fin Planificación] &lt;= h, 1, 0 )</t>
  </si>
  <si>
    <t xml:space="preserve">AG</t>
  </si>
  <si>
    <t xml:space="preserve">OrdenEstado</t>
  </si>
  <si>
    <t xml:space="preserve">RELATED ( dEstado[Orden] )</t>
  </si>
  <si>
    <t xml:space="preserve">ColorEstado</t>
  </si>
  <si>
    <t xml:space="preserve">RELATED ( dEstado[ColorHex] )</t>
  </si>
  <si>
    <t xml:space="preserve">dCalendario</t>
  </si>
  <si>
    <t xml:space="preserve">Tabla completa (alternativa)</t>
  </si>
  <si>
    <t xml:space="preserve">dCalendario =
ADDCOLUMNS (
    CALENDAR ( DATE ( 2025, 1, 1 ), DATE ( 2026, 12, 31 ) ),
    "Anio", YEAR ( [Date] ),
    "Mes", MONTH ( [Date] ),
    "MesNombre", FORMAT ( [Date], "mmm" ),
    "MesAnio", FORMAT ( [Date], "mmm-yy" ),
    "Trimestre", "T" &amp; QUARTER ( [Date] ),
    "InicioMes", DATE ( YEAR ( [Date] ), MONTH ( [Date] ), 1 )
)</t>
  </si>
  <si>
    <t xml:space="preserve">Nota</t>
  </si>
  <si>
    <t xml:space="preserve">En Parametros, la columna «Valor» mezcla fechas y números. En Power Query, conviértala a tipo Decimal: las fechas quedan como número serial y DAX las compara correctamente con columnas de fecha. Si prefiere, cree una tabla de parámetros separada solo para fechas.</t>
  </si>
  <si>
    <t xml:space="preserve">Página</t>
  </si>
  <si>
    <t xml:space="preserve">Visual</t>
  </si>
  <si>
    <t xml:space="preserve">Tipo en Power BI</t>
  </si>
  <si>
    <t xml:space="preserve">Campos / medidas</t>
  </si>
  <si>
    <t xml:space="preserve">Filtros del visual</t>
  </si>
  <si>
    <t xml:space="preserve">1 Portafolio 2026</t>
  </si>
  <si>
    <t xml:space="preserve">KPI Hitos en el plan</t>
  </si>
  <si>
    <t xml:space="preserve">Tarjeta (nueva)</t>
  </si>
  <si>
    <t xml:space="preserve">Valor: [Hitos Total] · Referencia: [Hitos con Fecha], [Hitos Recurrentes]</t>
  </si>
  <si>
    <t xml:space="preserve">Barra de acento azul marino #0F265C a la izquierda.</t>
  </si>
  <si>
    <t xml:space="preserve">KPI Avance real</t>
  </si>
  <si>
    <t xml:space="preserve">Valor: [Avance Real] · Referencia: [Avance Esperado] · Etiqueta: [SPI]</t>
  </si>
  <si>
    <t xml:space="preserve">Chip SPI amarillo si [SPI] &lt; 0,90.</t>
  </si>
  <si>
    <t xml:space="preserve">KPI Completados / En riesgo / Vencidos</t>
  </si>
  <si>
    <t xml:space="preserve">Tarjeta (nueva) ×3</t>
  </si>
  <si>
    <t xml:space="preserve">[Hitos Completados] + [% Completado] · [Hitos En Riesgo] · [Hitos Vencidos] + [Dias Atraso Promedio]</t>
  </si>
  <si>
    <t xml:space="preserve">Acentos: azul, amarillo #F5B800, rojo #D64545.</t>
  </si>
  <si>
    <t xml:space="preserve">Estado de los hitos con fecha</t>
  </si>
  <si>
    <t xml:space="preserve">Barra apilada 100%</t>
  </si>
  <si>
    <t xml:space="preserve">Leyenda: dEstado[Estado] (orden por dEstado[Orden]) · Valores: [Hitos Total]</t>
  </si>
  <si>
    <t xml:space="preserve">fHitos[Recurrente] = "No"</t>
  </si>
  <si>
    <t xml:space="preserve">Colores por estado (dEstado[ColorHex]). Título: [Titulo Estados].</t>
  </si>
  <si>
    <t xml:space="preserve">Tipo de trabajo</t>
  </si>
  <si>
    <t xml:space="preserve">Gráfico de anillos</t>
  </si>
  <si>
    <t xml:space="preserve">Leyenda: fHitos[Tipo Actividad] · Valores: [Hitos Total]</t>
  </si>
  <si>
    <t xml:space="preserve">Colores de dTipo; total al centro con tarjeta superpuesta.</t>
  </si>
  <si>
    <t xml:space="preserve">Salud por frente de trabajo</t>
  </si>
  <si>
    <t xml:space="preserve">Filas: dFrente[Frente] · [Hitos con Fecha], [Hitos Completados], [Avance Real], [Avance Esperado], [Hitos En Riesgo], [Hitos Vencidos], [SPI]</t>
  </si>
  <si>
    <t xml:space="preserve">Ordenar por [SPI] ascendente</t>
  </si>
  <si>
    <t xml:space="preserve">[Avance Real]: barras de datos; [SPI]: color de fondo por valor de campo = [SPI Color].</t>
  </si>
  <si>
    <t xml:space="preserve">Lo que dicen los datos</t>
  </si>
  <si>
    <t xml:space="preserve">Tarjeta de texto / cuadro de texto con valores dinámicos</t>
  </si>
  <si>
    <t xml:space="preserve">[Atraso vs Cronograma %], [Texto Capacidad]</t>
  </si>
  <si>
    <t xml:space="preserve">Fondo azul marino, título amarillo #FFDD00.</t>
  </si>
  <si>
    <t xml:space="preserve">2 Cronograma</t>
  </si>
  <si>
    <t xml:space="preserve">Vencimientos planificados vs. cierres</t>
  </si>
  <si>
    <t xml:space="preserve">Gráfico combinado columnas agrupadas y líneas</t>
  </si>
  <si>
    <t xml:space="preserve">Eje: dCalendario[MesAnio] · Columnas: [Vencimientos Planificados], [Abiertos por Mes Plan], [Cierres Reales] · Líneas: [Ritmo Cierre Mensual], [Ritmo Requerido]</t>
  </si>
  <si>
    <t xml:space="preserve">dCalendario[Fecha] entre 01-feb-2026 y 31-dic-2026</t>
  </si>
  <si>
    <t xml:space="preserve">Líneas punteadas: azul marino (ritmo real) y rojo (requerido). Línea constante «hoy» con [Fecha Corte].</t>
  </si>
  <si>
    <t xml:space="preserve">Tarjetas de capacidad</t>
  </si>
  <si>
    <t xml:space="preserve">[Hitos Vencen Fin de Mes Corte] + [Avance Vencen Fin de Mes Corte] · [Multiplicador Capacidad] · [Abiertos Futuros Fin de Mes] de [Abiertos Futuros]</t>
  </si>
  <si>
    <t xml:space="preserve">La primera con fondo azul marino y número amarillo.</t>
  </si>
  <si>
    <t xml:space="preserve">Avance real vs. esperado por frente</t>
  </si>
  <si>
    <t xml:space="preserve">Gráfico de barras agrupadas (o visual «Dumbbell» de AppSource)</t>
  </si>
  <si>
    <t xml:space="preserve">Eje: dFrente[Frente] · Valores: [Avance Real], [Avance Esperado]</t>
  </si>
  <si>
    <t xml:space="preserve">Color de [Avance Real] por [SPI Color]; [Avance Esperado] gris.</t>
  </si>
  <si>
    <t xml:space="preserve">Hitos más expuestos</t>
  </si>
  <si>
    <t xml:space="preserve">fHitos[Descripcion_Hitos], fHitos[Lider], fHitos[Fecha Fin Planificación], fHitos[% avance], fHitos[AvanceEsperado]</t>
  </si>
  <si>
    <t xml:space="preserve">fHitos[Expuesto] = 1 · Top 7 por menor % avance</t>
  </si>
  <si>
    <t xml:space="preserve">Barra de datos en % avance, color por dEstado[ColorHex].</t>
  </si>
  <si>
    <t xml:space="preserve">3 NIST CSF 2.0</t>
  </si>
  <si>
    <t xml:space="preserve">KPIs NIST</t>
  </si>
  <si>
    <t xml:space="preserve">Tarjeta (nueva) ×5</t>
  </si>
  <si>
    <t xml:space="preserve">[% Plan Proteger] + [Hitos PR.AA] · [Hitos DE RS RC] · [SPI Autenticacion] · [SPI Monitoreo] · evaluación madurez (texto)</t>
  </si>
  <si>
    <t xml:space="preserve">Acentos según severidad.</t>
  </si>
  <si>
    <t xml:space="preserve">Hitos y cumplimiento por función</t>
  </si>
  <si>
    <t xml:space="preserve">Gráfico de anillos (o Treemap)</t>
  </si>
  <si>
    <t xml:space="preserve">Leyenda: dNIST[FuncionNombre] (orden dNIST[OrdenFuncion]) · Valores: [Hitos Total] · Etiquetas: [Etiqueta Funcion]</t>
  </si>
  <si>
    <t xml:space="preserve">Color por reglas con [SPI Color]. Power BI no dibuja la rueda CSF nativa: el anillo o un treemap es la alternativa.</t>
  </si>
  <si>
    <t xml:space="preserve">Detalle por categoría CSF 2.0</t>
  </si>
  <si>
    <t xml:space="preserve">dNIST[Codigo], dNIST[Categoria], [Hitos Total], [Hitos Completados], [Avance Real], [Avance Esperado], [Hitos Vencidos], [Hitos En Riesgo], [SPI]</t>
  </si>
  <si>
    <t xml:space="preserve">Ordenar por dNIST[OrdenCategoria]</t>
  </si>
  <si>
    <t xml:space="preserve">Chip SPI con color de fondo = [SPI Color].</t>
  </si>
  <si>
    <t xml:space="preserve">Nota de mapeo</t>
  </si>
  <si>
    <t xml:space="preserve">Cuadro de texto</t>
  </si>
  <si>
    <t xml:space="preserve">Texto fijo: el mapeo NIST es una propuesta a validar.</t>
  </si>
  <si>
    <t xml:space="preserve">Borde izquierdo amarillo.</t>
  </si>
  <si>
    <t xml:space="preserve">Hitos vencidos con más días de atraso</t>
  </si>
  <si>
    <t xml:space="preserve">fHitos[Descripcion_Hitos], fHitos[Frente], fHitos[Tipo Actividad], fHitos[Lider], fHitos[Fecha Fin Planificación], fHitos[% avance], fHitos[DiasVencido]</t>
  </si>
  <si>
    <t xml:space="preserve">fHitos[Estado] = "Vencido" · Top 10 por DiasVencido</t>
  </si>
  <si>
    <t xml:space="preserve">DiasVencido con fondo rojo claro; subtítulo [Titulo Vencidos].</t>
  </si>
  <si>
    <t xml:space="preserve">Compromisos con Riesgos y Auditoría</t>
  </si>
  <si>
    <t xml:space="preserve">Tabla o lista (visual «Lista» / tabla sin encabezados)</t>
  </si>
  <si>
    <t xml:space="preserve">fHitos[CodigoPMC], fHitos[Descripcion_Hitos], fHitos[Tipo Actividad], fHitos[Lider], fHitos[Fecha Fin Planificación], fHitos[% avance], fHitos[Estado]</t>
  </si>
  <si>
    <t xml:space="preserve">fHitos[EsRegulatorio] = 1 y Estado ≠ Completado</t>
  </si>
  <si>
    <t xml:space="preserve">Ícono de estado con color dEstado[ColorHex]; completados resumidos en tarjeta.</t>
  </si>
  <si>
    <t xml:space="preserve">Qué tipo de trabajo se atrasa más</t>
  </si>
  <si>
    <t xml:space="preserve">Gráfico de barras</t>
  </si>
  <si>
    <t xml:space="preserve">Eje: fHitos[Tipo Actividad] · Valor: [% Atrasado]</t>
  </si>
  <si>
    <t xml:space="preserve">Rojo ≥ 40%, amarillo ≥ 20%, azul &lt; 20% (reglas).</t>
  </si>
  <si>
    <t xml:space="preserve">Todas</t>
  </si>
  <si>
    <t xml:space="preserve">Encabezado</t>
  </si>
  <si>
    <t xml:space="preserve">Forma + cuadros de texto</t>
  </si>
  <si>
    <t xml:space="preserve">Título de página, subtítulo, «Banco Pichincha», [Texto Corte]</t>
  </si>
  <si>
    <t xml:space="preserve">Triángulo amarillo #FFDD00 a la izquierda; fondo de página #F3F5FA; tarjetas blancas con borde #E2E6EF y radio 14 px; fuente Poppins (o Segoe UI si no está instalada).</t>
  </si>
  <si>
    <t xml:space="preserve">Consulta fHitos (Power Query M) · Inicio &gt; Transformar datos &gt; Nueva consulta &gt; Consulta en blanco &gt; Editor avanzado</t>
  </si>
  <si>
    <t xml:space="preserve">let</t>
  </si>
  <si>
    <t xml:space="preserve">    // Cambiar la ruta al archivo original</t>
  </si>
  <si>
    <t xml:space="preserve">    Origen = Excel.Workbook(File.Contents("C:\Ruta\ACTIVIDADES_GI.xlsx"), null, true),</t>
  </si>
  <si>
    <t xml:space="preserve">    Hoja = Origen{[Item = "Actividades GI 2026", Kind = "Sheet"]}[Data],</t>
  </si>
  <si>
    <t xml:space="preserve">    Encabezados = Table.PromoteHeaders(Hoja, [PromoteAllScalars = true]),</t>
  </si>
  <si>
    <t xml:space="preserve">    Limpios = Table.TransformColumnNames(Encabezados, Text.Trim),</t>
  </si>
  <si>
    <t xml:space="preserve">    SinVacias = Table.SelectRows(Limpios, each [Actividad] &lt;&gt; null and [Actividad] &lt;&gt; ""),</t>
  </si>
  <si>
    <t xml:space="preserve">    ConID = Table.AddIndexColumn(SinVacias, "ID", 1, 1, Int64.Type),</t>
  </si>
  <si>
    <t xml:space="preserve">    Renombradas = Table.RenameColumns(ConID, {{"Obsevación", "Observación"}}, MissingField.Ignore),</t>
  </si>
  <si>
    <t xml:space="preserve">    Tipos = Table.TransformColumnTypes(Renombradas, {</t>
  </si>
  <si>
    <t xml:space="preserve">        {"Periodo", Int64.Type}, {"Actividad", type text}, {"Descripcion_Hitos", type text},</t>
  </si>
  <si>
    <t xml:space="preserve">        {"Frecuencia", type text}, {"Tipo Actividad", type text}, {"Encargado", type text},</t>
  </si>
  <si>
    <t xml:space="preserve">        {"Fecha Inicio", type date}, {"Fecha Fin", type date}, {"Fecha Fin de Planificación", type date},</t>
  </si>
  <si>
    <t xml:space="preserve">        {"% avance", type number}, {"Observación", type text}}),</t>
  </si>
  <si>
    <t xml:space="preserve">    RenPlan = Table.RenameColumns(Tipos, {{"Fecha Fin de Planificación", "Fecha Fin Planificación"}}),</t>
  </si>
  <si>
    <t xml:space="preserve">    TrimTexto = Table.TransformColumns(RenPlan, {{"Actividad", Text.Trim, type text}, {"Tipo Actividad", Text.Trim, type text}}),</t>
  </si>
  <si>
    <t xml:space="preserve">    // Trae la propuesta NIST desde el libro modelo (hoja fHitos, columnas ID y NIST_Categoria)</t>
  </si>
  <si>
    <t xml:space="preserve">    Modelo = Excel.Workbook(File.Contents("C:\Ruta\GI_2026_Modelo_PowerBI.xlsx"), null, true),</t>
  </si>
  <si>
    <t xml:space="preserve">    MapaNIST = Table.SelectColumns(Modelo{[Item = "fHitos", Kind = "Table"]}[Data], {"ID", "NIST_Categoria"}),</t>
  </si>
  <si>
    <t xml:space="preserve">    Unido = Table.NestedJoin(TrimTexto, {"ID"}, MapaNIST, {"ID"}, "N", JoinKind.LeftOuter),</t>
  </si>
  <si>
    <t xml:space="preserve">    Expandido = Table.ExpandTableColumn(Unido, "N", {"NIST_Categoria"}),</t>
  </si>
  <si>
    <t xml:space="preserve">    Final = Table.SelectColumns(Expandido, {"ID", "Periodo", "Actividad", "Descripcion_Hitos", "Frecuencia",</t>
  </si>
  <si>
    <t xml:space="preserve">        "Tipo Actividad", "Encargado", "Fecha Inicio", "Fecha Fin", "Fecha Fin Planificación", "% avance",</t>
  </si>
  <si>
    <t xml:space="preserve">        "Observación", "NIST_Categoria"})</t>
  </si>
  <si>
    <t xml:space="preserve">in</t>
  </si>
  <si>
    <t xml:space="preserve">    Final</t>
  </si>
  <si>
    <t xml:space="preserve">Notas</t>
  </si>
  <si>
    <t xml:space="preserve">1. Si Actividad del origen trae espacios al final, TrimTexto los elimina; dFrente[Actividad] ya está sin espacios sobrantes solo si se aplica el mismo Trim al importarla.</t>
  </si>
  <si>
    <t xml:space="preserve">2. Después de cargar fHitos, cree las columnas calculadas de la hoja «Columnas_DAX» en el orden listado (Estado depende de Brecha y Recurrente).</t>
  </si>
  <si>
    <t xml:space="preserve">3. Marque dCalendario como tabla de fechas (Herramientas de tabla &gt; Marcar como tabla de fechas &gt; Fecha).</t>
  </si>
  <si>
    <t xml:space="preserve">4. Cree una relación inactiva dCalendario[Fecha] → fHitos[Fecha Fin]; la medida [Cierres Reales] la activa con USERELATIONSHIP.</t>
  </si>
  <si>
    <t xml:space="preserve">Copie el bloque JSON en un archivo «tema_pichincha.json» e impórtelo en Power BI (Vista &gt; Temas &gt; Examinar temas).</t>
  </si>
  <si>
    <t xml:space="preserve">{</t>
  </si>
  <si>
    <t xml:space="preserve">  "name": "Banco Pichincha · Gestión de Identidades",</t>
  </si>
  <si>
    <t xml:space="preserve">  "dataColors": [</t>
  </si>
  <si>
    <t xml:space="preserve">    "#0F265C",</t>
  </si>
  <si>
    <t xml:space="preserve">    "#3A5BA9",</t>
  </si>
  <si>
    <t xml:space="preserve">    "#7C97D6",</t>
  </si>
  <si>
    <t xml:space="preserve">    "#C9D5EE",</t>
  </si>
  <si>
    <t xml:space="preserve">    "#FFDD00",</t>
  </si>
  <si>
    <t xml:space="preserve">    "#F5B800",</t>
  </si>
  <si>
    <t xml:space="preserve">    "#D64545",</t>
  </si>
  <si>
    <t xml:space="preserve">    "#B4BBCB"</t>
  </si>
  <si>
    <t xml:space="preserve">  ],</t>
  </si>
  <si>
    <t xml:space="preserve">  "background": "#FFFFFF",</t>
  </si>
  <si>
    <t xml:space="preserve">  "foreground": "#1B2340",</t>
  </si>
  <si>
    <t xml:space="preserve">  "tableAccent": "#0F265C",</t>
  </si>
  <si>
    <t xml:space="preserve">  "good": "#0F265C",</t>
  </si>
  <si>
    <t xml:space="preserve">  "neutral": "#F5B800",</t>
  </si>
  <si>
    <t xml:space="preserve">  "bad": "#D64545",</t>
  </si>
  <si>
    <t xml:space="preserve">  "maximum": "#0F265C",</t>
  </si>
  <si>
    <t xml:space="preserve">  "center": "#7C97D6",</t>
  </si>
  <si>
    <t xml:space="preserve">  "minimum": "#DCE4F5",</t>
  </si>
  <si>
    <t xml:space="preserve">  "textClasses": {</t>
  </si>
  <si>
    <t xml:space="preserve">    "title": {</t>
  </si>
  <si>
    <t xml:space="preserve">      "fontFace": "Poppins, Segoe UI",</t>
  </si>
  <si>
    <t xml:space="preserve">      "fontSize": 13,</t>
  </si>
  <si>
    <t xml:space="preserve">      "color": "#0F265C"</t>
  </si>
  <si>
    <t xml:space="preserve">    },</t>
  </si>
  <si>
    <t xml:space="preserve">    "header": {</t>
  </si>
  <si>
    <t xml:space="preserve">      "fontSize": 11,</t>
  </si>
  <si>
    <t xml:space="preserve">    "label": {</t>
  </si>
  <si>
    <t xml:space="preserve">      "fontSize": 10,</t>
  </si>
  <si>
    <t xml:space="preserve">      "color": "#1B2340"</t>
  </si>
  <si>
    <t xml:space="preserve">    "callout": {</t>
  </si>
  <si>
    <t xml:space="preserve">      "fontSize": 28,</t>
  </si>
  <si>
    <t xml:space="preserve">    }</t>
  </si>
  <si>
    <t xml:space="preserve">  },</t>
  </si>
  <si>
    <t xml:space="preserve">  "visualStyles": {</t>
  </si>
  <si>
    <t xml:space="preserve">    "*": {</t>
  </si>
  <si>
    <t xml:space="preserve">      "*": {</t>
  </si>
  <si>
    <t xml:space="preserve">        "background": [</t>
  </si>
  <si>
    <t xml:space="preserve">          {</t>
  </si>
  <si>
    <t xml:space="preserve">            "color": {</t>
  </si>
  <si>
    <t xml:space="preserve">              "solid": {</t>
  </si>
  <si>
    <t xml:space="preserve">                "color": "#FFFFFF"</t>
  </si>
  <si>
    <t xml:space="preserve">              }</t>
  </si>
  <si>
    <t xml:space="preserve">            },</t>
  </si>
  <si>
    <t xml:space="preserve">            "transparency": 0</t>
  </si>
  <si>
    <t xml:space="preserve">          }</t>
  </si>
  <si>
    <t xml:space="preserve">        ],</t>
  </si>
  <si>
    <t xml:space="preserve">        "border": [</t>
  </si>
  <si>
    <t xml:space="preserve">            "show": true,</t>
  </si>
  <si>
    <t xml:space="preserve">                "color": "#E2E6EF"</t>
  </si>
  <si>
    <t xml:space="preserve">            "radius": 14</t>
  </si>
  <si>
    <t xml:space="preserve">        "outspacePane": [</t>
  </si>
  <si>
    <t xml:space="preserve">            "backgroundColor": {</t>
  </si>
  <si>
    <t xml:space="preserve">                "color": "#F3F5FA"</t>
  </si>
  <si>
    <t xml:space="preserve">            }</t>
  </si>
  <si>
    <t xml:space="preserve">        ]</t>
  </si>
  <si>
    <t xml:space="preserve">      }</t>
  </si>
  <si>
    <t xml:space="preserve">    "page": {</t>
  </si>
  <si>
    <t xml:space="preserve">  }</t>
  </si>
  <si>
    <t xml:space="preserve">}</t>
  </si>
  <si>
    <t xml:space="preserve">Parámetro</t>
  </si>
  <si>
    <t xml:space="preserve">Valor</t>
  </si>
  <si>
    <t xml:space="preserve">FechaCorte</t>
  </si>
  <si>
    <t xml:space="preserve">Fecha de corte del reporte. Cambiarla recalcula estados, avance esperado y días.</t>
  </si>
  <si>
    <t xml:space="preserve">UmbralRiesgo</t>
  </si>
  <si>
    <t xml:space="preserve">Brecha (avance real − esperado) a partir de la cual un hito queda «En riesgo».</t>
  </si>
  <si>
    <t xml:space="preserve">SPI_Verde</t>
  </si>
  <si>
    <t xml:space="preserve">SPI igual o superior: en control (azul).</t>
  </si>
  <si>
    <t xml:space="preserve">SPI_Amarillo</t>
  </si>
  <si>
    <t xml:space="preserve">SPI igual o superior y menor al verde: atención (amarillo). Debajo: rojo.</t>
  </si>
  <si>
    <t xml:space="preserve">InicioRitmo</t>
  </si>
  <si>
    <t xml:space="preserve">Inicio de la ventana para medir el ritmo histórico de cierres por mes.</t>
  </si>
  <si>
    <t xml:space="preserve">FinAnio</t>
  </si>
  <si>
    <t xml:space="preserve">Fecha objetivo para cerrar los hitos abiertos.</t>
  </si>
  <si>
    <t xml:space="preserve">DiasMes</t>
  </si>
  <si>
    <t xml:space="preserve">Días promedio por mes para convertir días restantes en meses.</t>
  </si>
  <si>
    <t xml:space="preserve">HorizonteExpuestos</t>
  </si>
  <si>
    <t xml:space="preserve">Fecha límite para la tabla «Hitos más expuestos».</t>
  </si>
  <si>
    <t xml:space="preserve">Valores definidos para el corte del PDF (24-sep-2026). Fuente: criterios de análisis acordados para el dashboard.</t>
  </si>
  <si>
    <t xml:space="preserve">OrdenFrente</t>
  </si>
  <si>
    <t xml:space="preserve">Orden</t>
  </si>
  <si>
    <t xml:space="preserve">Codigo</t>
  </si>
  <si>
    <t xml:space="preserve">Funcion</t>
  </si>
  <si>
    <t xml:space="preserve">FuncionNombre</t>
  </si>
  <si>
    <t xml:space="preserve">Categoria</t>
  </si>
  <si>
    <t xml:space="preserve">OrdenFuncion</t>
  </si>
  <si>
    <t xml:space="preserve">OrdenCategoria</t>
  </si>
  <si>
    <t xml:space="preserve">GV</t>
  </si>
  <si>
    <t xml:space="preserve">Gobernar</t>
  </si>
  <si>
    <t xml:space="preserve">Supervisión de la estrategia (indicadores, reportes)</t>
  </si>
  <si>
    <t xml:space="preserve">Políticas y procedimientos</t>
  </si>
  <si>
    <t xml:space="preserve">Identificar</t>
  </si>
  <si>
    <t xml:space="preserve">Gestión de activos (inventarios de apps y cuentas)</t>
  </si>
  <si>
    <t xml:space="preserve">Mejora a partir de evaluaciones</t>
  </si>
  <si>
    <t xml:space="preserve">PR</t>
  </si>
  <si>
    <t xml:space="preserve">Proteger</t>
  </si>
  <si>
    <t xml:space="preserve">Identidades y credenciales gestionadas</t>
  </si>
  <si>
    <t xml:space="preserve">Autenticación de usuarios y servicios</t>
  </si>
  <si>
    <t xml:space="preserve">Permisos y privilegios (mínimo privilegio)</t>
  </si>
  <si>
    <t xml:space="preserve">Seguridad de los datos</t>
  </si>
  <si>
    <t xml:space="preserve">Seguridad de plataformas</t>
  </si>
  <si>
    <t xml:space="preserve">DE</t>
  </si>
  <si>
    <t xml:space="preserve">Detectar</t>
  </si>
  <si>
    <t xml:space="preserve">Monitoreo continuo</t>
  </si>
  <si>
    <t xml:space="preserve">RS</t>
  </si>
  <si>
    <t xml:space="preserve">Responder</t>
  </si>
  <si>
    <t xml:space="preserve">Gestión de incidentes</t>
  </si>
  <si>
    <t xml:space="preserve">RC</t>
  </si>
  <si>
    <t xml:space="preserve">Recuperar</t>
  </si>
  <si>
    <t xml:space="preserve">Ejecución del plan de recuperación</t>
  </si>
  <si>
    <t xml:space="preserve">ColorHex</t>
  </si>
  <si>
    <t xml:space="preserve">EsAbierto</t>
  </si>
  <si>
    <t xml:space="preserve">Completado</t>
  </si>
  <si>
    <t xml:space="preserve">#0F265C</t>
  </si>
  <si>
    <t xml:space="preserve">#7C97D6</t>
  </si>
  <si>
    <t xml:space="preserve">#F5B800</t>
  </si>
  <si>
    <t xml:space="preserve">Vencido</t>
  </si>
  <si>
    <t xml:space="preserve">#D64545</t>
  </si>
  <si>
    <t xml:space="preserve">#B4BBCB</t>
  </si>
  <si>
    <t xml:space="preserve">#DDE2EC</t>
  </si>
  <si>
    <t xml:space="preserve">#3A5BA9</t>
  </si>
  <si>
    <t xml:space="preserve">#C9D5EE</t>
  </si>
  <si>
    <t xml:space="preserve">#FFDD00</t>
  </si>
  <si>
    <t xml:space="preserve">Anio</t>
  </si>
  <si>
    <t xml:space="preserve">Mes</t>
  </si>
  <si>
    <t xml:space="preserve">MesNombre</t>
  </si>
  <si>
    <t xml:space="preserve">MesAnio</t>
  </si>
  <si>
    <t xml:space="preserve">Trimestre</t>
  </si>
  <si>
    <t xml:space="preserve">InicioMes</t>
  </si>
  <si>
    <t xml:space="preserve">FinDeMes</t>
  </si>
</sst>
</file>

<file path=xl/styles.xml><?xml version="1.0" encoding="utf-8"?>
<styleSheet xmlns="http://schemas.openxmlformats.org/spreadsheetml/2006/main">
  <numFmts count="8">
    <numFmt numFmtId="164" formatCode="General"/>
    <numFmt numFmtId="165" formatCode="dd/mm/yyyy"/>
    <numFmt numFmtId="166" formatCode="0%"/>
    <numFmt numFmtId="167" formatCode="mmm\-yy"/>
    <numFmt numFmtId="168" formatCode="0"/>
    <numFmt numFmtId="169" formatCode="0.00"/>
    <numFmt numFmtId="170" formatCode="0.0"/>
    <numFmt numFmtId="171"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0F265C"/>
      <name val="Arial"/>
      <family val="0"/>
      <charset val="1"/>
    </font>
    <font>
      <i val="true"/>
      <sz val="10"/>
      <name val="Arial"/>
      <family val="0"/>
      <charset val="1"/>
    </font>
    <font>
      <b val="true"/>
      <sz val="11"/>
      <color rgb="FF0F265C"/>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name val="Arial"/>
      <family val="2"/>
    </font>
    <font>
      <i val="true"/>
      <sz val="9"/>
      <name val="Arial"/>
      <family val="0"/>
      <charset val="1"/>
    </font>
    <font>
      <sz val="10"/>
      <name val="Consolas"/>
      <family val="0"/>
      <charset val="1"/>
    </font>
  </fonts>
  <fills count="5">
    <fill>
      <patternFill patternType="none"/>
    </fill>
    <fill>
      <patternFill patternType="gray125"/>
    </fill>
    <fill>
      <patternFill patternType="solid">
        <fgColor rgb="FF0F265C"/>
        <bgColor rgb="FF333333"/>
      </patternFill>
    </fill>
    <fill>
      <patternFill patternType="solid">
        <fgColor rgb="FFFFF6B8"/>
        <bgColor rgb="FFFFFF99"/>
      </patternFill>
    </fill>
    <fill>
      <patternFill patternType="solid">
        <fgColor rgb="FFEEF2FA"/>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F265C"/>
          <bgColor rgb="FF000000"/>
        </patternFill>
      </fill>
    </dxf>
    <dxf>
      <fill>
        <patternFill patternType="solid">
          <bgColor rgb="FF000000"/>
        </patternFill>
      </fill>
    </dxf>
    <dxf>
      <fill>
        <patternFill patternType="solid">
          <fgColor rgb="FFFFFFFF"/>
          <bgColor rgb="FF000000"/>
        </patternFill>
      </fill>
    </dxf>
    <dxf>
      <fill>
        <patternFill patternType="solid">
          <fgColor rgb="FFFFF6B8"/>
          <bgColor rgb="FF000000"/>
        </patternFill>
      </fill>
    </dxf>
    <dxf>
      <fill>
        <patternFill patternType="solid">
          <fgColor rgb="FF0000FF"/>
          <bgColor rgb="FF000000"/>
        </patternFill>
      </fill>
    </dxf>
    <dxf>
      <fill>
        <patternFill patternType="solid">
          <fgColor rgb="FFEEF2FA"/>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B8"/>
      <rgbColor rgb="FFEEF2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F26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ColumnasDAX" displayName="ColumnasDAX" ref="A1:E23" headerRowCount="1" totalsRowCount="0" totalsRowShown="0">
  <autoFilter ref="A1:E23"/>
  <tableColumns count="5">
    <tableColumn id="1" name="Tabla"/>
    <tableColumn id="2" name="Columna"/>
    <tableColumn id="3" name="Expresión DAX (columna calculada)"/>
    <tableColumn id="4" name="Tipo"/>
    <tableColumn id="5" name="Equivale en fHitos (Excel)"/>
  </tableColumns>
</table>
</file>

<file path=xl/tables/table2.xml><?xml version="1.0" encoding="utf-8"?>
<table xmlns="http://schemas.openxmlformats.org/spreadsheetml/2006/main" id="2" name="dCalendario" displayName="dCalendario" ref="A1:H731" headerRowCount="1" totalsRowCount="0" totalsRowShown="0">
  <autoFilter ref="A1:H731"/>
  <tableColumns count="8">
    <tableColumn id="1" name="Fecha"/>
    <tableColumn id="2" name="Anio"/>
    <tableColumn id="3" name="Mes"/>
    <tableColumn id="4" name="MesNombre"/>
    <tableColumn id="5" name="MesAnio"/>
    <tableColumn id="6" name="Trimestre"/>
    <tableColumn id="7" name="InicioMes"/>
    <tableColumn id="8" name="FinDeMes"/>
  </tableColumns>
</table>
</file>

<file path=xl/tables/table3.xml><?xml version="1.0" encoding="utf-8"?>
<table xmlns="http://schemas.openxmlformats.org/spreadsheetml/2006/main" id="3" name="dEstado" displayName="dEstado" ref="A1:D7" headerRowCount="1" totalsRowCount="0" totalsRowShown="0">
  <autoFilter ref="A1:D7"/>
  <tableColumns count="4">
    <tableColumn id="1" name="Estado"/>
    <tableColumn id="2" name="Orden"/>
    <tableColumn id="3" name="ColorHex"/>
    <tableColumn id="4" name="EsAbierto"/>
  </tableColumns>
</table>
</file>

<file path=xl/tables/table4.xml><?xml version="1.0" encoding="utf-8"?>
<table xmlns="http://schemas.openxmlformats.org/spreadsheetml/2006/main" id="4" name="dFrente" displayName="dFrente" ref="A1:C76" headerRowCount="1" totalsRowCount="0" totalsRowShown="0">
  <autoFilter ref="A1:C76"/>
  <tableColumns count="3">
    <tableColumn id="1" name="Actividad"/>
    <tableColumn id="2" name="Frente"/>
    <tableColumn id="3" name="OrdenFrente"/>
  </tableColumns>
</table>
</file>

<file path=xl/tables/table5.xml><?xml version="1.0" encoding="utf-8"?>
<table xmlns="http://schemas.openxmlformats.org/spreadsheetml/2006/main" id="5" name="dFrenteLista" displayName="dFrenteLista" ref="A1:B11" headerRowCount="1" totalsRowCount="0" totalsRowShown="0">
  <autoFilter ref="A1:B11"/>
  <tableColumns count="2">
    <tableColumn id="1" name="Frente"/>
    <tableColumn id="2" name="Orden"/>
  </tableColumns>
</table>
</file>

<file path=xl/tables/table6.xml><?xml version="1.0" encoding="utf-8"?>
<table xmlns="http://schemas.openxmlformats.org/spreadsheetml/2006/main" id="6" name="dNIST" displayName="dNIST" ref="A1:F13" headerRowCount="1" totalsRowCount="0" totalsRowShown="0">
  <autoFilter ref="A1:F13"/>
  <tableColumns count="6">
    <tableColumn id="1" name="Codigo"/>
    <tableColumn id="2" name="Funcion"/>
    <tableColumn id="3" name="FuncionNombre"/>
    <tableColumn id="4" name="Categoria"/>
    <tableColumn id="5" name="OrdenFuncion"/>
    <tableColumn id="6" name="OrdenCategoria"/>
  </tableColumns>
</table>
</file>

<file path=xl/tables/table7.xml><?xml version="1.0" encoding="utf-8"?>
<table xmlns="http://schemas.openxmlformats.org/spreadsheetml/2006/main" id="7" name="dTipo" displayName="dTipo" ref="A1:C8" headerRowCount="1" totalsRowCount="0" totalsRowShown="0">
  <autoFilter ref="A1:C8"/>
  <tableColumns count="3">
    <tableColumn id="1" name="Tipo"/>
    <tableColumn id="2" name="ColorHex"/>
    <tableColumn id="3" name="EsRegulatorio"/>
  </tableColumns>
</table>
</file>

<file path=xl/tables/table8.xml><?xml version="1.0" encoding="utf-8"?>
<table xmlns="http://schemas.openxmlformats.org/spreadsheetml/2006/main" id="8" name="fHitos" displayName="fHitos" ref="A1:AG178" headerRowCount="1" totalsRowCount="0" totalsRowShown="0">
  <autoFilter ref="A1:AG178"/>
  <tableColumns count="33">
    <tableColumn id="1" name="ID"/>
    <tableColumn id="2" name="Periodo"/>
    <tableColumn id="3" name="Actividad"/>
    <tableColumn id="4" name="Descripcion_Hitos"/>
    <tableColumn id="5" name="Frecuencia"/>
    <tableColumn id="6" name="Tipo Actividad"/>
    <tableColumn id="7" name="Encargado"/>
    <tableColumn id="8" name="Fecha Inicio"/>
    <tableColumn id="9" name="Fecha Fin"/>
    <tableColumn id="10" name="Fecha Fin Planificación"/>
    <tableColumn id="11" name="% avance"/>
    <tableColumn id="12" name="Observación"/>
    <tableColumn id="13" name="NIST_Categoria"/>
    <tableColumn id="14" name="Frente"/>
    <tableColumn id="15" name="NIST_Funcion"/>
    <tableColumn id="16" name="Lider"/>
    <tableColumn id="17" name="NumEncargados"/>
    <tableColumn id="18" name="Recurrente"/>
    <tableColumn id="19" name="AvanceEsperado"/>
    <tableColumn id="20" name="Brecha"/>
    <tableColumn id="21" name="Estado"/>
    <tableColumn id="22" name="Abierto"/>
    <tableColumn id="23" name="DiasVencido"/>
    <tableColumn id="24" name="DiasRestantes"/>
    <tableColumn id="25" name="MesPlan"/>
    <tableColumn id="26" name="MesCierre"/>
    <tableColumn id="27" name="PlanFinDeMes"/>
    <tableColumn id="28" name="FinIgualPlan"/>
    <tableColumn id="29" name="DQ_FinFuturo"/>
    <tableColumn id="30" name="DQ_FinAntesInicio"/>
    <tableColumn id="31" name="EsRegulatorio"/>
    <tableColumn id="32" name="CodigoPMC"/>
    <tableColumn id="33" name="Expuesto"/>
  </tableColumns>
</table>
</file>

<file path=xl/tables/table9.xml><?xml version="1.0" encoding="utf-8"?>
<table xmlns="http://schemas.openxmlformats.org/spreadsheetml/2006/main" id="9" name="Medidas" displayName="Medidas" ref="A1:F45" headerRowCount="1" totalsRowCount="0" totalsRowShown="0">
  <autoFilter ref="A1:F45"/>
  <tableColumns count="6">
    <tableColumn id="1" name="Medida"/>
    <tableColumn id="2" name="Carpeta"/>
    <tableColumn id="3" name="Expresión DAX"/>
    <tableColumn id="4" name="Formato"/>
    <tableColumn id="5" name="Descripción"/>
    <tableColumn id="6" name="Dónde se usa"/>
  </tableColumns>
</table>
</file>

<file path=xl/tables/table10.xml><?xml version="1.0" encoding="utf-8"?>
<table xmlns="http://schemas.openxmlformats.org/spreadsheetml/2006/main" id="10" name="Parametros" displayName="Parametros" ref="A2:C10" headerRowCount="1" totalsRowCount="0" totalsRowShown="0">
  <autoFilter ref="A2:C10"/>
  <tableColumns count="3">
    <tableColumn id="1" name="Parámetro"/>
    <tableColumn id="2" name="Valor"/>
    <tableColumn id="3" name="Descripción"/>
  </tableColumns>
</table>
</file>

<file path=xl/tables/table11.xml><?xml version="1.0" encoding="utf-8"?>
<table xmlns="http://schemas.openxmlformats.org/spreadsheetml/2006/main" id="11" name="Visuales" displayName="Visuales" ref="A1:F20" headerRowCount="1" totalsRowCount="0" totalsRowShown="0">
  <autoFilter ref="A1:F20"/>
  <tableColumns count="6">
    <tableColumn id="1" name="Página"/>
    <tableColumn id="2" name="Visual"/>
    <tableColumn id="3" name="Tipo en Power BI"/>
    <tableColumn id="4" name="Campos / medidas"/>
    <tableColumn id="5" name="Filtros del visual"/>
    <tableColumn id="6" name="Format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8.xml"/>
</Relationships>
</file>

<file path=xl/worksheets/_rels/sheet4.xml.rels><?xml version="1.0" encoding="UTF-8"?>
<Relationships xmlns="http://schemas.openxmlformats.org/package/2006/relationships"><Relationship Id="rId1" Type="http://schemas.openxmlformats.org/officeDocument/2006/relationships/table" Target="../tables/table9.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11.xml"/>
</Relationships>
</file>

<file path=xl/worksheets/_rels/sheet9.xml.rels><?xml version="1.0" encoding="UTF-8"?>
<Relationships xmlns="http://schemas.openxmlformats.org/package/2006/relationships"><Relationship Id="rId1" Type="http://schemas.openxmlformats.org/officeDocument/2006/relationships/table" Target="../tables/table10.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table" Target="../tables/table5.xml"/>
</Relationships>
</file>

<file path=xl/worksheets/_rels/sheet12.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3.xml"/>
</Relationships>
</file>

<file path=xl/worksheets/_rels/sheet14.xml.rels><?xml version="1.0" encoding="UTF-8"?>
<Relationships xmlns="http://schemas.openxmlformats.org/package/2006/relationships"><Relationship Id="rId1" Type="http://schemas.openxmlformats.org/officeDocument/2006/relationships/table" Target="../tables/table7.xml"/>
</Relationships>
</file>

<file path=xl/worksheets/_rels/sheet1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1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30" hidden="false" customHeight="true" outlineLevel="0" collapsed="false">
      <c r="B6" s="5" t="s">
        <v>3</v>
      </c>
      <c r="C6" s="4" t="s">
        <v>4</v>
      </c>
    </row>
    <row r="7" customFormat="false" ht="45" hidden="false" customHeight="true" outlineLevel="0" collapsed="false">
      <c r="B7" s="5" t="s">
        <v>5</v>
      </c>
      <c r="C7" s="4" t="s">
        <v>6</v>
      </c>
    </row>
    <row r="8" customFormat="false" ht="15" hidden="false" customHeight="true" outlineLevel="0" collapsed="false">
      <c r="B8" s="5" t="s">
        <v>7</v>
      </c>
      <c r="C8" s="4" t="s">
        <v>8</v>
      </c>
    </row>
    <row r="9" customFormat="false" ht="30" hidden="false" customHeight="true" outlineLevel="0" collapsed="false">
      <c r="B9" s="5" t="s">
        <v>9</v>
      </c>
      <c r="C9" s="4" t="s">
        <v>10</v>
      </c>
    </row>
    <row r="10" customFormat="false" ht="15" hidden="false" customHeight="true" outlineLevel="0" collapsed="false">
      <c r="B10" s="5" t="s">
        <v>11</v>
      </c>
      <c r="C10" s="4" t="s">
        <v>12</v>
      </c>
    </row>
    <row r="11" customFormat="false" ht="30" hidden="false" customHeight="true" outlineLevel="0" collapsed="false">
      <c r="B11" s="5" t="s">
        <v>13</v>
      </c>
      <c r="C11" s="4" t="s">
        <v>14</v>
      </c>
    </row>
    <row r="12" customFormat="false" ht="15" hidden="false" customHeight="true" outlineLevel="0" collapsed="false">
      <c r="B12" s="5" t="s">
        <v>15</v>
      </c>
      <c r="C12" s="4" t="s">
        <v>16</v>
      </c>
    </row>
    <row r="13" customFormat="false" ht="30" hidden="false" customHeight="true" outlineLevel="0" collapsed="false">
      <c r="B13" s="5" t="s">
        <v>17</v>
      </c>
      <c r="C13" s="4" t="s">
        <v>18</v>
      </c>
    </row>
    <row r="14" customFormat="false" ht="15" hidden="false" customHeight="false" outlineLevel="0" collapsed="false">
      <c r="B14" s="3"/>
      <c r="C14" s="4"/>
    </row>
    <row r="15" customFormat="false" ht="15" hidden="false" customHeight="false" outlineLevel="0" collapsed="false">
      <c r="B15" s="3" t="s">
        <v>19</v>
      </c>
      <c r="C15" s="4"/>
    </row>
    <row r="16" customFormat="false" ht="150" hidden="false" customHeight="true" outlineLevel="0" collapsed="false">
      <c r="B16" s="5" t="s">
        <v>20</v>
      </c>
      <c r="C16" s="4" t="s">
        <v>21</v>
      </c>
    </row>
    <row r="17" customFormat="false" ht="45" hidden="false" customHeight="true" outlineLevel="0" collapsed="false">
      <c r="B17" s="5" t="s">
        <v>22</v>
      </c>
      <c r="C17" s="4" t="s">
        <v>23</v>
      </c>
    </row>
    <row r="18" customFormat="false" ht="45" hidden="false" customHeight="true" outlineLevel="0" collapsed="false">
      <c r="B18" s="5" t="s">
        <v>24</v>
      </c>
      <c r="C18" s="4" t="s">
        <v>25</v>
      </c>
    </row>
    <row r="19" customFormat="false" ht="30" hidden="false" customHeight="true" outlineLevel="0" collapsed="false">
      <c r="B19" s="5" t="s">
        <v>26</v>
      </c>
      <c r="C19" s="4" t="s">
        <v>27</v>
      </c>
    </row>
    <row r="20" customFormat="false" ht="15" hidden="false" customHeight="false" outlineLevel="0" collapsed="false">
      <c r="B20" s="3"/>
      <c r="C20" s="4"/>
    </row>
    <row r="21" customFormat="false" ht="15" hidden="false" customHeight="false" outlineLevel="0" collapsed="false">
      <c r="B21" s="3" t="s">
        <v>28</v>
      </c>
      <c r="C21" s="4"/>
    </row>
    <row r="22" customFormat="false" ht="15" hidden="false" customHeight="true" outlineLevel="0" collapsed="false">
      <c r="B22" s="5" t="s">
        <v>29</v>
      </c>
      <c r="C22" s="4" t="s">
        <v>30</v>
      </c>
    </row>
    <row r="23" customFormat="false" ht="15" hidden="false" customHeight="true" outlineLevel="0" collapsed="false">
      <c r="B23" s="5" t="s">
        <v>31</v>
      </c>
      <c r="C23" s="4" t="s">
        <v>32</v>
      </c>
    </row>
    <row r="24" customFormat="false" ht="30" hidden="false" customHeight="true" outlineLevel="0" collapsed="false">
      <c r="B24" s="5" t="s">
        <v>33</v>
      </c>
      <c r="C24" s="4" t="s">
        <v>34</v>
      </c>
    </row>
    <row r="25" customFormat="false" ht="15" hidden="false" customHeight="true" outlineLevel="0" collapsed="false">
      <c r="B25" s="5" t="s">
        <v>35</v>
      </c>
      <c r="C25" s="4" t="s">
        <v>36</v>
      </c>
    </row>
    <row r="26" customFormat="false" ht="15" hidden="false" customHeight="true" outlineLevel="0" collapsed="false">
      <c r="B26" s="5" t="s">
        <v>37</v>
      </c>
      <c r="C26" s="4" t="s">
        <v>38</v>
      </c>
    </row>
    <row r="27" customFormat="false" ht="30" hidden="false" customHeight="true" outlineLevel="0" collapsed="false">
      <c r="B27" s="5" t="s">
        <v>39</v>
      </c>
      <c r="C27" s="4" t="s">
        <v>40</v>
      </c>
    </row>
    <row r="28" customFormat="false" ht="15" hidden="false" customHeight="false" outlineLevel="0" collapsed="false">
      <c r="B28" s="3"/>
      <c r="C28" s="4"/>
    </row>
    <row r="29" customFormat="false" ht="15" hidden="false" customHeight="true" outlineLevel="0" collapsed="false">
      <c r="B29" s="5" t="s">
        <v>41</v>
      </c>
      <c r="C29" s="4"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34"/>
    <col collapsed="false" customWidth="true" hidden="false" outlineLevel="0" max="4" min="4" style="0" width="60"/>
    <col collapsed="false" customWidth="true" hidden="false" outlineLevel="0" max="5" min="5" style="0" width="11"/>
    <col collapsed="false" customWidth="true" hidden="false" outlineLevel="0" max="6" min="6" style="0" width="14"/>
    <col collapsed="false" customWidth="true" hidden="false" outlineLevel="0" max="7" min="7" style="0" width="26"/>
    <col collapsed="false" customWidth="true" hidden="false" outlineLevel="0" max="9" min="8" style="0" width="12"/>
    <col collapsed="false" customWidth="true" hidden="false" outlineLevel="0" max="10" min="10" style="0" width="13"/>
    <col collapsed="false" customWidth="true" hidden="false" outlineLevel="0" max="11" min="11" style="0" width="10"/>
    <col collapsed="false" customWidth="true" hidden="false" outlineLevel="0" max="12" min="12" style="0" width="50"/>
    <col collapsed="false" customWidth="true" hidden="false" outlineLevel="0" max="13" min="13" style="0" width="13"/>
    <col collapsed="false" customWidth="true" hidden="false" outlineLevel="0" max="14" min="14" style="0" width="24"/>
    <col collapsed="false" customWidth="true" hidden="false" outlineLevel="0" max="15" min="15" style="0" width="11"/>
    <col collapsed="false" customWidth="true" hidden="false" outlineLevel="0" max="16" min="16" style="0" width="22"/>
    <col collapsed="false" customWidth="true" hidden="false" outlineLevel="0" max="18" min="17" style="0" width="11"/>
    <col collapsed="false" customWidth="true" hidden="false" outlineLevel="0" max="19" min="19" style="0" width="12"/>
    <col collapsed="false" customWidth="true" hidden="false" outlineLevel="0" max="20" min="20" style="0" width="10"/>
    <col collapsed="false" customWidth="true" hidden="false" outlineLevel="0" max="21" min="21" style="0" width="12"/>
    <col collapsed="false" customWidth="true" hidden="false" outlineLevel="0" max="22" min="22" style="0" width="9"/>
    <col collapsed="false" customWidth="true" hidden="false" outlineLevel="0" max="23" min="23" style="0" width="11"/>
    <col collapsed="false" customWidth="true" hidden="false" outlineLevel="0" max="24" min="24" style="0" width="12"/>
    <col collapsed="false" customWidth="true" hidden="false" outlineLevel="0" max="29" min="25" style="0" width="11"/>
    <col collapsed="false" customWidth="true" hidden="false" outlineLevel="0" max="30" min="30" style="0" width="13"/>
    <col collapsed="false" customWidth="true" hidden="false" outlineLevel="0" max="31" min="31" style="0" width="12"/>
    <col collapsed="false" customWidth="true" hidden="false" outlineLevel="0" max="32" min="32" style="0" width="11"/>
    <col collapsed="false" customWidth="true" hidden="false" outlineLevel="0" max="33" min="33" style="0" width="10"/>
  </cols>
  <sheetData>
    <row r="1" customFormat="false" ht="30" hidden="false" customHeight="true" outlineLevel="0" collapsed="false">
      <c r="A1" s="6" t="s">
        <v>43</v>
      </c>
      <c r="B1" s="6" t="s">
        <v>44</v>
      </c>
      <c r="C1" s="6" t="s">
        <v>45</v>
      </c>
      <c r="D1" s="6" t="s">
        <v>46</v>
      </c>
      <c r="E1" s="6" t="s">
        <v>47</v>
      </c>
      <c r="F1" s="6" t="s">
        <v>48</v>
      </c>
      <c r="G1" s="6" t="s">
        <v>49</v>
      </c>
      <c r="H1" s="6" t="s">
        <v>50</v>
      </c>
      <c r="I1" s="6" t="s">
        <v>51</v>
      </c>
      <c r="J1" s="6" t="s">
        <v>52</v>
      </c>
      <c r="K1" s="6" t="s">
        <v>53</v>
      </c>
      <c r="L1" s="6" t="s">
        <v>54</v>
      </c>
      <c r="M1" s="6" t="s">
        <v>39</v>
      </c>
      <c r="N1" s="6" t="s">
        <v>37</v>
      </c>
      <c r="O1" s="6" t="s">
        <v>55</v>
      </c>
      <c r="P1" s="6" t="s">
        <v>56</v>
      </c>
      <c r="Q1" s="6" t="s">
        <v>57</v>
      </c>
      <c r="R1" s="6" t="s">
        <v>29</v>
      </c>
      <c r="S1" s="6" t="s">
        <v>58</v>
      </c>
      <c r="T1" s="6" t="s">
        <v>59</v>
      </c>
      <c r="U1" s="6" t="s">
        <v>33</v>
      </c>
      <c r="V1" s="6" t="s">
        <v>60</v>
      </c>
      <c r="W1" s="6" t="s">
        <v>61</v>
      </c>
      <c r="X1" s="6" t="s">
        <v>62</v>
      </c>
      <c r="Y1" s="6" t="s">
        <v>63</v>
      </c>
      <c r="Z1" s="6" t="s">
        <v>64</v>
      </c>
      <c r="AA1" s="6" t="s">
        <v>65</v>
      </c>
      <c r="AB1" s="6" t="s">
        <v>66</v>
      </c>
      <c r="AC1" s="6" t="s">
        <v>67</v>
      </c>
      <c r="AD1" s="6" t="s">
        <v>68</v>
      </c>
      <c r="AE1" s="6" t="s">
        <v>69</v>
      </c>
      <c r="AF1" s="6" t="s">
        <v>70</v>
      </c>
      <c r="AG1" s="6" t="s">
        <v>71</v>
      </c>
    </row>
    <row r="2" customFormat="false" ht="15" hidden="false" customHeight="false" outlineLevel="0" collapsed="false">
      <c r="A2" s="7" t="n">
        <v>1</v>
      </c>
      <c r="B2" s="7" t="n">
        <v>2026</v>
      </c>
      <c r="C2" s="7" t="s">
        <v>72</v>
      </c>
      <c r="D2" s="7" t="s">
        <v>73</v>
      </c>
      <c r="E2" s="7"/>
      <c r="F2" s="7" t="s">
        <v>74</v>
      </c>
      <c r="G2" s="7" t="s">
        <v>75</v>
      </c>
      <c r="H2" s="8" t="n">
        <v>45658</v>
      </c>
      <c r="I2" s="8" t="n">
        <v>46087</v>
      </c>
      <c r="J2" s="8" t="n">
        <v>46084</v>
      </c>
      <c r="K2" s="9" t="n">
        <v>1</v>
      </c>
      <c r="L2" s="7"/>
      <c r="M2" s="10" t="s">
        <v>76</v>
      </c>
      <c r="N2" s="11" t="str">
        <f aca="false">IFERROR(INDEX(dFrente!$B$2:$B$76,MATCH(C2,dFrente!$A$2:$A$76,0)),"Sin frente")</f>
        <v>SailPoint IGA</v>
      </c>
      <c r="O2" s="11" t="str">
        <f aca="false">IFERROR(INDEX(dNIST!$B$2:$B$13,MATCH(M2,dNIST!$A$2:$A$13,0)),"")</f>
        <v>PR</v>
      </c>
      <c r="P2" s="11" t="str">
        <f aca="false">TRIM(IFERROR(LEFT(G2,FIND(CHAR(10),G2)-1),G2))</f>
        <v>Ana María Vergara</v>
      </c>
      <c r="Q2" s="11" t="n">
        <f aca="false">LEN(TRIM(G2))-LEN(SUBSTITUTE(TRIM(G2),CHAR(10),""))+1</f>
        <v>1</v>
      </c>
      <c r="R2" s="11" t="str">
        <f aca="false">IF(E2&lt;&gt;"","Sí","No")</f>
        <v>No</v>
      </c>
      <c r="S2" s="12" t="n">
        <f aca="false">IF(OR(J2="",H2=""),"",IF(J2&lt;=H2,IF(FechaCorte&gt;=J2,1,0),MAX(0,MIN(1,(FechaCorte-H2)/(J2-H2)))))</f>
        <v>1</v>
      </c>
      <c r="T2" s="12" t="n">
        <f aca="false">IF(S2="","",K2-S2)</f>
        <v>0</v>
      </c>
      <c r="U2" s="11" t="str">
        <f aca="false">IF(R2="Sí","Recurrente",IF(K2&gt;=1,"Completado",IF(AND(J2&lt;&gt;"",J2&lt;FechaCorte),"Vencido",IF(AND(K2=0,OR(H2="",H2&gt;FechaCorte)),"Por iniciar",IF(AND(T2&lt;&gt;"",T2&lt;=UmbralRiesgo),"En riesgo","En plazo")))))</f>
        <v>Completado</v>
      </c>
      <c r="V2" s="11" t="n">
        <f aca="false">IF(OR(U2="Vencido",U2="En riesgo",U2="En plazo",U2="Por iniciar"),1,0)</f>
        <v>0</v>
      </c>
      <c r="W2" s="11" t="str">
        <f aca="false">IF(U2="Vencido",FechaCorte-J2,"")</f>
        <v/>
      </c>
      <c r="X2" s="11" t="str">
        <f aca="false">IF(AND(V2=1,U2&lt;&gt;"Vencido"),J2-FechaCorte,"")</f>
        <v/>
      </c>
      <c r="Y2" s="13" t="n">
        <f aca="false">IF(J2="","",DATE(YEAR(J2),MONTH(J2),1))</f>
        <v>46082</v>
      </c>
      <c r="Z2" s="13" t="n">
        <f aca="false">IF(AND(U2="Completado",I2&lt;&gt;""),IF(I2&lt;=FechaCorte,DATE(YEAR(I2),MONTH(I2),1),""),"")</f>
        <v>46082</v>
      </c>
      <c r="AA2" s="11" t="n">
        <f aca="false">IF(J2="","",IF(DAY(J2+1)=1,1,0))</f>
        <v>0</v>
      </c>
      <c r="AB2" s="11" t="n">
        <f aca="false">IF(AND(U2="Completado",I2&lt;&gt;"",I2=J2),1,0)</f>
        <v>0</v>
      </c>
      <c r="AC2" s="11" t="n">
        <f aca="false">IF(AND(K2&gt;=1,I2&lt;&gt;""),IF(I2&gt;FechaCorte,1,0),0)</f>
        <v>0</v>
      </c>
      <c r="AD2" s="11" t="n">
        <f aca="false">IF(AND(I2&lt;&gt;"",H2&lt;&gt;""),IF(I2&lt;H2,1,0),0)</f>
        <v>0</v>
      </c>
      <c r="AE2" s="11" t="n">
        <f aca="false">IF(OR(F2="Riesgos",F2="Obs. Auditoría"),1,0)</f>
        <v>0</v>
      </c>
      <c r="AF2" s="11" t="str">
        <f aca="false">IFERROR(MID(D2,FIND("PMC-",D2),8),"")</f>
        <v/>
      </c>
      <c r="AG2" s="11" t="n">
        <f aca="false">IF(AND(V2=1,J2&lt;&gt;""),IF(AND(J2&gt;=FechaCorte,J2&lt;=HorizonteExpuestos),1,0),0)</f>
        <v>0</v>
      </c>
    </row>
    <row r="3" customFormat="false" ht="15" hidden="false" customHeight="false" outlineLevel="0" collapsed="false">
      <c r="A3" s="7" t="n">
        <v>2</v>
      </c>
      <c r="B3" s="7" t="n">
        <v>2026</v>
      </c>
      <c r="C3" s="7" t="s">
        <v>72</v>
      </c>
      <c r="D3" s="7" t="s">
        <v>77</v>
      </c>
      <c r="E3" s="7"/>
      <c r="F3" s="7" t="s">
        <v>74</v>
      </c>
      <c r="G3" s="7" t="s">
        <v>75</v>
      </c>
      <c r="H3" s="8" t="n">
        <v>45658</v>
      </c>
      <c r="I3" s="8" t="n">
        <v>46087</v>
      </c>
      <c r="J3" s="8" t="n">
        <v>46084</v>
      </c>
      <c r="K3" s="9" t="n">
        <v>1</v>
      </c>
      <c r="L3" s="7"/>
      <c r="M3" s="10" t="s">
        <v>76</v>
      </c>
      <c r="N3" s="11" t="str">
        <f aca="false">IFERROR(INDEX(dFrente!$B$2:$B$76,MATCH(C3,dFrente!$A$2:$A$76,0)),"Sin frente")</f>
        <v>SailPoint IGA</v>
      </c>
      <c r="O3" s="11" t="str">
        <f aca="false">IFERROR(INDEX(dNIST!$B$2:$B$13,MATCH(M3,dNIST!$A$2:$A$13,0)),"")</f>
        <v>PR</v>
      </c>
      <c r="P3" s="11" t="str">
        <f aca="false">TRIM(IFERROR(LEFT(G3,FIND(CHAR(10),G3)-1),G3))</f>
        <v>Ana María Vergara</v>
      </c>
      <c r="Q3" s="11" t="n">
        <f aca="false">LEN(TRIM(G3))-LEN(SUBSTITUTE(TRIM(G3),CHAR(10),""))+1</f>
        <v>1</v>
      </c>
      <c r="R3" s="11" t="str">
        <f aca="false">IF(E3&lt;&gt;"","Sí","No")</f>
        <v>No</v>
      </c>
      <c r="S3" s="12" t="n">
        <f aca="false">IF(OR(J3="",H3=""),"",IF(J3&lt;=H3,IF(FechaCorte&gt;=J3,1,0),MAX(0,MIN(1,(FechaCorte-H3)/(J3-H3)))))</f>
        <v>1</v>
      </c>
      <c r="T3" s="12" t="n">
        <f aca="false">IF(S3="","",K3-S3)</f>
        <v>0</v>
      </c>
      <c r="U3" s="11" t="str">
        <f aca="false">IF(R3="Sí","Recurrente",IF(K3&gt;=1,"Completado",IF(AND(J3&lt;&gt;"",J3&lt;FechaCorte),"Vencido",IF(AND(K3=0,OR(H3="",H3&gt;FechaCorte)),"Por iniciar",IF(AND(T3&lt;&gt;"",T3&lt;=UmbralRiesgo),"En riesgo","En plazo")))))</f>
        <v>Completado</v>
      </c>
      <c r="V3" s="11" t="n">
        <f aca="false">IF(OR(U3="Vencido",U3="En riesgo",U3="En plazo",U3="Por iniciar"),1,0)</f>
        <v>0</v>
      </c>
      <c r="W3" s="11" t="str">
        <f aca="false">IF(U3="Vencido",FechaCorte-J3,"")</f>
        <v/>
      </c>
      <c r="X3" s="11" t="str">
        <f aca="false">IF(AND(V3=1,U3&lt;&gt;"Vencido"),J3-FechaCorte,"")</f>
        <v/>
      </c>
      <c r="Y3" s="13" t="n">
        <f aca="false">IF(J3="","",DATE(YEAR(J3),MONTH(J3),1))</f>
        <v>46082</v>
      </c>
      <c r="Z3" s="13" t="n">
        <f aca="false">IF(AND(U3="Completado",I3&lt;&gt;""),IF(I3&lt;=FechaCorte,DATE(YEAR(I3),MONTH(I3),1),""),"")</f>
        <v>46082</v>
      </c>
      <c r="AA3" s="11" t="n">
        <f aca="false">IF(J3="","",IF(DAY(J3+1)=1,1,0))</f>
        <v>0</v>
      </c>
      <c r="AB3" s="11" t="n">
        <f aca="false">IF(AND(U3="Completado",I3&lt;&gt;"",I3=J3),1,0)</f>
        <v>0</v>
      </c>
      <c r="AC3" s="11" t="n">
        <f aca="false">IF(AND(K3&gt;=1,I3&lt;&gt;""),IF(I3&gt;FechaCorte,1,0),0)</f>
        <v>0</v>
      </c>
      <c r="AD3" s="11" t="n">
        <f aca="false">IF(AND(I3&lt;&gt;"",H3&lt;&gt;""),IF(I3&lt;H3,1,0),0)</f>
        <v>0</v>
      </c>
      <c r="AE3" s="11" t="n">
        <f aca="false">IF(OR(F3="Riesgos",F3="Obs. Auditoría"),1,0)</f>
        <v>0</v>
      </c>
      <c r="AF3" s="11" t="str">
        <f aca="false">IFERROR(MID(D3,FIND("PMC-",D3),8),"")</f>
        <v/>
      </c>
      <c r="AG3" s="11" t="n">
        <f aca="false">IF(AND(V3=1,J3&lt;&gt;""),IF(AND(J3&gt;=FechaCorte,J3&lt;=HorizonteExpuestos),1,0),0)</f>
        <v>0</v>
      </c>
    </row>
    <row r="4" customFormat="false" ht="15" hidden="false" customHeight="false" outlineLevel="0" collapsed="false">
      <c r="A4" s="7" t="n">
        <v>3</v>
      </c>
      <c r="B4" s="7" t="n">
        <v>2026</v>
      </c>
      <c r="C4" s="7" t="s">
        <v>72</v>
      </c>
      <c r="D4" s="7" t="s">
        <v>78</v>
      </c>
      <c r="E4" s="7"/>
      <c r="F4" s="7" t="s">
        <v>74</v>
      </c>
      <c r="G4" s="7" t="s">
        <v>75</v>
      </c>
      <c r="H4" s="8" t="n">
        <v>45839</v>
      </c>
      <c r="I4" s="8" t="n">
        <v>46087</v>
      </c>
      <c r="J4" s="8" t="n">
        <v>46084</v>
      </c>
      <c r="K4" s="9" t="n">
        <v>1</v>
      </c>
      <c r="L4" s="7"/>
      <c r="M4" s="10" t="s">
        <v>76</v>
      </c>
      <c r="N4" s="11" t="str">
        <f aca="false">IFERROR(INDEX(dFrente!$B$2:$B$76,MATCH(C4,dFrente!$A$2:$A$76,0)),"Sin frente")</f>
        <v>SailPoint IGA</v>
      </c>
      <c r="O4" s="11" t="str">
        <f aca="false">IFERROR(INDEX(dNIST!$B$2:$B$13,MATCH(M4,dNIST!$A$2:$A$13,0)),"")</f>
        <v>PR</v>
      </c>
      <c r="P4" s="11" t="str">
        <f aca="false">TRIM(IFERROR(LEFT(G4,FIND(CHAR(10),G4)-1),G4))</f>
        <v>Ana María Vergara</v>
      </c>
      <c r="Q4" s="11" t="n">
        <f aca="false">LEN(TRIM(G4))-LEN(SUBSTITUTE(TRIM(G4),CHAR(10),""))+1</f>
        <v>1</v>
      </c>
      <c r="R4" s="11" t="str">
        <f aca="false">IF(E4&lt;&gt;"","Sí","No")</f>
        <v>No</v>
      </c>
      <c r="S4" s="12" t="n">
        <f aca="false">IF(OR(J4="",H4=""),"",IF(J4&lt;=H4,IF(FechaCorte&gt;=J4,1,0),MAX(0,MIN(1,(FechaCorte-H4)/(J4-H4)))))</f>
        <v>1</v>
      </c>
      <c r="T4" s="12" t="n">
        <f aca="false">IF(S4="","",K4-S4)</f>
        <v>0</v>
      </c>
      <c r="U4" s="11" t="str">
        <f aca="false">IF(R4="Sí","Recurrente",IF(K4&gt;=1,"Completado",IF(AND(J4&lt;&gt;"",J4&lt;FechaCorte),"Vencido",IF(AND(K4=0,OR(H4="",H4&gt;FechaCorte)),"Por iniciar",IF(AND(T4&lt;&gt;"",T4&lt;=UmbralRiesgo),"En riesgo","En plazo")))))</f>
        <v>Completado</v>
      </c>
      <c r="V4" s="11" t="n">
        <f aca="false">IF(OR(U4="Vencido",U4="En riesgo",U4="En plazo",U4="Por iniciar"),1,0)</f>
        <v>0</v>
      </c>
      <c r="W4" s="11" t="str">
        <f aca="false">IF(U4="Vencido",FechaCorte-J4,"")</f>
        <v/>
      </c>
      <c r="X4" s="11" t="str">
        <f aca="false">IF(AND(V4=1,U4&lt;&gt;"Vencido"),J4-FechaCorte,"")</f>
        <v/>
      </c>
      <c r="Y4" s="13" t="n">
        <f aca="false">IF(J4="","",DATE(YEAR(J4),MONTH(J4),1))</f>
        <v>46082</v>
      </c>
      <c r="Z4" s="13" t="n">
        <f aca="false">IF(AND(U4="Completado",I4&lt;&gt;""),IF(I4&lt;=FechaCorte,DATE(YEAR(I4),MONTH(I4),1),""),"")</f>
        <v>46082</v>
      </c>
      <c r="AA4" s="11" t="n">
        <f aca="false">IF(J4="","",IF(DAY(J4+1)=1,1,0))</f>
        <v>0</v>
      </c>
      <c r="AB4" s="11" t="n">
        <f aca="false">IF(AND(U4="Completado",I4&lt;&gt;"",I4=J4),1,0)</f>
        <v>0</v>
      </c>
      <c r="AC4" s="11" t="n">
        <f aca="false">IF(AND(K4&gt;=1,I4&lt;&gt;""),IF(I4&gt;FechaCorte,1,0),0)</f>
        <v>0</v>
      </c>
      <c r="AD4" s="11" t="n">
        <f aca="false">IF(AND(I4&lt;&gt;"",H4&lt;&gt;""),IF(I4&lt;H4,1,0),0)</f>
        <v>0</v>
      </c>
      <c r="AE4" s="11" t="n">
        <f aca="false">IF(OR(F4="Riesgos",F4="Obs. Auditoría"),1,0)</f>
        <v>0</v>
      </c>
      <c r="AF4" s="11" t="str">
        <f aca="false">IFERROR(MID(D4,FIND("PMC-",D4),8),"")</f>
        <v/>
      </c>
      <c r="AG4" s="11" t="n">
        <f aca="false">IF(AND(V4=1,J4&lt;&gt;""),IF(AND(J4&gt;=FechaCorte,J4&lt;=HorizonteExpuestos),1,0),0)</f>
        <v>0</v>
      </c>
    </row>
    <row r="5" customFormat="false" ht="15" hidden="false" customHeight="false" outlineLevel="0" collapsed="false">
      <c r="A5" s="7" t="n">
        <v>4</v>
      </c>
      <c r="B5" s="7" t="n">
        <v>2026</v>
      </c>
      <c r="C5" s="7" t="s">
        <v>72</v>
      </c>
      <c r="D5" s="7" t="s">
        <v>79</v>
      </c>
      <c r="E5" s="7"/>
      <c r="F5" s="7" t="s">
        <v>74</v>
      </c>
      <c r="G5" s="7" t="s">
        <v>80</v>
      </c>
      <c r="H5" s="8" t="n">
        <v>45962</v>
      </c>
      <c r="I5" s="8" t="n">
        <v>46087</v>
      </c>
      <c r="J5" s="8" t="n">
        <v>46087</v>
      </c>
      <c r="K5" s="9" t="n">
        <v>1</v>
      </c>
      <c r="L5" s="7"/>
      <c r="M5" s="10" t="s">
        <v>81</v>
      </c>
      <c r="N5" s="11" t="str">
        <f aca="false">IFERROR(INDEX(dFrente!$B$2:$B$76,MATCH(C5,dFrente!$A$2:$A$76,0)),"Sin frente")</f>
        <v>SailPoint IGA</v>
      </c>
      <c r="O5" s="11" t="str">
        <f aca="false">IFERROR(INDEX(dNIST!$B$2:$B$13,MATCH(M5,dNIST!$A$2:$A$13,0)),"")</f>
        <v>PR</v>
      </c>
      <c r="P5" s="11" t="str">
        <f aca="false">TRIM(IFERROR(LEFT(G5,FIND(CHAR(10),G5)-1),G5))</f>
        <v>Ana María Fierro</v>
      </c>
      <c r="Q5" s="11" t="n">
        <f aca="false">LEN(TRIM(G5))-LEN(SUBSTITUTE(TRIM(G5),CHAR(10),""))+1</f>
        <v>1</v>
      </c>
      <c r="R5" s="11" t="str">
        <f aca="false">IF(E5&lt;&gt;"","Sí","No")</f>
        <v>No</v>
      </c>
      <c r="S5" s="12" t="n">
        <f aca="false">IF(OR(J5="",H5=""),"",IF(J5&lt;=H5,IF(FechaCorte&gt;=J5,1,0),MAX(0,MIN(1,(FechaCorte-H5)/(J5-H5)))))</f>
        <v>1</v>
      </c>
      <c r="T5" s="12" t="n">
        <f aca="false">IF(S5="","",K5-S5)</f>
        <v>0</v>
      </c>
      <c r="U5" s="11" t="str">
        <f aca="false">IF(R5="Sí","Recurrente",IF(K5&gt;=1,"Completado",IF(AND(J5&lt;&gt;"",J5&lt;FechaCorte),"Vencido",IF(AND(K5=0,OR(H5="",H5&gt;FechaCorte)),"Por iniciar",IF(AND(T5&lt;&gt;"",T5&lt;=UmbralRiesgo),"En riesgo","En plazo")))))</f>
        <v>Completado</v>
      </c>
      <c r="V5" s="11" t="n">
        <f aca="false">IF(OR(U5="Vencido",U5="En riesgo",U5="En plazo",U5="Por iniciar"),1,0)</f>
        <v>0</v>
      </c>
      <c r="W5" s="11" t="str">
        <f aca="false">IF(U5="Vencido",FechaCorte-J5,"")</f>
        <v/>
      </c>
      <c r="X5" s="11" t="str">
        <f aca="false">IF(AND(V5=1,U5&lt;&gt;"Vencido"),J5-FechaCorte,"")</f>
        <v/>
      </c>
      <c r="Y5" s="13" t="n">
        <f aca="false">IF(J5="","",DATE(YEAR(J5),MONTH(J5),1))</f>
        <v>46082</v>
      </c>
      <c r="Z5" s="13" t="n">
        <f aca="false">IF(AND(U5="Completado",I5&lt;&gt;""),IF(I5&lt;=FechaCorte,DATE(YEAR(I5),MONTH(I5),1),""),"")</f>
        <v>46082</v>
      </c>
      <c r="AA5" s="11" t="n">
        <f aca="false">IF(J5="","",IF(DAY(J5+1)=1,1,0))</f>
        <v>0</v>
      </c>
      <c r="AB5" s="11" t="n">
        <f aca="false">IF(AND(U5="Completado",I5&lt;&gt;"",I5=J5),1,0)</f>
        <v>1</v>
      </c>
      <c r="AC5" s="11" t="n">
        <f aca="false">IF(AND(K5&gt;=1,I5&lt;&gt;""),IF(I5&gt;FechaCorte,1,0),0)</f>
        <v>0</v>
      </c>
      <c r="AD5" s="11" t="n">
        <f aca="false">IF(AND(I5&lt;&gt;"",H5&lt;&gt;""),IF(I5&lt;H5,1,0),0)</f>
        <v>0</v>
      </c>
      <c r="AE5" s="11" t="n">
        <f aca="false">IF(OR(F5="Riesgos",F5="Obs. Auditoría"),1,0)</f>
        <v>0</v>
      </c>
      <c r="AF5" s="11" t="str">
        <f aca="false">IFERROR(MID(D5,FIND("PMC-",D5),8),"")</f>
        <v/>
      </c>
      <c r="AG5" s="11" t="n">
        <f aca="false">IF(AND(V5=1,J5&lt;&gt;""),IF(AND(J5&gt;=FechaCorte,J5&lt;=HorizonteExpuestos),1,0),0)</f>
        <v>0</v>
      </c>
    </row>
    <row r="6" customFormat="false" ht="15" hidden="false" customHeight="false" outlineLevel="0" collapsed="false">
      <c r="A6" s="7" t="n">
        <v>5</v>
      </c>
      <c r="B6" s="7" t="n">
        <v>2026</v>
      </c>
      <c r="C6" s="7" t="s">
        <v>72</v>
      </c>
      <c r="D6" s="7" t="s">
        <v>82</v>
      </c>
      <c r="E6" s="7"/>
      <c r="F6" s="7" t="s">
        <v>74</v>
      </c>
      <c r="G6" s="7" t="s">
        <v>80</v>
      </c>
      <c r="H6" s="8" t="n">
        <v>45992</v>
      </c>
      <c r="I6" s="8"/>
      <c r="J6" s="8" t="n">
        <v>46387</v>
      </c>
      <c r="K6" s="9" t="n">
        <v>0.5</v>
      </c>
      <c r="L6" s="7"/>
      <c r="M6" s="10" t="s">
        <v>81</v>
      </c>
      <c r="N6" s="11" t="str">
        <f aca="false">IFERROR(INDEX(dFrente!$B$2:$B$76,MATCH(C6,dFrente!$A$2:$A$76,0)),"Sin frente")</f>
        <v>SailPoint IGA</v>
      </c>
      <c r="O6" s="11" t="str">
        <f aca="false">IFERROR(INDEX(dNIST!$B$2:$B$13,MATCH(M6,dNIST!$A$2:$A$13,0)),"")</f>
        <v>PR</v>
      </c>
      <c r="P6" s="11" t="str">
        <f aca="false">TRIM(IFERROR(LEFT(G6,FIND(CHAR(10),G6)-1),G6))</f>
        <v>Ana María Fierro</v>
      </c>
      <c r="Q6" s="11" t="n">
        <f aca="false">LEN(TRIM(G6))-LEN(SUBSTITUTE(TRIM(G6),CHAR(10),""))+1</f>
        <v>1</v>
      </c>
      <c r="R6" s="11" t="str">
        <f aca="false">IF(E6&lt;&gt;"","Sí","No")</f>
        <v>No</v>
      </c>
      <c r="S6" s="12" t="n">
        <f aca="false">IF(OR(J6="",H6=""),"",IF(J6&lt;=H6,IF(FechaCorte&gt;=J6,1,0),MAX(0,MIN(1,(FechaCorte-H6)/(J6-H6)))))</f>
        <v>0.751898734177215</v>
      </c>
      <c r="T6" s="12" t="n">
        <f aca="false">IF(S6="","",K6-S6)</f>
        <v>-0.251898734177215</v>
      </c>
      <c r="U6" s="11" t="str">
        <f aca="false">IF(R6="Sí","Recurrente",IF(K6&gt;=1,"Completado",IF(AND(J6&lt;&gt;"",J6&lt;FechaCorte),"Vencido",IF(AND(K6=0,OR(H6="",H6&gt;FechaCorte)),"Por iniciar",IF(AND(T6&lt;&gt;"",T6&lt;=UmbralRiesgo),"En riesgo","En plazo")))))</f>
        <v>En riesgo</v>
      </c>
      <c r="V6" s="11" t="n">
        <f aca="false">IF(OR(U6="Vencido",U6="En riesgo",U6="En plazo",U6="Por iniciar"),1,0)</f>
        <v>1</v>
      </c>
      <c r="W6" s="11" t="str">
        <f aca="false">IF(U6="Vencido",FechaCorte-J6,"")</f>
        <v/>
      </c>
      <c r="X6" s="11" t="n">
        <f aca="false">IF(AND(V6=1,U6&lt;&gt;"Vencido"),J6-FechaCorte,"")</f>
        <v>98</v>
      </c>
      <c r="Y6" s="13" t="n">
        <f aca="false">IF(J6="","",DATE(YEAR(J6),MONTH(J6),1))</f>
        <v>46357</v>
      </c>
      <c r="Z6" s="13" t="str">
        <f aca="false">IF(AND(U6="Completado",I6&lt;&gt;""),IF(I6&lt;=FechaCorte,DATE(YEAR(I6),MONTH(I6),1),""),"")</f>
        <v/>
      </c>
      <c r="AA6" s="11" t="n">
        <f aca="false">IF(J6="","",IF(DAY(J6+1)=1,1,0))</f>
        <v>1</v>
      </c>
      <c r="AB6" s="11" t="n">
        <f aca="false">IF(AND(U6="Completado",I6&lt;&gt;"",I6=J6),1,0)</f>
        <v>0</v>
      </c>
      <c r="AC6" s="11" t="n">
        <f aca="false">IF(AND(K6&gt;=1,I6&lt;&gt;""),IF(I6&gt;FechaCorte,1,0),0)</f>
        <v>0</v>
      </c>
      <c r="AD6" s="11" t="n">
        <f aca="false">IF(AND(I6&lt;&gt;"",H6&lt;&gt;""),IF(I6&lt;H6,1,0),0)</f>
        <v>0</v>
      </c>
      <c r="AE6" s="11" t="n">
        <f aca="false">IF(OR(F6="Riesgos",F6="Obs. Auditoría"),1,0)</f>
        <v>0</v>
      </c>
      <c r="AF6" s="11" t="str">
        <f aca="false">IFERROR(MID(D6,FIND("PMC-",D6),8),"")</f>
        <v/>
      </c>
      <c r="AG6" s="11" t="n">
        <f aca="false">IF(AND(V6=1,J6&lt;&gt;""),IF(AND(J6&gt;=FechaCorte,J6&lt;=HorizonteExpuestos),1,0),0)</f>
        <v>0</v>
      </c>
    </row>
    <row r="7" customFormat="false" ht="15" hidden="false" customHeight="false" outlineLevel="0" collapsed="false">
      <c r="A7" s="7" t="n">
        <v>6</v>
      </c>
      <c r="B7" s="7" t="n">
        <v>2026</v>
      </c>
      <c r="C7" s="7" t="s">
        <v>72</v>
      </c>
      <c r="D7" s="7" t="s">
        <v>83</v>
      </c>
      <c r="E7" s="7"/>
      <c r="F7" s="7" t="s">
        <v>74</v>
      </c>
      <c r="G7" s="7" t="s">
        <v>84</v>
      </c>
      <c r="H7" s="8" t="n">
        <v>46082</v>
      </c>
      <c r="I7" s="8" t="n">
        <v>46084</v>
      </c>
      <c r="J7" s="8" t="n">
        <v>46084</v>
      </c>
      <c r="K7" s="9" t="n">
        <v>1</v>
      </c>
      <c r="L7" s="7"/>
      <c r="M7" s="10" t="s">
        <v>81</v>
      </c>
      <c r="N7" s="11" t="str">
        <f aca="false">IFERROR(INDEX(dFrente!$B$2:$B$76,MATCH(C7,dFrente!$A$2:$A$76,0)),"Sin frente")</f>
        <v>SailPoint IGA</v>
      </c>
      <c r="O7" s="11" t="str">
        <f aca="false">IFERROR(INDEX(dNIST!$B$2:$B$13,MATCH(M7,dNIST!$A$2:$A$13,0)),"")</f>
        <v>PR</v>
      </c>
      <c r="P7" s="11" t="str">
        <f aca="false">TRIM(IFERROR(LEFT(G7,FIND(CHAR(10),G7)-1),G7))</f>
        <v>Richard Requelme</v>
      </c>
      <c r="Q7" s="11" t="n">
        <f aca="false">LEN(TRIM(G7))-LEN(SUBSTITUTE(TRIM(G7),CHAR(10),""))+1</f>
        <v>1</v>
      </c>
      <c r="R7" s="11" t="str">
        <f aca="false">IF(E7&lt;&gt;"","Sí","No")</f>
        <v>No</v>
      </c>
      <c r="S7" s="12" t="n">
        <f aca="false">IF(OR(J7="",H7=""),"",IF(J7&lt;=H7,IF(FechaCorte&gt;=J7,1,0),MAX(0,MIN(1,(FechaCorte-H7)/(J7-H7)))))</f>
        <v>1</v>
      </c>
      <c r="T7" s="12" t="n">
        <f aca="false">IF(S7="","",K7-S7)</f>
        <v>0</v>
      </c>
      <c r="U7" s="11" t="str">
        <f aca="false">IF(R7="Sí","Recurrente",IF(K7&gt;=1,"Completado",IF(AND(J7&lt;&gt;"",J7&lt;FechaCorte),"Vencido",IF(AND(K7=0,OR(H7="",H7&gt;FechaCorte)),"Por iniciar",IF(AND(T7&lt;&gt;"",T7&lt;=UmbralRiesgo),"En riesgo","En plazo")))))</f>
        <v>Completado</v>
      </c>
      <c r="V7" s="11" t="n">
        <f aca="false">IF(OR(U7="Vencido",U7="En riesgo",U7="En plazo",U7="Por iniciar"),1,0)</f>
        <v>0</v>
      </c>
      <c r="W7" s="11" t="str">
        <f aca="false">IF(U7="Vencido",FechaCorte-J7,"")</f>
        <v/>
      </c>
      <c r="X7" s="11" t="str">
        <f aca="false">IF(AND(V7=1,U7&lt;&gt;"Vencido"),J7-FechaCorte,"")</f>
        <v/>
      </c>
      <c r="Y7" s="13" t="n">
        <f aca="false">IF(J7="","",DATE(YEAR(J7),MONTH(J7),1))</f>
        <v>46082</v>
      </c>
      <c r="Z7" s="13" t="n">
        <f aca="false">IF(AND(U7="Completado",I7&lt;&gt;""),IF(I7&lt;=FechaCorte,DATE(YEAR(I7),MONTH(I7),1),""),"")</f>
        <v>46082</v>
      </c>
      <c r="AA7" s="11" t="n">
        <f aca="false">IF(J7="","",IF(DAY(J7+1)=1,1,0))</f>
        <v>0</v>
      </c>
      <c r="AB7" s="11" t="n">
        <f aca="false">IF(AND(U7="Completado",I7&lt;&gt;"",I7=J7),1,0)</f>
        <v>1</v>
      </c>
      <c r="AC7" s="11" t="n">
        <f aca="false">IF(AND(K7&gt;=1,I7&lt;&gt;""),IF(I7&gt;FechaCorte,1,0),0)</f>
        <v>0</v>
      </c>
      <c r="AD7" s="11" t="n">
        <f aca="false">IF(AND(I7&lt;&gt;"",H7&lt;&gt;""),IF(I7&lt;H7,1,0),0)</f>
        <v>0</v>
      </c>
      <c r="AE7" s="11" t="n">
        <f aca="false">IF(OR(F7="Riesgos",F7="Obs. Auditoría"),1,0)</f>
        <v>0</v>
      </c>
      <c r="AF7" s="11" t="str">
        <f aca="false">IFERROR(MID(D7,FIND("PMC-",D7),8),"")</f>
        <v/>
      </c>
      <c r="AG7" s="11" t="n">
        <f aca="false">IF(AND(V7=1,J7&lt;&gt;""),IF(AND(J7&gt;=FechaCorte,J7&lt;=HorizonteExpuestos),1,0),0)</f>
        <v>0</v>
      </c>
    </row>
    <row r="8" customFormat="false" ht="15" hidden="false" customHeight="false" outlineLevel="0" collapsed="false">
      <c r="A8" s="7" t="n">
        <v>7</v>
      </c>
      <c r="B8" s="7" t="n">
        <v>2026</v>
      </c>
      <c r="C8" s="7" t="s">
        <v>72</v>
      </c>
      <c r="D8" s="7" t="s">
        <v>85</v>
      </c>
      <c r="E8" s="7"/>
      <c r="F8" s="7" t="s">
        <v>74</v>
      </c>
      <c r="G8" s="7" t="s">
        <v>80</v>
      </c>
      <c r="H8" s="8" t="n">
        <v>46082</v>
      </c>
      <c r="I8" s="8" t="n">
        <v>46080</v>
      </c>
      <c r="J8" s="8" t="n">
        <v>46080</v>
      </c>
      <c r="K8" s="9" t="n">
        <v>1</v>
      </c>
      <c r="L8" s="7" t="s">
        <v>86</v>
      </c>
      <c r="M8" s="10" t="s">
        <v>81</v>
      </c>
      <c r="N8" s="11" t="str">
        <f aca="false">IFERROR(INDEX(dFrente!$B$2:$B$76,MATCH(C8,dFrente!$A$2:$A$76,0)),"Sin frente")</f>
        <v>SailPoint IGA</v>
      </c>
      <c r="O8" s="11" t="str">
        <f aca="false">IFERROR(INDEX(dNIST!$B$2:$B$13,MATCH(M8,dNIST!$A$2:$A$13,0)),"")</f>
        <v>PR</v>
      </c>
      <c r="P8" s="11" t="str">
        <f aca="false">TRIM(IFERROR(LEFT(G8,FIND(CHAR(10),G8)-1),G8))</f>
        <v>Ana María Fierro</v>
      </c>
      <c r="Q8" s="11" t="n">
        <f aca="false">LEN(TRIM(G8))-LEN(SUBSTITUTE(TRIM(G8),CHAR(10),""))+1</f>
        <v>1</v>
      </c>
      <c r="R8" s="11" t="str">
        <f aca="false">IF(E8&lt;&gt;"","Sí","No")</f>
        <v>No</v>
      </c>
      <c r="S8" s="12" t="n">
        <f aca="false">IF(OR(J8="",H8=""),"",IF(J8&lt;=H8,IF(FechaCorte&gt;=J8,1,0),MAX(0,MIN(1,(FechaCorte-H8)/(J8-H8)))))</f>
        <v>1</v>
      </c>
      <c r="T8" s="12" t="n">
        <f aca="false">IF(S8="","",K8-S8)</f>
        <v>0</v>
      </c>
      <c r="U8" s="11" t="str">
        <f aca="false">IF(R8="Sí","Recurrente",IF(K8&gt;=1,"Completado",IF(AND(J8&lt;&gt;"",J8&lt;FechaCorte),"Vencido",IF(AND(K8=0,OR(H8="",H8&gt;FechaCorte)),"Por iniciar",IF(AND(T8&lt;&gt;"",T8&lt;=UmbralRiesgo),"En riesgo","En plazo")))))</f>
        <v>Completado</v>
      </c>
      <c r="V8" s="11" t="n">
        <f aca="false">IF(OR(U8="Vencido",U8="En riesgo",U8="En plazo",U8="Por iniciar"),1,0)</f>
        <v>0</v>
      </c>
      <c r="W8" s="11" t="str">
        <f aca="false">IF(U8="Vencido",FechaCorte-J8,"")</f>
        <v/>
      </c>
      <c r="X8" s="11" t="str">
        <f aca="false">IF(AND(V8=1,U8&lt;&gt;"Vencido"),J8-FechaCorte,"")</f>
        <v/>
      </c>
      <c r="Y8" s="13" t="n">
        <f aca="false">IF(J8="","",DATE(YEAR(J8),MONTH(J8),1))</f>
        <v>46054</v>
      </c>
      <c r="Z8" s="13" t="n">
        <f aca="false">IF(AND(U8="Completado",I8&lt;&gt;""),IF(I8&lt;=FechaCorte,DATE(YEAR(I8),MONTH(I8),1),""),"")</f>
        <v>46054</v>
      </c>
      <c r="AA8" s="11" t="n">
        <f aca="false">IF(J8="","",IF(DAY(J8+1)=1,1,0))</f>
        <v>0</v>
      </c>
      <c r="AB8" s="11" t="n">
        <f aca="false">IF(AND(U8="Completado",I8&lt;&gt;"",I8=J8),1,0)</f>
        <v>1</v>
      </c>
      <c r="AC8" s="11" t="n">
        <f aca="false">IF(AND(K8&gt;=1,I8&lt;&gt;""),IF(I8&gt;FechaCorte,1,0),0)</f>
        <v>0</v>
      </c>
      <c r="AD8" s="11" t="n">
        <f aca="false">IF(AND(I8&lt;&gt;"",H8&lt;&gt;""),IF(I8&lt;H8,1,0),0)</f>
        <v>1</v>
      </c>
      <c r="AE8" s="11" t="n">
        <f aca="false">IF(OR(F8="Riesgos",F8="Obs. Auditoría"),1,0)</f>
        <v>0</v>
      </c>
      <c r="AF8" s="11" t="str">
        <f aca="false">IFERROR(MID(D8,FIND("PMC-",D8),8),"")</f>
        <v/>
      </c>
      <c r="AG8" s="11" t="n">
        <f aca="false">IF(AND(V8=1,J8&lt;&gt;""),IF(AND(J8&gt;=FechaCorte,J8&lt;=HorizonteExpuestos),1,0),0)</f>
        <v>0</v>
      </c>
    </row>
    <row r="9" customFormat="false" ht="15" hidden="false" customHeight="false" outlineLevel="0" collapsed="false">
      <c r="A9" s="7" t="n">
        <v>8</v>
      </c>
      <c r="B9" s="7" t="n">
        <v>2026</v>
      </c>
      <c r="C9" s="7" t="s">
        <v>87</v>
      </c>
      <c r="D9" s="7" t="s">
        <v>88</v>
      </c>
      <c r="E9" s="7"/>
      <c r="F9" s="7" t="s">
        <v>74</v>
      </c>
      <c r="G9" s="7" t="s">
        <v>75</v>
      </c>
      <c r="H9" s="8" t="n">
        <v>46327</v>
      </c>
      <c r="I9" s="8"/>
      <c r="J9" s="8" t="n">
        <v>46387</v>
      </c>
      <c r="K9" s="9" t="n">
        <v>0</v>
      </c>
      <c r="L9" s="7" t="s">
        <v>89</v>
      </c>
      <c r="M9" s="10" t="s">
        <v>76</v>
      </c>
      <c r="N9" s="11" t="str">
        <f aca="false">IFERROR(INDEX(dFrente!$B$2:$B$76,MATCH(C9,dFrente!$A$2:$A$76,0)),"Sin frente")</f>
        <v>SailPoint IGA</v>
      </c>
      <c r="O9" s="11" t="str">
        <f aca="false">IFERROR(INDEX(dNIST!$B$2:$B$13,MATCH(M9,dNIST!$A$2:$A$13,0)),"")</f>
        <v>PR</v>
      </c>
      <c r="P9" s="11" t="str">
        <f aca="false">TRIM(IFERROR(LEFT(G9,FIND(CHAR(10),G9)-1),G9))</f>
        <v>Ana María Vergara</v>
      </c>
      <c r="Q9" s="11" t="n">
        <f aca="false">LEN(TRIM(G9))-LEN(SUBSTITUTE(TRIM(G9),CHAR(10),""))+1</f>
        <v>1</v>
      </c>
      <c r="R9" s="11" t="str">
        <f aca="false">IF(E9&lt;&gt;"","Sí","No")</f>
        <v>No</v>
      </c>
      <c r="S9" s="12" t="n">
        <f aca="false">IF(OR(J9="",H9=""),"",IF(J9&lt;=H9,IF(FechaCorte&gt;=J9,1,0),MAX(0,MIN(1,(FechaCorte-H9)/(J9-H9)))))</f>
        <v>0</v>
      </c>
      <c r="T9" s="12" t="n">
        <f aca="false">IF(S9="","",K9-S9)</f>
        <v>0</v>
      </c>
      <c r="U9" s="11" t="str">
        <f aca="false">IF(R9="Sí","Recurrente",IF(K9&gt;=1,"Completado",IF(AND(J9&lt;&gt;"",J9&lt;FechaCorte),"Vencido",IF(AND(K9=0,OR(H9="",H9&gt;FechaCorte)),"Por iniciar",IF(AND(T9&lt;&gt;"",T9&lt;=UmbralRiesgo),"En riesgo","En plazo")))))</f>
        <v>Por iniciar</v>
      </c>
      <c r="V9" s="11" t="n">
        <f aca="false">IF(OR(U9="Vencido",U9="En riesgo",U9="En plazo",U9="Por iniciar"),1,0)</f>
        <v>1</v>
      </c>
      <c r="W9" s="11" t="str">
        <f aca="false">IF(U9="Vencido",FechaCorte-J9,"")</f>
        <v/>
      </c>
      <c r="X9" s="11" t="n">
        <f aca="false">IF(AND(V9=1,U9&lt;&gt;"Vencido"),J9-FechaCorte,"")</f>
        <v>98</v>
      </c>
      <c r="Y9" s="13" t="n">
        <f aca="false">IF(J9="","",DATE(YEAR(J9),MONTH(J9),1))</f>
        <v>46357</v>
      </c>
      <c r="Z9" s="13" t="str">
        <f aca="false">IF(AND(U9="Completado",I9&lt;&gt;""),IF(I9&lt;=FechaCorte,DATE(YEAR(I9),MONTH(I9),1),""),"")</f>
        <v/>
      </c>
      <c r="AA9" s="11" t="n">
        <f aca="false">IF(J9="","",IF(DAY(J9+1)=1,1,0))</f>
        <v>1</v>
      </c>
      <c r="AB9" s="11" t="n">
        <f aca="false">IF(AND(U9="Completado",I9&lt;&gt;"",I9=J9),1,0)</f>
        <v>0</v>
      </c>
      <c r="AC9" s="11" t="n">
        <f aca="false">IF(AND(K9&gt;=1,I9&lt;&gt;""),IF(I9&gt;FechaCorte,1,0),0)</f>
        <v>0</v>
      </c>
      <c r="AD9" s="11" t="n">
        <f aca="false">IF(AND(I9&lt;&gt;"",H9&lt;&gt;""),IF(I9&lt;H9,1,0),0)</f>
        <v>0</v>
      </c>
      <c r="AE9" s="11" t="n">
        <f aca="false">IF(OR(F9="Riesgos",F9="Obs. Auditoría"),1,0)</f>
        <v>0</v>
      </c>
      <c r="AF9" s="11" t="str">
        <f aca="false">IFERROR(MID(D9,FIND("PMC-",D9),8),"")</f>
        <v/>
      </c>
      <c r="AG9" s="11" t="n">
        <f aca="false">IF(AND(V9=1,J9&lt;&gt;""),IF(AND(J9&gt;=FechaCorte,J9&lt;=HorizonteExpuestos),1,0),0)</f>
        <v>0</v>
      </c>
    </row>
    <row r="10" customFormat="false" ht="15" hidden="false" customHeight="false" outlineLevel="0" collapsed="false">
      <c r="A10" s="7" t="n">
        <v>9</v>
      </c>
      <c r="B10" s="7" t="n">
        <v>2026</v>
      </c>
      <c r="C10" s="7" t="s">
        <v>87</v>
      </c>
      <c r="D10" s="7" t="s">
        <v>90</v>
      </c>
      <c r="E10" s="7"/>
      <c r="F10" s="7" t="s">
        <v>74</v>
      </c>
      <c r="G10" s="7" t="s">
        <v>91</v>
      </c>
      <c r="H10" s="8" t="n">
        <v>46143</v>
      </c>
      <c r="I10" s="8"/>
      <c r="J10" s="8" t="n">
        <v>46235</v>
      </c>
      <c r="K10" s="9" t="n">
        <v>0.05</v>
      </c>
      <c r="L10" s="7" t="s">
        <v>92</v>
      </c>
      <c r="M10" s="10" t="s">
        <v>93</v>
      </c>
      <c r="N10" s="11" t="str">
        <f aca="false">IFERROR(INDEX(dFrente!$B$2:$B$76,MATCH(C10,dFrente!$A$2:$A$76,0)),"Sin frente")</f>
        <v>SailPoint IGA</v>
      </c>
      <c r="O10" s="11" t="str">
        <f aca="false">IFERROR(INDEX(dNIST!$B$2:$B$13,MATCH(M10,dNIST!$A$2:$A$13,0)),"")</f>
        <v>DE</v>
      </c>
      <c r="P10" s="11" t="str">
        <f aca="false">TRIM(IFERROR(LEFT(G10,FIND(CHAR(10),G10)-1),G10))</f>
        <v>Jhonny Barreiro</v>
      </c>
      <c r="Q10" s="11" t="n">
        <f aca="false">LEN(TRIM(G10))-LEN(SUBSTITUTE(TRIM(G10),CHAR(10),""))+1</f>
        <v>1</v>
      </c>
      <c r="R10" s="11" t="str">
        <f aca="false">IF(E10&lt;&gt;"","Sí","No")</f>
        <v>No</v>
      </c>
      <c r="S10" s="12" t="n">
        <f aca="false">IF(OR(J10="",H10=""),"",IF(J10&lt;=H10,IF(FechaCorte&gt;=J10,1,0),MAX(0,MIN(1,(FechaCorte-H10)/(J10-H10)))))</f>
        <v>1</v>
      </c>
      <c r="T10" s="12" t="n">
        <f aca="false">IF(S10="","",K10-S10)</f>
        <v>-0.95</v>
      </c>
      <c r="U10" s="11" t="str">
        <f aca="false">IF(R10="Sí","Recurrente",IF(K10&gt;=1,"Completado",IF(AND(J10&lt;&gt;"",J10&lt;FechaCorte),"Vencido",IF(AND(K10=0,OR(H10="",H10&gt;FechaCorte)),"Por iniciar",IF(AND(T10&lt;&gt;"",T10&lt;=UmbralRiesgo),"En riesgo","En plazo")))))</f>
        <v>Vencido</v>
      </c>
      <c r="V10" s="11" t="n">
        <f aca="false">IF(OR(U10="Vencido",U10="En riesgo",U10="En plazo",U10="Por iniciar"),1,0)</f>
        <v>1</v>
      </c>
      <c r="W10" s="11" t="n">
        <f aca="false">IF(U10="Vencido",FechaCorte-J10,"")</f>
        <v>54</v>
      </c>
      <c r="X10" s="11" t="str">
        <f aca="false">IF(AND(V10=1,U10&lt;&gt;"Vencido"),J10-FechaCorte,"")</f>
        <v/>
      </c>
      <c r="Y10" s="13" t="n">
        <f aca="false">IF(J10="","",DATE(YEAR(J10),MONTH(J10),1))</f>
        <v>46235</v>
      </c>
      <c r="Z10" s="13" t="str">
        <f aca="false">IF(AND(U10="Completado",I10&lt;&gt;""),IF(I10&lt;=FechaCorte,DATE(YEAR(I10),MONTH(I10),1),""),"")</f>
        <v/>
      </c>
      <c r="AA10" s="11" t="n">
        <f aca="false">IF(J10="","",IF(DAY(J10+1)=1,1,0))</f>
        <v>0</v>
      </c>
      <c r="AB10" s="11" t="n">
        <f aca="false">IF(AND(U10="Completado",I10&lt;&gt;"",I10=J10),1,0)</f>
        <v>0</v>
      </c>
      <c r="AC10" s="11" t="n">
        <f aca="false">IF(AND(K10&gt;=1,I10&lt;&gt;""),IF(I10&gt;FechaCorte,1,0),0)</f>
        <v>0</v>
      </c>
      <c r="AD10" s="11" t="n">
        <f aca="false">IF(AND(I10&lt;&gt;"",H10&lt;&gt;""),IF(I10&lt;H10,1,0),0)</f>
        <v>0</v>
      </c>
      <c r="AE10" s="11" t="n">
        <f aca="false">IF(OR(F10="Riesgos",F10="Obs. Auditoría"),1,0)</f>
        <v>0</v>
      </c>
      <c r="AF10" s="11" t="str">
        <f aca="false">IFERROR(MID(D10,FIND("PMC-",D10),8),"")</f>
        <v/>
      </c>
      <c r="AG10" s="11" t="n">
        <f aca="false">IF(AND(V10=1,J10&lt;&gt;""),IF(AND(J10&gt;=FechaCorte,J10&lt;=HorizonteExpuestos),1,0),0)</f>
        <v>0</v>
      </c>
    </row>
    <row r="11" customFormat="false" ht="15" hidden="false" customHeight="false" outlineLevel="0" collapsed="false">
      <c r="A11" s="7" t="n">
        <v>10</v>
      </c>
      <c r="B11" s="7" t="n">
        <v>2026</v>
      </c>
      <c r="C11" s="7" t="s">
        <v>87</v>
      </c>
      <c r="D11" s="7" t="s">
        <v>94</v>
      </c>
      <c r="E11" s="7"/>
      <c r="F11" s="7" t="s">
        <v>74</v>
      </c>
      <c r="G11" s="7" t="s">
        <v>75</v>
      </c>
      <c r="H11" s="8" t="n">
        <v>46143</v>
      </c>
      <c r="I11" s="8" t="n">
        <v>46143</v>
      </c>
      <c r="J11" s="8" t="n">
        <v>46143</v>
      </c>
      <c r="K11" s="9" t="n">
        <v>1</v>
      </c>
      <c r="L11" s="7" t="s">
        <v>95</v>
      </c>
      <c r="M11" s="10" t="s">
        <v>76</v>
      </c>
      <c r="N11" s="11" t="str">
        <f aca="false">IFERROR(INDEX(dFrente!$B$2:$B$76,MATCH(C11,dFrente!$A$2:$A$76,0)),"Sin frente")</f>
        <v>SailPoint IGA</v>
      </c>
      <c r="O11" s="11" t="str">
        <f aca="false">IFERROR(INDEX(dNIST!$B$2:$B$13,MATCH(M11,dNIST!$A$2:$A$13,0)),"")</f>
        <v>PR</v>
      </c>
      <c r="P11" s="11" t="str">
        <f aca="false">TRIM(IFERROR(LEFT(G11,FIND(CHAR(10),G11)-1),G11))</f>
        <v>Ana María Vergara</v>
      </c>
      <c r="Q11" s="11" t="n">
        <f aca="false">LEN(TRIM(G11))-LEN(SUBSTITUTE(TRIM(G11),CHAR(10),""))+1</f>
        <v>1</v>
      </c>
      <c r="R11" s="11" t="str">
        <f aca="false">IF(E11&lt;&gt;"","Sí","No")</f>
        <v>No</v>
      </c>
      <c r="S11" s="12" t="n">
        <f aca="false">IF(OR(J11="",H11=""),"",IF(J11&lt;=H11,IF(FechaCorte&gt;=J11,1,0),MAX(0,MIN(1,(FechaCorte-H11)/(J11-H11)))))</f>
        <v>1</v>
      </c>
      <c r="T11" s="12" t="n">
        <f aca="false">IF(S11="","",K11-S11)</f>
        <v>0</v>
      </c>
      <c r="U11" s="11" t="str">
        <f aca="false">IF(R11="Sí","Recurrente",IF(K11&gt;=1,"Completado",IF(AND(J11&lt;&gt;"",J11&lt;FechaCorte),"Vencido",IF(AND(K11=0,OR(H11="",H11&gt;FechaCorte)),"Por iniciar",IF(AND(T11&lt;&gt;"",T11&lt;=UmbralRiesgo),"En riesgo","En plazo")))))</f>
        <v>Completado</v>
      </c>
      <c r="V11" s="11" t="n">
        <f aca="false">IF(OR(U11="Vencido",U11="En riesgo",U11="En plazo",U11="Por iniciar"),1,0)</f>
        <v>0</v>
      </c>
      <c r="W11" s="11" t="str">
        <f aca="false">IF(U11="Vencido",FechaCorte-J11,"")</f>
        <v/>
      </c>
      <c r="X11" s="11" t="str">
        <f aca="false">IF(AND(V11=1,U11&lt;&gt;"Vencido"),J11-FechaCorte,"")</f>
        <v/>
      </c>
      <c r="Y11" s="13" t="n">
        <f aca="false">IF(J11="","",DATE(YEAR(J11),MONTH(J11),1))</f>
        <v>46143</v>
      </c>
      <c r="Z11" s="13" t="n">
        <f aca="false">IF(AND(U11="Completado",I11&lt;&gt;""),IF(I11&lt;=FechaCorte,DATE(YEAR(I11),MONTH(I11),1),""),"")</f>
        <v>46143</v>
      </c>
      <c r="AA11" s="11" t="n">
        <f aca="false">IF(J11="","",IF(DAY(J11+1)=1,1,0))</f>
        <v>0</v>
      </c>
      <c r="AB11" s="11" t="n">
        <f aca="false">IF(AND(U11="Completado",I11&lt;&gt;"",I11=J11),1,0)</f>
        <v>1</v>
      </c>
      <c r="AC11" s="11" t="n">
        <f aca="false">IF(AND(K11&gt;=1,I11&lt;&gt;""),IF(I11&gt;FechaCorte,1,0),0)</f>
        <v>0</v>
      </c>
      <c r="AD11" s="11" t="n">
        <f aca="false">IF(AND(I11&lt;&gt;"",H11&lt;&gt;""),IF(I11&lt;H11,1,0),0)</f>
        <v>0</v>
      </c>
      <c r="AE11" s="11" t="n">
        <f aca="false">IF(OR(F11="Riesgos",F11="Obs. Auditoría"),1,0)</f>
        <v>0</v>
      </c>
      <c r="AF11" s="11" t="str">
        <f aca="false">IFERROR(MID(D11,FIND("PMC-",D11),8),"")</f>
        <v/>
      </c>
      <c r="AG11" s="11" t="n">
        <f aca="false">IF(AND(V11=1,J11&lt;&gt;""),IF(AND(J11&gt;=FechaCorte,J11&lt;=HorizonteExpuestos),1,0),0)</f>
        <v>0</v>
      </c>
    </row>
    <row r="12" customFormat="false" ht="15" hidden="false" customHeight="false" outlineLevel="0" collapsed="false">
      <c r="A12" s="7" t="n">
        <v>11</v>
      </c>
      <c r="B12" s="7" t="n">
        <v>2026</v>
      </c>
      <c r="C12" s="7" t="s">
        <v>87</v>
      </c>
      <c r="D12" s="7" t="s">
        <v>96</v>
      </c>
      <c r="E12" s="7"/>
      <c r="F12" s="7" t="s">
        <v>97</v>
      </c>
      <c r="G12" s="7" t="s">
        <v>75</v>
      </c>
      <c r="H12" s="8" t="n">
        <v>46143</v>
      </c>
      <c r="I12" s="8"/>
      <c r="J12" s="8" t="n">
        <v>46387</v>
      </c>
      <c r="K12" s="9" t="n">
        <v>0.25</v>
      </c>
      <c r="L12" s="14" t="s">
        <v>98</v>
      </c>
      <c r="M12" s="10" t="s">
        <v>76</v>
      </c>
      <c r="N12" s="11" t="str">
        <f aca="false">IFERROR(INDEX(dFrente!$B$2:$B$76,MATCH(C12,dFrente!$A$2:$A$76,0)),"Sin frente")</f>
        <v>SailPoint IGA</v>
      </c>
      <c r="O12" s="11" t="str">
        <f aca="false">IFERROR(INDEX(dNIST!$B$2:$B$13,MATCH(M12,dNIST!$A$2:$A$13,0)),"")</f>
        <v>PR</v>
      </c>
      <c r="P12" s="11" t="str">
        <f aca="false">TRIM(IFERROR(LEFT(G12,FIND(CHAR(10),G12)-1),G12))</f>
        <v>Ana María Vergara</v>
      </c>
      <c r="Q12" s="11" t="n">
        <f aca="false">LEN(TRIM(G12))-LEN(SUBSTITUTE(TRIM(G12),CHAR(10),""))+1</f>
        <v>1</v>
      </c>
      <c r="R12" s="11" t="str">
        <f aca="false">IF(E12&lt;&gt;"","Sí","No")</f>
        <v>No</v>
      </c>
      <c r="S12" s="12" t="n">
        <f aca="false">IF(OR(J12="",H12=""),"",IF(J12&lt;=H12,IF(FechaCorte&gt;=J12,1,0),MAX(0,MIN(1,(FechaCorte-H12)/(J12-H12)))))</f>
        <v>0.598360655737705</v>
      </c>
      <c r="T12" s="12" t="n">
        <f aca="false">IF(S12="","",K12-S12)</f>
        <v>-0.348360655737705</v>
      </c>
      <c r="U12" s="11" t="str">
        <f aca="false">IF(R12="Sí","Recurrente",IF(K12&gt;=1,"Completado",IF(AND(J12&lt;&gt;"",J12&lt;FechaCorte),"Vencido",IF(AND(K12=0,OR(H12="",H12&gt;FechaCorte)),"Por iniciar",IF(AND(T12&lt;&gt;"",T12&lt;=UmbralRiesgo),"En riesgo","En plazo")))))</f>
        <v>En riesgo</v>
      </c>
      <c r="V12" s="11" t="n">
        <f aca="false">IF(OR(U12="Vencido",U12="En riesgo",U12="En plazo",U12="Por iniciar"),1,0)</f>
        <v>1</v>
      </c>
      <c r="W12" s="11" t="str">
        <f aca="false">IF(U12="Vencido",FechaCorte-J12,"")</f>
        <v/>
      </c>
      <c r="X12" s="11" t="n">
        <f aca="false">IF(AND(V12=1,U12&lt;&gt;"Vencido"),J12-FechaCorte,"")</f>
        <v>98</v>
      </c>
      <c r="Y12" s="13" t="n">
        <f aca="false">IF(J12="","",DATE(YEAR(J12),MONTH(J12),1))</f>
        <v>46357</v>
      </c>
      <c r="Z12" s="13" t="str">
        <f aca="false">IF(AND(U12="Completado",I12&lt;&gt;""),IF(I12&lt;=FechaCorte,DATE(YEAR(I12),MONTH(I12),1),""),"")</f>
        <v/>
      </c>
      <c r="AA12" s="11" t="n">
        <f aca="false">IF(J12="","",IF(DAY(J12+1)=1,1,0))</f>
        <v>1</v>
      </c>
      <c r="AB12" s="11" t="n">
        <f aca="false">IF(AND(U12="Completado",I12&lt;&gt;"",I12=J12),1,0)</f>
        <v>0</v>
      </c>
      <c r="AC12" s="11" t="n">
        <f aca="false">IF(AND(K12&gt;=1,I12&lt;&gt;""),IF(I12&gt;FechaCorte,1,0),0)</f>
        <v>0</v>
      </c>
      <c r="AD12" s="11" t="n">
        <f aca="false">IF(AND(I12&lt;&gt;"",H12&lt;&gt;""),IF(I12&lt;H12,1,0),0)</f>
        <v>0</v>
      </c>
      <c r="AE12" s="11" t="n">
        <f aca="false">IF(OR(F12="Riesgos",F12="Obs. Auditoría"),1,0)</f>
        <v>0</v>
      </c>
      <c r="AF12" s="11" t="str">
        <f aca="false">IFERROR(MID(D12,FIND("PMC-",D12),8),"")</f>
        <v/>
      </c>
      <c r="AG12" s="11" t="n">
        <f aca="false">IF(AND(V12=1,J12&lt;&gt;""),IF(AND(J12&gt;=FechaCorte,J12&lt;=HorizonteExpuestos),1,0),0)</f>
        <v>0</v>
      </c>
    </row>
    <row r="13" customFormat="false" ht="15" hidden="false" customHeight="false" outlineLevel="0" collapsed="false">
      <c r="A13" s="7" t="n">
        <v>12</v>
      </c>
      <c r="B13" s="7" t="n">
        <v>2026</v>
      </c>
      <c r="C13" s="7" t="s">
        <v>87</v>
      </c>
      <c r="D13" s="7" t="s">
        <v>99</v>
      </c>
      <c r="E13" s="7"/>
      <c r="F13" s="7" t="s">
        <v>97</v>
      </c>
      <c r="G13" s="7" t="s">
        <v>75</v>
      </c>
      <c r="H13" s="8" t="n">
        <v>46143</v>
      </c>
      <c r="I13" s="8"/>
      <c r="J13" s="8" t="n">
        <v>46326</v>
      </c>
      <c r="K13" s="9" t="n">
        <v>0.75</v>
      </c>
      <c r="L13" s="14" t="s">
        <v>100</v>
      </c>
      <c r="M13" s="10" t="s">
        <v>76</v>
      </c>
      <c r="N13" s="11" t="str">
        <f aca="false">IFERROR(INDEX(dFrente!$B$2:$B$76,MATCH(C13,dFrente!$A$2:$A$76,0)),"Sin frente")</f>
        <v>SailPoint IGA</v>
      </c>
      <c r="O13" s="11" t="str">
        <f aca="false">IFERROR(INDEX(dNIST!$B$2:$B$13,MATCH(M13,dNIST!$A$2:$A$13,0)),"")</f>
        <v>PR</v>
      </c>
      <c r="P13" s="11" t="str">
        <f aca="false">TRIM(IFERROR(LEFT(G13,FIND(CHAR(10),G13)-1),G13))</f>
        <v>Ana María Vergara</v>
      </c>
      <c r="Q13" s="11" t="n">
        <f aca="false">LEN(TRIM(G13))-LEN(SUBSTITUTE(TRIM(G13),CHAR(10),""))+1</f>
        <v>1</v>
      </c>
      <c r="R13" s="11" t="str">
        <f aca="false">IF(E13&lt;&gt;"","Sí","No")</f>
        <v>No</v>
      </c>
      <c r="S13" s="12" t="n">
        <f aca="false">IF(OR(J13="",H13=""),"",IF(J13&lt;=H13,IF(FechaCorte&gt;=J13,1,0),MAX(0,MIN(1,(FechaCorte-H13)/(J13-H13)))))</f>
        <v>0.797814207650273</v>
      </c>
      <c r="T13" s="12" t="n">
        <f aca="false">IF(S13="","",K13-S13)</f>
        <v>-0.0478142076502732</v>
      </c>
      <c r="U13" s="11" t="str">
        <f aca="false">IF(R13="Sí","Recurrente",IF(K13&gt;=1,"Completado",IF(AND(J13&lt;&gt;"",J13&lt;FechaCorte),"Vencido",IF(AND(K13=0,OR(H13="",H13&gt;FechaCorte)),"Por iniciar",IF(AND(T13&lt;&gt;"",T13&lt;=UmbralRiesgo),"En riesgo","En plazo")))))</f>
        <v>En plazo</v>
      </c>
      <c r="V13" s="11" t="n">
        <f aca="false">IF(OR(U13="Vencido",U13="En riesgo",U13="En plazo",U13="Por iniciar"),1,0)</f>
        <v>1</v>
      </c>
      <c r="W13" s="11" t="str">
        <f aca="false">IF(U13="Vencido",FechaCorte-J13,"")</f>
        <v/>
      </c>
      <c r="X13" s="11" t="n">
        <f aca="false">IF(AND(V13=1,U13&lt;&gt;"Vencido"),J13-FechaCorte,"")</f>
        <v>37</v>
      </c>
      <c r="Y13" s="13" t="n">
        <f aca="false">IF(J13="","",DATE(YEAR(J13),MONTH(J13),1))</f>
        <v>46296</v>
      </c>
      <c r="Z13" s="13" t="str">
        <f aca="false">IF(AND(U13="Completado",I13&lt;&gt;""),IF(I13&lt;=FechaCorte,DATE(YEAR(I13),MONTH(I13),1),""),"")</f>
        <v/>
      </c>
      <c r="AA13" s="11" t="n">
        <f aca="false">IF(J13="","",IF(DAY(J13+1)=1,1,0))</f>
        <v>1</v>
      </c>
      <c r="AB13" s="11" t="n">
        <f aca="false">IF(AND(U13="Completado",I13&lt;&gt;"",I13=J13),1,0)</f>
        <v>0</v>
      </c>
      <c r="AC13" s="11" t="n">
        <f aca="false">IF(AND(K13&gt;=1,I13&lt;&gt;""),IF(I13&gt;FechaCorte,1,0),0)</f>
        <v>0</v>
      </c>
      <c r="AD13" s="11" t="n">
        <f aca="false">IF(AND(I13&lt;&gt;"",H13&lt;&gt;""),IF(I13&lt;H13,1,0),0)</f>
        <v>0</v>
      </c>
      <c r="AE13" s="11" t="n">
        <f aca="false">IF(OR(F13="Riesgos",F13="Obs. Auditoría"),1,0)</f>
        <v>0</v>
      </c>
      <c r="AF13" s="11" t="str">
        <f aca="false">IFERROR(MID(D13,FIND("PMC-",D13),8),"")</f>
        <v/>
      </c>
      <c r="AG13" s="11" t="n">
        <f aca="false">IF(AND(V13=1,J13&lt;&gt;""),IF(AND(J13&gt;=FechaCorte,J13&lt;=HorizonteExpuestos),1,0),0)</f>
        <v>0</v>
      </c>
    </row>
    <row r="14" customFormat="false" ht="15" hidden="false" customHeight="false" outlineLevel="0" collapsed="false">
      <c r="A14" s="7" t="n">
        <v>13</v>
      </c>
      <c r="B14" s="7" t="n">
        <v>2026</v>
      </c>
      <c r="C14" s="7" t="s">
        <v>87</v>
      </c>
      <c r="D14" s="7" t="s">
        <v>101</v>
      </c>
      <c r="E14" s="7"/>
      <c r="F14" s="7" t="s">
        <v>97</v>
      </c>
      <c r="G14" s="7" t="s">
        <v>75</v>
      </c>
      <c r="H14" s="8" t="n">
        <v>46143</v>
      </c>
      <c r="I14" s="8" t="n">
        <v>46173</v>
      </c>
      <c r="J14" s="8" t="n">
        <v>46173</v>
      </c>
      <c r="K14" s="9" t="n">
        <v>1</v>
      </c>
      <c r="L14" s="7" t="s">
        <v>102</v>
      </c>
      <c r="M14" s="10" t="s">
        <v>76</v>
      </c>
      <c r="N14" s="11" t="str">
        <f aca="false">IFERROR(INDEX(dFrente!$B$2:$B$76,MATCH(C14,dFrente!$A$2:$A$76,0)),"Sin frente")</f>
        <v>SailPoint IGA</v>
      </c>
      <c r="O14" s="11" t="str">
        <f aca="false">IFERROR(INDEX(dNIST!$B$2:$B$13,MATCH(M14,dNIST!$A$2:$A$13,0)),"")</f>
        <v>PR</v>
      </c>
      <c r="P14" s="11" t="str">
        <f aca="false">TRIM(IFERROR(LEFT(G14,FIND(CHAR(10),G14)-1),G14))</f>
        <v>Ana María Vergara</v>
      </c>
      <c r="Q14" s="11" t="n">
        <f aca="false">LEN(TRIM(G14))-LEN(SUBSTITUTE(TRIM(G14),CHAR(10),""))+1</f>
        <v>1</v>
      </c>
      <c r="R14" s="11" t="str">
        <f aca="false">IF(E14&lt;&gt;"","Sí","No")</f>
        <v>No</v>
      </c>
      <c r="S14" s="12" t="n">
        <f aca="false">IF(OR(J14="",H14=""),"",IF(J14&lt;=H14,IF(FechaCorte&gt;=J14,1,0),MAX(0,MIN(1,(FechaCorte-H14)/(J14-H14)))))</f>
        <v>1</v>
      </c>
      <c r="T14" s="12" t="n">
        <f aca="false">IF(S14="","",K14-S14)</f>
        <v>0</v>
      </c>
      <c r="U14" s="11" t="str">
        <f aca="false">IF(R14="Sí","Recurrente",IF(K14&gt;=1,"Completado",IF(AND(J14&lt;&gt;"",J14&lt;FechaCorte),"Vencido",IF(AND(K14=0,OR(H14="",H14&gt;FechaCorte)),"Por iniciar",IF(AND(T14&lt;&gt;"",T14&lt;=UmbralRiesgo),"En riesgo","En plazo")))))</f>
        <v>Completado</v>
      </c>
      <c r="V14" s="11" t="n">
        <f aca="false">IF(OR(U14="Vencido",U14="En riesgo",U14="En plazo",U14="Por iniciar"),1,0)</f>
        <v>0</v>
      </c>
      <c r="W14" s="11" t="str">
        <f aca="false">IF(U14="Vencido",FechaCorte-J14,"")</f>
        <v/>
      </c>
      <c r="X14" s="11" t="str">
        <f aca="false">IF(AND(V14=1,U14&lt;&gt;"Vencido"),J14-FechaCorte,"")</f>
        <v/>
      </c>
      <c r="Y14" s="13" t="n">
        <f aca="false">IF(J14="","",DATE(YEAR(J14),MONTH(J14),1))</f>
        <v>46143</v>
      </c>
      <c r="Z14" s="13" t="n">
        <f aca="false">IF(AND(U14="Completado",I14&lt;&gt;""),IF(I14&lt;=FechaCorte,DATE(YEAR(I14),MONTH(I14),1),""),"")</f>
        <v>46143</v>
      </c>
      <c r="AA14" s="11" t="n">
        <f aca="false">IF(J14="","",IF(DAY(J14+1)=1,1,0))</f>
        <v>1</v>
      </c>
      <c r="AB14" s="11" t="n">
        <f aca="false">IF(AND(U14="Completado",I14&lt;&gt;"",I14=J14),1,0)</f>
        <v>1</v>
      </c>
      <c r="AC14" s="11" t="n">
        <f aca="false">IF(AND(K14&gt;=1,I14&lt;&gt;""),IF(I14&gt;FechaCorte,1,0),0)</f>
        <v>0</v>
      </c>
      <c r="AD14" s="11" t="n">
        <f aca="false">IF(AND(I14&lt;&gt;"",H14&lt;&gt;""),IF(I14&lt;H14,1,0),0)</f>
        <v>0</v>
      </c>
      <c r="AE14" s="11" t="n">
        <f aca="false">IF(OR(F14="Riesgos",F14="Obs. Auditoría"),1,0)</f>
        <v>0</v>
      </c>
      <c r="AF14" s="11" t="str">
        <f aca="false">IFERROR(MID(D14,FIND("PMC-",D14),8),"")</f>
        <v/>
      </c>
      <c r="AG14" s="11" t="n">
        <f aca="false">IF(AND(V14=1,J14&lt;&gt;""),IF(AND(J14&gt;=FechaCorte,J14&lt;=HorizonteExpuestos),1,0),0)</f>
        <v>0</v>
      </c>
    </row>
    <row r="15" customFormat="false" ht="15" hidden="false" customHeight="false" outlineLevel="0" collapsed="false">
      <c r="A15" s="7" t="n">
        <v>14</v>
      </c>
      <c r="B15" s="7" t="n">
        <v>2026</v>
      </c>
      <c r="C15" s="7" t="s">
        <v>87</v>
      </c>
      <c r="D15" s="7" t="s">
        <v>103</v>
      </c>
      <c r="E15" s="7"/>
      <c r="F15" s="7" t="s">
        <v>97</v>
      </c>
      <c r="G15" s="7" t="s">
        <v>75</v>
      </c>
      <c r="H15" s="8" t="n">
        <v>46113</v>
      </c>
      <c r="I15" s="8" t="n">
        <v>46153</v>
      </c>
      <c r="J15" s="8" t="n">
        <v>46153</v>
      </c>
      <c r="K15" s="9" t="n">
        <v>1</v>
      </c>
      <c r="L15" s="7"/>
      <c r="M15" s="10" t="s">
        <v>76</v>
      </c>
      <c r="N15" s="11" t="str">
        <f aca="false">IFERROR(INDEX(dFrente!$B$2:$B$76,MATCH(C15,dFrente!$A$2:$A$76,0)),"Sin frente")</f>
        <v>SailPoint IGA</v>
      </c>
      <c r="O15" s="11" t="str">
        <f aca="false">IFERROR(INDEX(dNIST!$B$2:$B$13,MATCH(M15,dNIST!$A$2:$A$13,0)),"")</f>
        <v>PR</v>
      </c>
      <c r="P15" s="11" t="str">
        <f aca="false">TRIM(IFERROR(LEFT(G15,FIND(CHAR(10),G15)-1),G15))</f>
        <v>Ana María Vergara</v>
      </c>
      <c r="Q15" s="11" t="n">
        <f aca="false">LEN(TRIM(G15))-LEN(SUBSTITUTE(TRIM(G15),CHAR(10),""))+1</f>
        <v>1</v>
      </c>
      <c r="R15" s="11" t="str">
        <f aca="false">IF(E15&lt;&gt;"","Sí","No")</f>
        <v>No</v>
      </c>
      <c r="S15" s="12" t="n">
        <f aca="false">IF(OR(J15="",H15=""),"",IF(J15&lt;=H15,IF(FechaCorte&gt;=J15,1,0),MAX(0,MIN(1,(FechaCorte-H15)/(J15-H15)))))</f>
        <v>1</v>
      </c>
      <c r="T15" s="12" t="n">
        <f aca="false">IF(S15="","",K15-S15)</f>
        <v>0</v>
      </c>
      <c r="U15" s="11" t="str">
        <f aca="false">IF(R15="Sí","Recurrente",IF(K15&gt;=1,"Completado",IF(AND(J15&lt;&gt;"",J15&lt;FechaCorte),"Vencido",IF(AND(K15=0,OR(H15="",H15&gt;FechaCorte)),"Por iniciar",IF(AND(T15&lt;&gt;"",T15&lt;=UmbralRiesgo),"En riesgo","En plazo")))))</f>
        <v>Completado</v>
      </c>
      <c r="V15" s="11" t="n">
        <f aca="false">IF(OR(U15="Vencido",U15="En riesgo",U15="En plazo",U15="Por iniciar"),1,0)</f>
        <v>0</v>
      </c>
      <c r="W15" s="11" t="str">
        <f aca="false">IF(U15="Vencido",FechaCorte-J15,"")</f>
        <v/>
      </c>
      <c r="X15" s="11" t="str">
        <f aca="false">IF(AND(V15=1,U15&lt;&gt;"Vencido"),J15-FechaCorte,"")</f>
        <v/>
      </c>
      <c r="Y15" s="13" t="n">
        <f aca="false">IF(J15="","",DATE(YEAR(J15),MONTH(J15),1))</f>
        <v>46143</v>
      </c>
      <c r="Z15" s="13" t="n">
        <f aca="false">IF(AND(U15="Completado",I15&lt;&gt;""),IF(I15&lt;=FechaCorte,DATE(YEAR(I15),MONTH(I15),1),""),"")</f>
        <v>46143</v>
      </c>
      <c r="AA15" s="11" t="n">
        <f aca="false">IF(J15="","",IF(DAY(J15+1)=1,1,0))</f>
        <v>0</v>
      </c>
      <c r="AB15" s="11" t="n">
        <f aca="false">IF(AND(U15="Completado",I15&lt;&gt;"",I15=J15),1,0)</f>
        <v>1</v>
      </c>
      <c r="AC15" s="11" t="n">
        <f aca="false">IF(AND(K15&gt;=1,I15&lt;&gt;""),IF(I15&gt;FechaCorte,1,0),0)</f>
        <v>0</v>
      </c>
      <c r="AD15" s="11" t="n">
        <f aca="false">IF(AND(I15&lt;&gt;"",H15&lt;&gt;""),IF(I15&lt;H15,1,0),0)</f>
        <v>0</v>
      </c>
      <c r="AE15" s="11" t="n">
        <f aca="false">IF(OR(F15="Riesgos",F15="Obs. Auditoría"),1,0)</f>
        <v>0</v>
      </c>
      <c r="AF15" s="11" t="str">
        <f aca="false">IFERROR(MID(D15,FIND("PMC-",D15),8),"")</f>
        <v/>
      </c>
      <c r="AG15" s="11" t="n">
        <f aca="false">IF(AND(V15=1,J15&lt;&gt;""),IF(AND(J15&gt;=FechaCorte,J15&lt;=HorizonteExpuestos),1,0),0)</f>
        <v>0</v>
      </c>
    </row>
    <row r="16" customFormat="false" ht="15" hidden="false" customHeight="false" outlineLevel="0" collapsed="false">
      <c r="A16" s="7" t="n">
        <v>15</v>
      </c>
      <c r="B16" s="7" t="n">
        <v>2026</v>
      </c>
      <c r="C16" s="7" t="s">
        <v>87</v>
      </c>
      <c r="D16" s="7" t="s">
        <v>104</v>
      </c>
      <c r="E16" s="7"/>
      <c r="F16" s="7" t="s">
        <v>97</v>
      </c>
      <c r="G16" s="7" t="s">
        <v>75</v>
      </c>
      <c r="H16" s="8" t="n">
        <v>46143</v>
      </c>
      <c r="I16" s="8" t="n">
        <v>46155</v>
      </c>
      <c r="J16" s="8" t="n">
        <v>46155</v>
      </c>
      <c r="K16" s="9" t="n">
        <v>1</v>
      </c>
      <c r="L16" s="7"/>
      <c r="M16" s="10" t="s">
        <v>76</v>
      </c>
      <c r="N16" s="11" t="str">
        <f aca="false">IFERROR(INDEX(dFrente!$B$2:$B$76,MATCH(C16,dFrente!$A$2:$A$76,0)),"Sin frente")</f>
        <v>SailPoint IGA</v>
      </c>
      <c r="O16" s="11" t="str">
        <f aca="false">IFERROR(INDEX(dNIST!$B$2:$B$13,MATCH(M16,dNIST!$A$2:$A$13,0)),"")</f>
        <v>PR</v>
      </c>
      <c r="P16" s="11" t="str">
        <f aca="false">TRIM(IFERROR(LEFT(G16,FIND(CHAR(10),G16)-1),G16))</f>
        <v>Ana María Vergara</v>
      </c>
      <c r="Q16" s="11" t="n">
        <f aca="false">LEN(TRIM(G16))-LEN(SUBSTITUTE(TRIM(G16),CHAR(10),""))+1</f>
        <v>1</v>
      </c>
      <c r="R16" s="11" t="str">
        <f aca="false">IF(E16&lt;&gt;"","Sí","No")</f>
        <v>No</v>
      </c>
      <c r="S16" s="12" t="n">
        <f aca="false">IF(OR(J16="",H16=""),"",IF(J16&lt;=H16,IF(FechaCorte&gt;=J16,1,0),MAX(0,MIN(1,(FechaCorte-H16)/(J16-H16)))))</f>
        <v>1</v>
      </c>
      <c r="T16" s="12" t="n">
        <f aca="false">IF(S16="","",K16-S16)</f>
        <v>0</v>
      </c>
      <c r="U16" s="11" t="str">
        <f aca="false">IF(R16="Sí","Recurrente",IF(K16&gt;=1,"Completado",IF(AND(J16&lt;&gt;"",J16&lt;FechaCorte),"Vencido",IF(AND(K16=0,OR(H16="",H16&gt;FechaCorte)),"Por iniciar",IF(AND(T16&lt;&gt;"",T16&lt;=UmbralRiesgo),"En riesgo","En plazo")))))</f>
        <v>Completado</v>
      </c>
      <c r="V16" s="11" t="n">
        <f aca="false">IF(OR(U16="Vencido",U16="En riesgo",U16="En plazo",U16="Por iniciar"),1,0)</f>
        <v>0</v>
      </c>
      <c r="W16" s="11" t="str">
        <f aca="false">IF(U16="Vencido",FechaCorte-J16,"")</f>
        <v/>
      </c>
      <c r="X16" s="11" t="str">
        <f aca="false">IF(AND(V16=1,U16&lt;&gt;"Vencido"),J16-FechaCorte,"")</f>
        <v/>
      </c>
      <c r="Y16" s="13" t="n">
        <f aca="false">IF(J16="","",DATE(YEAR(J16),MONTH(J16),1))</f>
        <v>46143</v>
      </c>
      <c r="Z16" s="13" t="n">
        <f aca="false">IF(AND(U16="Completado",I16&lt;&gt;""),IF(I16&lt;=FechaCorte,DATE(YEAR(I16),MONTH(I16),1),""),"")</f>
        <v>46143</v>
      </c>
      <c r="AA16" s="11" t="n">
        <f aca="false">IF(J16="","",IF(DAY(J16+1)=1,1,0))</f>
        <v>0</v>
      </c>
      <c r="AB16" s="11" t="n">
        <f aca="false">IF(AND(U16="Completado",I16&lt;&gt;"",I16=J16),1,0)</f>
        <v>1</v>
      </c>
      <c r="AC16" s="11" t="n">
        <f aca="false">IF(AND(K16&gt;=1,I16&lt;&gt;""),IF(I16&gt;FechaCorte,1,0),0)</f>
        <v>0</v>
      </c>
      <c r="AD16" s="11" t="n">
        <f aca="false">IF(AND(I16&lt;&gt;"",H16&lt;&gt;""),IF(I16&lt;H16,1,0),0)</f>
        <v>0</v>
      </c>
      <c r="AE16" s="11" t="n">
        <f aca="false">IF(OR(F16="Riesgos",F16="Obs. Auditoría"),1,0)</f>
        <v>0</v>
      </c>
      <c r="AF16" s="11" t="str">
        <f aca="false">IFERROR(MID(D16,FIND("PMC-",D16),8),"")</f>
        <v/>
      </c>
      <c r="AG16" s="11" t="n">
        <f aca="false">IF(AND(V16=1,J16&lt;&gt;""),IF(AND(J16&gt;=FechaCorte,J16&lt;=HorizonteExpuestos),1,0),0)</f>
        <v>0</v>
      </c>
    </row>
    <row r="17" customFormat="false" ht="15" hidden="false" customHeight="false" outlineLevel="0" collapsed="false">
      <c r="A17" s="7" t="n">
        <v>16</v>
      </c>
      <c r="B17" s="7" t="n">
        <v>2026</v>
      </c>
      <c r="C17" s="7" t="s">
        <v>87</v>
      </c>
      <c r="D17" s="7" t="s">
        <v>105</v>
      </c>
      <c r="E17" s="7"/>
      <c r="F17" s="7" t="s">
        <v>106</v>
      </c>
      <c r="G17" s="7" t="s">
        <v>75</v>
      </c>
      <c r="H17" s="8" t="n">
        <v>46155</v>
      </c>
      <c r="I17" s="8" t="n">
        <v>46161</v>
      </c>
      <c r="J17" s="8" t="n">
        <v>46161</v>
      </c>
      <c r="K17" s="9" t="n">
        <v>1</v>
      </c>
      <c r="L17" s="7" t="s">
        <v>107</v>
      </c>
      <c r="M17" s="10" t="s">
        <v>76</v>
      </c>
      <c r="N17" s="11" t="str">
        <f aca="false">IFERROR(INDEX(dFrente!$B$2:$B$76,MATCH(C17,dFrente!$A$2:$A$76,0)),"Sin frente")</f>
        <v>SailPoint IGA</v>
      </c>
      <c r="O17" s="11" t="str">
        <f aca="false">IFERROR(INDEX(dNIST!$B$2:$B$13,MATCH(M17,dNIST!$A$2:$A$13,0)),"")</f>
        <v>PR</v>
      </c>
      <c r="P17" s="11" t="str">
        <f aca="false">TRIM(IFERROR(LEFT(G17,FIND(CHAR(10),G17)-1),G17))</f>
        <v>Ana María Vergara</v>
      </c>
      <c r="Q17" s="11" t="n">
        <f aca="false">LEN(TRIM(G17))-LEN(SUBSTITUTE(TRIM(G17),CHAR(10),""))+1</f>
        <v>1</v>
      </c>
      <c r="R17" s="11" t="str">
        <f aca="false">IF(E17&lt;&gt;"","Sí","No")</f>
        <v>No</v>
      </c>
      <c r="S17" s="12" t="n">
        <f aca="false">IF(OR(J17="",H17=""),"",IF(J17&lt;=H17,IF(FechaCorte&gt;=J17,1,0),MAX(0,MIN(1,(FechaCorte-H17)/(J17-H17)))))</f>
        <v>1</v>
      </c>
      <c r="T17" s="12" t="n">
        <f aca="false">IF(S17="","",K17-S17)</f>
        <v>0</v>
      </c>
      <c r="U17" s="11" t="str">
        <f aca="false">IF(R17="Sí","Recurrente",IF(K17&gt;=1,"Completado",IF(AND(J17&lt;&gt;"",J17&lt;FechaCorte),"Vencido",IF(AND(K17=0,OR(H17="",H17&gt;FechaCorte)),"Por iniciar",IF(AND(T17&lt;&gt;"",T17&lt;=UmbralRiesgo),"En riesgo","En plazo")))))</f>
        <v>Completado</v>
      </c>
      <c r="V17" s="11" t="n">
        <f aca="false">IF(OR(U17="Vencido",U17="En riesgo",U17="En plazo",U17="Por iniciar"),1,0)</f>
        <v>0</v>
      </c>
      <c r="W17" s="11" t="str">
        <f aca="false">IF(U17="Vencido",FechaCorte-J17,"")</f>
        <v/>
      </c>
      <c r="X17" s="11" t="str">
        <f aca="false">IF(AND(V17=1,U17&lt;&gt;"Vencido"),J17-FechaCorte,"")</f>
        <v/>
      </c>
      <c r="Y17" s="13" t="n">
        <f aca="false">IF(J17="","",DATE(YEAR(J17),MONTH(J17),1))</f>
        <v>46143</v>
      </c>
      <c r="Z17" s="13" t="n">
        <f aca="false">IF(AND(U17="Completado",I17&lt;&gt;""),IF(I17&lt;=FechaCorte,DATE(YEAR(I17),MONTH(I17),1),""),"")</f>
        <v>46143</v>
      </c>
      <c r="AA17" s="11" t="n">
        <f aca="false">IF(J17="","",IF(DAY(J17+1)=1,1,0))</f>
        <v>0</v>
      </c>
      <c r="AB17" s="11" t="n">
        <f aca="false">IF(AND(U17="Completado",I17&lt;&gt;"",I17=J17),1,0)</f>
        <v>1</v>
      </c>
      <c r="AC17" s="11" t="n">
        <f aca="false">IF(AND(K17&gt;=1,I17&lt;&gt;""),IF(I17&gt;FechaCorte,1,0),0)</f>
        <v>0</v>
      </c>
      <c r="AD17" s="11" t="n">
        <f aca="false">IF(AND(I17&lt;&gt;"",H17&lt;&gt;""),IF(I17&lt;H17,1,0),0)</f>
        <v>0</v>
      </c>
      <c r="AE17" s="11" t="n">
        <f aca="false">IF(OR(F17="Riesgos",F17="Obs. Auditoría"),1,0)</f>
        <v>0</v>
      </c>
      <c r="AF17" s="11" t="str">
        <f aca="false">IFERROR(MID(D17,FIND("PMC-",D17),8),"")</f>
        <v/>
      </c>
      <c r="AG17" s="11" t="n">
        <f aca="false">IF(AND(V17=1,J17&lt;&gt;""),IF(AND(J17&gt;=FechaCorte,J17&lt;=HorizonteExpuestos),1,0),0)</f>
        <v>0</v>
      </c>
    </row>
    <row r="18" customFormat="false" ht="15" hidden="false" customHeight="false" outlineLevel="0" collapsed="false">
      <c r="A18" s="7" t="n">
        <v>17</v>
      </c>
      <c r="B18" s="7" t="n">
        <v>2026</v>
      </c>
      <c r="C18" s="7" t="s">
        <v>87</v>
      </c>
      <c r="D18" s="7" t="s">
        <v>108</v>
      </c>
      <c r="E18" s="7"/>
      <c r="F18" s="7" t="s">
        <v>74</v>
      </c>
      <c r="G18" s="14" t="s">
        <v>109</v>
      </c>
      <c r="H18" s="8" t="n">
        <v>46155</v>
      </c>
      <c r="I18" s="8" t="n">
        <v>46168</v>
      </c>
      <c r="J18" s="8" t="n">
        <v>46168</v>
      </c>
      <c r="K18" s="9" t="n">
        <v>1</v>
      </c>
      <c r="L18" s="7"/>
      <c r="M18" s="10" t="s">
        <v>76</v>
      </c>
      <c r="N18" s="11" t="str">
        <f aca="false">IFERROR(INDEX(dFrente!$B$2:$B$76,MATCH(C18,dFrente!$A$2:$A$76,0)),"Sin frente")</f>
        <v>SailPoint IGA</v>
      </c>
      <c r="O18" s="11" t="str">
        <f aca="false">IFERROR(INDEX(dNIST!$B$2:$B$13,MATCH(M18,dNIST!$A$2:$A$13,0)),"")</f>
        <v>PR</v>
      </c>
      <c r="P18" s="11" t="str">
        <f aca="false">TRIM(IFERROR(LEFT(G18,FIND(CHAR(10),G18)-1),G18))</f>
        <v>Ana María Vergara</v>
      </c>
      <c r="Q18" s="11" t="n">
        <f aca="false">LEN(TRIM(G18))-LEN(SUBSTITUTE(TRIM(G18),CHAR(10),""))+1</f>
        <v>2</v>
      </c>
      <c r="R18" s="11" t="str">
        <f aca="false">IF(E18&lt;&gt;"","Sí","No")</f>
        <v>No</v>
      </c>
      <c r="S18" s="12" t="n">
        <f aca="false">IF(OR(J18="",H18=""),"",IF(J18&lt;=H18,IF(FechaCorte&gt;=J18,1,0),MAX(0,MIN(1,(FechaCorte-H18)/(J18-H18)))))</f>
        <v>1</v>
      </c>
      <c r="T18" s="12" t="n">
        <f aca="false">IF(S18="","",K18-S18)</f>
        <v>0</v>
      </c>
      <c r="U18" s="11" t="str">
        <f aca="false">IF(R18="Sí","Recurrente",IF(K18&gt;=1,"Completado",IF(AND(J18&lt;&gt;"",J18&lt;FechaCorte),"Vencido",IF(AND(K18=0,OR(H18="",H18&gt;FechaCorte)),"Por iniciar",IF(AND(T18&lt;&gt;"",T18&lt;=UmbralRiesgo),"En riesgo","En plazo")))))</f>
        <v>Completado</v>
      </c>
      <c r="V18" s="11" t="n">
        <f aca="false">IF(OR(U18="Vencido",U18="En riesgo",U18="En plazo",U18="Por iniciar"),1,0)</f>
        <v>0</v>
      </c>
      <c r="W18" s="11" t="str">
        <f aca="false">IF(U18="Vencido",FechaCorte-J18,"")</f>
        <v/>
      </c>
      <c r="X18" s="11" t="str">
        <f aca="false">IF(AND(V18=1,U18&lt;&gt;"Vencido"),J18-FechaCorte,"")</f>
        <v/>
      </c>
      <c r="Y18" s="13" t="n">
        <f aca="false">IF(J18="","",DATE(YEAR(J18),MONTH(J18),1))</f>
        <v>46143</v>
      </c>
      <c r="Z18" s="13" t="n">
        <f aca="false">IF(AND(U18="Completado",I18&lt;&gt;""),IF(I18&lt;=FechaCorte,DATE(YEAR(I18),MONTH(I18),1),""),"")</f>
        <v>46143</v>
      </c>
      <c r="AA18" s="11" t="n">
        <f aca="false">IF(J18="","",IF(DAY(J18+1)=1,1,0))</f>
        <v>0</v>
      </c>
      <c r="AB18" s="11" t="n">
        <f aca="false">IF(AND(U18="Completado",I18&lt;&gt;"",I18=J18),1,0)</f>
        <v>1</v>
      </c>
      <c r="AC18" s="11" t="n">
        <f aca="false">IF(AND(K18&gt;=1,I18&lt;&gt;""),IF(I18&gt;FechaCorte,1,0),0)</f>
        <v>0</v>
      </c>
      <c r="AD18" s="11" t="n">
        <f aca="false">IF(AND(I18&lt;&gt;"",H18&lt;&gt;""),IF(I18&lt;H18,1,0),0)</f>
        <v>0</v>
      </c>
      <c r="AE18" s="11" t="n">
        <f aca="false">IF(OR(F18="Riesgos",F18="Obs. Auditoría"),1,0)</f>
        <v>0</v>
      </c>
      <c r="AF18" s="11" t="str">
        <f aca="false">IFERROR(MID(D18,FIND("PMC-",D18),8),"")</f>
        <v/>
      </c>
      <c r="AG18" s="11" t="n">
        <f aca="false">IF(AND(V18=1,J18&lt;&gt;""),IF(AND(J18&gt;=FechaCorte,J18&lt;=HorizonteExpuestos),1,0),0)</f>
        <v>0</v>
      </c>
    </row>
    <row r="19" customFormat="false" ht="15" hidden="false" customHeight="false" outlineLevel="0" collapsed="false">
      <c r="A19" s="7" t="n">
        <v>18</v>
      </c>
      <c r="B19" s="7" t="n">
        <v>2026</v>
      </c>
      <c r="C19" s="7" t="s">
        <v>87</v>
      </c>
      <c r="D19" s="7" t="s">
        <v>110</v>
      </c>
      <c r="E19" s="7"/>
      <c r="F19" s="7" t="s">
        <v>74</v>
      </c>
      <c r="G19" s="14" t="s">
        <v>111</v>
      </c>
      <c r="H19" s="8" t="n">
        <v>46213</v>
      </c>
      <c r="I19" s="8"/>
      <c r="J19" s="8" t="n">
        <v>46265</v>
      </c>
      <c r="K19" s="9" t="n">
        <v>0.9</v>
      </c>
      <c r="L19" s="14" t="s">
        <v>112</v>
      </c>
      <c r="M19" s="10" t="s">
        <v>76</v>
      </c>
      <c r="N19" s="11" t="str">
        <f aca="false">IFERROR(INDEX(dFrente!$B$2:$B$76,MATCH(C19,dFrente!$A$2:$A$76,0)),"Sin frente")</f>
        <v>SailPoint IGA</v>
      </c>
      <c r="O19" s="11" t="str">
        <f aca="false">IFERROR(INDEX(dNIST!$B$2:$B$13,MATCH(M19,dNIST!$A$2:$A$13,0)),"")</f>
        <v>PR</v>
      </c>
      <c r="P19" s="11" t="str">
        <f aca="false">TRIM(IFERROR(LEFT(G19,FIND(CHAR(10),G19)-1),G19))</f>
        <v>Richard Requelme</v>
      </c>
      <c r="Q19" s="11" t="n">
        <f aca="false">LEN(TRIM(G19))-LEN(SUBSTITUTE(TRIM(G19),CHAR(10),""))+1</f>
        <v>2</v>
      </c>
      <c r="R19" s="11" t="str">
        <f aca="false">IF(E19&lt;&gt;"","Sí","No")</f>
        <v>No</v>
      </c>
      <c r="S19" s="12" t="n">
        <f aca="false">IF(OR(J19="",H19=""),"",IF(J19&lt;=H19,IF(FechaCorte&gt;=J19,1,0),MAX(0,MIN(1,(FechaCorte-H19)/(J19-H19)))))</f>
        <v>1</v>
      </c>
      <c r="T19" s="12" t="n">
        <f aca="false">IF(S19="","",K19-S19)</f>
        <v>-0.1</v>
      </c>
      <c r="U19" s="11" t="str">
        <f aca="false">IF(R19="Sí","Recurrente",IF(K19&gt;=1,"Completado",IF(AND(J19&lt;&gt;"",J19&lt;FechaCorte),"Vencido",IF(AND(K19=0,OR(H19="",H19&gt;FechaCorte)),"Por iniciar",IF(AND(T19&lt;&gt;"",T19&lt;=UmbralRiesgo),"En riesgo","En plazo")))))</f>
        <v>Vencido</v>
      </c>
      <c r="V19" s="11" t="n">
        <f aca="false">IF(OR(U19="Vencido",U19="En riesgo",U19="En plazo",U19="Por iniciar"),1,0)</f>
        <v>1</v>
      </c>
      <c r="W19" s="11" t="n">
        <f aca="false">IF(U19="Vencido",FechaCorte-J19,"")</f>
        <v>24</v>
      </c>
      <c r="X19" s="11" t="str">
        <f aca="false">IF(AND(V19=1,U19&lt;&gt;"Vencido"),J19-FechaCorte,"")</f>
        <v/>
      </c>
      <c r="Y19" s="13" t="n">
        <f aca="false">IF(J19="","",DATE(YEAR(J19),MONTH(J19),1))</f>
        <v>46235</v>
      </c>
      <c r="Z19" s="13" t="str">
        <f aca="false">IF(AND(U19="Completado",I19&lt;&gt;""),IF(I19&lt;=FechaCorte,DATE(YEAR(I19),MONTH(I19),1),""),"")</f>
        <v/>
      </c>
      <c r="AA19" s="11" t="n">
        <f aca="false">IF(J19="","",IF(DAY(J19+1)=1,1,0))</f>
        <v>1</v>
      </c>
      <c r="AB19" s="11" t="n">
        <f aca="false">IF(AND(U19="Completado",I19&lt;&gt;"",I19=J19),1,0)</f>
        <v>0</v>
      </c>
      <c r="AC19" s="11" t="n">
        <f aca="false">IF(AND(K19&gt;=1,I19&lt;&gt;""),IF(I19&gt;FechaCorte,1,0),0)</f>
        <v>0</v>
      </c>
      <c r="AD19" s="11" t="n">
        <f aca="false">IF(AND(I19&lt;&gt;"",H19&lt;&gt;""),IF(I19&lt;H19,1,0),0)</f>
        <v>0</v>
      </c>
      <c r="AE19" s="11" t="n">
        <f aca="false">IF(OR(F19="Riesgos",F19="Obs. Auditoría"),1,0)</f>
        <v>0</v>
      </c>
      <c r="AF19" s="11" t="str">
        <f aca="false">IFERROR(MID(D19,FIND("PMC-",D19),8),"")</f>
        <v/>
      </c>
      <c r="AG19" s="11" t="n">
        <f aca="false">IF(AND(V19=1,J19&lt;&gt;""),IF(AND(J19&gt;=FechaCorte,J19&lt;=HorizonteExpuestos),1,0),0)</f>
        <v>0</v>
      </c>
    </row>
    <row r="20" customFormat="false" ht="15" hidden="false" customHeight="false" outlineLevel="0" collapsed="false">
      <c r="A20" s="7" t="n">
        <v>19</v>
      </c>
      <c r="B20" s="7" t="n">
        <v>2026</v>
      </c>
      <c r="C20" s="7" t="s">
        <v>87</v>
      </c>
      <c r="D20" s="7" t="s">
        <v>113</v>
      </c>
      <c r="E20" s="7"/>
      <c r="F20" s="7" t="s">
        <v>114</v>
      </c>
      <c r="G20" s="14" t="s">
        <v>115</v>
      </c>
      <c r="H20" s="8" t="n">
        <v>46113</v>
      </c>
      <c r="I20" s="8"/>
      <c r="J20" s="8" t="n">
        <v>46295</v>
      </c>
      <c r="K20" s="9" t="n">
        <v>0.7</v>
      </c>
      <c r="L20" s="14" t="s">
        <v>116</v>
      </c>
      <c r="M20" s="10" t="s">
        <v>76</v>
      </c>
      <c r="N20" s="11" t="str">
        <f aca="false">IFERROR(INDEX(dFrente!$B$2:$B$76,MATCH(C20,dFrente!$A$2:$A$76,0)),"Sin frente")</f>
        <v>SailPoint IGA</v>
      </c>
      <c r="O20" s="11" t="str">
        <f aca="false">IFERROR(INDEX(dNIST!$B$2:$B$13,MATCH(M20,dNIST!$A$2:$A$13,0)),"")</f>
        <v>PR</v>
      </c>
      <c r="P20" s="11" t="str">
        <f aca="false">TRIM(IFERROR(LEFT(G20,FIND(CHAR(10),G20)-1),G20))</f>
        <v>Ana María Vergara</v>
      </c>
      <c r="Q20" s="11" t="n">
        <f aca="false">LEN(TRIM(G20))-LEN(SUBSTITUTE(TRIM(G20),CHAR(10),""))+1</f>
        <v>3</v>
      </c>
      <c r="R20" s="11" t="str">
        <f aca="false">IF(E20&lt;&gt;"","Sí","No")</f>
        <v>No</v>
      </c>
      <c r="S20" s="12" t="n">
        <f aca="false">IF(OR(J20="",H20=""),"",IF(J20&lt;=H20,IF(FechaCorte&gt;=J20,1,0),MAX(0,MIN(1,(FechaCorte-H20)/(J20-H20)))))</f>
        <v>0.967032967032967</v>
      </c>
      <c r="T20" s="12" t="n">
        <f aca="false">IF(S20="","",K20-S20)</f>
        <v>-0.267032967032967</v>
      </c>
      <c r="U20" s="11" t="str">
        <f aca="false">IF(R20="Sí","Recurrente",IF(K20&gt;=1,"Completado",IF(AND(J20&lt;&gt;"",J20&lt;FechaCorte),"Vencido",IF(AND(K20=0,OR(H20="",H20&gt;FechaCorte)),"Por iniciar",IF(AND(T20&lt;&gt;"",T20&lt;=UmbralRiesgo),"En riesgo","En plazo")))))</f>
        <v>En riesgo</v>
      </c>
      <c r="V20" s="11" t="n">
        <f aca="false">IF(OR(U20="Vencido",U20="En riesgo",U20="En plazo",U20="Por iniciar"),1,0)</f>
        <v>1</v>
      </c>
      <c r="W20" s="11" t="str">
        <f aca="false">IF(U20="Vencido",FechaCorte-J20,"")</f>
        <v/>
      </c>
      <c r="X20" s="11" t="n">
        <f aca="false">IF(AND(V20=1,U20&lt;&gt;"Vencido"),J20-FechaCorte,"")</f>
        <v>6</v>
      </c>
      <c r="Y20" s="13" t="n">
        <f aca="false">IF(J20="","",DATE(YEAR(J20),MONTH(J20),1))</f>
        <v>46266</v>
      </c>
      <c r="Z20" s="13" t="str">
        <f aca="false">IF(AND(U20="Completado",I20&lt;&gt;""),IF(I20&lt;=FechaCorte,DATE(YEAR(I20),MONTH(I20),1),""),"")</f>
        <v/>
      </c>
      <c r="AA20" s="11" t="n">
        <f aca="false">IF(J20="","",IF(DAY(J20+1)=1,1,0))</f>
        <v>1</v>
      </c>
      <c r="AB20" s="11" t="n">
        <f aca="false">IF(AND(U20="Completado",I20&lt;&gt;"",I20=J20),1,0)</f>
        <v>0</v>
      </c>
      <c r="AC20" s="11" t="n">
        <f aca="false">IF(AND(K20&gt;=1,I20&lt;&gt;""),IF(I20&gt;FechaCorte,1,0),0)</f>
        <v>0</v>
      </c>
      <c r="AD20" s="11" t="n">
        <f aca="false">IF(AND(I20&lt;&gt;"",H20&lt;&gt;""),IF(I20&lt;H20,1,0),0)</f>
        <v>0</v>
      </c>
      <c r="AE20" s="11" t="n">
        <f aca="false">IF(OR(F20="Riesgos",F20="Obs. Auditoría"),1,0)</f>
        <v>0</v>
      </c>
      <c r="AF20" s="11" t="str">
        <f aca="false">IFERROR(MID(D20,FIND("PMC-",D20),8),"")</f>
        <v/>
      </c>
      <c r="AG20" s="11" t="n">
        <f aca="false">IF(AND(V20=1,J20&lt;&gt;""),IF(AND(J20&gt;=FechaCorte,J20&lt;=HorizonteExpuestos),1,0),0)</f>
        <v>1</v>
      </c>
    </row>
    <row r="21" customFormat="false" ht="15" hidden="false" customHeight="false" outlineLevel="0" collapsed="false">
      <c r="A21" s="7" t="n">
        <v>20</v>
      </c>
      <c r="B21" s="7" t="n">
        <v>2026</v>
      </c>
      <c r="C21" s="7" t="s">
        <v>87</v>
      </c>
      <c r="D21" s="7" t="s">
        <v>117</v>
      </c>
      <c r="E21" s="7"/>
      <c r="F21" s="7" t="s">
        <v>114</v>
      </c>
      <c r="G21" s="7" t="s">
        <v>75</v>
      </c>
      <c r="H21" s="8" t="n">
        <v>46113</v>
      </c>
      <c r="I21" s="8"/>
      <c r="J21" s="8" t="n">
        <v>46387</v>
      </c>
      <c r="K21" s="9" t="n">
        <v>0.5</v>
      </c>
      <c r="L21" s="14" t="s">
        <v>118</v>
      </c>
      <c r="M21" s="10" t="s">
        <v>76</v>
      </c>
      <c r="N21" s="11" t="str">
        <f aca="false">IFERROR(INDEX(dFrente!$B$2:$B$76,MATCH(C21,dFrente!$A$2:$A$76,0)),"Sin frente")</f>
        <v>SailPoint IGA</v>
      </c>
      <c r="O21" s="11" t="str">
        <f aca="false">IFERROR(INDEX(dNIST!$B$2:$B$13,MATCH(M21,dNIST!$A$2:$A$13,0)),"")</f>
        <v>PR</v>
      </c>
      <c r="P21" s="11" t="str">
        <f aca="false">TRIM(IFERROR(LEFT(G21,FIND(CHAR(10),G21)-1),G21))</f>
        <v>Ana María Vergara</v>
      </c>
      <c r="Q21" s="11" t="n">
        <f aca="false">LEN(TRIM(G21))-LEN(SUBSTITUTE(TRIM(G21),CHAR(10),""))+1</f>
        <v>1</v>
      </c>
      <c r="R21" s="11" t="str">
        <f aca="false">IF(E21&lt;&gt;"","Sí","No")</f>
        <v>No</v>
      </c>
      <c r="S21" s="12" t="n">
        <f aca="false">IF(OR(J21="",H21=""),"",IF(J21&lt;=H21,IF(FechaCorte&gt;=J21,1,0),MAX(0,MIN(1,(FechaCorte-H21)/(J21-H21)))))</f>
        <v>0.642335766423358</v>
      </c>
      <c r="T21" s="12" t="n">
        <f aca="false">IF(S21="","",K21-S21)</f>
        <v>-0.142335766423358</v>
      </c>
      <c r="U21" s="11" t="str">
        <f aca="false">IF(R21="Sí","Recurrente",IF(K21&gt;=1,"Completado",IF(AND(J21&lt;&gt;"",J21&lt;FechaCorte),"Vencido",IF(AND(K21=0,OR(H21="",H21&gt;FechaCorte)),"Por iniciar",IF(AND(T21&lt;&gt;"",T21&lt;=UmbralRiesgo),"En riesgo","En plazo")))))</f>
        <v>En plazo</v>
      </c>
      <c r="V21" s="11" t="n">
        <f aca="false">IF(OR(U21="Vencido",U21="En riesgo",U21="En plazo",U21="Por iniciar"),1,0)</f>
        <v>1</v>
      </c>
      <c r="W21" s="11" t="str">
        <f aca="false">IF(U21="Vencido",FechaCorte-J21,"")</f>
        <v/>
      </c>
      <c r="X21" s="11" t="n">
        <f aca="false">IF(AND(V21=1,U21&lt;&gt;"Vencido"),J21-FechaCorte,"")</f>
        <v>98</v>
      </c>
      <c r="Y21" s="13" t="n">
        <f aca="false">IF(J21="","",DATE(YEAR(J21),MONTH(J21),1))</f>
        <v>46357</v>
      </c>
      <c r="Z21" s="13" t="str">
        <f aca="false">IF(AND(U21="Completado",I21&lt;&gt;""),IF(I21&lt;=FechaCorte,DATE(YEAR(I21),MONTH(I21),1),""),"")</f>
        <v/>
      </c>
      <c r="AA21" s="11" t="n">
        <f aca="false">IF(J21="","",IF(DAY(J21+1)=1,1,0))</f>
        <v>1</v>
      </c>
      <c r="AB21" s="11" t="n">
        <f aca="false">IF(AND(U21="Completado",I21&lt;&gt;"",I21=J21),1,0)</f>
        <v>0</v>
      </c>
      <c r="AC21" s="11" t="n">
        <f aca="false">IF(AND(K21&gt;=1,I21&lt;&gt;""),IF(I21&gt;FechaCorte,1,0),0)</f>
        <v>0</v>
      </c>
      <c r="AD21" s="11" t="n">
        <f aca="false">IF(AND(I21&lt;&gt;"",H21&lt;&gt;""),IF(I21&lt;H21,1,0),0)</f>
        <v>0</v>
      </c>
      <c r="AE21" s="11" t="n">
        <f aca="false">IF(OR(F21="Riesgos",F21="Obs. Auditoría"),1,0)</f>
        <v>0</v>
      </c>
      <c r="AF21" s="11" t="str">
        <f aca="false">IFERROR(MID(D21,FIND("PMC-",D21),8),"")</f>
        <v/>
      </c>
      <c r="AG21" s="11" t="n">
        <f aca="false">IF(AND(V21=1,J21&lt;&gt;""),IF(AND(J21&gt;=FechaCorte,J21&lt;=HorizonteExpuestos),1,0),0)</f>
        <v>0</v>
      </c>
    </row>
    <row r="22" customFormat="false" ht="15" hidden="false" customHeight="false" outlineLevel="0" collapsed="false">
      <c r="A22" s="7" t="n">
        <v>21</v>
      </c>
      <c r="B22" s="7" t="n">
        <v>2026</v>
      </c>
      <c r="C22" s="7" t="s">
        <v>87</v>
      </c>
      <c r="D22" s="7" t="s">
        <v>119</v>
      </c>
      <c r="E22" s="7"/>
      <c r="F22" s="7" t="s">
        <v>114</v>
      </c>
      <c r="G22" s="7" t="s">
        <v>75</v>
      </c>
      <c r="H22" s="8" t="n">
        <v>46113</v>
      </c>
      <c r="I22" s="8"/>
      <c r="J22" s="8" t="n">
        <v>46387</v>
      </c>
      <c r="K22" s="9" t="n">
        <v>0.5</v>
      </c>
      <c r="L22" s="14" t="s">
        <v>120</v>
      </c>
      <c r="M22" s="10" t="s">
        <v>76</v>
      </c>
      <c r="N22" s="11" t="str">
        <f aca="false">IFERROR(INDEX(dFrente!$B$2:$B$76,MATCH(C22,dFrente!$A$2:$A$76,0)),"Sin frente")</f>
        <v>SailPoint IGA</v>
      </c>
      <c r="O22" s="11" t="str">
        <f aca="false">IFERROR(INDEX(dNIST!$B$2:$B$13,MATCH(M22,dNIST!$A$2:$A$13,0)),"")</f>
        <v>PR</v>
      </c>
      <c r="P22" s="11" t="str">
        <f aca="false">TRIM(IFERROR(LEFT(G22,FIND(CHAR(10),G22)-1),G22))</f>
        <v>Ana María Vergara</v>
      </c>
      <c r="Q22" s="11" t="n">
        <f aca="false">LEN(TRIM(G22))-LEN(SUBSTITUTE(TRIM(G22),CHAR(10),""))+1</f>
        <v>1</v>
      </c>
      <c r="R22" s="11" t="str">
        <f aca="false">IF(E22&lt;&gt;"","Sí","No")</f>
        <v>No</v>
      </c>
      <c r="S22" s="12" t="n">
        <f aca="false">IF(OR(J22="",H22=""),"",IF(J22&lt;=H22,IF(FechaCorte&gt;=J22,1,0),MAX(0,MIN(1,(FechaCorte-H22)/(J22-H22)))))</f>
        <v>0.642335766423358</v>
      </c>
      <c r="T22" s="12" t="n">
        <f aca="false">IF(S22="","",K22-S22)</f>
        <v>-0.142335766423358</v>
      </c>
      <c r="U22" s="11" t="str">
        <f aca="false">IF(R22="Sí","Recurrente",IF(K22&gt;=1,"Completado",IF(AND(J22&lt;&gt;"",J22&lt;FechaCorte),"Vencido",IF(AND(K22=0,OR(H22="",H22&gt;FechaCorte)),"Por iniciar",IF(AND(T22&lt;&gt;"",T22&lt;=UmbralRiesgo),"En riesgo","En plazo")))))</f>
        <v>En plazo</v>
      </c>
      <c r="V22" s="11" t="n">
        <f aca="false">IF(OR(U22="Vencido",U22="En riesgo",U22="En plazo",U22="Por iniciar"),1,0)</f>
        <v>1</v>
      </c>
      <c r="W22" s="11" t="str">
        <f aca="false">IF(U22="Vencido",FechaCorte-J22,"")</f>
        <v/>
      </c>
      <c r="X22" s="11" t="n">
        <f aca="false">IF(AND(V22=1,U22&lt;&gt;"Vencido"),J22-FechaCorte,"")</f>
        <v>98</v>
      </c>
      <c r="Y22" s="13" t="n">
        <f aca="false">IF(J22="","",DATE(YEAR(J22),MONTH(J22),1))</f>
        <v>46357</v>
      </c>
      <c r="Z22" s="13" t="str">
        <f aca="false">IF(AND(U22="Completado",I22&lt;&gt;""),IF(I22&lt;=FechaCorte,DATE(YEAR(I22),MONTH(I22),1),""),"")</f>
        <v/>
      </c>
      <c r="AA22" s="11" t="n">
        <f aca="false">IF(J22="","",IF(DAY(J22+1)=1,1,0))</f>
        <v>1</v>
      </c>
      <c r="AB22" s="11" t="n">
        <f aca="false">IF(AND(U22="Completado",I22&lt;&gt;"",I22=J22),1,0)</f>
        <v>0</v>
      </c>
      <c r="AC22" s="11" t="n">
        <f aca="false">IF(AND(K22&gt;=1,I22&lt;&gt;""),IF(I22&gt;FechaCorte,1,0),0)</f>
        <v>0</v>
      </c>
      <c r="AD22" s="11" t="n">
        <f aca="false">IF(AND(I22&lt;&gt;"",H22&lt;&gt;""),IF(I22&lt;H22,1,0),0)</f>
        <v>0</v>
      </c>
      <c r="AE22" s="11" t="n">
        <f aca="false">IF(OR(F22="Riesgos",F22="Obs. Auditoría"),1,0)</f>
        <v>0</v>
      </c>
      <c r="AF22" s="11" t="str">
        <f aca="false">IFERROR(MID(D22,FIND("PMC-",D22),8),"")</f>
        <v/>
      </c>
      <c r="AG22" s="11" t="n">
        <f aca="false">IF(AND(V22=1,J22&lt;&gt;""),IF(AND(J22&gt;=FechaCorte,J22&lt;=HorizonteExpuestos),1,0),0)</f>
        <v>0</v>
      </c>
    </row>
    <row r="23" customFormat="false" ht="15" hidden="false" customHeight="false" outlineLevel="0" collapsed="false">
      <c r="A23" s="7" t="n">
        <v>22</v>
      </c>
      <c r="B23" s="7" t="n">
        <v>2026</v>
      </c>
      <c r="C23" s="7" t="s">
        <v>87</v>
      </c>
      <c r="D23" s="7" t="s">
        <v>121</v>
      </c>
      <c r="E23" s="7"/>
      <c r="F23" s="7" t="s">
        <v>114</v>
      </c>
      <c r="G23" s="7" t="s">
        <v>75</v>
      </c>
      <c r="H23" s="8" t="n">
        <v>46113</v>
      </c>
      <c r="I23" s="8"/>
      <c r="J23" s="8" t="n">
        <v>46387</v>
      </c>
      <c r="K23" s="9" t="n">
        <v>0.5</v>
      </c>
      <c r="L23" s="14" t="s">
        <v>122</v>
      </c>
      <c r="M23" s="10" t="s">
        <v>76</v>
      </c>
      <c r="N23" s="11" t="str">
        <f aca="false">IFERROR(INDEX(dFrente!$B$2:$B$76,MATCH(C23,dFrente!$A$2:$A$76,0)),"Sin frente")</f>
        <v>SailPoint IGA</v>
      </c>
      <c r="O23" s="11" t="str">
        <f aca="false">IFERROR(INDEX(dNIST!$B$2:$B$13,MATCH(M23,dNIST!$A$2:$A$13,0)),"")</f>
        <v>PR</v>
      </c>
      <c r="P23" s="11" t="str">
        <f aca="false">TRIM(IFERROR(LEFT(G23,FIND(CHAR(10),G23)-1),G23))</f>
        <v>Ana María Vergara</v>
      </c>
      <c r="Q23" s="11" t="n">
        <f aca="false">LEN(TRIM(G23))-LEN(SUBSTITUTE(TRIM(G23),CHAR(10),""))+1</f>
        <v>1</v>
      </c>
      <c r="R23" s="11" t="str">
        <f aca="false">IF(E23&lt;&gt;"","Sí","No")</f>
        <v>No</v>
      </c>
      <c r="S23" s="12" t="n">
        <f aca="false">IF(OR(J23="",H23=""),"",IF(J23&lt;=H23,IF(FechaCorte&gt;=J23,1,0),MAX(0,MIN(1,(FechaCorte-H23)/(J23-H23)))))</f>
        <v>0.642335766423358</v>
      </c>
      <c r="T23" s="12" t="n">
        <f aca="false">IF(S23="","",K23-S23)</f>
        <v>-0.142335766423358</v>
      </c>
      <c r="U23" s="11" t="str">
        <f aca="false">IF(R23="Sí","Recurrente",IF(K23&gt;=1,"Completado",IF(AND(J23&lt;&gt;"",J23&lt;FechaCorte),"Vencido",IF(AND(K23=0,OR(H23="",H23&gt;FechaCorte)),"Por iniciar",IF(AND(T23&lt;&gt;"",T23&lt;=UmbralRiesgo),"En riesgo","En plazo")))))</f>
        <v>En plazo</v>
      </c>
      <c r="V23" s="11" t="n">
        <f aca="false">IF(OR(U23="Vencido",U23="En riesgo",U23="En plazo",U23="Por iniciar"),1,0)</f>
        <v>1</v>
      </c>
      <c r="W23" s="11" t="str">
        <f aca="false">IF(U23="Vencido",FechaCorte-J23,"")</f>
        <v/>
      </c>
      <c r="X23" s="11" t="n">
        <f aca="false">IF(AND(V23=1,U23&lt;&gt;"Vencido"),J23-FechaCorte,"")</f>
        <v>98</v>
      </c>
      <c r="Y23" s="13" t="n">
        <f aca="false">IF(J23="","",DATE(YEAR(J23),MONTH(J23),1))</f>
        <v>46357</v>
      </c>
      <c r="Z23" s="13" t="str">
        <f aca="false">IF(AND(U23="Completado",I23&lt;&gt;""),IF(I23&lt;=FechaCorte,DATE(YEAR(I23),MONTH(I23),1),""),"")</f>
        <v/>
      </c>
      <c r="AA23" s="11" t="n">
        <f aca="false">IF(J23="","",IF(DAY(J23+1)=1,1,0))</f>
        <v>1</v>
      </c>
      <c r="AB23" s="11" t="n">
        <f aca="false">IF(AND(U23="Completado",I23&lt;&gt;"",I23=J23),1,0)</f>
        <v>0</v>
      </c>
      <c r="AC23" s="11" t="n">
        <f aca="false">IF(AND(K23&gt;=1,I23&lt;&gt;""),IF(I23&gt;FechaCorte,1,0),0)</f>
        <v>0</v>
      </c>
      <c r="AD23" s="11" t="n">
        <f aca="false">IF(AND(I23&lt;&gt;"",H23&lt;&gt;""),IF(I23&lt;H23,1,0),0)</f>
        <v>0</v>
      </c>
      <c r="AE23" s="11" t="n">
        <f aca="false">IF(OR(F23="Riesgos",F23="Obs. Auditoría"),1,0)</f>
        <v>0</v>
      </c>
      <c r="AF23" s="11" t="str">
        <f aca="false">IFERROR(MID(D23,FIND("PMC-",D23),8),"")</f>
        <v/>
      </c>
      <c r="AG23" s="11" t="n">
        <f aca="false">IF(AND(V23=1,J23&lt;&gt;""),IF(AND(J23&gt;=FechaCorte,J23&lt;=HorizonteExpuestos),1,0),0)</f>
        <v>0</v>
      </c>
    </row>
    <row r="24" customFormat="false" ht="15" hidden="false" customHeight="false" outlineLevel="0" collapsed="false">
      <c r="A24" s="7" t="n">
        <v>23</v>
      </c>
      <c r="B24" s="7" t="n">
        <v>2026</v>
      </c>
      <c r="C24" s="7" t="s">
        <v>87</v>
      </c>
      <c r="D24" s="7" t="s">
        <v>123</v>
      </c>
      <c r="E24" s="7"/>
      <c r="F24" s="7" t="s">
        <v>114</v>
      </c>
      <c r="G24" s="14" t="s">
        <v>115</v>
      </c>
      <c r="H24" s="8" t="n">
        <v>46113</v>
      </c>
      <c r="I24" s="8"/>
      <c r="J24" s="8" t="n">
        <v>46295</v>
      </c>
      <c r="K24" s="9" t="n">
        <v>0.95</v>
      </c>
      <c r="L24" s="14" t="s">
        <v>124</v>
      </c>
      <c r="M24" s="10" t="s">
        <v>81</v>
      </c>
      <c r="N24" s="11" t="str">
        <f aca="false">IFERROR(INDEX(dFrente!$B$2:$B$76,MATCH(C24,dFrente!$A$2:$A$76,0)),"Sin frente")</f>
        <v>SailPoint IGA</v>
      </c>
      <c r="O24" s="11" t="str">
        <f aca="false">IFERROR(INDEX(dNIST!$B$2:$B$13,MATCH(M24,dNIST!$A$2:$A$13,0)),"")</f>
        <v>PR</v>
      </c>
      <c r="P24" s="11" t="str">
        <f aca="false">TRIM(IFERROR(LEFT(G24,FIND(CHAR(10),G24)-1),G24))</f>
        <v>Ana María Vergara</v>
      </c>
      <c r="Q24" s="11" t="n">
        <f aca="false">LEN(TRIM(G24))-LEN(SUBSTITUTE(TRIM(G24),CHAR(10),""))+1</f>
        <v>3</v>
      </c>
      <c r="R24" s="11" t="str">
        <f aca="false">IF(E24&lt;&gt;"","Sí","No")</f>
        <v>No</v>
      </c>
      <c r="S24" s="12" t="n">
        <f aca="false">IF(OR(J24="",H24=""),"",IF(J24&lt;=H24,IF(FechaCorte&gt;=J24,1,0),MAX(0,MIN(1,(FechaCorte-H24)/(J24-H24)))))</f>
        <v>0.967032967032967</v>
      </c>
      <c r="T24" s="12" t="n">
        <f aca="false">IF(S24="","",K24-S24)</f>
        <v>-0.0170329670329671</v>
      </c>
      <c r="U24" s="11" t="str">
        <f aca="false">IF(R24="Sí","Recurrente",IF(K24&gt;=1,"Completado",IF(AND(J24&lt;&gt;"",J24&lt;FechaCorte),"Vencido",IF(AND(K24=0,OR(H24="",H24&gt;FechaCorte)),"Por iniciar",IF(AND(T24&lt;&gt;"",T24&lt;=UmbralRiesgo),"En riesgo","En plazo")))))</f>
        <v>En plazo</v>
      </c>
      <c r="V24" s="11" t="n">
        <f aca="false">IF(OR(U24="Vencido",U24="En riesgo",U24="En plazo",U24="Por iniciar"),1,0)</f>
        <v>1</v>
      </c>
      <c r="W24" s="11" t="str">
        <f aca="false">IF(U24="Vencido",FechaCorte-J24,"")</f>
        <v/>
      </c>
      <c r="X24" s="11" t="n">
        <f aca="false">IF(AND(V24=1,U24&lt;&gt;"Vencido"),J24-FechaCorte,"")</f>
        <v>6</v>
      </c>
      <c r="Y24" s="13" t="n">
        <f aca="false">IF(J24="","",DATE(YEAR(J24),MONTH(J24),1))</f>
        <v>46266</v>
      </c>
      <c r="Z24" s="13" t="str">
        <f aca="false">IF(AND(U24="Completado",I24&lt;&gt;""),IF(I24&lt;=FechaCorte,DATE(YEAR(I24),MONTH(I24),1),""),"")</f>
        <v/>
      </c>
      <c r="AA24" s="11" t="n">
        <f aca="false">IF(J24="","",IF(DAY(J24+1)=1,1,0))</f>
        <v>1</v>
      </c>
      <c r="AB24" s="11" t="n">
        <f aca="false">IF(AND(U24="Completado",I24&lt;&gt;"",I24=J24),1,0)</f>
        <v>0</v>
      </c>
      <c r="AC24" s="11" t="n">
        <f aca="false">IF(AND(K24&gt;=1,I24&lt;&gt;""),IF(I24&gt;FechaCorte,1,0),0)</f>
        <v>0</v>
      </c>
      <c r="AD24" s="11" t="n">
        <f aca="false">IF(AND(I24&lt;&gt;"",H24&lt;&gt;""),IF(I24&lt;H24,1,0),0)</f>
        <v>0</v>
      </c>
      <c r="AE24" s="11" t="n">
        <f aca="false">IF(OR(F24="Riesgos",F24="Obs. Auditoría"),1,0)</f>
        <v>0</v>
      </c>
      <c r="AF24" s="11" t="str">
        <f aca="false">IFERROR(MID(D24,FIND("PMC-",D24),8),"")</f>
        <v/>
      </c>
      <c r="AG24" s="11" t="n">
        <f aca="false">IF(AND(V24=1,J24&lt;&gt;""),IF(AND(J24&gt;=FechaCorte,J24&lt;=HorizonteExpuestos),1,0),0)</f>
        <v>1</v>
      </c>
    </row>
    <row r="25" customFormat="false" ht="15" hidden="false" customHeight="false" outlineLevel="0" collapsed="false">
      <c r="A25" s="7" t="n">
        <v>24</v>
      </c>
      <c r="B25" s="7" t="n">
        <v>2026</v>
      </c>
      <c r="C25" s="7" t="s">
        <v>87</v>
      </c>
      <c r="D25" s="7" t="s">
        <v>125</v>
      </c>
      <c r="E25" s="7"/>
      <c r="F25" s="7" t="s">
        <v>97</v>
      </c>
      <c r="G25" s="7" t="s">
        <v>75</v>
      </c>
      <c r="H25" s="8" t="n">
        <v>46209</v>
      </c>
      <c r="I25" s="8" t="n">
        <v>46233</v>
      </c>
      <c r="J25" s="8" t="n">
        <v>46233</v>
      </c>
      <c r="K25" s="9" t="n">
        <v>1</v>
      </c>
      <c r="L25" s="14" t="s">
        <v>126</v>
      </c>
      <c r="M25" s="10" t="s">
        <v>76</v>
      </c>
      <c r="N25" s="11" t="str">
        <f aca="false">IFERROR(INDEX(dFrente!$B$2:$B$76,MATCH(C25,dFrente!$A$2:$A$76,0)),"Sin frente")</f>
        <v>SailPoint IGA</v>
      </c>
      <c r="O25" s="11" t="str">
        <f aca="false">IFERROR(INDEX(dNIST!$B$2:$B$13,MATCH(M25,dNIST!$A$2:$A$13,0)),"")</f>
        <v>PR</v>
      </c>
      <c r="P25" s="11" t="str">
        <f aca="false">TRIM(IFERROR(LEFT(G25,FIND(CHAR(10),G25)-1),G25))</f>
        <v>Ana María Vergara</v>
      </c>
      <c r="Q25" s="11" t="n">
        <f aca="false">LEN(TRIM(G25))-LEN(SUBSTITUTE(TRIM(G25),CHAR(10),""))+1</f>
        <v>1</v>
      </c>
      <c r="R25" s="11" t="str">
        <f aca="false">IF(E25&lt;&gt;"","Sí","No")</f>
        <v>No</v>
      </c>
      <c r="S25" s="12" t="n">
        <f aca="false">IF(OR(J25="",H25=""),"",IF(J25&lt;=H25,IF(FechaCorte&gt;=J25,1,0),MAX(0,MIN(1,(FechaCorte-H25)/(J25-H25)))))</f>
        <v>1</v>
      </c>
      <c r="T25" s="12" t="n">
        <f aca="false">IF(S25="","",K25-S25)</f>
        <v>0</v>
      </c>
      <c r="U25" s="11" t="str">
        <f aca="false">IF(R25="Sí","Recurrente",IF(K25&gt;=1,"Completado",IF(AND(J25&lt;&gt;"",J25&lt;FechaCorte),"Vencido",IF(AND(K25=0,OR(H25="",H25&gt;FechaCorte)),"Por iniciar",IF(AND(T25&lt;&gt;"",T25&lt;=UmbralRiesgo),"En riesgo","En plazo")))))</f>
        <v>Completado</v>
      </c>
      <c r="V25" s="11" t="n">
        <f aca="false">IF(OR(U25="Vencido",U25="En riesgo",U25="En plazo",U25="Por iniciar"),1,0)</f>
        <v>0</v>
      </c>
      <c r="W25" s="11" t="str">
        <f aca="false">IF(U25="Vencido",FechaCorte-J25,"")</f>
        <v/>
      </c>
      <c r="X25" s="11" t="str">
        <f aca="false">IF(AND(V25=1,U25&lt;&gt;"Vencido"),J25-FechaCorte,"")</f>
        <v/>
      </c>
      <c r="Y25" s="13" t="n">
        <f aca="false">IF(J25="","",DATE(YEAR(J25),MONTH(J25),1))</f>
        <v>46204</v>
      </c>
      <c r="Z25" s="13" t="n">
        <f aca="false">IF(AND(U25="Completado",I25&lt;&gt;""),IF(I25&lt;=FechaCorte,DATE(YEAR(I25),MONTH(I25),1),""),"")</f>
        <v>46204</v>
      </c>
      <c r="AA25" s="11" t="n">
        <f aca="false">IF(J25="","",IF(DAY(J25+1)=1,1,0))</f>
        <v>0</v>
      </c>
      <c r="AB25" s="11" t="n">
        <f aca="false">IF(AND(U25="Completado",I25&lt;&gt;"",I25=J25),1,0)</f>
        <v>1</v>
      </c>
      <c r="AC25" s="11" t="n">
        <f aca="false">IF(AND(K25&gt;=1,I25&lt;&gt;""),IF(I25&gt;FechaCorte,1,0),0)</f>
        <v>0</v>
      </c>
      <c r="AD25" s="11" t="n">
        <f aca="false">IF(AND(I25&lt;&gt;"",H25&lt;&gt;""),IF(I25&lt;H25,1,0),0)</f>
        <v>0</v>
      </c>
      <c r="AE25" s="11" t="n">
        <f aca="false">IF(OR(F25="Riesgos",F25="Obs. Auditoría"),1,0)</f>
        <v>0</v>
      </c>
      <c r="AF25" s="11" t="str">
        <f aca="false">IFERROR(MID(D25,FIND("PMC-",D25),8),"")</f>
        <v/>
      </c>
      <c r="AG25" s="11" t="n">
        <f aca="false">IF(AND(V25=1,J25&lt;&gt;""),IF(AND(J25&gt;=FechaCorte,J25&lt;=HorizonteExpuestos),1,0),0)</f>
        <v>0</v>
      </c>
    </row>
    <row r="26" customFormat="false" ht="15" hidden="false" customHeight="false" outlineLevel="0" collapsed="false">
      <c r="A26" s="7" t="n">
        <v>25</v>
      </c>
      <c r="B26" s="7" t="n">
        <v>2026</v>
      </c>
      <c r="C26" s="7" t="s">
        <v>87</v>
      </c>
      <c r="D26" s="7" t="s">
        <v>127</v>
      </c>
      <c r="E26" s="7"/>
      <c r="F26" s="7" t="s">
        <v>97</v>
      </c>
      <c r="G26" s="14" t="s">
        <v>111</v>
      </c>
      <c r="H26" s="8" t="n">
        <v>46143</v>
      </c>
      <c r="I26" s="8" t="n">
        <v>46173</v>
      </c>
      <c r="J26" s="8" t="n">
        <v>46173</v>
      </c>
      <c r="K26" s="9" t="n">
        <v>1</v>
      </c>
      <c r="L26" s="7" t="s">
        <v>128</v>
      </c>
      <c r="M26" s="10" t="s">
        <v>81</v>
      </c>
      <c r="N26" s="11" t="str">
        <f aca="false">IFERROR(INDEX(dFrente!$B$2:$B$76,MATCH(C26,dFrente!$A$2:$A$76,0)),"Sin frente")</f>
        <v>SailPoint IGA</v>
      </c>
      <c r="O26" s="11" t="str">
        <f aca="false">IFERROR(INDEX(dNIST!$B$2:$B$13,MATCH(M26,dNIST!$A$2:$A$13,0)),"")</f>
        <v>PR</v>
      </c>
      <c r="P26" s="11" t="str">
        <f aca="false">TRIM(IFERROR(LEFT(G26,FIND(CHAR(10),G26)-1),G26))</f>
        <v>Richard Requelme</v>
      </c>
      <c r="Q26" s="11" t="n">
        <f aca="false">LEN(TRIM(G26))-LEN(SUBSTITUTE(TRIM(G26),CHAR(10),""))+1</f>
        <v>2</v>
      </c>
      <c r="R26" s="11" t="str">
        <f aca="false">IF(E26&lt;&gt;"","Sí","No")</f>
        <v>No</v>
      </c>
      <c r="S26" s="12" t="n">
        <f aca="false">IF(OR(J26="",H26=""),"",IF(J26&lt;=H26,IF(FechaCorte&gt;=J26,1,0),MAX(0,MIN(1,(FechaCorte-H26)/(J26-H26)))))</f>
        <v>1</v>
      </c>
      <c r="T26" s="12" t="n">
        <f aca="false">IF(S26="","",K26-S26)</f>
        <v>0</v>
      </c>
      <c r="U26" s="11" t="str">
        <f aca="false">IF(R26="Sí","Recurrente",IF(K26&gt;=1,"Completado",IF(AND(J26&lt;&gt;"",J26&lt;FechaCorte),"Vencido",IF(AND(K26=0,OR(H26="",H26&gt;FechaCorte)),"Por iniciar",IF(AND(T26&lt;&gt;"",T26&lt;=UmbralRiesgo),"En riesgo","En plazo")))))</f>
        <v>Completado</v>
      </c>
      <c r="V26" s="11" t="n">
        <f aca="false">IF(OR(U26="Vencido",U26="En riesgo",U26="En plazo",U26="Por iniciar"),1,0)</f>
        <v>0</v>
      </c>
      <c r="W26" s="11" t="str">
        <f aca="false">IF(U26="Vencido",FechaCorte-J26,"")</f>
        <v/>
      </c>
      <c r="X26" s="11" t="str">
        <f aca="false">IF(AND(V26=1,U26&lt;&gt;"Vencido"),J26-FechaCorte,"")</f>
        <v/>
      </c>
      <c r="Y26" s="13" t="n">
        <f aca="false">IF(J26="","",DATE(YEAR(J26),MONTH(J26),1))</f>
        <v>46143</v>
      </c>
      <c r="Z26" s="13" t="n">
        <f aca="false">IF(AND(U26="Completado",I26&lt;&gt;""),IF(I26&lt;=FechaCorte,DATE(YEAR(I26),MONTH(I26),1),""),"")</f>
        <v>46143</v>
      </c>
      <c r="AA26" s="11" t="n">
        <f aca="false">IF(J26="","",IF(DAY(J26+1)=1,1,0))</f>
        <v>1</v>
      </c>
      <c r="AB26" s="11" t="n">
        <f aca="false">IF(AND(U26="Completado",I26&lt;&gt;"",I26=J26),1,0)</f>
        <v>1</v>
      </c>
      <c r="AC26" s="11" t="n">
        <f aca="false">IF(AND(K26&gt;=1,I26&lt;&gt;""),IF(I26&gt;FechaCorte,1,0),0)</f>
        <v>0</v>
      </c>
      <c r="AD26" s="11" t="n">
        <f aca="false">IF(AND(I26&lt;&gt;"",H26&lt;&gt;""),IF(I26&lt;H26,1,0),0)</f>
        <v>0</v>
      </c>
      <c r="AE26" s="11" t="n">
        <f aca="false">IF(OR(F26="Riesgos",F26="Obs. Auditoría"),1,0)</f>
        <v>0</v>
      </c>
      <c r="AF26" s="11" t="str">
        <f aca="false">IFERROR(MID(D26,FIND("PMC-",D26),8),"")</f>
        <v/>
      </c>
      <c r="AG26" s="11" t="n">
        <f aca="false">IF(AND(V26=1,J26&lt;&gt;""),IF(AND(J26&gt;=FechaCorte,J26&lt;=HorizonteExpuestos),1,0),0)</f>
        <v>0</v>
      </c>
    </row>
    <row r="27" customFormat="false" ht="15" hidden="false" customHeight="false" outlineLevel="0" collapsed="false">
      <c r="A27" s="7" t="n">
        <v>26</v>
      </c>
      <c r="B27" s="7" t="n">
        <v>2026</v>
      </c>
      <c r="C27" s="7" t="s">
        <v>87</v>
      </c>
      <c r="D27" s="7" t="s">
        <v>129</v>
      </c>
      <c r="E27" s="7" t="s">
        <v>130</v>
      </c>
      <c r="F27" s="7" t="s">
        <v>131</v>
      </c>
      <c r="G27" s="14" t="s">
        <v>111</v>
      </c>
      <c r="H27" s="8" t="n">
        <v>46113</v>
      </c>
      <c r="I27" s="8"/>
      <c r="J27" s="8"/>
      <c r="K27" s="9" t="n">
        <v>1</v>
      </c>
      <c r="L27" s="14" t="s">
        <v>132</v>
      </c>
      <c r="M27" s="10" t="s">
        <v>81</v>
      </c>
      <c r="N27" s="11" t="str">
        <f aca="false">IFERROR(INDEX(dFrente!$B$2:$B$76,MATCH(C27,dFrente!$A$2:$A$76,0)),"Sin frente")</f>
        <v>SailPoint IGA</v>
      </c>
      <c r="O27" s="11" t="str">
        <f aca="false">IFERROR(INDEX(dNIST!$B$2:$B$13,MATCH(M27,dNIST!$A$2:$A$13,0)),"")</f>
        <v>PR</v>
      </c>
      <c r="P27" s="11" t="str">
        <f aca="false">TRIM(IFERROR(LEFT(G27,FIND(CHAR(10),G27)-1),G27))</f>
        <v>Richard Requelme</v>
      </c>
      <c r="Q27" s="11" t="n">
        <f aca="false">LEN(TRIM(G27))-LEN(SUBSTITUTE(TRIM(G27),CHAR(10),""))+1</f>
        <v>2</v>
      </c>
      <c r="R27" s="11" t="str">
        <f aca="false">IF(E27&lt;&gt;"","Sí","No")</f>
        <v>Sí</v>
      </c>
      <c r="S27" s="12" t="str">
        <f aca="false">IF(OR(J27="",H27=""),"",IF(J27&lt;=H27,IF(FechaCorte&gt;=J27,1,0),MAX(0,MIN(1,(FechaCorte-H27)/(J27-H27)))))</f>
        <v/>
      </c>
      <c r="T27" s="12" t="str">
        <f aca="false">IF(S27="","",K27-S27)</f>
        <v/>
      </c>
      <c r="U27" s="11" t="str">
        <f aca="false">IF(R27="Sí","Recurrente",IF(K27&gt;=1,"Completado",IF(AND(J27&lt;&gt;"",J27&lt;FechaCorte),"Vencido",IF(AND(K27=0,OR(H27="",H27&gt;FechaCorte)),"Por iniciar",IF(AND(T27&lt;&gt;"",T27&lt;=UmbralRiesgo),"En riesgo","En plazo")))))</f>
        <v>Recurrente</v>
      </c>
      <c r="V27" s="11" t="n">
        <f aca="false">IF(OR(U27="Vencido",U27="En riesgo",U27="En plazo",U27="Por iniciar"),1,0)</f>
        <v>0</v>
      </c>
      <c r="W27" s="11" t="str">
        <f aca="false">IF(U27="Vencido",FechaCorte-J27,"")</f>
        <v/>
      </c>
      <c r="X27" s="11" t="str">
        <f aca="false">IF(AND(V27=1,U27&lt;&gt;"Vencido"),J27-FechaCorte,"")</f>
        <v/>
      </c>
      <c r="Y27" s="13" t="str">
        <f aca="false">IF(J27="","",DATE(YEAR(J27),MONTH(J27),1))</f>
        <v/>
      </c>
      <c r="Z27" s="13" t="str">
        <f aca="false">IF(AND(U27="Completado",I27&lt;&gt;""),IF(I27&lt;=FechaCorte,DATE(YEAR(I27),MONTH(I27),1),""),"")</f>
        <v/>
      </c>
      <c r="AA27" s="11" t="str">
        <f aca="false">IF(J27="","",IF(DAY(J27+1)=1,1,0))</f>
        <v/>
      </c>
      <c r="AB27" s="11" t="n">
        <f aca="false">IF(AND(U27="Completado",I27&lt;&gt;"",I27=J27),1,0)</f>
        <v>0</v>
      </c>
      <c r="AC27" s="11" t="n">
        <f aca="false">IF(AND(K27&gt;=1,I27&lt;&gt;""),IF(I27&gt;FechaCorte,1,0),0)</f>
        <v>0</v>
      </c>
      <c r="AD27" s="11" t="n">
        <f aca="false">IF(AND(I27&lt;&gt;"",H27&lt;&gt;""),IF(I27&lt;H27,1,0),0)</f>
        <v>0</v>
      </c>
      <c r="AE27" s="11" t="n">
        <f aca="false">IF(OR(F27="Riesgos",F27="Obs. Auditoría"),1,0)</f>
        <v>0</v>
      </c>
      <c r="AF27" s="11" t="str">
        <f aca="false">IFERROR(MID(D27,FIND("PMC-",D27),8),"")</f>
        <v/>
      </c>
      <c r="AG27" s="11" t="n">
        <f aca="false">IF(AND(V27=1,J27&lt;&gt;""),IF(AND(J27&gt;=FechaCorte,J27&lt;=HorizonteExpuestos),1,0),0)</f>
        <v>0</v>
      </c>
    </row>
    <row r="28" customFormat="false" ht="15" hidden="false" customHeight="false" outlineLevel="0" collapsed="false">
      <c r="A28" s="7" t="n">
        <v>27</v>
      </c>
      <c r="B28" s="7" t="n">
        <v>2026</v>
      </c>
      <c r="C28" s="7" t="s">
        <v>87</v>
      </c>
      <c r="D28" s="7" t="s">
        <v>133</v>
      </c>
      <c r="E28" s="7"/>
      <c r="F28" s="7" t="s">
        <v>114</v>
      </c>
      <c r="G28" s="7" t="s">
        <v>75</v>
      </c>
      <c r="H28" s="8" t="n">
        <v>46204</v>
      </c>
      <c r="I28" s="8"/>
      <c r="J28" s="8" t="n">
        <v>46218</v>
      </c>
      <c r="K28" s="9" t="n">
        <v>0.5</v>
      </c>
      <c r="L28" s="14" t="s">
        <v>134</v>
      </c>
      <c r="M28" s="10" t="s">
        <v>81</v>
      </c>
      <c r="N28" s="11" t="str">
        <f aca="false">IFERROR(INDEX(dFrente!$B$2:$B$76,MATCH(C28,dFrente!$A$2:$A$76,0)),"Sin frente")</f>
        <v>SailPoint IGA</v>
      </c>
      <c r="O28" s="11" t="str">
        <f aca="false">IFERROR(INDEX(dNIST!$B$2:$B$13,MATCH(M28,dNIST!$A$2:$A$13,0)),"")</f>
        <v>PR</v>
      </c>
      <c r="P28" s="11" t="str">
        <f aca="false">TRIM(IFERROR(LEFT(G28,FIND(CHAR(10),G28)-1),G28))</f>
        <v>Ana María Vergara</v>
      </c>
      <c r="Q28" s="11" t="n">
        <f aca="false">LEN(TRIM(G28))-LEN(SUBSTITUTE(TRIM(G28),CHAR(10),""))+1</f>
        <v>1</v>
      </c>
      <c r="R28" s="11" t="str">
        <f aca="false">IF(E28&lt;&gt;"","Sí","No")</f>
        <v>No</v>
      </c>
      <c r="S28" s="12" t="n">
        <f aca="false">IF(OR(J28="",H28=""),"",IF(J28&lt;=H28,IF(FechaCorte&gt;=J28,1,0),MAX(0,MIN(1,(FechaCorte-H28)/(J28-H28)))))</f>
        <v>1</v>
      </c>
      <c r="T28" s="12" t="n">
        <f aca="false">IF(S28="","",K28-S28)</f>
        <v>-0.5</v>
      </c>
      <c r="U28" s="11" t="str">
        <f aca="false">IF(R28="Sí","Recurrente",IF(K28&gt;=1,"Completado",IF(AND(J28&lt;&gt;"",J28&lt;FechaCorte),"Vencido",IF(AND(K28=0,OR(H28="",H28&gt;FechaCorte)),"Por iniciar",IF(AND(T28&lt;&gt;"",T28&lt;=UmbralRiesgo),"En riesgo","En plazo")))))</f>
        <v>Vencido</v>
      </c>
      <c r="V28" s="11" t="n">
        <f aca="false">IF(OR(U28="Vencido",U28="En riesgo",U28="En plazo",U28="Por iniciar"),1,0)</f>
        <v>1</v>
      </c>
      <c r="W28" s="11" t="n">
        <f aca="false">IF(U28="Vencido",FechaCorte-J28,"")</f>
        <v>71</v>
      </c>
      <c r="X28" s="11" t="str">
        <f aca="false">IF(AND(V28=1,U28&lt;&gt;"Vencido"),J28-FechaCorte,"")</f>
        <v/>
      </c>
      <c r="Y28" s="13" t="n">
        <f aca="false">IF(J28="","",DATE(YEAR(J28),MONTH(J28),1))</f>
        <v>46204</v>
      </c>
      <c r="Z28" s="13" t="str">
        <f aca="false">IF(AND(U28="Completado",I28&lt;&gt;""),IF(I28&lt;=FechaCorte,DATE(YEAR(I28),MONTH(I28),1),""),"")</f>
        <v/>
      </c>
      <c r="AA28" s="11" t="n">
        <f aca="false">IF(J28="","",IF(DAY(J28+1)=1,1,0))</f>
        <v>0</v>
      </c>
      <c r="AB28" s="11" t="n">
        <f aca="false">IF(AND(U28="Completado",I28&lt;&gt;"",I28=J28),1,0)</f>
        <v>0</v>
      </c>
      <c r="AC28" s="11" t="n">
        <f aca="false">IF(AND(K28&gt;=1,I28&lt;&gt;""),IF(I28&gt;FechaCorte,1,0),0)</f>
        <v>0</v>
      </c>
      <c r="AD28" s="11" t="n">
        <f aca="false">IF(AND(I28&lt;&gt;"",H28&lt;&gt;""),IF(I28&lt;H28,1,0),0)</f>
        <v>0</v>
      </c>
      <c r="AE28" s="11" t="n">
        <f aca="false">IF(OR(F28="Riesgos",F28="Obs. Auditoría"),1,0)</f>
        <v>0</v>
      </c>
      <c r="AF28" s="11" t="str">
        <f aca="false">IFERROR(MID(D28,FIND("PMC-",D28),8),"")</f>
        <v/>
      </c>
      <c r="AG28" s="11" t="n">
        <f aca="false">IF(AND(V28=1,J28&lt;&gt;""),IF(AND(J28&gt;=FechaCorte,J28&lt;=HorizonteExpuestos),1,0),0)</f>
        <v>0</v>
      </c>
    </row>
    <row r="29" customFormat="false" ht="15" hidden="false" customHeight="false" outlineLevel="0" collapsed="false">
      <c r="A29" s="7" t="n">
        <v>28</v>
      </c>
      <c r="B29" s="7" t="n">
        <v>2026</v>
      </c>
      <c r="C29" s="7" t="s">
        <v>87</v>
      </c>
      <c r="D29" s="7" t="s">
        <v>135</v>
      </c>
      <c r="E29" s="7"/>
      <c r="F29" s="7" t="s">
        <v>74</v>
      </c>
      <c r="G29" s="14" t="s">
        <v>136</v>
      </c>
      <c r="H29" s="8" t="n">
        <v>46266</v>
      </c>
      <c r="I29" s="8"/>
      <c r="J29" s="8" t="n">
        <v>46356</v>
      </c>
      <c r="K29" s="9" t="n">
        <v>0.5</v>
      </c>
      <c r="L29" s="7" t="s">
        <v>137</v>
      </c>
      <c r="M29" s="10" t="s">
        <v>76</v>
      </c>
      <c r="N29" s="11" t="str">
        <f aca="false">IFERROR(INDEX(dFrente!$B$2:$B$76,MATCH(C29,dFrente!$A$2:$A$76,0)),"Sin frente")</f>
        <v>SailPoint IGA</v>
      </c>
      <c r="O29" s="11" t="str">
        <f aca="false">IFERROR(INDEX(dNIST!$B$2:$B$13,MATCH(M29,dNIST!$A$2:$A$13,0)),"")</f>
        <v>PR</v>
      </c>
      <c r="P29" s="11" t="str">
        <f aca="false">TRIM(IFERROR(LEFT(G29,FIND(CHAR(10),G29)-1),G29))</f>
        <v>Ana María Vergara</v>
      </c>
      <c r="Q29" s="11" t="n">
        <f aca="false">LEN(TRIM(G29))-LEN(SUBSTITUTE(TRIM(G29),CHAR(10),""))+1</f>
        <v>3</v>
      </c>
      <c r="R29" s="11" t="str">
        <f aca="false">IF(E29&lt;&gt;"","Sí","No")</f>
        <v>No</v>
      </c>
      <c r="S29" s="12" t="n">
        <f aca="false">IF(OR(J29="",H29=""),"",IF(J29&lt;=H29,IF(FechaCorte&gt;=J29,1,0),MAX(0,MIN(1,(FechaCorte-H29)/(J29-H29)))))</f>
        <v>0.255555555555556</v>
      </c>
      <c r="T29" s="12" t="n">
        <f aca="false">IF(S29="","",K29-S29)</f>
        <v>0.244444444444444</v>
      </c>
      <c r="U29" s="11" t="str">
        <f aca="false">IF(R29="Sí","Recurrente",IF(K29&gt;=1,"Completado",IF(AND(J29&lt;&gt;"",J29&lt;FechaCorte),"Vencido",IF(AND(K29=0,OR(H29="",H29&gt;FechaCorte)),"Por iniciar",IF(AND(T29&lt;&gt;"",T29&lt;=UmbralRiesgo),"En riesgo","En plazo")))))</f>
        <v>En plazo</v>
      </c>
      <c r="V29" s="11" t="n">
        <f aca="false">IF(OR(U29="Vencido",U29="En riesgo",U29="En plazo",U29="Por iniciar"),1,0)</f>
        <v>1</v>
      </c>
      <c r="W29" s="11" t="str">
        <f aca="false">IF(U29="Vencido",FechaCorte-J29,"")</f>
        <v/>
      </c>
      <c r="X29" s="11" t="n">
        <f aca="false">IF(AND(V29=1,U29&lt;&gt;"Vencido"),J29-FechaCorte,"")</f>
        <v>67</v>
      </c>
      <c r="Y29" s="13" t="n">
        <f aca="false">IF(J29="","",DATE(YEAR(J29),MONTH(J29),1))</f>
        <v>46327</v>
      </c>
      <c r="Z29" s="13" t="str">
        <f aca="false">IF(AND(U29="Completado",I29&lt;&gt;""),IF(I29&lt;=FechaCorte,DATE(YEAR(I29),MONTH(I29),1),""),"")</f>
        <v/>
      </c>
      <c r="AA29" s="11" t="n">
        <f aca="false">IF(J29="","",IF(DAY(J29+1)=1,1,0))</f>
        <v>1</v>
      </c>
      <c r="AB29" s="11" t="n">
        <f aca="false">IF(AND(U29="Completado",I29&lt;&gt;"",I29=J29),1,0)</f>
        <v>0</v>
      </c>
      <c r="AC29" s="11" t="n">
        <f aca="false">IF(AND(K29&gt;=1,I29&lt;&gt;""),IF(I29&gt;FechaCorte,1,0),0)</f>
        <v>0</v>
      </c>
      <c r="AD29" s="11" t="n">
        <f aca="false">IF(AND(I29&lt;&gt;"",H29&lt;&gt;""),IF(I29&lt;H29,1,0),0)</f>
        <v>0</v>
      </c>
      <c r="AE29" s="11" t="n">
        <f aca="false">IF(OR(F29="Riesgos",F29="Obs. Auditoría"),1,0)</f>
        <v>0</v>
      </c>
      <c r="AF29" s="11" t="str">
        <f aca="false">IFERROR(MID(D29,FIND("PMC-",D29),8),"")</f>
        <v/>
      </c>
      <c r="AG29" s="11" t="n">
        <f aca="false">IF(AND(V29=1,J29&lt;&gt;""),IF(AND(J29&gt;=FechaCorte,J29&lt;=HorizonteExpuestos),1,0),0)</f>
        <v>0</v>
      </c>
    </row>
    <row r="30" customFormat="false" ht="15" hidden="false" customHeight="false" outlineLevel="0" collapsed="false">
      <c r="A30" s="7" t="n">
        <v>29</v>
      </c>
      <c r="B30" s="7" t="n">
        <v>2026</v>
      </c>
      <c r="C30" s="7" t="s">
        <v>87</v>
      </c>
      <c r="D30" s="7" t="s">
        <v>138</v>
      </c>
      <c r="E30" s="7"/>
      <c r="F30" s="7" t="s">
        <v>114</v>
      </c>
      <c r="G30" s="7" t="s">
        <v>75</v>
      </c>
      <c r="H30" s="8" t="n">
        <v>46202</v>
      </c>
      <c r="I30" s="8"/>
      <c r="J30" s="8" t="n">
        <v>46280</v>
      </c>
      <c r="K30" s="9" t="n">
        <v>0.7</v>
      </c>
      <c r="L30" s="14" t="s">
        <v>139</v>
      </c>
      <c r="M30" s="10" t="s">
        <v>76</v>
      </c>
      <c r="N30" s="11" t="str">
        <f aca="false">IFERROR(INDEX(dFrente!$B$2:$B$76,MATCH(C30,dFrente!$A$2:$A$76,0)),"Sin frente")</f>
        <v>SailPoint IGA</v>
      </c>
      <c r="O30" s="11" t="str">
        <f aca="false">IFERROR(INDEX(dNIST!$B$2:$B$13,MATCH(M30,dNIST!$A$2:$A$13,0)),"")</f>
        <v>PR</v>
      </c>
      <c r="P30" s="11" t="str">
        <f aca="false">TRIM(IFERROR(LEFT(G30,FIND(CHAR(10),G30)-1),G30))</f>
        <v>Ana María Vergara</v>
      </c>
      <c r="Q30" s="11" t="n">
        <f aca="false">LEN(TRIM(G30))-LEN(SUBSTITUTE(TRIM(G30),CHAR(10),""))+1</f>
        <v>1</v>
      </c>
      <c r="R30" s="11" t="str">
        <f aca="false">IF(E30&lt;&gt;"","Sí","No")</f>
        <v>No</v>
      </c>
      <c r="S30" s="12" t="n">
        <f aca="false">IF(OR(J30="",H30=""),"",IF(J30&lt;=H30,IF(FechaCorte&gt;=J30,1,0),MAX(0,MIN(1,(FechaCorte-H30)/(J30-H30)))))</f>
        <v>1</v>
      </c>
      <c r="T30" s="12" t="n">
        <f aca="false">IF(S30="","",K30-S30)</f>
        <v>-0.3</v>
      </c>
      <c r="U30" s="11" t="str">
        <f aca="false">IF(R30="Sí","Recurrente",IF(K30&gt;=1,"Completado",IF(AND(J30&lt;&gt;"",J30&lt;FechaCorte),"Vencido",IF(AND(K30=0,OR(H30="",H30&gt;FechaCorte)),"Por iniciar",IF(AND(T30&lt;&gt;"",T30&lt;=UmbralRiesgo),"En riesgo","En plazo")))))</f>
        <v>Vencido</v>
      </c>
      <c r="V30" s="11" t="n">
        <f aca="false">IF(OR(U30="Vencido",U30="En riesgo",U30="En plazo",U30="Por iniciar"),1,0)</f>
        <v>1</v>
      </c>
      <c r="W30" s="11" t="n">
        <f aca="false">IF(U30="Vencido",FechaCorte-J30,"")</f>
        <v>9</v>
      </c>
      <c r="X30" s="11" t="str">
        <f aca="false">IF(AND(V30=1,U30&lt;&gt;"Vencido"),J30-FechaCorte,"")</f>
        <v/>
      </c>
      <c r="Y30" s="13" t="n">
        <f aca="false">IF(J30="","",DATE(YEAR(J30),MONTH(J30),1))</f>
        <v>46266</v>
      </c>
      <c r="Z30" s="13" t="str">
        <f aca="false">IF(AND(U30="Completado",I30&lt;&gt;""),IF(I30&lt;=FechaCorte,DATE(YEAR(I30),MONTH(I30),1),""),"")</f>
        <v/>
      </c>
      <c r="AA30" s="11" t="n">
        <f aca="false">IF(J30="","",IF(DAY(J30+1)=1,1,0))</f>
        <v>0</v>
      </c>
      <c r="AB30" s="11" t="n">
        <f aca="false">IF(AND(U30="Completado",I30&lt;&gt;"",I30=J30),1,0)</f>
        <v>0</v>
      </c>
      <c r="AC30" s="11" t="n">
        <f aca="false">IF(AND(K30&gt;=1,I30&lt;&gt;""),IF(I30&gt;FechaCorte,1,0),0)</f>
        <v>0</v>
      </c>
      <c r="AD30" s="11" t="n">
        <f aca="false">IF(AND(I30&lt;&gt;"",H30&lt;&gt;""),IF(I30&lt;H30,1,0),0)</f>
        <v>0</v>
      </c>
      <c r="AE30" s="11" t="n">
        <f aca="false">IF(OR(F30="Riesgos",F30="Obs. Auditoría"),1,0)</f>
        <v>0</v>
      </c>
      <c r="AF30" s="11" t="str">
        <f aca="false">IFERROR(MID(D30,FIND("PMC-",D30),8),"")</f>
        <v/>
      </c>
      <c r="AG30" s="11" t="n">
        <f aca="false">IF(AND(V30=1,J30&lt;&gt;""),IF(AND(J30&gt;=FechaCorte,J30&lt;=HorizonteExpuestos),1,0),0)</f>
        <v>0</v>
      </c>
    </row>
    <row r="31" customFormat="false" ht="15" hidden="false" customHeight="false" outlineLevel="0" collapsed="false">
      <c r="A31" s="7" t="n">
        <v>30</v>
      </c>
      <c r="B31" s="7" t="n">
        <v>2026</v>
      </c>
      <c r="C31" s="7" t="s">
        <v>87</v>
      </c>
      <c r="D31" s="7" t="s">
        <v>140</v>
      </c>
      <c r="E31" s="7"/>
      <c r="F31" s="7" t="s">
        <v>114</v>
      </c>
      <c r="G31" s="7" t="s">
        <v>75</v>
      </c>
      <c r="H31" s="8" t="n">
        <v>46107</v>
      </c>
      <c r="I31" s="8" t="n">
        <v>46148</v>
      </c>
      <c r="J31" s="8" t="n">
        <v>46148</v>
      </c>
      <c r="K31" s="9" t="n">
        <v>1</v>
      </c>
      <c r="L31" s="14" t="s">
        <v>141</v>
      </c>
      <c r="M31" s="10" t="s">
        <v>76</v>
      </c>
      <c r="N31" s="11" t="str">
        <f aca="false">IFERROR(INDEX(dFrente!$B$2:$B$76,MATCH(C31,dFrente!$A$2:$A$76,0)),"Sin frente")</f>
        <v>SailPoint IGA</v>
      </c>
      <c r="O31" s="11" t="str">
        <f aca="false">IFERROR(INDEX(dNIST!$B$2:$B$13,MATCH(M31,dNIST!$A$2:$A$13,0)),"")</f>
        <v>PR</v>
      </c>
      <c r="P31" s="11" t="str">
        <f aca="false">TRIM(IFERROR(LEFT(G31,FIND(CHAR(10),G31)-1),G31))</f>
        <v>Ana María Vergara</v>
      </c>
      <c r="Q31" s="11" t="n">
        <f aca="false">LEN(TRIM(G31))-LEN(SUBSTITUTE(TRIM(G31),CHAR(10),""))+1</f>
        <v>1</v>
      </c>
      <c r="R31" s="11" t="str">
        <f aca="false">IF(E31&lt;&gt;"","Sí","No")</f>
        <v>No</v>
      </c>
      <c r="S31" s="12" t="n">
        <f aca="false">IF(OR(J31="",H31=""),"",IF(J31&lt;=H31,IF(FechaCorte&gt;=J31,1,0),MAX(0,MIN(1,(FechaCorte-H31)/(J31-H31)))))</f>
        <v>1</v>
      </c>
      <c r="T31" s="12" t="n">
        <f aca="false">IF(S31="","",K31-S31)</f>
        <v>0</v>
      </c>
      <c r="U31" s="11" t="str">
        <f aca="false">IF(R31="Sí","Recurrente",IF(K31&gt;=1,"Completado",IF(AND(J31&lt;&gt;"",J31&lt;FechaCorte),"Vencido",IF(AND(K31=0,OR(H31="",H31&gt;FechaCorte)),"Por iniciar",IF(AND(T31&lt;&gt;"",T31&lt;=UmbralRiesgo),"En riesgo","En plazo")))))</f>
        <v>Completado</v>
      </c>
      <c r="V31" s="11" t="n">
        <f aca="false">IF(OR(U31="Vencido",U31="En riesgo",U31="En plazo",U31="Por iniciar"),1,0)</f>
        <v>0</v>
      </c>
      <c r="W31" s="11" t="str">
        <f aca="false">IF(U31="Vencido",FechaCorte-J31,"")</f>
        <v/>
      </c>
      <c r="X31" s="11" t="str">
        <f aca="false">IF(AND(V31=1,U31&lt;&gt;"Vencido"),J31-FechaCorte,"")</f>
        <v/>
      </c>
      <c r="Y31" s="13" t="n">
        <f aca="false">IF(J31="","",DATE(YEAR(J31),MONTH(J31),1))</f>
        <v>46143</v>
      </c>
      <c r="Z31" s="13" t="n">
        <f aca="false">IF(AND(U31="Completado",I31&lt;&gt;""),IF(I31&lt;=FechaCorte,DATE(YEAR(I31),MONTH(I31),1),""),"")</f>
        <v>46143</v>
      </c>
      <c r="AA31" s="11" t="n">
        <f aca="false">IF(J31="","",IF(DAY(J31+1)=1,1,0))</f>
        <v>0</v>
      </c>
      <c r="AB31" s="11" t="n">
        <f aca="false">IF(AND(U31="Completado",I31&lt;&gt;"",I31=J31),1,0)</f>
        <v>1</v>
      </c>
      <c r="AC31" s="11" t="n">
        <f aca="false">IF(AND(K31&gt;=1,I31&lt;&gt;""),IF(I31&gt;FechaCorte,1,0),0)</f>
        <v>0</v>
      </c>
      <c r="AD31" s="11" t="n">
        <f aca="false">IF(AND(I31&lt;&gt;"",H31&lt;&gt;""),IF(I31&lt;H31,1,0),0)</f>
        <v>0</v>
      </c>
      <c r="AE31" s="11" t="n">
        <f aca="false">IF(OR(F31="Riesgos",F31="Obs. Auditoría"),1,0)</f>
        <v>0</v>
      </c>
      <c r="AF31" s="11" t="str">
        <f aca="false">IFERROR(MID(D31,FIND("PMC-",D31),8),"")</f>
        <v/>
      </c>
      <c r="AG31" s="11" t="n">
        <f aca="false">IF(AND(V31=1,J31&lt;&gt;""),IF(AND(J31&gt;=FechaCorte,J31&lt;=HorizonteExpuestos),1,0),0)</f>
        <v>0</v>
      </c>
    </row>
    <row r="32" customFormat="false" ht="15" hidden="false" customHeight="false" outlineLevel="0" collapsed="false">
      <c r="A32" s="7" t="n">
        <v>31</v>
      </c>
      <c r="B32" s="7" t="n">
        <v>2026</v>
      </c>
      <c r="C32" s="7" t="s">
        <v>87</v>
      </c>
      <c r="D32" s="7" t="s">
        <v>142</v>
      </c>
      <c r="E32" s="7"/>
      <c r="F32" s="7" t="s">
        <v>131</v>
      </c>
      <c r="G32" s="14" t="s">
        <v>143</v>
      </c>
      <c r="H32" s="8" t="n">
        <v>46082</v>
      </c>
      <c r="I32" s="8"/>
      <c r="J32" s="8" t="n">
        <v>46265</v>
      </c>
      <c r="K32" s="9" t="n">
        <v>0.5</v>
      </c>
      <c r="L32" s="7" t="s">
        <v>144</v>
      </c>
      <c r="M32" s="10" t="s">
        <v>76</v>
      </c>
      <c r="N32" s="11" t="str">
        <f aca="false">IFERROR(INDEX(dFrente!$B$2:$B$76,MATCH(C32,dFrente!$A$2:$A$76,0)),"Sin frente")</f>
        <v>SailPoint IGA</v>
      </c>
      <c r="O32" s="11" t="str">
        <f aca="false">IFERROR(INDEX(dNIST!$B$2:$B$13,MATCH(M32,dNIST!$A$2:$A$13,0)),"")</f>
        <v>PR</v>
      </c>
      <c r="P32" s="11" t="str">
        <f aca="false">TRIM(IFERROR(LEFT(G32,FIND(CHAR(10),G32)-1),G32))</f>
        <v>Richard Requelme</v>
      </c>
      <c r="Q32" s="11" t="n">
        <f aca="false">LEN(TRIM(G32))-LEN(SUBSTITUTE(TRIM(G32),CHAR(10),""))+1</f>
        <v>2</v>
      </c>
      <c r="R32" s="11" t="str">
        <f aca="false">IF(E32&lt;&gt;"","Sí","No")</f>
        <v>No</v>
      </c>
      <c r="S32" s="12" t="n">
        <f aca="false">IF(OR(J32="",H32=""),"",IF(J32&lt;=H32,IF(FechaCorte&gt;=J32,1,0),MAX(0,MIN(1,(FechaCorte-H32)/(J32-H32)))))</f>
        <v>1</v>
      </c>
      <c r="T32" s="12" t="n">
        <f aca="false">IF(S32="","",K32-S32)</f>
        <v>-0.5</v>
      </c>
      <c r="U32" s="11" t="str">
        <f aca="false">IF(R32="Sí","Recurrente",IF(K32&gt;=1,"Completado",IF(AND(J32&lt;&gt;"",J32&lt;FechaCorte),"Vencido",IF(AND(K32=0,OR(H32="",H32&gt;FechaCorte)),"Por iniciar",IF(AND(T32&lt;&gt;"",T32&lt;=UmbralRiesgo),"En riesgo","En plazo")))))</f>
        <v>Vencido</v>
      </c>
      <c r="V32" s="11" t="n">
        <f aca="false">IF(OR(U32="Vencido",U32="En riesgo",U32="En plazo",U32="Por iniciar"),1,0)</f>
        <v>1</v>
      </c>
      <c r="W32" s="11" t="n">
        <f aca="false">IF(U32="Vencido",FechaCorte-J32,"")</f>
        <v>24</v>
      </c>
      <c r="X32" s="11" t="str">
        <f aca="false">IF(AND(V32=1,U32&lt;&gt;"Vencido"),J32-FechaCorte,"")</f>
        <v/>
      </c>
      <c r="Y32" s="13" t="n">
        <f aca="false">IF(J32="","",DATE(YEAR(J32),MONTH(J32),1))</f>
        <v>46235</v>
      </c>
      <c r="Z32" s="13" t="str">
        <f aca="false">IF(AND(U32="Completado",I32&lt;&gt;""),IF(I32&lt;=FechaCorte,DATE(YEAR(I32),MONTH(I32),1),""),"")</f>
        <v/>
      </c>
      <c r="AA32" s="11" t="n">
        <f aca="false">IF(J32="","",IF(DAY(J32+1)=1,1,0))</f>
        <v>1</v>
      </c>
      <c r="AB32" s="11" t="n">
        <f aca="false">IF(AND(U32="Completado",I32&lt;&gt;"",I32=J32),1,0)</f>
        <v>0</v>
      </c>
      <c r="AC32" s="11" t="n">
        <f aca="false">IF(AND(K32&gt;=1,I32&lt;&gt;""),IF(I32&gt;FechaCorte,1,0),0)</f>
        <v>0</v>
      </c>
      <c r="AD32" s="11" t="n">
        <f aca="false">IF(AND(I32&lt;&gt;"",H32&lt;&gt;""),IF(I32&lt;H32,1,0),0)</f>
        <v>0</v>
      </c>
      <c r="AE32" s="11" t="n">
        <f aca="false">IF(OR(F32="Riesgos",F32="Obs. Auditoría"),1,0)</f>
        <v>0</v>
      </c>
      <c r="AF32" s="11" t="str">
        <f aca="false">IFERROR(MID(D32,FIND("PMC-",D32),8),"")</f>
        <v/>
      </c>
      <c r="AG32" s="11" t="n">
        <f aca="false">IF(AND(V32=1,J32&lt;&gt;""),IF(AND(J32&gt;=FechaCorte,J32&lt;=HorizonteExpuestos),1,0),0)</f>
        <v>0</v>
      </c>
    </row>
    <row r="33" customFormat="false" ht="15" hidden="false" customHeight="false" outlineLevel="0" collapsed="false">
      <c r="A33" s="7" t="n">
        <v>32</v>
      </c>
      <c r="B33" s="7" t="n">
        <v>2026</v>
      </c>
      <c r="C33" s="7" t="s">
        <v>87</v>
      </c>
      <c r="D33" s="7" t="s">
        <v>145</v>
      </c>
      <c r="E33" s="7"/>
      <c r="F33" s="7" t="s">
        <v>131</v>
      </c>
      <c r="G33" s="14" t="s">
        <v>143</v>
      </c>
      <c r="H33" s="8" t="n">
        <v>46082</v>
      </c>
      <c r="I33" s="8"/>
      <c r="J33" s="8" t="n">
        <v>46265</v>
      </c>
      <c r="K33" s="9" t="n">
        <v>0.5</v>
      </c>
      <c r="L33" s="7" t="s">
        <v>146</v>
      </c>
      <c r="M33" s="10" t="s">
        <v>76</v>
      </c>
      <c r="N33" s="11" t="str">
        <f aca="false">IFERROR(INDEX(dFrente!$B$2:$B$76,MATCH(C33,dFrente!$A$2:$A$76,0)),"Sin frente")</f>
        <v>SailPoint IGA</v>
      </c>
      <c r="O33" s="11" t="str">
        <f aca="false">IFERROR(INDEX(dNIST!$B$2:$B$13,MATCH(M33,dNIST!$A$2:$A$13,0)),"")</f>
        <v>PR</v>
      </c>
      <c r="P33" s="11" t="str">
        <f aca="false">TRIM(IFERROR(LEFT(G33,FIND(CHAR(10),G33)-1),G33))</f>
        <v>Richard Requelme</v>
      </c>
      <c r="Q33" s="11" t="n">
        <f aca="false">LEN(TRIM(G33))-LEN(SUBSTITUTE(TRIM(G33),CHAR(10),""))+1</f>
        <v>2</v>
      </c>
      <c r="R33" s="11" t="str">
        <f aca="false">IF(E33&lt;&gt;"","Sí","No")</f>
        <v>No</v>
      </c>
      <c r="S33" s="12" t="n">
        <f aca="false">IF(OR(J33="",H33=""),"",IF(J33&lt;=H33,IF(FechaCorte&gt;=J33,1,0),MAX(0,MIN(1,(FechaCorte-H33)/(J33-H33)))))</f>
        <v>1</v>
      </c>
      <c r="T33" s="12" t="n">
        <f aca="false">IF(S33="","",K33-S33)</f>
        <v>-0.5</v>
      </c>
      <c r="U33" s="11" t="str">
        <f aca="false">IF(R33="Sí","Recurrente",IF(K33&gt;=1,"Completado",IF(AND(J33&lt;&gt;"",J33&lt;FechaCorte),"Vencido",IF(AND(K33=0,OR(H33="",H33&gt;FechaCorte)),"Por iniciar",IF(AND(T33&lt;&gt;"",T33&lt;=UmbralRiesgo),"En riesgo","En plazo")))))</f>
        <v>Vencido</v>
      </c>
      <c r="V33" s="11" t="n">
        <f aca="false">IF(OR(U33="Vencido",U33="En riesgo",U33="En plazo",U33="Por iniciar"),1,0)</f>
        <v>1</v>
      </c>
      <c r="W33" s="11" t="n">
        <f aca="false">IF(U33="Vencido",FechaCorte-J33,"")</f>
        <v>24</v>
      </c>
      <c r="X33" s="11" t="str">
        <f aca="false">IF(AND(V33=1,U33&lt;&gt;"Vencido"),J33-FechaCorte,"")</f>
        <v/>
      </c>
      <c r="Y33" s="13" t="n">
        <f aca="false">IF(J33="","",DATE(YEAR(J33),MONTH(J33),1))</f>
        <v>46235</v>
      </c>
      <c r="Z33" s="13" t="str">
        <f aca="false">IF(AND(U33="Completado",I33&lt;&gt;""),IF(I33&lt;=FechaCorte,DATE(YEAR(I33),MONTH(I33),1),""),"")</f>
        <v/>
      </c>
      <c r="AA33" s="11" t="n">
        <f aca="false">IF(J33="","",IF(DAY(J33+1)=1,1,0))</f>
        <v>1</v>
      </c>
      <c r="AB33" s="11" t="n">
        <f aca="false">IF(AND(U33="Completado",I33&lt;&gt;"",I33=J33),1,0)</f>
        <v>0</v>
      </c>
      <c r="AC33" s="11" t="n">
        <f aca="false">IF(AND(K33&gt;=1,I33&lt;&gt;""),IF(I33&gt;FechaCorte,1,0),0)</f>
        <v>0</v>
      </c>
      <c r="AD33" s="11" t="n">
        <f aca="false">IF(AND(I33&lt;&gt;"",H33&lt;&gt;""),IF(I33&lt;H33,1,0),0)</f>
        <v>0</v>
      </c>
      <c r="AE33" s="11" t="n">
        <f aca="false">IF(OR(F33="Riesgos",F33="Obs. Auditoría"),1,0)</f>
        <v>0</v>
      </c>
      <c r="AF33" s="11" t="str">
        <f aca="false">IFERROR(MID(D33,FIND("PMC-",D33),8),"")</f>
        <v/>
      </c>
      <c r="AG33" s="11" t="n">
        <f aca="false">IF(AND(V33=1,J33&lt;&gt;""),IF(AND(J33&gt;=FechaCorte,J33&lt;=HorizonteExpuestos),1,0),0)</f>
        <v>0</v>
      </c>
    </row>
    <row r="34" customFormat="false" ht="15" hidden="false" customHeight="false" outlineLevel="0" collapsed="false">
      <c r="A34" s="7" t="n">
        <v>33</v>
      </c>
      <c r="B34" s="7" t="n">
        <v>2026</v>
      </c>
      <c r="C34" s="7" t="s">
        <v>87</v>
      </c>
      <c r="D34" s="14" t="s">
        <v>147</v>
      </c>
      <c r="E34" s="7"/>
      <c r="F34" s="7" t="s">
        <v>131</v>
      </c>
      <c r="G34" s="14" t="s">
        <v>143</v>
      </c>
      <c r="H34" s="8" t="n">
        <v>46082</v>
      </c>
      <c r="I34" s="8" t="n">
        <v>46272</v>
      </c>
      <c r="J34" s="8" t="n">
        <v>46272</v>
      </c>
      <c r="K34" s="9" t="n">
        <v>1</v>
      </c>
      <c r="L34" s="14" t="s">
        <v>148</v>
      </c>
      <c r="M34" s="10" t="s">
        <v>81</v>
      </c>
      <c r="N34" s="11" t="str">
        <f aca="false">IFERROR(INDEX(dFrente!$B$2:$B$76,MATCH(C34,dFrente!$A$2:$A$76,0)),"Sin frente")</f>
        <v>SailPoint IGA</v>
      </c>
      <c r="O34" s="11" t="str">
        <f aca="false">IFERROR(INDEX(dNIST!$B$2:$B$13,MATCH(M34,dNIST!$A$2:$A$13,0)),"")</f>
        <v>PR</v>
      </c>
      <c r="P34" s="11" t="str">
        <f aca="false">TRIM(IFERROR(LEFT(G34,FIND(CHAR(10),G34)-1),G34))</f>
        <v>Richard Requelme</v>
      </c>
      <c r="Q34" s="11" t="n">
        <f aca="false">LEN(TRIM(G34))-LEN(SUBSTITUTE(TRIM(G34),CHAR(10),""))+1</f>
        <v>2</v>
      </c>
      <c r="R34" s="11" t="str">
        <f aca="false">IF(E34&lt;&gt;"","Sí","No")</f>
        <v>No</v>
      </c>
      <c r="S34" s="12" t="n">
        <f aca="false">IF(OR(J34="",H34=""),"",IF(J34&lt;=H34,IF(FechaCorte&gt;=J34,1,0),MAX(0,MIN(1,(FechaCorte-H34)/(J34-H34)))))</f>
        <v>1</v>
      </c>
      <c r="T34" s="12" t="n">
        <f aca="false">IF(S34="","",K34-S34)</f>
        <v>0</v>
      </c>
      <c r="U34" s="11" t="str">
        <f aca="false">IF(R34="Sí","Recurrente",IF(K34&gt;=1,"Completado",IF(AND(J34&lt;&gt;"",J34&lt;FechaCorte),"Vencido",IF(AND(K34=0,OR(H34="",H34&gt;FechaCorte)),"Por iniciar",IF(AND(T34&lt;&gt;"",T34&lt;=UmbralRiesgo),"En riesgo","En plazo")))))</f>
        <v>Completado</v>
      </c>
      <c r="V34" s="11" t="n">
        <f aca="false">IF(OR(U34="Vencido",U34="En riesgo",U34="En plazo",U34="Por iniciar"),1,0)</f>
        <v>0</v>
      </c>
      <c r="W34" s="11" t="str">
        <f aca="false">IF(U34="Vencido",FechaCorte-J34,"")</f>
        <v/>
      </c>
      <c r="X34" s="11" t="str">
        <f aca="false">IF(AND(V34=1,U34&lt;&gt;"Vencido"),J34-FechaCorte,"")</f>
        <v/>
      </c>
      <c r="Y34" s="13" t="n">
        <f aca="false">IF(J34="","",DATE(YEAR(J34),MONTH(J34),1))</f>
        <v>46266</v>
      </c>
      <c r="Z34" s="13" t="n">
        <f aca="false">IF(AND(U34="Completado",I34&lt;&gt;""),IF(I34&lt;=FechaCorte,DATE(YEAR(I34),MONTH(I34),1),""),"")</f>
        <v>46266</v>
      </c>
      <c r="AA34" s="11" t="n">
        <f aca="false">IF(J34="","",IF(DAY(J34+1)=1,1,0))</f>
        <v>0</v>
      </c>
      <c r="AB34" s="11" t="n">
        <f aca="false">IF(AND(U34="Completado",I34&lt;&gt;"",I34=J34),1,0)</f>
        <v>1</v>
      </c>
      <c r="AC34" s="11" t="n">
        <f aca="false">IF(AND(K34&gt;=1,I34&lt;&gt;""),IF(I34&gt;FechaCorte,1,0),0)</f>
        <v>0</v>
      </c>
      <c r="AD34" s="11" t="n">
        <f aca="false">IF(AND(I34&lt;&gt;"",H34&lt;&gt;""),IF(I34&lt;H34,1,0),0)</f>
        <v>0</v>
      </c>
      <c r="AE34" s="11" t="n">
        <f aca="false">IF(OR(F34="Riesgos",F34="Obs. Auditoría"),1,0)</f>
        <v>0</v>
      </c>
      <c r="AF34" s="11" t="str">
        <f aca="false">IFERROR(MID(D34,FIND("PMC-",D34),8),"")</f>
        <v/>
      </c>
      <c r="AG34" s="11" t="n">
        <f aca="false">IF(AND(V34=1,J34&lt;&gt;""),IF(AND(J34&gt;=FechaCorte,J34&lt;=HorizonteExpuestos),1,0),0)</f>
        <v>0</v>
      </c>
    </row>
    <row r="35" customFormat="false" ht="15" hidden="false" customHeight="false" outlineLevel="0" collapsed="false">
      <c r="A35" s="7" t="n">
        <v>34</v>
      </c>
      <c r="B35" s="7" t="n">
        <v>2026</v>
      </c>
      <c r="C35" s="7" t="s">
        <v>149</v>
      </c>
      <c r="D35" s="7" t="s">
        <v>150</v>
      </c>
      <c r="E35" s="7"/>
      <c r="F35" s="7" t="s">
        <v>131</v>
      </c>
      <c r="G35" s="14" t="s">
        <v>143</v>
      </c>
      <c r="H35" s="8" t="n">
        <v>46235</v>
      </c>
      <c r="I35" s="8" t="n">
        <v>46265</v>
      </c>
      <c r="J35" s="8" t="n">
        <v>46265</v>
      </c>
      <c r="K35" s="9" t="n">
        <v>1</v>
      </c>
      <c r="L35" s="7"/>
      <c r="M35" s="10" t="s">
        <v>81</v>
      </c>
      <c r="N35" s="11" t="str">
        <f aca="false">IFERROR(INDEX(dFrente!$B$2:$B$76,MATCH(C35,dFrente!$A$2:$A$76,0)),"Sin frente")</f>
        <v>Certificación de accesos</v>
      </c>
      <c r="O35" s="11" t="str">
        <f aca="false">IFERROR(INDEX(dNIST!$B$2:$B$13,MATCH(M35,dNIST!$A$2:$A$13,0)),"")</f>
        <v>PR</v>
      </c>
      <c r="P35" s="11" t="str">
        <f aca="false">TRIM(IFERROR(LEFT(G35,FIND(CHAR(10),G35)-1),G35))</f>
        <v>Richard Requelme</v>
      </c>
      <c r="Q35" s="11" t="n">
        <f aca="false">LEN(TRIM(G35))-LEN(SUBSTITUTE(TRIM(G35),CHAR(10),""))+1</f>
        <v>2</v>
      </c>
      <c r="R35" s="11" t="str">
        <f aca="false">IF(E35&lt;&gt;"","Sí","No")</f>
        <v>No</v>
      </c>
      <c r="S35" s="12" t="n">
        <f aca="false">IF(OR(J35="",H35=""),"",IF(J35&lt;=H35,IF(FechaCorte&gt;=J35,1,0),MAX(0,MIN(1,(FechaCorte-H35)/(J35-H35)))))</f>
        <v>1</v>
      </c>
      <c r="T35" s="12" t="n">
        <f aca="false">IF(S35="","",K35-S35)</f>
        <v>0</v>
      </c>
      <c r="U35" s="11" t="str">
        <f aca="false">IF(R35="Sí","Recurrente",IF(K35&gt;=1,"Completado",IF(AND(J35&lt;&gt;"",J35&lt;FechaCorte),"Vencido",IF(AND(K35=0,OR(H35="",H35&gt;FechaCorte)),"Por iniciar",IF(AND(T35&lt;&gt;"",T35&lt;=UmbralRiesgo),"En riesgo","En plazo")))))</f>
        <v>Completado</v>
      </c>
      <c r="V35" s="11" t="n">
        <f aca="false">IF(OR(U35="Vencido",U35="En riesgo",U35="En plazo",U35="Por iniciar"),1,0)</f>
        <v>0</v>
      </c>
      <c r="W35" s="11" t="str">
        <f aca="false">IF(U35="Vencido",FechaCorte-J35,"")</f>
        <v/>
      </c>
      <c r="X35" s="11" t="str">
        <f aca="false">IF(AND(V35=1,U35&lt;&gt;"Vencido"),J35-FechaCorte,"")</f>
        <v/>
      </c>
      <c r="Y35" s="13" t="n">
        <f aca="false">IF(J35="","",DATE(YEAR(J35),MONTH(J35),1))</f>
        <v>46235</v>
      </c>
      <c r="Z35" s="13" t="n">
        <f aca="false">IF(AND(U35="Completado",I35&lt;&gt;""),IF(I35&lt;=FechaCorte,DATE(YEAR(I35),MONTH(I35),1),""),"")</f>
        <v>46235</v>
      </c>
      <c r="AA35" s="11" t="n">
        <f aca="false">IF(J35="","",IF(DAY(J35+1)=1,1,0))</f>
        <v>1</v>
      </c>
      <c r="AB35" s="11" t="n">
        <f aca="false">IF(AND(U35="Completado",I35&lt;&gt;"",I35=J35),1,0)</f>
        <v>1</v>
      </c>
      <c r="AC35" s="11" t="n">
        <f aca="false">IF(AND(K35&gt;=1,I35&lt;&gt;""),IF(I35&gt;FechaCorte,1,0),0)</f>
        <v>0</v>
      </c>
      <c r="AD35" s="11" t="n">
        <f aca="false">IF(AND(I35&lt;&gt;"",H35&lt;&gt;""),IF(I35&lt;H35,1,0),0)</f>
        <v>0</v>
      </c>
      <c r="AE35" s="11" t="n">
        <f aca="false">IF(OR(F35="Riesgos",F35="Obs. Auditoría"),1,0)</f>
        <v>0</v>
      </c>
      <c r="AF35" s="11" t="str">
        <f aca="false">IFERROR(MID(D35,FIND("PMC-",D35),8),"")</f>
        <v/>
      </c>
      <c r="AG35" s="11" t="n">
        <f aca="false">IF(AND(V35=1,J35&lt;&gt;""),IF(AND(J35&gt;=FechaCorte,J35&lt;=HorizonteExpuestos),1,0),0)</f>
        <v>0</v>
      </c>
    </row>
    <row r="36" customFormat="false" ht="15" hidden="false" customHeight="false" outlineLevel="0" collapsed="false">
      <c r="A36" s="7" t="n">
        <v>35</v>
      </c>
      <c r="B36" s="7" t="n">
        <v>2026</v>
      </c>
      <c r="C36" s="7" t="s">
        <v>87</v>
      </c>
      <c r="D36" s="7" t="s">
        <v>151</v>
      </c>
      <c r="E36" s="7"/>
      <c r="F36" s="7" t="s">
        <v>131</v>
      </c>
      <c r="G36" s="7" t="s">
        <v>84</v>
      </c>
      <c r="H36" s="8" t="n">
        <v>46082</v>
      </c>
      <c r="I36" s="8"/>
      <c r="J36" s="8" t="n">
        <v>46325</v>
      </c>
      <c r="K36" s="9" t="n">
        <v>0.1</v>
      </c>
      <c r="L36" s="7" t="s">
        <v>152</v>
      </c>
      <c r="M36" s="10" t="s">
        <v>76</v>
      </c>
      <c r="N36" s="11" t="str">
        <f aca="false">IFERROR(INDEX(dFrente!$B$2:$B$76,MATCH(C36,dFrente!$A$2:$A$76,0)),"Sin frente")</f>
        <v>SailPoint IGA</v>
      </c>
      <c r="O36" s="11" t="str">
        <f aca="false">IFERROR(INDEX(dNIST!$B$2:$B$13,MATCH(M36,dNIST!$A$2:$A$13,0)),"")</f>
        <v>PR</v>
      </c>
      <c r="P36" s="11" t="str">
        <f aca="false">TRIM(IFERROR(LEFT(G36,FIND(CHAR(10),G36)-1),G36))</f>
        <v>Richard Requelme</v>
      </c>
      <c r="Q36" s="11" t="n">
        <f aca="false">LEN(TRIM(G36))-LEN(SUBSTITUTE(TRIM(G36),CHAR(10),""))+1</f>
        <v>1</v>
      </c>
      <c r="R36" s="11" t="str">
        <f aca="false">IF(E36&lt;&gt;"","Sí","No")</f>
        <v>No</v>
      </c>
      <c r="S36" s="12" t="n">
        <f aca="false">IF(OR(J36="",H36=""),"",IF(J36&lt;=H36,IF(FechaCorte&gt;=J36,1,0),MAX(0,MIN(1,(FechaCorte-H36)/(J36-H36)))))</f>
        <v>0.851851851851852</v>
      </c>
      <c r="T36" s="12" t="n">
        <f aca="false">IF(S36="","",K36-S36)</f>
        <v>-0.751851851851852</v>
      </c>
      <c r="U36" s="11" t="str">
        <f aca="false">IF(R36="Sí","Recurrente",IF(K36&gt;=1,"Completado",IF(AND(J36&lt;&gt;"",J36&lt;FechaCorte),"Vencido",IF(AND(K36=0,OR(H36="",H36&gt;FechaCorte)),"Por iniciar",IF(AND(T36&lt;&gt;"",T36&lt;=UmbralRiesgo),"En riesgo","En plazo")))))</f>
        <v>En riesgo</v>
      </c>
      <c r="V36" s="11" t="n">
        <f aca="false">IF(OR(U36="Vencido",U36="En riesgo",U36="En plazo",U36="Por iniciar"),1,0)</f>
        <v>1</v>
      </c>
      <c r="W36" s="11" t="str">
        <f aca="false">IF(U36="Vencido",FechaCorte-J36,"")</f>
        <v/>
      </c>
      <c r="X36" s="11" t="n">
        <f aca="false">IF(AND(V36=1,U36&lt;&gt;"Vencido"),J36-FechaCorte,"")</f>
        <v>36</v>
      </c>
      <c r="Y36" s="13" t="n">
        <f aca="false">IF(J36="","",DATE(YEAR(J36),MONTH(J36),1))</f>
        <v>46296</v>
      </c>
      <c r="Z36" s="13" t="str">
        <f aca="false">IF(AND(U36="Completado",I36&lt;&gt;""),IF(I36&lt;=FechaCorte,DATE(YEAR(I36),MONTH(I36),1),""),"")</f>
        <v/>
      </c>
      <c r="AA36" s="11" t="n">
        <f aca="false">IF(J36="","",IF(DAY(J36+1)=1,1,0))</f>
        <v>0</v>
      </c>
      <c r="AB36" s="11" t="n">
        <f aca="false">IF(AND(U36="Completado",I36&lt;&gt;"",I36=J36),1,0)</f>
        <v>0</v>
      </c>
      <c r="AC36" s="11" t="n">
        <f aca="false">IF(AND(K36&gt;=1,I36&lt;&gt;""),IF(I36&gt;FechaCorte,1,0),0)</f>
        <v>0</v>
      </c>
      <c r="AD36" s="11" t="n">
        <f aca="false">IF(AND(I36&lt;&gt;"",H36&lt;&gt;""),IF(I36&lt;H36,1,0),0)</f>
        <v>0</v>
      </c>
      <c r="AE36" s="11" t="n">
        <f aca="false">IF(OR(F36="Riesgos",F36="Obs. Auditoría"),1,0)</f>
        <v>0</v>
      </c>
      <c r="AF36" s="11" t="str">
        <f aca="false">IFERROR(MID(D36,FIND("PMC-",D36),8),"")</f>
        <v/>
      </c>
      <c r="AG36" s="11" t="n">
        <f aca="false">IF(AND(V36=1,J36&lt;&gt;""),IF(AND(J36&gt;=FechaCorte,J36&lt;=HorizonteExpuestos),1,0),0)</f>
        <v>0</v>
      </c>
    </row>
    <row r="37" customFormat="false" ht="15" hidden="false" customHeight="false" outlineLevel="0" collapsed="false">
      <c r="A37" s="7" t="n">
        <v>36</v>
      </c>
      <c r="B37" s="7" t="n">
        <v>2026</v>
      </c>
      <c r="C37" s="7" t="s">
        <v>87</v>
      </c>
      <c r="D37" s="7" t="s">
        <v>153</v>
      </c>
      <c r="E37" s="7"/>
      <c r="F37" s="7" t="s">
        <v>131</v>
      </c>
      <c r="G37" s="14" t="s">
        <v>143</v>
      </c>
      <c r="H37" s="8" t="n">
        <v>46082</v>
      </c>
      <c r="I37" s="8"/>
      <c r="J37" s="8" t="n">
        <v>46295</v>
      </c>
      <c r="K37" s="9" t="n">
        <v>0.1</v>
      </c>
      <c r="L37" s="7" t="s">
        <v>152</v>
      </c>
      <c r="M37" s="10" t="s">
        <v>76</v>
      </c>
      <c r="N37" s="11" t="str">
        <f aca="false">IFERROR(INDEX(dFrente!$B$2:$B$76,MATCH(C37,dFrente!$A$2:$A$76,0)),"Sin frente")</f>
        <v>SailPoint IGA</v>
      </c>
      <c r="O37" s="11" t="str">
        <f aca="false">IFERROR(INDEX(dNIST!$B$2:$B$13,MATCH(M37,dNIST!$A$2:$A$13,0)),"")</f>
        <v>PR</v>
      </c>
      <c r="P37" s="11" t="str">
        <f aca="false">TRIM(IFERROR(LEFT(G37,FIND(CHAR(10),G37)-1),G37))</f>
        <v>Richard Requelme</v>
      </c>
      <c r="Q37" s="11" t="n">
        <f aca="false">LEN(TRIM(G37))-LEN(SUBSTITUTE(TRIM(G37),CHAR(10),""))+1</f>
        <v>2</v>
      </c>
      <c r="R37" s="11" t="str">
        <f aca="false">IF(E37&lt;&gt;"","Sí","No")</f>
        <v>No</v>
      </c>
      <c r="S37" s="12" t="n">
        <f aca="false">IF(OR(J37="",H37=""),"",IF(J37&lt;=H37,IF(FechaCorte&gt;=J37,1,0),MAX(0,MIN(1,(FechaCorte-H37)/(J37-H37)))))</f>
        <v>0.971830985915493</v>
      </c>
      <c r="T37" s="12" t="n">
        <f aca="false">IF(S37="","",K37-S37)</f>
        <v>-0.871830985915493</v>
      </c>
      <c r="U37" s="11" t="str">
        <f aca="false">IF(R37="Sí","Recurrente",IF(K37&gt;=1,"Completado",IF(AND(J37&lt;&gt;"",J37&lt;FechaCorte),"Vencido",IF(AND(K37=0,OR(H37="",H37&gt;FechaCorte)),"Por iniciar",IF(AND(T37&lt;&gt;"",T37&lt;=UmbralRiesgo),"En riesgo","En plazo")))))</f>
        <v>En riesgo</v>
      </c>
      <c r="V37" s="11" t="n">
        <f aca="false">IF(OR(U37="Vencido",U37="En riesgo",U37="En plazo",U37="Por iniciar"),1,0)</f>
        <v>1</v>
      </c>
      <c r="W37" s="11" t="str">
        <f aca="false">IF(U37="Vencido",FechaCorte-J37,"")</f>
        <v/>
      </c>
      <c r="X37" s="11" t="n">
        <f aca="false">IF(AND(V37=1,U37&lt;&gt;"Vencido"),J37-FechaCorte,"")</f>
        <v>6</v>
      </c>
      <c r="Y37" s="13" t="n">
        <f aca="false">IF(J37="","",DATE(YEAR(J37),MONTH(J37),1))</f>
        <v>46266</v>
      </c>
      <c r="Z37" s="13" t="str">
        <f aca="false">IF(AND(U37="Completado",I37&lt;&gt;""),IF(I37&lt;=FechaCorte,DATE(YEAR(I37),MONTH(I37),1),""),"")</f>
        <v/>
      </c>
      <c r="AA37" s="11" t="n">
        <f aca="false">IF(J37="","",IF(DAY(J37+1)=1,1,0))</f>
        <v>1</v>
      </c>
      <c r="AB37" s="11" t="n">
        <f aca="false">IF(AND(U37="Completado",I37&lt;&gt;"",I37=J37),1,0)</f>
        <v>0</v>
      </c>
      <c r="AC37" s="11" t="n">
        <f aca="false">IF(AND(K37&gt;=1,I37&lt;&gt;""),IF(I37&gt;FechaCorte,1,0),0)</f>
        <v>0</v>
      </c>
      <c r="AD37" s="11" t="n">
        <f aca="false">IF(AND(I37&lt;&gt;"",H37&lt;&gt;""),IF(I37&lt;H37,1,0),0)</f>
        <v>0</v>
      </c>
      <c r="AE37" s="11" t="n">
        <f aca="false">IF(OR(F37="Riesgos",F37="Obs. Auditoría"),1,0)</f>
        <v>0</v>
      </c>
      <c r="AF37" s="11" t="str">
        <f aca="false">IFERROR(MID(D37,FIND("PMC-",D37),8),"")</f>
        <v/>
      </c>
      <c r="AG37" s="11" t="n">
        <f aca="false">IF(AND(V37=1,J37&lt;&gt;""),IF(AND(J37&gt;=FechaCorte,J37&lt;=HorizonteExpuestos),1,0),0)</f>
        <v>1</v>
      </c>
    </row>
    <row r="38" customFormat="false" ht="15" hidden="false" customHeight="false" outlineLevel="0" collapsed="false">
      <c r="A38" s="7" t="n">
        <v>37</v>
      </c>
      <c r="B38" s="7" t="n">
        <v>2026</v>
      </c>
      <c r="C38" s="7" t="s">
        <v>154</v>
      </c>
      <c r="D38" s="7" t="s">
        <v>155</v>
      </c>
      <c r="E38" s="7"/>
      <c r="F38" s="7" t="s">
        <v>131</v>
      </c>
      <c r="G38" s="7" t="s">
        <v>91</v>
      </c>
      <c r="H38" s="8" t="n">
        <v>46211</v>
      </c>
      <c r="I38" s="8"/>
      <c r="J38" s="8" t="n">
        <v>46233</v>
      </c>
      <c r="K38" s="9" t="n">
        <v>0.5</v>
      </c>
      <c r="L38" s="7" t="s">
        <v>156</v>
      </c>
      <c r="M38" s="10" t="s">
        <v>81</v>
      </c>
      <c r="N38" s="11" t="str">
        <f aca="false">IFERROR(INDEX(dFrente!$B$2:$B$76,MATCH(C38,dFrente!$A$2:$A$76,0)),"Sin frente")</f>
        <v>Aplicaciones y roles</v>
      </c>
      <c r="O38" s="11" t="str">
        <f aca="false">IFERROR(INDEX(dNIST!$B$2:$B$13,MATCH(M38,dNIST!$A$2:$A$13,0)),"")</f>
        <v>PR</v>
      </c>
      <c r="P38" s="11" t="str">
        <f aca="false">TRIM(IFERROR(LEFT(G38,FIND(CHAR(10),G38)-1),G38))</f>
        <v>Jhonny Barreiro</v>
      </c>
      <c r="Q38" s="11" t="n">
        <f aca="false">LEN(TRIM(G38))-LEN(SUBSTITUTE(TRIM(G38),CHAR(10),""))+1</f>
        <v>1</v>
      </c>
      <c r="R38" s="11" t="str">
        <f aca="false">IF(E38&lt;&gt;"","Sí","No")</f>
        <v>No</v>
      </c>
      <c r="S38" s="12" t="n">
        <f aca="false">IF(OR(J38="",H38=""),"",IF(J38&lt;=H38,IF(FechaCorte&gt;=J38,1,0),MAX(0,MIN(1,(FechaCorte-H38)/(J38-H38)))))</f>
        <v>1</v>
      </c>
      <c r="T38" s="12" t="n">
        <f aca="false">IF(S38="","",K38-S38)</f>
        <v>-0.5</v>
      </c>
      <c r="U38" s="11" t="str">
        <f aca="false">IF(R38="Sí","Recurrente",IF(K38&gt;=1,"Completado",IF(AND(J38&lt;&gt;"",J38&lt;FechaCorte),"Vencido",IF(AND(K38=0,OR(H38="",H38&gt;FechaCorte)),"Por iniciar",IF(AND(T38&lt;&gt;"",T38&lt;=UmbralRiesgo),"En riesgo","En plazo")))))</f>
        <v>Vencido</v>
      </c>
      <c r="V38" s="11" t="n">
        <f aca="false">IF(OR(U38="Vencido",U38="En riesgo",U38="En plazo",U38="Por iniciar"),1,0)</f>
        <v>1</v>
      </c>
      <c r="W38" s="11" t="n">
        <f aca="false">IF(U38="Vencido",FechaCorte-J38,"")</f>
        <v>56</v>
      </c>
      <c r="X38" s="11" t="str">
        <f aca="false">IF(AND(V38=1,U38&lt;&gt;"Vencido"),J38-FechaCorte,"")</f>
        <v/>
      </c>
      <c r="Y38" s="13" t="n">
        <f aca="false">IF(J38="","",DATE(YEAR(J38),MONTH(J38),1))</f>
        <v>46204</v>
      </c>
      <c r="Z38" s="13" t="str">
        <f aca="false">IF(AND(U38="Completado",I38&lt;&gt;""),IF(I38&lt;=FechaCorte,DATE(YEAR(I38),MONTH(I38),1),""),"")</f>
        <v/>
      </c>
      <c r="AA38" s="11" t="n">
        <f aca="false">IF(J38="","",IF(DAY(J38+1)=1,1,0))</f>
        <v>0</v>
      </c>
      <c r="AB38" s="11" t="n">
        <f aca="false">IF(AND(U38="Completado",I38&lt;&gt;"",I38=J38),1,0)</f>
        <v>0</v>
      </c>
      <c r="AC38" s="11" t="n">
        <f aca="false">IF(AND(K38&gt;=1,I38&lt;&gt;""),IF(I38&gt;FechaCorte,1,0),0)</f>
        <v>0</v>
      </c>
      <c r="AD38" s="11" t="n">
        <f aca="false">IF(AND(I38&lt;&gt;"",H38&lt;&gt;""),IF(I38&lt;H38,1,0),0)</f>
        <v>0</v>
      </c>
      <c r="AE38" s="11" t="n">
        <f aca="false">IF(OR(F38="Riesgos",F38="Obs. Auditoría"),1,0)</f>
        <v>0</v>
      </c>
      <c r="AF38" s="11" t="str">
        <f aca="false">IFERROR(MID(D38,FIND("PMC-",D38),8),"")</f>
        <v/>
      </c>
      <c r="AG38" s="11" t="n">
        <f aca="false">IF(AND(V38=1,J38&lt;&gt;""),IF(AND(J38&gt;=FechaCorte,J38&lt;=HorizonteExpuestos),1,0),0)</f>
        <v>0</v>
      </c>
    </row>
    <row r="39" customFormat="false" ht="15" hidden="false" customHeight="false" outlineLevel="0" collapsed="false">
      <c r="A39" s="7" t="n">
        <v>38</v>
      </c>
      <c r="B39" s="7" t="n">
        <v>2026</v>
      </c>
      <c r="C39" s="7" t="s">
        <v>154</v>
      </c>
      <c r="D39" s="7" t="s">
        <v>157</v>
      </c>
      <c r="E39" s="7"/>
      <c r="F39" s="7" t="s">
        <v>131</v>
      </c>
      <c r="G39" s="7" t="s">
        <v>91</v>
      </c>
      <c r="H39" s="8" t="n">
        <v>46211</v>
      </c>
      <c r="I39" s="8"/>
      <c r="J39" s="8" t="n">
        <v>46233</v>
      </c>
      <c r="K39" s="9" t="n">
        <v>0.75</v>
      </c>
      <c r="L39" s="7" t="s">
        <v>158</v>
      </c>
      <c r="M39" s="10" t="s">
        <v>81</v>
      </c>
      <c r="N39" s="11" t="str">
        <f aca="false">IFERROR(INDEX(dFrente!$B$2:$B$76,MATCH(C39,dFrente!$A$2:$A$76,0)),"Sin frente")</f>
        <v>Aplicaciones y roles</v>
      </c>
      <c r="O39" s="11" t="str">
        <f aca="false">IFERROR(INDEX(dNIST!$B$2:$B$13,MATCH(M39,dNIST!$A$2:$A$13,0)),"")</f>
        <v>PR</v>
      </c>
      <c r="P39" s="11" t="str">
        <f aca="false">TRIM(IFERROR(LEFT(G39,FIND(CHAR(10),G39)-1),G39))</f>
        <v>Jhonny Barreiro</v>
      </c>
      <c r="Q39" s="11" t="n">
        <f aca="false">LEN(TRIM(G39))-LEN(SUBSTITUTE(TRIM(G39),CHAR(10),""))+1</f>
        <v>1</v>
      </c>
      <c r="R39" s="11" t="str">
        <f aca="false">IF(E39&lt;&gt;"","Sí","No")</f>
        <v>No</v>
      </c>
      <c r="S39" s="12" t="n">
        <f aca="false">IF(OR(J39="",H39=""),"",IF(J39&lt;=H39,IF(FechaCorte&gt;=J39,1,0),MAX(0,MIN(1,(FechaCorte-H39)/(J39-H39)))))</f>
        <v>1</v>
      </c>
      <c r="T39" s="12" t="n">
        <f aca="false">IF(S39="","",K39-S39)</f>
        <v>-0.25</v>
      </c>
      <c r="U39" s="11" t="str">
        <f aca="false">IF(R39="Sí","Recurrente",IF(K39&gt;=1,"Completado",IF(AND(J39&lt;&gt;"",J39&lt;FechaCorte),"Vencido",IF(AND(K39=0,OR(H39="",H39&gt;FechaCorte)),"Por iniciar",IF(AND(T39&lt;&gt;"",T39&lt;=UmbralRiesgo),"En riesgo","En plazo")))))</f>
        <v>Vencido</v>
      </c>
      <c r="V39" s="11" t="n">
        <f aca="false">IF(OR(U39="Vencido",U39="En riesgo",U39="En plazo",U39="Por iniciar"),1,0)</f>
        <v>1</v>
      </c>
      <c r="W39" s="11" t="n">
        <f aca="false">IF(U39="Vencido",FechaCorte-J39,"")</f>
        <v>56</v>
      </c>
      <c r="X39" s="11" t="str">
        <f aca="false">IF(AND(V39=1,U39&lt;&gt;"Vencido"),J39-FechaCorte,"")</f>
        <v/>
      </c>
      <c r="Y39" s="13" t="n">
        <f aca="false">IF(J39="","",DATE(YEAR(J39),MONTH(J39),1))</f>
        <v>46204</v>
      </c>
      <c r="Z39" s="13" t="str">
        <f aca="false">IF(AND(U39="Completado",I39&lt;&gt;""),IF(I39&lt;=FechaCorte,DATE(YEAR(I39),MONTH(I39),1),""),"")</f>
        <v/>
      </c>
      <c r="AA39" s="11" t="n">
        <f aca="false">IF(J39="","",IF(DAY(J39+1)=1,1,0))</f>
        <v>0</v>
      </c>
      <c r="AB39" s="11" t="n">
        <f aca="false">IF(AND(U39="Completado",I39&lt;&gt;"",I39=J39),1,0)</f>
        <v>0</v>
      </c>
      <c r="AC39" s="11" t="n">
        <f aca="false">IF(AND(K39&gt;=1,I39&lt;&gt;""),IF(I39&gt;FechaCorte,1,0),0)</f>
        <v>0</v>
      </c>
      <c r="AD39" s="11" t="n">
        <f aca="false">IF(AND(I39&lt;&gt;"",H39&lt;&gt;""),IF(I39&lt;H39,1,0),0)</f>
        <v>0</v>
      </c>
      <c r="AE39" s="11" t="n">
        <f aca="false">IF(OR(F39="Riesgos",F39="Obs. Auditoría"),1,0)</f>
        <v>0</v>
      </c>
      <c r="AF39" s="11" t="str">
        <f aca="false">IFERROR(MID(D39,FIND("PMC-",D39),8),"")</f>
        <v/>
      </c>
      <c r="AG39" s="11" t="n">
        <f aca="false">IF(AND(V39=1,J39&lt;&gt;""),IF(AND(J39&gt;=FechaCorte,J39&lt;=HorizonteExpuestos),1,0),0)</f>
        <v>0</v>
      </c>
    </row>
    <row r="40" customFormat="false" ht="15" hidden="false" customHeight="false" outlineLevel="0" collapsed="false">
      <c r="A40" s="7" t="n">
        <v>39</v>
      </c>
      <c r="B40" s="7" t="n">
        <v>2026</v>
      </c>
      <c r="C40" s="7" t="s">
        <v>159</v>
      </c>
      <c r="D40" s="7" t="s">
        <v>160</v>
      </c>
      <c r="E40" s="7"/>
      <c r="F40" s="7" t="s">
        <v>74</v>
      </c>
      <c r="G40" s="14" t="s">
        <v>143</v>
      </c>
      <c r="H40" s="8" t="n">
        <v>46163</v>
      </c>
      <c r="I40" s="8" t="n">
        <v>46203</v>
      </c>
      <c r="J40" s="8" t="n">
        <v>46203</v>
      </c>
      <c r="K40" s="9" t="n">
        <v>1</v>
      </c>
      <c r="L40" s="7" t="s">
        <v>161</v>
      </c>
      <c r="M40" s="10" t="s">
        <v>81</v>
      </c>
      <c r="N40" s="11" t="str">
        <f aca="false">IFERROR(INDEX(dFrente!$B$2:$B$76,MATCH(C40,dFrente!$A$2:$A$76,0)),"Sin frente")</f>
        <v>Aplicaciones y roles</v>
      </c>
      <c r="O40" s="11" t="str">
        <f aca="false">IFERROR(INDEX(dNIST!$B$2:$B$13,MATCH(M40,dNIST!$A$2:$A$13,0)),"")</f>
        <v>PR</v>
      </c>
      <c r="P40" s="11" t="str">
        <f aca="false">TRIM(IFERROR(LEFT(G40,FIND(CHAR(10),G40)-1),G40))</f>
        <v>Richard Requelme</v>
      </c>
      <c r="Q40" s="11" t="n">
        <f aca="false">LEN(TRIM(G40))-LEN(SUBSTITUTE(TRIM(G40),CHAR(10),""))+1</f>
        <v>2</v>
      </c>
      <c r="R40" s="11" t="str">
        <f aca="false">IF(E40&lt;&gt;"","Sí","No")</f>
        <v>No</v>
      </c>
      <c r="S40" s="12" t="n">
        <f aca="false">IF(OR(J40="",H40=""),"",IF(J40&lt;=H40,IF(FechaCorte&gt;=J40,1,0),MAX(0,MIN(1,(FechaCorte-H40)/(J40-H40)))))</f>
        <v>1</v>
      </c>
      <c r="T40" s="12" t="n">
        <f aca="false">IF(S40="","",K40-S40)</f>
        <v>0</v>
      </c>
      <c r="U40" s="11" t="str">
        <f aca="false">IF(R40="Sí","Recurrente",IF(K40&gt;=1,"Completado",IF(AND(J40&lt;&gt;"",J40&lt;FechaCorte),"Vencido",IF(AND(K40=0,OR(H40="",H40&gt;FechaCorte)),"Por iniciar",IF(AND(T40&lt;&gt;"",T40&lt;=UmbralRiesgo),"En riesgo","En plazo")))))</f>
        <v>Completado</v>
      </c>
      <c r="V40" s="11" t="n">
        <f aca="false">IF(OR(U40="Vencido",U40="En riesgo",U40="En plazo",U40="Por iniciar"),1,0)</f>
        <v>0</v>
      </c>
      <c r="W40" s="11" t="str">
        <f aca="false">IF(U40="Vencido",FechaCorte-J40,"")</f>
        <v/>
      </c>
      <c r="X40" s="11" t="str">
        <f aca="false">IF(AND(V40=1,U40&lt;&gt;"Vencido"),J40-FechaCorte,"")</f>
        <v/>
      </c>
      <c r="Y40" s="13" t="n">
        <f aca="false">IF(J40="","",DATE(YEAR(J40),MONTH(J40),1))</f>
        <v>46174</v>
      </c>
      <c r="Z40" s="13" t="n">
        <f aca="false">IF(AND(U40="Completado",I40&lt;&gt;""),IF(I40&lt;=FechaCorte,DATE(YEAR(I40),MONTH(I40),1),""),"")</f>
        <v>46174</v>
      </c>
      <c r="AA40" s="11" t="n">
        <f aca="false">IF(J40="","",IF(DAY(J40+1)=1,1,0))</f>
        <v>1</v>
      </c>
      <c r="AB40" s="11" t="n">
        <f aca="false">IF(AND(U40="Completado",I40&lt;&gt;"",I40=J40),1,0)</f>
        <v>1</v>
      </c>
      <c r="AC40" s="11" t="n">
        <f aca="false">IF(AND(K40&gt;=1,I40&lt;&gt;""),IF(I40&gt;FechaCorte,1,0),0)</f>
        <v>0</v>
      </c>
      <c r="AD40" s="11" t="n">
        <f aca="false">IF(AND(I40&lt;&gt;"",H40&lt;&gt;""),IF(I40&lt;H40,1,0),0)</f>
        <v>0</v>
      </c>
      <c r="AE40" s="11" t="n">
        <f aca="false">IF(OR(F40="Riesgos",F40="Obs. Auditoría"),1,0)</f>
        <v>0</v>
      </c>
      <c r="AF40" s="11" t="str">
        <f aca="false">IFERROR(MID(D40,FIND("PMC-",D40),8),"")</f>
        <v/>
      </c>
      <c r="AG40" s="11" t="n">
        <f aca="false">IF(AND(V40=1,J40&lt;&gt;""),IF(AND(J40&gt;=FechaCorte,J40&lt;=HorizonteExpuestos),1,0),0)</f>
        <v>0</v>
      </c>
    </row>
    <row r="41" customFormat="false" ht="15" hidden="false" customHeight="false" outlineLevel="0" collapsed="false">
      <c r="A41" s="7" t="n">
        <v>40</v>
      </c>
      <c r="B41" s="7" t="n">
        <v>2026</v>
      </c>
      <c r="C41" s="7" t="s">
        <v>159</v>
      </c>
      <c r="D41" s="7" t="s">
        <v>162</v>
      </c>
      <c r="E41" s="7"/>
      <c r="F41" s="7" t="s">
        <v>74</v>
      </c>
      <c r="G41" s="14" t="s">
        <v>115</v>
      </c>
      <c r="H41" s="8" t="n">
        <v>46204</v>
      </c>
      <c r="I41" s="8" t="n">
        <v>46234</v>
      </c>
      <c r="J41" s="8" t="n">
        <v>46234</v>
      </c>
      <c r="K41" s="9" t="n">
        <v>1</v>
      </c>
      <c r="L41" s="14" t="s">
        <v>163</v>
      </c>
      <c r="M41" s="10" t="s">
        <v>81</v>
      </c>
      <c r="N41" s="11" t="str">
        <f aca="false">IFERROR(INDEX(dFrente!$B$2:$B$76,MATCH(C41,dFrente!$A$2:$A$76,0)),"Sin frente")</f>
        <v>Aplicaciones y roles</v>
      </c>
      <c r="O41" s="11" t="str">
        <f aca="false">IFERROR(INDEX(dNIST!$B$2:$B$13,MATCH(M41,dNIST!$A$2:$A$13,0)),"")</f>
        <v>PR</v>
      </c>
      <c r="P41" s="11" t="str">
        <f aca="false">TRIM(IFERROR(LEFT(G41,FIND(CHAR(10),G41)-1),G41))</f>
        <v>Ana María Vergara</v>
      </c>
      <c r="Q41" s="11" t="n">
        <f aca="false">LEN(TRIM(G41))-LEN(SUBSTITUTE(TRIM(G41),CHAR(10),""))+1</f>
        <v>3</v>
      </c>
      <c r="R41" s="11" t="str">
        <f aca="false">IF(E41&lt;&gt;"","Sí","No")</f>
        <v>No</v>
      </c>
      <c r="S41" s="12" t="n">
        <f aca="false">IF(OR(J41="",H41=""),"",IF(J41&lt;=H41,IF(FechaCorte&gt;=J41,1,0),MAX(0,MIN(1,(FechaCorte-H41)/(J41-H41)))))</f>
        <v>1</v>
      </c>
      <c r="T41" s="12" t="n">
        <f aca="false">IF(S41="","",K41-S41)</f>
        <v>0</v>
      </c>
      <c r="U41" s="11" t="str">
        <f aca="false">IF(R41="Sí","Recurrente",IF(K41&gt;=1,"Completado",IF(AND(J41&lt;&gt;"",J41&lt;FechaCorte),"Vencido",IF(AND(K41=0,OR(H41="",H41&gt;FechaCorte)),"Por iniciar",IF(AND(T41&lt;&gt;"",T41&lt;=UmbralRiesgo),"En riesgo","En plazo")))))</f>
        <v>Completado</v>
      </c>
      <c r="V41" s="11" t="n">
        <f aca="false">IF(OR(U41="Vencido",U41="En riesgo",U41="En plazo",U41="Por iniciar"),1,0)</f>
        <v>0</v>
      </c>
      <c r="W41" s="11" t="str">
        <f aca="false">IF(U41="Vencido",FechaCorte-J41,"")</f>
        <v/>
      </c>
      <c r="X41" s="11" t="str">
        <f aca="false">IF(AND(V41=1,U41&lt;&gt;"Vencido"),J41-FechaCorte,"")</f>
        <v/>
      </c>
      <c r="Y41" s="13" t="n">
        <f aca="false">IF(J41="","",DATE(YEAR(J41),MONTH(J41),1))</f>
        <v>46204</v>
      </c>
      <c r="Z41" s="13" t="n">
        <f aca="false">IF(AND(U41="Completado",I41&lt;&gt;""),IF(I41&lt;=FechaCorte,DATE(YEAR(I41),MONTH(I41),1),""),"")</f>
        <v>46204</v>
      </c>
      <c r="AA41" s="11" t="n">
        <f aca="false">IF(J41="","",IF(DAY(J41+1)=1,1,0))</f>
        <v>1</v>
      </c>
      <c r="AB41" s="11" t="n">
        <f aca="false">IF(AND(U41="Completado",I41&lt;&gt;"",I41=J41),1,0)</f>
        <v>1</v>
      </c>
      <c r="AC41" s="11" t="n">
        <f aca="false">IF(AND(K41&gt;=1,I41&lt;&gt;""),IF(I41&gt;FechaCorte,1,0),0)</f>
        <v>0</v>
      </c>
      <c r="AD41" s="11" t="n">
        <f aca="false">IF(AND(I41&lt;&gt;"",H41&lt;&gt;""),IF(I41&lt;H41,1,0),0)</f>
        <v>0</v>
      </c>
      <c r="AE41" s="11" t="n">
        <f aca="false">IF(OR(F41="Riesgos",F41="Obs. Auditoría"),1,0)</f>
        <v>0</v>
      </c>
      <c r="AF41" s="11" t="str">
        <f aca="false">IFERROR(MID(D41,FIND("PMC-",D41),8),"")</f>
        <v/>
      </c>
      <c r="AG41" s="11" t="n">
        <f aca="false">IF(AND(V41=1,J41&lt;&gt;""),IF(AND(J41&gt;=FechaCorte,J41&lt;=HorizonteExpuestos),1,0),0)</f>
        <v>0</v>
      </c>
    </row>
    <row r="42" customFormat="false" ht="15" hidden="false" customHeight="false" outlineLevel="0" collapsed="false">
      <c r="A42" s="7" t="n">
        <v>41</v>
      </c>
      <c r="B42" s="7" t="n">
        <v>2026</v>
      </c>
      <c r="C42" s="7" t="s">
        <v>164</v>
      </c>
      <c r="D42" s="7" t="s">
        <v>165</v>
      </c>
      <c r="E42" s="7"/>
      <c r="F42" s="7" t="s">
        <v>74</v>
      </c>
      <c r="G42" s="7" t="s">
        <v>80</v>
      </c>
      <c r="H42" s="8" t="n">
        <v>46082</v>
      </c>
      <c r="I42" s="8" t="n">
        <v>46080</v>
      </c>
      <c r="J42" s="8" t="n">
        <v>46080</v>
      </c>
      <c r="K42" s="9" t="n">
        <v>1</v>
      </c>
      <c r="L42" s="7"/>
      <c r="M42" s="10" t="s">
        <v>81</v>
      </c>
      <c r="N42" s="11" t="str">
        <f aca="false">IFERROR(INDEX(dFrente!$B$2:$B$76,MATCH(C42,dFrente!$A$2:$A$76,0)),"Sin frente")</f>
        <v>Aplicaciones y roles</v>
      </c>
      <c r="O42" s="11" t="str">
        <f aca="false">IFERROR(INDEX(dNIST!$B$2:$B$13,MATCH(M42,dNIST!$A$2:$A$13,0)),"")</f>
        <v>PR</v>
      </c>
      <c r="P42" s="11" t="str">
        <f aca="false">TRIM(IFERROR(LEFT(G42,FIND(CHAR(10),G42)-1),G42))</f>
        <v>Ana María Fierro</v>
      </c>
      <c r="Q42" s="11" t="n">
        <f aca="false">LEN(TRIM(G42))-LEN(SUBSTITUTE(TRIM(G42),CHAR(10),""))+1</f>
        <v>1</v>
      </c>
      <c r="R42" s="11" t="str">
        <f aca="false">IF(E42&lt;&gt;"","Sí","No")</f>
        <v>No</v>
      </c>
      <c r="S42" s="12" t="n">
        <f aca="false">IF(OR(J42="",H42=""),"",IF(J42&lt;=H42,IF(FechaCorte&gt;=J42,1,0),MAX(0,MIN(1,(FechaCorte-H42)/(J42-H42)))))</f>
        <v>1</v>
      </c>
      <c r="T42" s="12" t="n">
        <f aca="false">IF(S42="","",K42-S42)</f>
        <v>0</v>
      </c>
      <c r="U42" s="11" t="str">
        <f aca="false">IF(R42="Sí","Recurrente",IF(K42&gt;=1,"Completado",IF(AND(J42&lt;&gt;"",J42&lt;FechaCorte),"Vencido",IF(AND(K42=0,OR(H42="",H42&gt;FechaCorte)),"Por iniciar",IF(AND(T42&lt;&gt;"",T42&lt;=UmbralRiesgo),"En riesgo","En plazo")))))</f>
        <v>Completado</v>
      </c>
      <c r="V42" s="11" t="n">
        <f aca="false">IF(OR(U42="Vencido",U42="En riesgo",U42="En plazo",U42="Por iniciar"),1,0)</f>
        <v>0</v>
      </c>
      <c r="W42" s="11" t="str">
        <f aca="false">IF(U42="Vencido",FechaCorte-J42,"")</f>
        <v/>
      </c>
      <c r="X42" s="11" t="str">
        <f aca="false">IF(AND(V42=1,U42&lt;&gt;"Vencido"),J42-FechaCorte,"")</f>
        <v/>
      </c>
      <c r="Y42" s="13" t="n">
        <f aca="false">IF(J42="","",DATE(YEAR(J42),MONTH(J42),1))</f>
        <v>46054</v>
      </c>
      <c r="Z42" s="13" t="n">
        <f aca="false">IF(AND(U42="Completado",I42&lt;&gt;""),IF(I42&lt;=FechaCorte,DATE(YEAR(I42),MONTH(I42),1),""),"")</f>
        <v>46054</v>
      </c>
      <c r="AA42" s="11" t="n">
        <f aca="false">IF(J42="","",IF(DAY(J42+1)=1,1,0))</f>
        <v>0</v>
      </c>
      <c r="AB42" s="11" t="n">
        <f aca="false">IF(AND(U42="Completado",I42&lt;&gt;"",I42=J42),1,0)</f>
        <v>1</v>
      </c>
      <c r="AC42" s="11" t="n">
        <f aca="false">IF(AND(K42&gt;=1,I42&lt;&gt;""),IF(I42&gt;FechaCorte,1,0),0)</f>
        <v>0</v>
      </c>
      <c r="AD42" s="11" t="n">
        <f aca="false">IF(AND(I42&lt;&gt;"",H42&lt;&gt;""),IF(I42&lt;H42,1,0),0)</f>
        <v>1</v>
      </c>
      <c r="AE42" s="11" t="n">
        <f aca="false">IF(OR(F42="Riesgos",F42="Obs. Auditoría"),1,0)</f>
        <v>0</v>
      </c>
      <c r="AF42" s="11" t="str">
        <f aca="false">IFERROR(MID(D42,FIND("PMC-",D42),8),"")</f>
        <v/>
      </c>
      <c r="AG42" s="11" t="n">
        <f aca="false">IF(AND(V42=1,J42&lt;&gt;""),IF(AND(J42&gt;=FechaCorte,J42&lt;=HorizonteExpuestos),1,0),0)</f>
        <v>0</v>
      </c>
    </row>
    <row r="43" customFormat="false" ht="15" hidden="false" customHeight="false" outlineLevel="0" collapsed="false">
      <c r="A43" s="7" t="n">
        <v>42</v>
      </c>
      <c r="B43" s="7" t="n">
        <v>2026</v>
      </c>
      <c r="C43" s="7" t="s">
        <v>166</v>
      </c>
      <c r="D43" s="7" t="s">
        <v>167</v>
      </c>
      <c r="E43" s="7"/>
      <c r="F43" s="7" t="s">
        <v>114</v>
      </c>
      <c r="G43" s="7" t="s">
        <v>80</v>
      </c>
      <c r="H43" s="8" t="n">
        <v>46098</v>
      </c>
      <c r="I43" s="8"/>
      <c r="J43" s="8" t="n">
        <v>46249</v>
      </c>
      <c r="K43" s="9" t="n">
        <v>0.75</v>
      </c>
      <c r="L43" s="7" t="s">
        <v>168</v>
      </c>
      <c r="M43" s="10" t="s">
        <v>81</v>
      </c>
      <c r="N43" s="11" t="str">
        <f aca="false">IFERROR(INDEX(dFrente!$B$2:$B$76,MATCH(C43,dFrente!$A$2:$A$76,0)),"Sin frente")</f>
        <v>Aplicaciones y roles</v>
      </c>
      <c r="O43" s="11" t="str">
        <f aca="false">IFERROR(INDEX(dNIST!$B$2:$B$13,MATCH(M43,dNIST!$A$2:$A$13,0)),"")</f>
        <v>PR</v>
      </c>
      <c r="P43" s="11" t="str">
        <f aca="false">TRIM(IFERROR(LEFT(G43,FIND(CHAR(10),G43)-1),G43))</f>
        <v>Ana María Fierro</v>
      </c>
      <c r="Q43" s="11" t="n">
        <f aca="false">LEN(TRIM(G43))-LEN(SUBSTITUTE(TRIM(G43),CHAR(10),""))+1</f>
        <v>1</v>
      </c>
      <c r="R43" s="11" t="str">
        <f aca="false">IF(E43&lt;&gt;"","Sí","No")</f>
        <v>No</v>
      </c>
      <c r="S43" s="12" t="n">
        <f aca="false">IF(OR(J43="",H43=""),"",IF(J43&lt;=H43,IF(FechaCorte&gt;=J43,1,0),MAX(0,MIN(1,(FechaCorte-H43)/(J43-H43)))))</f>
        <v>1</v>
      </c>
      <c r="T43" s="12" t="n">
        <f aca="false">IF(S43="","",K43-S43)</f>
        <v>-0.25</v>
      </c>
      <c r="U43" s="11" t="str">
        <f aca="false">IF(R43="Sí","Recurrente",IF(K43&gt;=1,"Completado",IF(AND(J43&lt;&gt;"",J43&lt;FechaCorte),"Vencido",IF(AND(K43=0,OR(H43="",H43&gt;FechaCorte)),"Por iniciar",IF(AND(T43&lt;&gt;"",T43&lt;=UmbralRiesgo),"En riesgo","En plazo")))))</f>
        <v>Vencido</v>
      </c>
      <c r="V43" s="11" t="n">
        <f aca="false">IF(OR(U43="Vencido",U43="En riesgo",U43="En plazo",U43="Por iniciar"),1,0)</f>
        <v>1</v>
      </c>
      <c r="W43" s="11" t="n">
        <f aca="false">IF(U43="Vencido",FechaCorte-J43,"")</f>
        <v>40</v>
      </c>
      <c r="X43" s="11" t="str">
        <f aca="false">IF(AND(V43=1,U43&lt;&gt;"Vencido"),J43-FechaCorte,"")</f>
        <v/>
      </c>
      <c r="Y43" s="13" t="n">
        <f aca="false">IF(J43="","",DATE(YEAR(J43),MONTH(J43),1))</f>
        <v>46235</v>
      </c>
      <c r="Z43" s="13" t="str">
        <f aca="false">IF(AND(U43="Completado",I43&lt;&gt;""),IF(I43&lt;=FechaCorte,DATE(YEAR(I43),MONTH(I43),1),""),"")</f>
        <v/>
      </c>
      <c r="AA43" s="11" t="n">
        <f aca="false">IF(J43="","",IF(DAY(J43+1)=1,1,0))</f>
        <v>0</v>
      </c>
      <c r="AB43" s="11" t="n">
        <f aca="false">IF(AND(U43="Completado",I43&lt;&gt;"",I43=J43),1,0)</f>
        <v>0</v>
      </c>
      <c r="AC43" s="11" t="n">
        <f aca="false">IF(AND(K43&gt;=1,I43&lt;&gt;""),IF(I43&gt;FechaCorte,1,0),0)</f>
        <v>0</v>
      </c>
      <c r="AD43" s="11" t="n">
        <f aca="false">IF(AND(I43&lt;&gt;"",H43&lt;&gt;""),IF(I43&lt;H43,1,0),0)</f>
        <v>0</v>
      </c>
      <c r="AE43" s="11" t="n">
        <f aca="false">IF(OR(F43="Riesgos",F43="Obs. Auditoría"),1,0)</f>
        <v>0</v>
      </c>
      <c r="AF43" s="11" t="str">
        <f aca="false">IFERROR(MID(D43,FIND("PMC-",D43),8),"")</f>
        <v/>
      </c>
      <c r="AG43" s="11" t="n">
        <f aca="false">IF(AND(V43=1,J43&lt;&gt;""),IF(AND(J43&gt;=FechaCorte,J43&lt;=HorizonteExpuestos),1,0),0)</f>
        <v>0</v>
      </c>
    </row>
    <row r="44" customFormat="false" ht="15" hidden="false" customHeight="false" outlineLevel="0" collapsed="false">
      <c r="A44" s="7" t="n">
        <v>43</v>
      </c>
      <c r="B44" s="7" t="n">
        <v>2026</v>
      </c>
      <c r="C44" s="7" t="s">
        <v>169</v>
      </c>
      <c r="D44" s="7" t="s">
        <v>170</v>
      </c>
      <c r="E44" s="7"/>
      <c r="F44" s="7" t="s">
        <v>114</v>
      </c>
      <c r="G44" s="14" t="s">
        <v>171</v>
      </c>
      <c r="H44" s="8" t="n">
        <v>46156</v>
      </c>
      <c r="I44" s="8" t="n">
        <v>46272</v>
      </c>
      <c r="J44" s="8" t="n">
        <v>46272</v>
      </c>
      <c r="K44" s="9" t="n">
        <v>1</v>
      </c>
      <c r="L44" s="7" t="s">
        <v>172</v>
      </c>
      <c r="M44" s="10" t="s">
        <v>173</v>
      </c>
      <c r="N44" s="11" t="str">
        <f aca="false">IFERROR(INDEX(dFrente!$B$2:$B$76,MATCH(C44,dFrente!$A$2:$A$76,0)),"Sin frente")</f>
        <v>Aplicaciones y roles</v>
      </c>
      <c r="O44" s="11" t="str">
        <f aca="false">IFERROR(INDEX(dNIST!$B$2:$B$13,MATCH(M44,dNIST!$A$2:$A$13,0)),"")</f>
        <v>PR</v>
      </c>
      <c r="P44" s="11" t="str">
        <f aca="false">TRIM(IFERROR(LEFT(G44,FIND(CHAR(10),G44)-1),G44))</f>
        <v>Ana María Fierro</v>
      </c>
      <c r="Q44" s="11" t="n">
        <f aca="false">LEN(TRIM(G44))-LEN(SUBSTITUTE(TRIM(G44),CHAR(10),""))+1</f>
        <v>2</v>
      </c>
      <c r="R44" s="11" t="str">
        <f aca="false">IF(E44&lt;&gt;"","Sí","No")</f>
        <v>No</v>
      </c>
      <c r="S44" s="12" t="n">
        <f aca="false">IF(OR(J44="",H44=""),"",IF(J44&lt;=H44,IF(FechaCorte&gt;=J44,1,0),MAX(0,MIN(1,(FechaCorte-H44)/(J44-H44)))))</f>
        <v>1</v>
      </c>
      <c r="T44" s="12" t="n">
        <f aca="false">IF(S44="","",K44-S44)</f>
        <v>0</v>
      </c>
      <c r="U44" s="11" t="str">
        <f aca="false">IF(R44="Sí","Recurrente",IF(K44&gt;=1,"Completado",IF(AND(J44&lt;&gt;"",J44&lt;FechaCorte),"Vencido",IF(AND(K44=0,OR(H44="",H44&gt;FechaCorte)),"Por iniciar",IF(AND(T44&lt;&gt;"",T44&lt;=UmbralRiesgo),"En riesgo","En plazo")))))</f>
        <v>Completado</v>
      </c>
      <c r="V44" s="11" t="n">
        <f aca="false">IF(OR(U44="Vencido",U44="En riesgo",U44="En plazo",U44="Por iniciar"),1,0)</f>
        <v>0</v>
      </c>
      <c r="W44" s="11" t="str">
        <f aca="false">IF(U44="Vencido",FechaCorte-J44,"")</f>
        <v/>
      </c>
      <c r="X44" s="11" t="str">
        <f aca="false">IF(AND(V44=1,U44&lt;&gt;"Vencido"),J44-FechaCorte,"")</f>
        <v/>
      </c>
      <c r="Y44" s="13" t="n">
        <f aca="false">IF(J44="","",DATE(YEAR(J44),MONTH(J44),1))</f>
        <v>46266</v>
      </c>
      <c r="Z44" s="13" t="n">
        <f aca="false">IF(AND(U44="Completado",I44&lt;&gt;""),IF(I44&lt;=FechaCorte,DATE(YEAR(I44),MONTH(I44),1),""),"")</f>
        <v>46266</v>
      </c>
      <c r="AA44" s="11" t="n">
        <f aca="false">IF(J44="","",IF(DAY(J44+1)=1,1,0))</f>
        <v>0</v>
      </c>
      <c r="AB44" s="11" t="n">
        <f aca="false">IF(AND(U44="Completado",I44&lt;&gt;"",I44=J44),1,0)</f>
        <v>1</v>
      </c>
      <c r="AC44" s="11" t="n">
        <f aca="false">IF(AND(K44&gt;=1,I44&lt;&gt;""),IF(I44&gt;FechaCorte,1,0),0)</f>
        <v>0</v>
      </c>
      <c r="AD44" s="11" t="n">
        <f aca="false">IF(AND(I44&lt;&gt;"",H44&lt;&gt;""),IF(I44&lt;H44,1,0),0)</f>
        <v>0</v>
      </c>
      <c r="AE44" s="11" t="n">
        <f aca="false">IF(OR(F44="Riesgos",F44="Obs. Auditoría"),1,0)</f>
        <v>0</v>
      </c>
      <c r="AF44" s="11" t="str">
        <f aca="false">IFERROR(MID(D44,FIND("PMC-",D44),8),"")</f>
        <v/>
      </c>
      <c r="AG44" s="11" t="n">
        <f aca="false">IF(AND(V44=1,J44&lt;&gt;""),IF(AND(J44&gt;=FechaCorte,J44&lt;=HorizonteExpuestos),1,0),0)</f>
        <v>0</v>
      </c>
    </row>
    <row r="45" customFormat="false" ht="15" hidden="false" customHeight="false" outlineLevel="0" collapsed="false">
      <c r="A45" s="7" t="n">
        <v>44</v>
      </c>
      <c r="B45" s="7" t="n">
        <v>2026</v>
      </c>
      <c r="C45" s="7" t="s">
        <v>174</v>
      </c>
      <c r="D45" s="14" t="s">
        <v>175</v>
      </c>
      <c r="E45" s="7"/>
      <c r="F45" s="7" t="s">
        <v>114</v>
      </c>
      <c r="G45" s="14" t="s">
        <v>176</v>
      </c>
      <c r="H45" s="8" t="n">
        <v>46023</v>
      </c>
      <c r="I45" s="8"/>
      <c r="J45" s="8" t="n">
        <v>46387</v>
      </c>
      <c r="K45" s="9" t="n">
        <v>0.71</v>
      </c>
      <c r="L45" s="14" t="s">
        <v>177</v>
      </c>
      <c r="M45" s="10" t="s">
        <v>178</v>
      </c>
      <c r="N45" s="11" t="str">
        <f aca="false">IFERROR(INDEX(dFrente!$B$2:$B$76,MATCH(C45,dFrente!$A$2:$A$76,0)),"Sin frente")</f>
        <v>Aplicaciones y roles</v>
      </c>
      <c r="O45" s="11" t="str">
        <f aca="false">IFERROR(INDEX(dNIST!$B$2:$B$13,MATCH(M45,dNIST!$A$2:$A$13,0)),"")</f>
        <v>ID</v>
      </c>
      <c r="P45" s="11" t="str">
        <f aca="false">TRIM(IFERROR(LEFT(G45,FIND(CHAR(10),G45)-1),G45))</f>
        <v>Jhonny Barreiro</v>
      </c>
      <c r="Q45" s="11" t="n">
        <f aca="false">LEN(TRIM(G45))-LEN(SUBSTITUTE(TRIM(G45),CHAR(10),""))+1</f>
        <v>2</v>
      </c>
      <c r="R45" s="11" t="str">
        <f aca="false">IF(E45&lt;&gt;"","Sí","No")</f>
        <v>No</v>
      </c>
      <c r="S45" s="12" t="n">
        <f aca="false">IF(OR(J45="",H45=""),"",IF(J45&lt;=H45,IF(FechaCorte&gt;=J45,1,0),MAX(0,MIN(1,(FechaCorte-H45)/(J45-H45)))))</f>
        <v>0.730769230769231</v>
      </c>
      <c r="T45" s="12" t="n">
        <f aca="false">IF(S45="","",K45-S45)</f>
        <v>-0.0207692307692308</v>
      </c>
      <c r="U45" s="11" t="str">
        <f aca="false">IF(R45="Sí","Recurrente",IF(K45&gt;=1,"Completado",IF(AND(J45&lt;&gt;"",J45&lt;FechaCorte),"Vencido",IF(AND(K45=0,OR(H45="",H45&gt;FechaCorte)),"Por iniciar",IF(AND(T45&lt;&gt;"",T45&lt;=UmbralRiesgo),"En riesgo","En plazo")))))</f>
        <v>En plazo</v>
      </c>
      <c r="V45" s="11" t="n">
        <f aca="false">IF(OR(U45="Vencido",U45="En riesgo",U45="En plazo",U45="Por iniciar"),1,0)</f>
        <v>1</v>
      </c>
      <c r="W45" s="11" t="str">
        <f aca="false">IF(U45="Vencido",FechaCorte-J45,"")</f>
        <v/>
      </c>
      <c r="X45" s="11" t="n">
        <f aca="false">IF(AND(V45=1,U45&lt;&gt;"Vencido"),J45-FechaCorte,"")</f>
        <v>98</v>
      </c>
      <c r="Y45" s="13" t="n">
        <f aca="false">IF(J45="","",DATE(YEAR(J45),MONTH(J45),1))</f>
        <v>46357</v>
      </c>
      <c r="Z45" s="13" t="str">
        <f aca="false">IF(AND(U45="Completado",I45&lt;&gt;""),IF(I45&lt;=FechaCorte,DATE(YEAR(I45),MONTH(I45),1),""),"")</f>
        <v/>
      </c>
      <c r="AA45" s="11" t="n">
        <f aca="false">IF(J45="","",IF(DAY(J45+1)=1,1,0))</f>
        <v>1</v>
      </c>
      <c r="AB45" s="11" t="n">
        <f aca="false">IF(AND(U45="Completado",I45&lt;&gt;"",I45=J45),1,0)</f>
        <v>0</v>
      </c>
      <c r="AC45" s="11" t="n">
        <f aca="false">IF(AND(K45&gt;=1,I45&lt;&gt;""),IF(I45&gt;FechaCorte,1,0),0)</f>
        <v>0</v>
      </c>
      <c r="AD45" s="11" t="n">
        <f aca="false">IF(AND(I45&lt;&gt;"",H45&lt;&gt;""),IF(I45&lt;H45,1,0),0)</f>
        <v>0</v>
      </c>
      <c r="AE45" s="11" t="n">
        <f aca="false">IF(OR(F45="Riesgos",F45="Obs. Auditoría"),1,0)</f>
        <v>0</v>
      </c>
      <c r="AF45" s="11" t="str">
        <f aca="false">IFERROR(MID(D45,FIND("PMC-",D45),8),"")</f>
        <v/>
      </c>
      <c r="AG45" s="11" t="n">
        <f aca="false">IF(AND(V45=1,J45&lt;&gt;""),IF(AND(J45&gt;=FechaCorte,J45&lt;=HorizonteExpuestos),1,0),0)</f>
        <v>0</v>
      </c>
    </row>
    <row r="46" customFormat="false" ht="15" hidden="false" customHeight="false" outlineLevel="0" collapsed="false">
      <c r="A46" s="7" t="n">
        <v>45</v>
      </c>
      <c r="B46" s="7" t="n">
        <v>2026</v>
      </c>
      <c r="C46" s="7" t="s">
        <v>179</v>
      </c>
      <c r="D46" s="14" t="s">
        <v>180</v>
      </c>
      <c r="E46" s="7" t="s">
        <v>130</v>
      </c>
      <c r="F46" s="7" t="s">
        <v>131</v>
      </c>
      <c r="G46" s="7" t="s">
        <v>91</v>
      </c>
      <c r="H46" s="8" t="n">
        <v>46113</v>
      </c>
      <c r="I46" s="8"/>
      <c r="J46" s="8"/>
      <c r="K46" s="9" t="n">
        <v>1</v>
      </c>
      <c r="L46" s="7" t="s">
        <v>181</v>
      </c>
      <c r="M46" s="10" t="s">
        <v>182</v>
      </c>
      <c r="N46" s="11" t="str">
        <f aca="false">IFERROR(INDEX(dFrente!$B$2:$B$76,MATCH(C46,dFrente!$A$2:$A$76,0)),"Sin frente")</f>
        <v>Gobierno y reportería</v>
      </c>
      <c r="O46" s="11" t="str">
        <f aca="false">IFERROR(INDEX(dNIST!$B$2:$B$13,MATCH(M46,dNIST!$A$2:$A$13,0)),"")</f>
        <v>GV</v>
      </c>
      <c r="P46" s="11" t="str">
        <f aca="false">TRIM(IFERROR(LEFT(G46,FIND(CHAR(10),G46)-1),G46))</f>
        <v>Jhonny Barreiro</v>
      </c>
      <c r="Q46" s="11" t="n">
        <f aca="false">LEN(TRIM(G46))-LEN(SUBSTITUTE(TRIM(G46),CHAR(10),""))+1</f>
        <v>1</v>
      </c>
      <c r="R46" s="11" t="str">
        <f aca="false">IF(E46&lt;&gt;"","Sí","No")</f>
        <v>Sí</v>
      </c>
      <c r="S46" s="12" t="str">
        <f aca="false">IF(OR(J46="",H46=""),"",IF(J46&lt;=H46,IF(FechaCorte&gt;=J46,1,0),MAX(0,MIN(1,(FechaCorte-H46)/(J46-H46)))))</f>
        <v/>
      </c>
      <c r="T46" s="12" t="str">
        <f aca="false">IF(S46="","",K46-S46)</f>
        <v/>
      </c>
      <c r="U46" s="11" t="str">
        <f aca="false">IF(R46="Sí","Recurrente",IF(K46&gt;=1,"Completado",IF(AND(J46&lt;&gt;"",J46&lt;FechaCorte),"Vencido",IF(AND(K46=0,OR(H46="",H46&gt;FechaCorte)),"Por iniciar",IF(AND(T46&lt;&gt;"",T46&lt;=UmbralRiesgo),"En riesgo","En plazo")))))</f>
        <v>Recurrente</v>
      </c>
      <c r="V46" s="11" t="n">
        <f aca="false">IF(OR(U46="Vencido",U46="En riesgo",U46="En plazo",U46="Por iniciar"),1,0)</f>
        <v>0</v>
      </c>
      <c r="W46" s="11" t="str">
        <f aca="false">IF(U46="Vencido",FechaCorte-J46,"")</f>
        <v/>
      </c>
      <c r="X46" s="11" t="str">
        <f aca="false">IF(AND(V46=1,U46&lt;&gt;"Vencido"),J46-FechaCorte,"")</f>
        <v/>
      </c>
      <c r="Y46" s="13" t="str">
        <f aca="false">IF(J46="","",DATE(YEAR(J46),MONTH(J46),1))</f>
        <v/>
      </c>
      <c r="Z46" s="13" t="str">
        <f aca="false">IF(AND(U46="Completado",I46&lt;&gt;""),IF(I46&lt;=FechaCorte,DATE(YEAR(I46),MONTH(I46),1),""),"")</f>
        <v/>
      </c>
      <c r="AA46" s="11" t="str">
        <f aca="false">IF(J46="","",IF(DAY(J46+1)=1,1,0))</f>
        <v/>
      </c>
      <c r="AB46" s="11" t="n">
        <f aca="false">IF(AND(U46="Completado",I46&lt;&gt;"",I46=J46),1,0)</f>
        <v>0</v>
      </c>
      <c r="AC46" s="11" t="n">
        <f aca="false">IF(AND(K46&gt;=1,I46&lt;&gt;""),IF(I46&gt;FechaCorte,1,0),0)</f>
        <v>0</v>
      </c>
      <c r="AD46" s="11" t="n">
        <f aca="false">IF(AND(I46&lt;&gt;"",H46&lt;&gt;""),IF(I46&lt;H46,1,0),0)</f>
        <v>0</v>
      </c>
      <c r="AE46" s="11" t="n">
        <f aca="false">IF(OR(F46="Riesgos",F46="Obs. Auditoría"),1,0)</f>
        <v>0</v>
      </c>
      <c r="AF46" s="11" t="str">
        <f aca="false">IFERROR(MID(D46,FIND("PMC-",D46),8),"")</f>
        <v/>
      </c>
      <c r="AG46" s="11" t="n">
        <f aca="false">IF(AND(V46=1,J46&lt;&gt;""),IF(AND(J46&gt;=FechaCorte,J46&lt;=HorizonteExpuestos),1,0),0)</f>
        <v>0</v>
      </c>
    </row>
    <row r="47" customFormat="false" ht="15" hidden="false" customHeight="false" outlineLevel="0" collapsed="false">
      <c r="A47" s="7" t="n">
        <v>46</v>
      </c>
      <c r="B47" s="7" t="n">
        <v>2026</v>
      </c>
      <c r="C47" s="7" t="s">
        <v>174</v>
      </c>
      <c r="D47" s="14" t="s">
        <v>183</v>
      </c>
      <c r="E47" s="7"/>
      <c r="F47" s="7" t="s">
        <v>114</v>
      </c>
      <c r="G47" s="7" t="s">
        <v>184</v>
      </c>
      <c r="H47" s="8" t="n">
        <v>46082</v>
      </c>
      <c r="I47" s="8"/>
      <c r="J47" s="8" t="n">
        <v>46182</v>
      </c>
      <c r="K47" s="9" t="n">
        <v>0.5</v>
      </c>
      <c r="L47" s="7" t="s">
        <v>185</v>
      </c>
      <c r="M47" s="10" t="s">
        <v>186</v>
      </c>
      <c r="N47" s="11" t="str">
        <f aca="false">IFERROR(INDEX(dFrente!$B$2:$B$76,MATCH(C47,dFrente!$A$2:$A$76,0)),"Sin frente")</f>
        <v>Aplicaciones y roles</v>
      </c>
      <c r="O47" s="11" t="str">
        <f aca="false">IFERROR(INDEX(dNIST!$B$2:$B$13,MATCH(M47,dNIST!$A$2:$A$13,0)),"")</f>
        <v>GV</v>
      </c>
      <c r="P47" s="11" t="str">
        <f aca="false">TRIM(IFERROR(LEFT(G47,FIND(CHAR(10),G47)-1),G47))</f>
        <v>Ariel Villacis</v>
      </c>
      <c r="Q47" s="11" t="n">
        <f aca="false">LEN(TRIM(G47))-LEN(SUBSTITUTE(TRIM(G47),CHAR(10),""))+1</f>
        <v>1</v>
      </c>
      <c r="R47" s="11" t="str">
        <f aca="false">IF(E47&lt;&gt;"","Sí","No")</f>
        <v>No</v>
      </c>
      <c r="S47" s="12" t="n">
        <f aca="false">IF(OR(J47="",H47=""),"",IF(J47&lt;=H47,IF(FechaCorte&gt;=J47,1,0),MAX(0,MIN(1,(FechaCorte-H47)/(J47-H47)))))</f>
        <v>1</v>
      </c>
      <c r="T47" s="12" t="n">
        <f aca="false">IF(S47="","",K47-S47)</f>
        <v>-0.5</v>
      </c>
      <c r="U47" s="11" t="str">
        <f aca="false">IF(R47="Sí","Recurrente",IF(K47&gt;=1,"Completado",IF(AND(J47&lt;&gt;"",J47&lt;FechaCorte),"Vencido",IF(AND(K47=0,OR(H47="",H47&gt;FechaCorte)),"Por iniciar",IF(AND(T47&lt;&gt;"",T47&lt;=UmbralRiesgo),"En riesgo","En plazo")))))</f>
        <v>Vencido</v>
      </c>
      <c r="V47" s="11" t="n">
        <f aca="false">IF(OR(U47="Vencido",U47="En riesgo",U47="En plazo",U47="Por iniciar"),1,0)</f>
        <v>1</v>
      </c>
      <c r="W47" s="11" t="n">
        <f aca="false">IF(U47="Vencido",FechaCorte-J47,"")</f>
        <v>107</v>
      </c>
      <c r="X47" s="11" t="str">
        <f aca="false">IF(AND(V47=1,U47&lt;&gt;"Vencido"),J47-FechaCorte,"")</f>
        <v/>
      </c>
      <c r="Y47" s="13" t="n">
        <f aca="false">IF(J47="","",DATE(YEAR(J47),MONTH(J47),1))</f>
        <v>46174</v>
      </c>
      <c r="Z47" s="13" t="str">
        <f aca="false">IF(AND(U47="Completado",I47&lt;&gt;""),IF(I47&lt;=FechaCorte,DATE(YEAR(I47),MONTH(I47),1),""),"")</f>
        <v/>
      </c>
      <c r="AA47" s="11" t="n">
        <f aca="false">IF(J47="","",IF(DAY(J47+1)=1,1,0))</f>
        <v>0</v>
      </c>
      <c r="AB47" s="11" t="n">
        <f aca="false">IF(AND(U47="Completado",I47&lt;&gt;"",I47=J47),1,0)</f>
        <v>0</v>
      </c>
      <c r="AC47" s="11" t="n">
        <f aca="false">IF(AND(K47&gt;=1,I47&lt;&gt;""),IF(I47&gt;FechaCorte,1,0),0)</f>
        <v>0</v>
      </c>
      <c r="AD47" s="11" t="n">
        <f aca="false">IF(AND(I47&lt;&gt;"",H47&lt;&gt;""),IF(I47&lt;H47,1,0),0)</f>
        <v>0</v>
      </c>
      <c r="AE47" s="11" t="n">
        <f aca="false">IF(OR(F47="Riesgos",F47="Obs. Auditoría"),1,0)</f>
        <v>0</v>
      </c>
      <c r="AF47" s="11" t="str">
        <f aca="false">IFERROR(MID(D47,FIND("PMC-",D47),8),"")</f>
        <v/>
      </c>
      <c r="AG47" s="11" t="n">
        <f aca="false">IF(AND(V47=1,J47&lt;&gt;""),IF(AND(J47&gt;=FechaCorte,J47&lt;=HorizonteExpuestos),1,0),0)</f>
        <v>0</v>
      </c>
    </row>
    <row r="48" customFormat="false" ht="15" hidden="false" customHeight="false" outlineLevel="0" collapsed="false">
      <c r="A48" s="7" t="n">
        <v>47</v>
      </c>
      <c r="B48" s="7" t="n">
        <v>2026</v>
      </c>
      <c r="C48" s="7" t="s">
        <v>187</v>
      </c>
      <c r="D48" s="7" t="s">
        <v>188</v>
      </c>
      <c r="E48" s="7"/>
      <c r="F48" s="7" t="s">
        <v>114</v>
      </c>
      <c r="G48" s="14" t="s">
        <v>189</v>
      </c>
      <c r="H48" s="8" t="n">
        <v>46157</v>
      </c>
      <c r="I48" s="8"/>
      <c r="J48" s="8" t="n">
        <v>46310</v>
      </c>
      <c r="K48" s="9" t="n">
        <v>0.05</v>
      </c>
      <c r="L48" s="14" t="s">
        <v>190</v>
      </c>
      <c r="M48" s="10" t="s">
        <v>81</v>
      </c>
      <c r="N48" s="11" t="str">
        <f aca="false">IFERROR(INDEX(dFrente!$B$2:$B$76,MATCH(C48,dFrente!$A$2:$A$76,0)),"Sin frente")</f>
        <v>Terceros y genéricos</v>
      </c>
      <c r="O48" s="11" t="str">
        <f aca="false">IFERROR(INDEX(dNIST!$B$2:$B$13,MATCH(M48,dNIST!$A$2:$A$13,0)),"")</f>
        <v>PR</v>
      </c>
      <c r="P48" s="11" t="str">
        <f aca="false">TRIM(IFERROR(LEFT(G48,FIND(CHAR(10),G48)-1),G48))</f>
        <v>Ana María Vergara</v>
      </c>
      <c r="Q48" s="11" t="n">
        <f aca="false">LEN(TRIM(G48))-LEN(SUBSTITUTE(TRIM(G48),CHAR(10),""))+1</f>
        <v>3</v>
      </c>
      <c r="R48" s="11" t="str">
        <f aca="false">IF(E48&lt;&gt;"","Sí","No")</f>
        <v>No</v>
      </c>
      <c r="S48" s="12" t="n">
        <f aca="false">IF(OR(J48="",H48=""),"",IF(J48&lt;=H48,IF(FechaCorte&gt;=J48,1,0),MAX(0,MIN(1,(FechaCorte-H48)/(J48-H48)))))</f>
        <v>0.862745098039216</v>
      </c>
      <c r="T48" s="12" t="n">
        <f aca="false">IF(S48="","",K48-S48)</f>
        <v>-0.812745098039216</v>
      </c>
      <c r="U48" s="11" t="str">
        <f aca="false">IF(R48="Sí","Recurrente",IF(K48&gt;=1,"Completado",IF(AND(J48&lt;&gt;"",J48&lt;FechaCorte),"Vencido",IF(AND(K48=0,OR(H48="",H48&gt;FechaCorte)),"Por iniciar",IF(AND(T48&lt;&gt;"",T48&lt;=UmbralRiesgo),"En riesgo","En plazo")))))</f>
        <v>En riesgo</v>
      </c>
      <c r="V48" s="11" t="n">
        <f aca="false">IF(OR(U48="Vencido",U48="En riesgo",U48="En plazo",U48="Por iniciar"),1,0)</f>
        <v>1</v>
      </c>
      <c r="W48" s="11" t="str">
        <f aca="false">IF(U48="Vencido",FechaCorte-J48,"")</f>
        <v/>
      </c>
      <c r="X48" s="11" t="n">
        <f aca="false">IF(AND(V48=1,U48&lt;&gt;"Vencido"),J48-FechaCorte,"")</f>
        <v>21</v>
      </c>
      <c r="Y48" s="13" t="n">
        <f aca="false">IF(J48="","",DATE(YEAR(J48),MONTH(J48),1))</f>
        <v>46296</v>
      </c>
      <c r="Z48" s="13" t="str">
        <f aca="false">IF(AND(U48="Completado",I48&lt;&gt;""),IF(I48&lt;=FechaCorte,DATE(YEAR(I48),MONTH(I48),1),""),"")</f>
        <v/>
      </c>
      <c r="AA48" s="11" t="n">
        <f aca="false">IF(J48="","",IF(DAY(J48+1)=1,1,0))</f>
        <v>0</v>
      </c>
      <c r="AB48" s="11" t="n">
        <f aca="false">IF(AND(U48="Completado",I48&lt;&gt;"",I48=J48),1,0)</f>
        <v>0</v>
      </c>
      <c r="AC48" s="11" t="n">
        <f aca="false">IF(AND(K48&gt;=1,I48&lt;&gt;""),IF(I48&gt;FechaCorte,1,0),0)</f>
        <v>0</v>
      </c>
      <c r="AD48" s="11" t="n">
        <f aca="false">IF(AND(I48&lt;&gt;"",H48&lt;&gt;""),IF(I48&lt;H48,1,0),0)</f>
        <v>0</v>
      </c>
      <c r="AE48" s="11" t="n">
        <f aca="false">IF(OR(F48="Riesgos",F48="Obs. Auditoría"),1,0)</f>
        <v>0</v>
      </c>
      <c r="AF48" s="11" t="str">
        <f aca="false">IFERROR(MID(D48,FIND("PMC-",D48),8),"")</f>
        <v/>
      </c>
      <c r="AG48" s="11" t="n">
        <f aca="false">IF(AND(V48=1,J48&lt;&gt;""),IF(AND(J48&gt;=FechaCorte,J48&lt;=HorizonteExpuestos),1,0),0)</f>
        <v>1</v>
      </c>
    </row>
    <row r="49" customFormat="false" ht="15" hidden="false" customHeight="false" outlineLevel="0" collapsed="false">
      <c r="A49" s="7" t="n">
        <v>48</v>
      </c>
      <c r="B49" s="7" t="n">
        <v>2026</v>
      </c>
      <c r="C49" s="7" t="s">
        <v>187</v>
      </c>
      <c r="D49" s="7" t="s">
        <v>191</v>
      </c>
      <c r="E49" s="7"/>
      <c r="F49" s="7" t="s">
        <v>74</v>
      </c>
      <c r="G49" s="14" t="s">
        <v>189</v>
      </c>
      <c r="H49" s="8" t="n">
        <v>46210</v>
      </c>
      <c r="I49" s="8"/>
      <c r="J49" s="8" t="n">
        <v>46387</v>
      </c>
      <c r="K49" s="9" t="n">
        <v>0.25</v>
      </c>
      <c r="L49" s="14" t="s">
        <v>192</v>
      </c>
      <c r="M49" s="10" t="s">
        <v>76</v>
      </c>
      <c r="N49" s="11" t="str">
        <f aca="false">IFERROR(INDEX(dFrente!$B$2:$B$76,MATCH(C49,dFrente!$A$2:$A$76,0)),"Sin frente")</f>
        <v>Terceros y genéricos</v>
      </c>
      <c r="O49" s="11" t="str">
        <f aca="false">IFERROR(INDEX(dNIST!$B$2:$B$13,MATCH(M49,dNIST!$A$2:$A$13,0)),"")</f>
        <v>PR</v>
      </c>
      <c r="P49" s="11" t="str">
        <f aca="false">TRIM(IFERROR(LEFT(G49,FIND(CHAR(10),G49)-1),G49))</f>
        <v>Ana María Vergara</v>
      </c>
      <c r="Q49" s="11" t="n">
        <f aca="false">LEN(TRIM(G49))-LEN(SUBSTITUTE(TRIM(G49),CHAR(10),""))+1</f>
        <v>3</v>
      </c>
      <c r="R49" s="11" t="str">
        <f aca="false">IF(E49&lt;&gt;"","Sí","No")</f>
        <v>No</v>
      </c>
      <c r="S49" s="12" t="n">
        <f aca="false">IF(OR(J49="",H49=""),"",IF(J49&lt;=H49,IF(FechaCorte&gt;=J49,1,0),MAX(0,MIN(1,(FechaCorte-H49)/(J49-H49)))))</f>
        <v>0.446327683615819</v>
      </c>
      <c r="T49" s="12" t="n">
        <f aca="false">IF(S49="","",K49-S49)</f>
        <v>-0.196327683615819</v>
      </c>
      <c r="U49" s="11" t="str">
        <f aca="false">IF(R49="Sí","Recurrente",IF(K49&gt;=1,"Completado",IF(AND(J49&lt;&gt;"",J49&lt;FechaCorte),"Vencido",IF(AND(K49=0,OR(H49="",H49&gt;FechaCorte)),"Por iniciar",IF(AND(T49&lt;&gt;"",T49&lt;=UmbralRiesgo),"En riesgo","En plazo")))))</f>
        <v>En plazo</v>
      </c>
      <c r="V49" s="11" t="n">
        <f aca="false">IF(OR(U49="Vencido",U49="En riesgo",U49="En plazo",U49="Por iniciar"),1,0)</f>
        <v>1</v>
      </c>
      <c r="W49" s="11" t="str">
        <f aca="false">IF(U49="Vencido",FechaCorte-J49,"")</f>
        <v/>
      </c>
      <c r="X49" s="11" t="n">
        <f aca="false">IF(AND(V49=1,U49&lt;&gt;"Vencido"),J49-FechaCorte,"")</f>
        <v>98</v>
      </c>
      <c r="Y49" s="13" t="n">
        <f aca="false">IF(J49="","",DATE(YEAR(J49),MONTH(J49),1))</f>
        <v>46357</v>
      </c>
      <c r="Z49" s="13" t="str">
        <f aca="false">IF(AND(U49="Completado",I49&lt;&gt;""),IF(I49&lt;=FechaCorte,DATE(YEAR(I49),MONTH(I49),1),""),"")</f>
        <v/>
      </c>
      <c r="AA49" s="11" t="n">
        <f aca="false">IF(J49="","",IF(DAY(J49+1)=1,1,0))</f>
        <v>1</v>
      </c>
      <c r="AB49" s="11" t="n">
        <f aca="false">IF(AND(U49="Completado",I49&lt;&gt;"",I49=J49),1,0)</f>
        <v>0</v>
      </c>
      <c r="AC49" s="11" t="n">
        <f aca="false">IF(AND(K49&gt;=1,I49&lt;&gt;""),IF(I49&gt;FechaCorte,1,0),0)</f>
        <v>0</v>
      </c>
      <c r="AD49" s="11" t="n">
        <f aca="false">IF(AND(I49&lt;&gt;"",H49&lt;&gt;""),IF(I49&lt;H49,1,0),0)</f>
        <v>0</v>
      </c>
      <c r="AE49" s="11" t="n">
        <f aca="false">IF(OR(F49="Riesgos",F49="Obs. Auditoría"),1,0)</f>
        <v>0</v>
      </c>
      <c r="AF49" s="11" t="str">
        <f aca="false">IFERROR(MID(D49,FIND("PMC-",D49),8),"")</f>
        <v/>
      </c>
      <c r="AG49" s="11" t="n">
        <f aca="false">IF(AND(V49=1,J49&lt;&gt;""),IF(AND(J49&gt;=FechaCorte,J49&lt;=HorizonteExpuestos),1,0),0)</f>
        <v>0</v>
      </c>
    </row>
    <row r="50" customFormat="false" ht="15" hidden="false" customHeight="false" outlineLevel="0" collapsed="false">
      <c r="A50" s="7" t="n">
        <v>49</v>
      </c>
      <c r="B50" s="7" t="n">
        <v>2026</v>
      </c>
      <c r="C50" s="7" t="s">
        <v>187</v>
      </c>
      <c r="D50" s="7" t="s">
        <v>193</v>
      </c>
      <c r="E50" s="7"/>
      <c r="F50" s="7" t="s">
        <v>74</v>
      </c>
      <c r="G50" s="14" t="s">
        <v>189</v>
      </c>
      <c r="H50" s="8" t="n">
        <v>46249</v>
      </c>
      <c r="I50" s="8"/>
      <c r="J50" s="8" t="n">
        <v>46356</v>
      </c>
      <c r="K50" s="9" t="n">
        <v>0.1</v>
      </c>
      <c r="L50" s="7"/>
      <c r="M50" s="10" t="s">
        <v>76</v>
      </c>
      <c r="N50" s="11" t="str">
        <f aca="false">IFERROR(INDEX(dFrente!$B$2:$B$76,MATCH(C50,dFrente!$A$2:$A$76,0)),"Sin frente")</f>
        <v>Terceros y genéricos</v>
      </c>
      <c r="O50" s="11" t="str">
        <f aca="false">IFERROR(INDEX(dNIST!$B$2:$B$13,MATCH(M50,dNIST!$A$2:$A$13,0)),"")</f>
        <v>PR</v>
      </c>
      <c r="P50" s="11" t="str">
        <f aca="false">TRIM(IFERROR(LEFT(G50,FIND(CHAR(10),G50)-1),G50))</f>
        <v>Ana María Vergara</v>
      </c>
      <c r="Q50" s="11" t="n">
        <f aca="false">LEN(TRIM(G50))-LEN(SUBSTITUTE(TRIM(G50),CHAR(10),""))+1</f>
        <v>3</v>
      </c>
      <c r="R50" s="11" t="str">
        <f aca="false">IF(E50&lt;&gt;"","Sí","No")</f>
        <v>No</v>
      </c>
      <c r="S50" s="12" t="n">
        <f aca="false">IF(OR(J50="",H50=""),"",IF(J50&lt;=H50,IF(FechaCorte&gt;=J50,1,0),MAX(0,MIN(1,(FechaCorte-H50)/(J50-H50)))))</f>
        <v>0.373831775700935</v>
      </c>
      <c r="T50" s="12" t="n">
        <f aca="false">IF(S50="","",K50-S50)</f>
        <v>-0.273831775700935</v>
      </c>
      <c r="U50" s="11" t="str">
        <f aca="false">IF(R50="Sí","Recurrente",IF(K50&gt;=1,"Completado",IF(AND(J50&lt;&gt;"",J50&lt;FechaCorte),"Vencido",IF(AND(K50=0,OR(H50="",H50&gt;FechaCorte)),"Por iniciar",IF(AND(T50&lt;&gt;"",T50&lt;=UmbralRiesgo),"En riesgo","En plazo")))))</f>
        <v>En riesgo</v>
      </c>
      <c r="V50" s="11" t="n">
        <f aca="false">IF(OR(U50="Vencido",U50="En riesgo",U50="En plazo",U50="Por iniciar"),1,0)</f>
        <v>1</v>
      </c>
      <c r="W50" s="11" t="str">
        <f aca="false">IF(U50="Vencido",FechaCorte-J50,"")</f>
        <v/>
      </c>
      <c r="X50" s="11" t="n">
        <f aca="false">IF(AND(V50=1,U50&lt;&gt;"Vencido"),J50-FechaCorte,"")</f>
        <v>67</v>
      </c>
      <c r="Y50" s="13" t="n">
        <f aca="false">IF(J50="","",DATE(YEAR(J50),MONTH(J50),1))</f>
        <v>46327</v>
      </c>
      <c r="Z50" s="13" t="str">
        <f aca="false">IF(AND(U50="Completado",I50&lt;&gt;""),IF(I50&lt;=FechaCorte,DATE(YEAR(I50),MONTH(I50),1),""),"")</f>
        <v/>
      </c>
      <c r="AA50" s="11" t="n">
        <f aca="false">IF(J50="","",IF(DAY(J50+1)=1,1,0))</f>
        <v>1</v>
      </c>
      <c r="AB50" s="11" t="n">
        <f aca="false">IF(AND(U50="Completado",I50&lt;&gt;"",I50=J50),1,0)</f>
        <v>0</v>
      </c>
      <c r="AC50" s="11" t="n">
        <f aca="false">IF(AND(K50&gt;=1,I50&lt;&gt;""),IF(I50&gt;FechaCorte,1,0),0)</f>
        <v>0</v>
      </c>
      <c r="AD50" s="11" t="n">
        <f aca="false">IF(AND(I50&lt;&gt;"",H50&lt;&gt;""),IF(I50&lt;H50,1,0),0)</f>
        <v>0</v>
      </c>
      <c r="AE50" s="11" t="n">
        <f aca="false">IF(OR(F50="Riesgos",F50="Obs. Auditoría"),1,0)</f>
        <v>0</v>
      </c>
      <c r="AF50" s="11" t="str">
        <f aca="false">IFERROR(MID(D50,FIND("PMC-",D50),8),"")</f>
        <v/>
      </c>
      <c r="AG50" s="11" t="n">
        <f aca="false">IF(AND(V50=1,J50&lt;&gt;""),IF(AND(J50&gt;=FechaCorte,J50&lt;=HorizonteExpuestos),1,0),0)</f>
        <v>0</v>
      </c>
    </row>
    <row r="51" customFormat="false" ht="15" hidden="false" customHeight="false" outlineLevel="0" collapsed="false">
      <c r="A51" s="7" t="n">
        <v>50</v>
      </c>
      <c r="B51" s="7" t="n">
        <v>2026</v>
      </c>
      <c r="C51" s="7" t="s">
        <v>187</v>
      </c>
      <c r="D51" s="7" t="s">
        <v>194</v>
      </c>
      <c r="E51" s="7"/>
      <c r="F51" s="7" t="s">
        <v>131</v>
      </c>
      <c r="G51" s="7" t="s">
        <v>84</v>
      </c>
      <c r="H51" s="8" t="n">
        <v>46188</v>
      </c>
      <c r="I51" s="8" t="n">
        <v>46204</v>
      </c>
      <c r="J51" s="8" t="n">
        <v>46204</v>
      </c>
      <c r="K51" s="9" t="n">
        <v>1</v>
      </c>
      <c r="L51" s="7" t="s">
        <v>195</v>
      </c>
      <c r="M51" s="10" t="s">
        <v>76</v>
      </c>
      <c r="N51" s="11" t="str">
        <f aca="false">IFERROR(INDEX(dFrente!$B$2:$B$76,MATCH(C51,dFrente!$A$2:$A$76,0)),"Sin frente")</f>
        <v>Terceros y genéricos</v>
      </c>
      <c r="O51" s="11" t="str">
        <f aca="false">IFERROR(INDEX(dNIST!$B$2:$B$13,MATCH(M51,dNIST!$A$2:$A$13,0)),"")</f>
        <v>PR</v>
      </c>
      <c r="P51" s="11" t="str">
        <f aca="false">TRIM(IFERROR(LEFT(G51,FIND(CHAR(10),G51)-1),G51))</f>
        <v>Richard Requelme</v>
      </c>
      <c r="Q51" s="11" t="n">
        <f aca="false">LEN(TRIM(G51))-LEN(SUBSTITUTE(TRIM(G51),CHAR(10),""))+1</f>
        <v>1</v>
      </c>
      <c r="R51" s="11" t="str">
        <f aca="false">IF(E51&lt;&gt;"","Sí","No")</f>
        <v>No</v>
      </c>
      <c r="S51" s="12" t="n">
        <f aca="false">IF(OR(J51="",H51=""),"",IF(J51&lt;=H51,IF(FechaCorte&gt;=J51,1,0),MAX(0,MIN(1,(FechaCorte-H51)/(J51-H51)))))</f>
        <v>1</v>
      </c>
      <c r="T51" s="12" t="n">
        <f aca="false">IF(S51="","",K51-S51)</f>
        <v>0</v>
      </c>
      <c r="U51" s="11" t="str">
        <f aca="false">IF(R51="Sí","Recurrente",IF(K51&gt;=1,"Completado",IF(AND(J51&lt;&gt;"",J51&lt;FechaCorte),"Vencido",IF(AND(K51=0,OR(H51="",H51&gt;FechaCorte)),"Por iniciar",IF(AND(T51&lt;&gt;"",T51&lt;=UmbralRiesgo),"En riesgo","En plazo")))))</f>
        <v>Completado</v>
      </c>
      <c r="V51" s="11" t="n">
        <f aca="false">IF(OR(U51="Vencido",U51="En riesgo",U51="En plazo",U51="Por iniciar"),1,0)</f>
        <v>0</v>
      </c>
      <c r="W51" s="11" t="str">
        <f aca="false">IF(U51="Vencido",FechaCorte-J51,"")</f>
        <v/>
      </c>
      <c r="X51" s="11" t="str">
        <f aca="false">IF(AND(V51=1,U51&lt;&gt;"Vencido"),J51-FechaCorte,"")</f>
        <v/>
      </c>
      <c r="Y51" s="13" t="n">
        <f aca="false">IF(J51="","",DATE(YEAR(J51),MONTH(J51),1))</f>
        <v>46204</v>
      </c>
      <c r="Z51" s="13" t="n">
        <f aca="false">IF(AND(U51="Completado",I51&lt;&gt;""),IF(I51&lt;=FechaCorte,DATE(YEAR(I51),MONTH(I51),1),""),"")</f>
        <v>46204</v>
      </c>
      <c r="AA51" s="11" t="n">
        <f aca="false">IF(J51="","",IF(DAY(J51+1)=1,1,0))</f>
        <v>0</v>
      </c>
      <c r="AB51" s="11" t="n">
        <f aca="false">IF(AND(U51="Completado",I51&lt;&gt;"",I51=J51),1,0)</f>
        <v>1</v>
      </c>
      <c r="AC51" s="11" t="n">
        <f aca="false">IF(AND(K51&gt;=1,I51&lt;&gt;""),IF(I51&gt;FechaCorte,1,0),0)</f>
        <v>0</v>
      </c>
      <c r="AD51" s="11" t="n">
        <f aca="false">IF(AND(I51&lt;&gt;"",H51&lt;&gt;""),IF(I51&lt;H51,1,0),0)</f>
        <v>0</v>
      </c>
      <c r="AE51" s="11" t="n">
        <f aca="false">IF(OR(F51="Riesgos",F51="Obs. Auditoría"),1,0)</f>
        <v>0</v>
      </c>
      <c r="AF51" s="11" t="str">
        <f aca="false">IFERROR(MID(D51,FIND("PMC-",D51),8),"")</f>
        <v/>
      </c>
      <c r="AG51" s="11" t="n">
        <f aca="false">IF(AND(V51=1,J51&lt;&gt;""),IF(AND(J51&gt;=FechaCorte,J51&lt;=HorizonteExpuestos),1,0),0)</f>
        <v>0</v>
      </c>
    </row>
    <row r="52" customFormat="false" ht="15" hidden="false" customHeight="false" outlineLevel="0" collapsed="false">
      <c r="A52" s="7" t="n">
        <v>51</v>
      </c>
      <c r="B52" s="7" t="n">
        <v>2026</v>
      </c>
      <c r="C52" s="7" t="s">
        <v>187</v>
      </c>
      <c r="D52" s="7" t="s">
        <v>196</v>
      </c>
      <c r="E52" s="7"/>
      <c r="F52" s="7" t="s">
        <v>114</v>
      </c>
      <c r="G52" s="14" t="s">
        <v>115</v>
      </c>
      <c r="H52" s="8" t="n">
        <v>46174</v>
      </c>
      <c r="I52" s="8" t="n">
        <v>46175</v>
      </c>
      <c r="J52" s="8" t="n">
        <v>46175</v>
      </c>
      <c r="K52" s="9" t="n">
        <v>1</v>
      </c>
      <c r="L52" s="14" t="s">
        <v>197</v>
      </c>
      <c r="M52" s="10" t="s">
        <v>81</v>
      </c>
      <c r="N52" s="11" t="str">
        <f aca="false">IFERROR(INDEX(dFrente!$B$2:$B$76,MATCH(C52,dFrente!$A$2:$A$76,0)),"Sin frente")</f>
        <v>Terceros y genéricos</v>
      </c>
      <c r="O52" s="11" t="str">
        <f aca="false">IFERROR(INDEX(dNIST!$B$2:$B$13,MATCH(M52,dNIST!$A$2:$A$13,0)),"")</f>
        <v>PR</v>
      </c>
      <c r="P52" s="11" t="str">
        <f aca="false">TRIM(IFERROR(LEFT(G52,FIND(CHAR(10),G52)-1),G52))</f>
        <v>Ana María Vergara</v>
      </c>
      <c r="Q52" s="11" t="n">
        <f aca="false">LEN(TRIM(G52))-LEN(SUBSTITUTE(TRIM(G52),CHAR(10),""))+1</f>
        <v>3</v>
      </c>
      <c r="R52" s="11" t="str">
        <f aca="false">IF(E52&lt;&gt;"","Sí","No")</f>
        <v>No</v>
      </c>
      <c r="S52" s="12" t="n">
        <f aca="false">IF(OR(J52="",H52=""),"",IF(J52&lt;=H52,IF(FechaCorte&gt;=J52,1,0),MAX(0,MIN(1,(FechaCorte-H52)/(J52-H52)))))</f>
        <v>1</v>
      </c>
      <c r="T52" s="12" t="n">
        <f aca="false">IF(S52="","",K52-S52)</f>
        <v>0</v>
      </c>
      <c r="U52" s="11" t="str">
        <f aca="false">IF(R52="Sí","Recurrente",IF(K52&gt;=1,"Completado",IF(AND(J52&lt;&gt;"",J52&lt;FechaCorte),"Vencido",IF(AND(K52=0,OR(H52="",H52&gt;FechaCorte)),"Por iniciar",IF(AND(T52&lt;&gt;"",T52&lt;=UmbralRiesgo),"En riesgo","En plazo")))))</f>
        <v>Completado</v>
      </c>
      <c r="V52" s="11" t="n">
        <f aca="false">IF(OR(U52="Vencido",U52="En riesgo",U52="En plazo",U52="Por iniciar"),1,0)</f>
        <v>0</v>
      </c>
      <c r="W52" s="11" t="str">
        <f aca="false">IF(U52="Vencido",FechaCorte-J52,"")</f>
        <v/>
      </c>
      <c r="X52" s="11" t="str">
        <f aca="false">IF(AND(V52=1,U52&lt;&gt;"Vencido"),J52-FechaCorte,"")</f>
        <v/>
      </c>
      <c r="Y52" s="13" t="n">
        <f aca="false">IF(J52="","",DATE(YEAR(J52),MONTH(J52),1))</f>
        <v>46174</v>
      </c>
      <c r="Z52" s="13" t="n">
        <f aca="false">IF(AND(U52="Completado",I52&lt;&gt;""),IF(I52&lt;=FechaCorte,DATE(YEAR(I52),MONTH(I52),1),""),"")</f>
        <v>46174</v>
      </c>
      <c r="AA52" s="11" t="n">
        <f aca="false">IF(J52="","",IF(DAY(J52+1)=1,1,0))</f>
        <v>0</v>
      </c>
      <c r="AB52" s="11" t="n">
        <f aca="false">IF(AND(U52="Completado",I52&lt;&gt;"",I52=J52),1,0)</f>
        <v>1</v>
      </c>
      <c r="AC52" s="11" t="n">
        <f aca="false">IF(AND(K52&gt;=1,I52&lt;&gt;""),IF(I52&gt;FechaCorte,1,0),0)</f>
        <v>0</v>
      </c>
      <c r="AD52" s="11" t="n">
        <f aca="false">IF(AND(I52&lt;&gt;"",H52&lt;&gt;""),IF(I52&lt;H52,1,0),0)</f>
        <v>0</v>
      </c>
      <c r="AE52" s="11" t="n">
        <f aca="false">IF(OR(F52="Riesgos",F52="Obs. Auditoría"),1,0)</f>
        <v>0</v>
      </c>
      <c r="AF52" s="11" t="str">
        <f aca="false">IFERROR(MID(D52,FIND("PMC-",D52),8),"")</f>
        <v/>
      </c>
      <c r="AG52" s="11" t="n">
        <f aca="false">IF(AND(V52=1,J52&lt;&gt;""),IF(AND(J52&gt;=FechaCorte,J52&lt;=HorizonteExpuestos),1,0),0)</f>
        <v>0</v>
      </c>
    </row>
    <row r="53" customFormat="false" ht="15" hidden="false" customHeight="false" outlineLevel="0" collapsed="false">
      <c r="A53" s="7" t="n">
        <v>52</v>
      </c>
      <c r="B53" s="7" t="n">
        <v>2026</v>
      </c>
      <c r="C53" s="7" t="s">
        <v>187</v>
      </c>
      <c r="D53" s="7" t="s">
        <v>198</v>
      </c>
      <c r="E53" s="7"/>
      <c r="F53" s="7" t="s">
        <v>114</v>
      </c>
      <c r="G53" s="14" t="s">
        <v>109</v>
      </c>
      <c r="H53" s="8" t="n">
        <v>46134</v>
      </c>
      <c r="I53" s="8" t="n">
        <v>46156</v>
      </c>
      <c r="J53" s="8" t="n">
        <v>46156</v>
      </c>
      <c r="K53" s="9" t="n">
        <v>1</v>
      </c>
      <c r="L53" s="14" t="s">
        <v>199</v>
      </c>
      <c r="M53" s="10" t="s">
        <v>186</v>
      </c>
      <c r="N53" s="11" t="str">
        <f aca="false">IFERROR(INDEX(dFrente!$B$2:$B$76,MATCH(C53,dFrente!$A$2:$A$76,0)),"Sin frente")</f>
        <v>Terceros y genéricos</v>
      </c>
      <c r="O53" s="11" t="str">
        <f aca="false">IFERROR(INDEX(dNIST!$B$2:$B$13,MATCH(M53,dNIST!$A$2:$A$13,0)),"")</f>
        <v>GV</v>
      </c>
      <c r="P53" s="11" t="str">
        <f aca="false">TRIM(IFERROR(LEFT(G53,FIND(CHAR(10),G53)-1),G53))</f>
        <v>Ana María Vergara</v>
      </c>
      <c r="Q53" s="11" t="n">
        <f aca="false">LEN(TRIM(G53))-LEN(SUBSTITUTE(TRIM(G53),CHAR(10),""))+1</f>
        <v>2</v>
      </c>
      <c r="R53" s="11" t="str">
        <f aca="false">IF(E53&lt;&gt;"","Sí","No")</f>
        <v>No</v>
      </c>
      <c r="S53" s="12" t="n">
        <f aca="false">IF(OR(J53="",H53=""),"",IF(J53&lt;=H53,IF(FechaCorte&gt;=J53,1,0),MAX(0,MIN(1,(FechaCorte-H53)/(J53-H53)))))</f>
        <v>1</v>
      </c>
      <c r="T53" s="12" t="n">
        <f aca="false">IF(S53="","",K53-S53)</f>
        <v>0</v>
      </c>
      <c r="U53" s="11" t="str">
        <f aca="false">IF(R53="Sí","Recurrente",IF(K53&gt;=1,"Completado",IF(AND(J53&lt;&gt;"",J53&lt;FechaCorte),"Vencido",IF(AND(K53=0,OR(H53="",H53&gt;FechaCorte)),"Por iniciar",IF(AND(T53&lt;&gt;"",T53&lt;=UmbralRiesgo),"En riesgo","En plazo")))))</f>
        <v>Completado</v>
      </c>
      <c r="V53" s="11" t="n">
        <f aca="false">IF(OR(U53="Vencido",U53="En riesgo",U53="En plazo",U53="Por iniciar"),1,0)</f>
        <v>0</v>
      </c>
      <c r="W53" s="11" t="str">
        <f aca="false">IF(U53="Vencido",FechaCorte-J53,"")</f>
        <v/>
      </c>
      <c r="X53" s="11" t="str">
        <f aca="false">IF(AND(V53=1,U53&lt;&gt;"Vencido"),J53-FechaCorte,"")</f>
        <v/>
      </c>
      <c r="Y53" s="13" t="n">
        <f aca="false">IF(J53="","",DATE(YEAR(J53),MONTH(J53),1))</f>
        <v>46143</v>
      </c>
      <c r="Z53" s="13" t="n">
        <f aca="false">IF(AND(U53="Completado",I53&lt;&gt;""),IF(I53&lt;=FechaCorte,DATE(YEAR(I53),MONTH(I53),1),""),"")</f>
        <v>46143</v>
      </c>
      <c r="AA53" s="11" t="n">
        <f aca="false">IF(J53="","",IF(DAY(J53+1)=1,1,0))</f>
        <v>0</v>
      </c>
      <c r="AB53" s="11" t="n">
        <f aca="false">IF(AND(U53="Completado",I53&lt;&gt;"",I53=J53),1,0)</f>
        <v>1</v>
      </c>
      <c r="AC53" s="11" t="n">
        <f aca="false">IF(AND(K53&gt;=1,I53&lt;&gt;""),IF(I53&gt;FechaCorte,1,0),0)</f>
        <v>0</v>
      </c>
      <c r="AD53" s="11" t="n">
        <f aca="false">IF(AND(I53&lt;&gt;"",H53&lt;&gt;""),IF(I53&lt;H53,1,0),0)</f>
        <v>0</v>
      </c>
      <c r="AE53" s="11" t="n">
        <f aca="false">IF(OR(F53="Riesgos",F53="Obs. Auditoría"),1,0)</f>
        <v>0</v>
      </c>
      <c r="AF53" s="11" t="str">
        <f aca="false">IFERROR(MID(D53,FIND("PMC-",D53),8),"")</f>
        <v/>
      </c>
      <c r="AG53" s="11" t="n">
        <f aca="false">IF(AND(V53=1,J53&lt;&gt;""),IF(AND(J53&gt;=FechaCorte,J53&lt;=HorizonteExpuestos),1,0),0)</f>
        <v>0</v>
      </c>
    </row>
    <row r="54" customFormat="false" ht="15" hidden="false" customHeight="false" outlineLevel="0" collapsed="false">
      <c r="A54" s="7" t="n">
        <v>53</v>
      </c>
      <c r="B54" s="7" t="n">
        <v>2026</v>
      </c>
      <c r="C54" s="7" t="s">
        <v>187</v>
      </c>
      <c r="D54" s="7" t="s">
        <v>200</v>
      </c>
      <c r="E54" s="7"/>
      <c r="F54" s="7" t="s">
        <v>114</v>
      </c>
      <c r="G54" s="7" t="s">
        <v>75</v>
      </c>
      <c r="H54" s="8" t="n">
        <v>46185</v>
      </c>
      <c r="I54" s="8" t="n">
        <v>46203</v>
      </c>
      <c r="J54" s="8" t="n">
        <v>46203</v>
      </c>
      <c r="K54" s="9" t="n">
        <v>1</v>
      </c>
      <c r="L54" s="14" t="s">
        <v>201</v>
      </c>
      <c r="M54" s="10" t="s">
        <v>76</v>
      </c>
      <c r="N54" s="11" t="str">
        <f aca="false">IFERROR(INDEX(dFrente!$B$2:$B$76,MATCH(C54,dFrente!$A$2:$A$76,0)),"Sin frente")</f>
        <v>Terceros y genéricos</v>
      </c>
      <c r="O54" s="11" t="str">
        <f aca="false">IFERROR(INDEX(dNIST!$B$2:$B$13,MATCH(M54,dNIST!$A$2:$A$13,0)),"")</f>
        <v>PR</v>
      </c>
      <c r="P54" s="11" t="str">
        <f aca="false">TRIM(IFERROR(LEFT(G54,FIND(CHAR(10),G54)-1),G54))</f>
        <v>Ana María Vergara</v>
      </c>
      <c r="Q54" s="11" t="n">
        <f aca="false">LEN(TRIM(G54))-LEN(SUBSTITUTE(TRIM(G54),CHAR(10),""))+1</f>
        <v>1</v>
      </c>
      <c r="R54" s="11" t="str">
        <f aca="false">IF(E54&lt;&gt;"","Sí","No")</f>
        <v>No</v>
      </c>
      <c r="S54" s="12" t="n">
        <f aca="false">IF(OR(J54="",H54=""),"",IF(J54&lt;=H54,IF(FechaCorte&gt;=J54,1,0),MAX(0,MIN(1,(FechaCorte-H54)/(J54-H54)))))</f>
        <v>1</v>
      </c>
      <c r="T54" s="12" t="n">
        <f aca="false">IF(S54="","",K54-S54)</f>
        <v>0</v>
      </c>
      <c r="U54" s="11" t="str">
        <f aca="false">IF(R54="Sí","Recurrente",IF(K54&gt;=1,"Completado",IF(AND(J54&lt;&gt;"",J54&lt;FechaCorte),"Vencido",IF(AND(K54=0,OR(H54="",H54&gt;FechaCorte)),"Por iniciar",IF(AND(T54&lt;&gt;"",T54&lt;=UmbralRiesgo),"En riesgo","En plazo")))))</f>
        <v>Completado</v>
      </c>
      <c r="V54" s="11" t="n">
        <f aca="false">IF(OR(U54="Vencido",U54="En riesgo",U54="En plazo",U54="Por iniciar"),1,0)</f>
        <v>0</v>
      </c>
      <c r="W54" s="11" t="str">
        <f aca="false">IF(U54="Vencido",FechaCorte-J54,"")</f>
        <v/>
      </c>
      <c r="X54" s="11" t="str">
        <f aca="false">IF(AND(V54=1,U54&lt;&gt;"Vencido"),J54-FechaCorte,"")</f>
        <v/>
      </c>
      <c r="Y54" s="13" t="n">
        <f aca="false">IF(J54="","",DATE(YEAR(J54),MONTH(J54),1))</f>
        <v>46174</v>
      </c>
      <c r="Z54" s="13" t="n">
        <f aca="false">IF(AND(U54="Completado",I54&lt;&gt;""),IF(I54&lt;=FechaCorte,DATE(YEAR(I54),MONTH(I54),1),""),"")</f>
        <v>46174</v>
      </c>
      <c r="AA54" s="11" t="n">
        <f aca="false">IF(J54="","",IF(DAY(J54+1)=1,1,0))</f>
        <v>1</v>
      </c>
      <c r="AB54" s="11" t="n">
        <f aca="false">IF(AND(U54="Completado",I54&lt;&gt;"",I54=J54),1,0)</f>
        <v>1</v>
      </c>
      <c r="AC54" s="11" t="n">
        <f aca="false">IF(AND(K54&gt;=1,I54&lt;&gt;""),IF(I54&gt;FechaCorte,1,0),0)</f>
        <v>0</v>
      </c>
      <c r="AD54" s="11" t="n">
        <f aca="false">IF(AND(I54&lt;&gt;"",H54&lt;&gt;""),IF(I54&lt;H54,1,0),0)</f>
        <v>0</v>
      </c>
      <c r="AE54" s="11" t="n">
        <f aca="false">IF(OR(F54="Riesgos",F54="Obs. Auditoría"),1,0)</f>
        <v>0</v>
      </c>
      <c r="AF54" s="11" t="str">
        <f aca="false">IFERROR(MID(D54,FIND("PMC-",D54),8),"")</f>
        <v/>
      </c>
      <c r="AG54" s="11" t="n">
        <f aca="false">IF(AND(V54=1,J54&lt;&gt;""),IF(AND(J54&gt;=FechaCorte,J54&lt;=HorizonteExpuestos),1,0),0)</f>
        <v>0</v>
      </c>
    </row>
    <row r="55" customFormat="false" ht="15" hidden="false" customHeight="false" outlineLevel="0" collapsed="false">
      <c r="A55" s="7" t="n">
        <v>54</v>
      </c>
      <c r="B55" s="7" t="n">
        <v>2026</v>
      </c>
      <c r="C55" s="7" t="s">
        <v>202</v>
      </c>
      <c r="D55" s="7" t="s">
        <v>203</v>
      </c>
      <c r="E55" s="7"/>
      <c r="F55" s="7" t="s">
        <v>131</v>
      </c>
      <c r="G55" s="14" t="s">
        <v>204</v>
      </c>
      <c r="H55" s="8" t="n">
        <v>46163</v>
      </c>
      <c r="I55" s="8" t="n">
        <v>46203</v>
      </c>
      <c r="J55" s="8" t="n">
        <v>46203</v>
      </c>
      <c r="K55" s="9" t="n">
        <v>1</v>
      </c>
      <c r="L55" s="7" t="s">
        <v>205</v>
      </c>
      <c r="M55" s="10" t="s">
        <v>76</v>
      </c>
      <c r="N55" s="11" t="str">
        <f aca="false">IFERROR(INDEX(dFrente!$B$2:$B$76,MATCH(C55,dFrente!$A$2:$A$76,0)),"Sin frente")</f>
        <v>Terceros y genéricos</v>
      </c>
      <c r="O55" s="11" t="str">
        <f aca="false">IFERROR(INDEX(dNIST!$B$2:$B$13,MATCH(M55,dNIST!$A$2:$A$13,0)),"")</f>
        <v>PR</v>
      </c>
      <c r="P55" s="11" t="str">
        <f aca="false">TRIM(IFERROR(LEFT(G55,FIND(CHAR(10),G55)-1),G55))</f>
        <v>Bryan Uyana</v>
      </c>
      <c r="Q55" s="11" t="n">
        <f aca="false">LEN(TRIM(G55))-LEN(SUBSTITUTE(TRIM(G55),CHAR(10),""))+1</f>
        <v>2</v>
      </c>
      <c r="R55" s="11" t="str">
        <f aca="false">IF(E55&lt;&gt;"","Sí","No")</f>
        <v>No</v>
      </c>
      <c r="S55" s="12" t="n">
        <f aca="false">IF(OR(J55="",H55=""),"",IF(J55&lt;=H55,IF(FechaCorte&gt;=J55,1,0),MAX(0,MIN(1,(FechaCorte-H55)/(J55-H55)))))</f>
        <v>1</v>
      </c>
      <c r="T55" s="12" t="n">
        <f aca="false">IF(S55="","",K55-S55)</f>
        <v>0</v>
      </c>
      <c r="U55" s="11" t="str">
        <f aca="false">IF(R55="Sí","Recurrente",IF(K55&gt;=1,"Completado",IF(AND(J55&lt;&gt;"",J55&lt;FechaCorte),"Vencido",IF(AND(K55=0,OR(H55="",H55&gt;FechaCorte)),"Por iniciar",IF(AND(T55&lt;&gt;"",T55&lt;=UmbralRiesgo),"En riesgo","En plazo")))))</f>
        <v>Completado</v>
      </c>
      <c r="V55" s="11" t="n">
        <f aca="false">IF(OR(U55="Vencido",U55="En riesgo",U55="En plazo",U55="Por iniciar"),1,0)</f>
        <v>0</v>
      </c>
      <c r="W55" s="11" t="str">
        <f aca="false">IF(U55="Vencido",FechaCorte-J55,"")</f>
        <v/>
      </c>
      <c r="X55" s="11" t="str">
        <f aca="false">IF(AND(V55=1,U55&lt;&gt;"Vencido"),J55-FechaCorte,"")</f>
        <v/>
      </c>
      <c r="Y55" s="13" t="n">
        <f aca="false">IF(J55="","",DATE(YEAR(J55),MONTH(J55),1))</f>
        <v>46174</v>
      </c>
      <c r="Z55" s="13" t="n">
        <f aca="false">IF(AND(U55="Completado",I55&lt;&gt;""),IF(I55&lt;=FechaCorte,DATE(YEAR(I55),MONTH(I55),1),""),"")</f>
        <v>46174</v>
      </c>
      <c r="AA55" s="11" t="n">
        <f aca="false">IF(J55="","",IF(DAY(J55+1)=1,1,0))</f>
        <v>1</v>
      </c>
      <c r="AB55" s="11" t="n">
        <f aca="false">IF(AND(U55="Completado",I55&lt;&gt;"",I55=J55),1,0)</f>
        <v>1</v>
      </c>
      <c r="AC55" s="11" t="n">
        <f aca="false">IF(AND(K55&gt;=1,I55&lt;&gt;""),IF(I55&gt;FechaCorte,1,0),0)</f>
        <v>0</v>
      </c>
      <c r="AD55" s="11" t="n">
        <f aca="false">IF(AND(I55&lt;&gt;"",H55&lt;&gt;""),IF(I55&lt;H55,1,0),0)</f>
        <v>0</v>
      </c>
      <c r="AE55" s="11" t="n">
        <f aca="false">IF(OR(F55="Riesgos",F55="Obs. Auditoría"),1,0)</f>
        <v>0</v>
      </c>
      <c r="AF55" s="11" t="str">
        <f aca="false">IFERROR(MID(D55,FIND("PMC-",D55),8),"")</f>
        <v/>
      </c>
      <c r="AG55" s="11" t="n">
        <f aca="false">IF(AND(V55=1,J55&lt;&gt;""),IF(AND(J55&gt;=FechaCorte,J55&lt;=HorizonteExpuestos),1,0),0)</f>
        <v>0</v>
      </c>
    </row>
    <row r="56" customFormat="false" ht="15" hidden="false" customHeight="false" outlineLevel="0" collapsed="false">
      <c r="A56" s="7" t="n">
        <v>55</v>
      </c>
      <c r="B56" s="7" t="n">
        <v>2026</v>
      </c>
      <c r="C56" s="7" t="s">
        <v>206</v>
      </c>
      <c r="D56" s="7" t="s">
        <v>207</v>
      </c>
      <c r="E56" s="7"/>
      <c r="F56" s="7" t="s">
        <v>131</v>
      </c>
      <c r="G56" s="7" t="s">
        <v>75</v>
      </c>
      <c r="H56" s="8" t="n">
        <v>46249</v>
      </c>
      <c r="I56" s="8"/>
      <c r="J56" s="8" t="n">
        <v>46326</v>
      </c>
      <c r="K56" s="9" t="n">
        <v>0.5</v>
      </c>
      <c r="L56" s="14" t="s">
        <v>208</v>
      </c>
      <c r="M56" s="10" t="s">
        <v>76</v>
      </c>
      <c r="N56" s="11" t="str">
        <f aca="false">IFERROR(INDEX(dFrente!$B$2:$B$76,MATCH(C56,dFrente!$A$2:$A$76,0)),"Sin frente")</f>
        <v>Terceros y genéricos</v>
      </c>
      <c r="O56" s="11" t="str">
        <f aca="false">IFERROR(INDEX(dNIST!$B$2:$B$13,MATCH(M56,dNIST!$A$2:$A$13,0)),"")</f>
        <v>PR</v>
      </c>
      <c r="P56" s="11" t="str">
        <f aca="false">TRIM(IFERROR(LEFT(G56,FIND(CHAR(10),G56)-1),G56))</f>
        <v>Ana María Vergara</v>
      </c>
      <c r="Q56" s="11" t="n">
        <f aca="false">LEN(TRIM(G56))-LEN(SUBSTITUTE(TRIM(G56),CHAR(10),""))+1</f>
        <v>1</v>
      </c>
      <c r="R56" s="11" t="str">
        <f aca="false">IF(E56&lt;&gt;"","Sí","No")</f>
        <v>No</v>
      </c>
      <c r="S56" s="12" t="n">
        <f aca="false">IF(OR(J56="",H56=""),"",IF(J56&lt;=H56,IF(FechaCorte&gt;=J56,1,0),MAX(0,MIN(1,(FechaCorte-H56)/(J56-H56)))))</f>
        <v>0.519480519480519</v>
      </c>
      <c r="T56" s="12" t="n">
        <f aca="false">IF(S56="","",K56-S56)</f>
        <v>-0.0194805194805194</v>
      </c>
      <c r="U56" s="11" t="str">
        <f aca="false">IF(R56="Sí","Recurrente",IF(K56&gt;=1,"Completado",IF(AND(J56&lt;&gt;"",J56&lt;FechaCorte),"Vencido",IF(AND(K56=0,OR(H56="",H56&gt;FechaCorte)),"Por iniciar",IF(AND(T56&lt;&gt;"",T56&lt;=UmbralRiesgo),"En riesgo","En plazo")))))</f>
        <v>En plazo</v>
      </c>
      <c r="V56" s="11" t="n">
        <f aca="false">IF(OR(U56="Vencido",U56="En riesgo",U56="En plazo",U56="Por iniciar"),1,0)</f>
        <v>1</v>
      </c>
      <c r="W56" s="11" t="str">
        <f aca="false">IF(U56="Vencido",FechaCorte-J56,"")</f>
        <v/>
      </c>
      <c r="X56" s="11" t="n">
        <f aca="false">IF(AND(V56=1,U56&lt;&gt;"Vencido"),J56-FechaCorte,"")</f>
        <v>37</v>
      </c>
      <c r="Y56" s="13" t="n">
        <f aca="false">IF(J56="","",DATE(YEAR(J56),MONTH(J56),1))</f>
        <v>46296</v>
      </c>
      <c r="Z56" s="13" t="str">
        <f aca="false">IF(AND(U56="Completado",I56&lt;&gt;""),IF(I56&lt;=FechaCorte,DATE(YEAR(I56),MONTH(I56),1),""),"")</f>
        <v/>
      </c>
      <c r="AA56" s="11" t="n">
        <f aca="false">IF(J56="","",IF(DAY(J56+1)=1,1,0))</f>
        <v>1</v>
      </c>
      <c r="AB56" s="11" t="n">
        <f aca="false">IF(AND(U56="Completado",I56&lt;&gt;"",I56=J56),1,0)</f>
        <v>0</v>
      </c>
      <c r="AC56" s="11" t="n">
        <f aca="false">IF(AND(K56&gt;=1,I56&lt;&gt;""),IF(I56&gt;FechaCorte,1,0),0)</f>
        <v>0</v>
      </c>
      <c r="AD56" s="11" t="n">
        <f aca="false">IF(AND(I56&lt;&gt;"",H56&lt;&gt;""),IF(I56&lt;H56,1,0),0)</f>
        <v>0</v>
      </c>
      <c r="AE56" s="11" t="n">
        <f aca="false">IF(OR(F56="Riesgos",F56="Obs. Auditoría"),1,0)</f>
        <v>0</v>
      </c>
      <c r="AF56" s="11" t="str">
        <f aca="false">IFERROR(MID(D56,FIND("PMC-",D56),8),"")</f>
        <v/>
      </c>
      <c r="AG56" s="11" t="n">
        <f aca="false">IF(AND(V56=1,J56&lt;&gt;""),IF(AND(J56&gt;=FechaCorte,J56&lt;=HorizonteExpuestos),1,0),0)</f>
        <v>0</v>
      </c>
    </row>
    <row r="57" customFormat="false" ht="15" hidden="false" customHeight="false" outlineLevel="0" collapsed="false">
      <c r="A57" s="7" t="n">
        <v>56</v>
      </c>
      <c r="B57" s="7" t="n">
        <v>2026</v>
      </c>
      <c r="C57" s="7" t="s">
        <v>209</v>
      </c>
      <c r="D57" s="7" t="s">
        <v>210</v>
      </c>
      <c r="E57" s="7"/>
      <c r="F57" s="7" t="s">
        <v>114</v>
      </c>
      <c r="G57" s="14" t="s">
        <v>211</v>
      </c>
      <c r="H57" s="8" t="n">
        <v>46157</v>
      </c>
      <c r="I57" s="8"/>
      <c r="J57" s="8" t="n">
        <v>46295</v>
      </c>
      <c r="K57" s="9" t="n">
        <v>0.5</v>
      </c>
      <c r="L57" s="7" t="s">
        <v>212</v>
      </c>
      <c r="M57" s="10" t="s">
        <v>186</v>
      </c>
      <c r="N57" s="11" t="str">
        <f aca="false">IFERROR(INDEX(dFrente!$B$2:$B$76,MATCH(C57,dFrente!$A$2:$A$76,0)),"Sin frente")</f>
        <v>Certificación de accesos</v>
      </c>
      <c r="O57" s="11" t="str">
        <f aca="false">IFERROR(INDEX(dNIST!$B$2:$B$13,MATCH(M57,dNIST!$A$2:$A$13,0)),"")</f>
        <v>GV</v>
      </c>
      <c r="P57" s="11" t="str">
        <f aca="false">TRIM(IFERROR(LEFT(G57,FIND(CHAR(10),G57)-1),G57))</f>
        <v>Bryan Uyana</v>
      </c>
      <c r="Q57" s="11" t="n">
        <f aca="false">LEN(TRIM(G57))-LEN(SUBSTITUTE(TRIM(G57),CHAR(10),""))+1</f>
        <v>6</v>
      </c>
      <c r="R57" s="11" t="str">
        <f aca="false">IF(E57&lt;&gt;"","Sí","No")</f>
        <v>No</v>
      </c>
      <c r="S57" s="12" t="n">
        <f aca="false">IF(OR(J57="",H57=""),"",IF(J57&lt;=H57,IF(FechaCorte&gt;=J57,1,0),MAX(0,MIN(1,(FechaCorte-H57)/(J57-H57)))))</f>
        <v>0.956521739130435</v>
      </c>
      <c r="T57" s="12" t="n">
        <f aca="false">IF(S57="","",K57-S57)</f>
        <v>-0.456521739130435</v>
      </c>
      <c r="U57" s="11" t="str">
        <f aca="false">IF(R57="Sí","Recurrente",IF(K57&gt;=1,"Completado",IF(AND(J57&lt;&gt;"",J57&lt;FechaCorte),"Vencido",IF(AND(K57=0,OR(H57="",H57&gt;FechaCorte)),"Por iniciar",IF(AND(T57&lt;&gt;"",T57&lt;=UmbralRiesgo),"En riesgo","En plazo")))))</f>
        <v>En riesgo</v>
      </c>
      <c r="V57" s="11" t="n">
        <f aca="false">IF(OR(U57="Vencido",U57="En riesgo",U57="En plazo",U57="Por iniciar"),1,0)</f>
        <v>1</v>
      </c>
      <c r="W57" s="11" t="str">
        <f aca="false">IF(U57="Vencido",FechaCorte-J57,"")</f>
        <v/>
      </c>
      <c r="X57" s="11" t="n">
        <f aca="false">IF(AND(V57=1,U57&lt;&gt;"Vencido"),J57-FechaCorte,"")</f>
        <v>6</v>
      </c>
      <c r="Y57" s="13" t="n">
        <f aca="false">IF(J57="","",DATE(YEAR(J57),MONTH(J57),1))</f>
        <v>46266</v>
      </c>
      <c r="Z57" s="13" t="str">
        <f aca="false">IF(AND(U57="Completado",I57&lt;&gt;""),IF(I57&lt;=FechaCorte,DATE(YEAR(I57),MONTH(I57),1),""),"")</f>
        <v/>
      </c>
      <c r="AA57" s="11" t="n">
        <f aca="false">IF(J57="","",IF(DAY(J57+1)=1,1,0))</f>
        <v>1</v>
      </c>
      <c r="AB57" s="11" t="n">
        <f aca="false">IF(AND(U57="Completado",I57&lt;&gt;"",I57=J57),1,0)</f>
        <v>0</v>
      </c>
      <c r="AC57" s="11" t="n">
        <f aca="false">IF(AND(K57&gt;=1,I57&lt;&gt;""),IF(I57&gt;FechaCorte,1,0),0)</f>
        <v>0</v>
      </c>
      <c r="AD57" s="11" t="n">
        <f aca="false">IF(AND(I57&lt;&gt;"",H57&lt;&gt;""),IF(I57&lt;H57,1,0),0)</f>
        <v>0</v>
      </c>
      <c r="AE57" s="11" t="n">
        <f aca="false">IF(OR(F57="Riesgos",F57="Obs. Auditoría"),1,0)</f>
        <v>0</v>
      </c>
      <c r="AF57" s="11" t="str">
        <f aca="false">IFERROR(MID(D57,FIND("PMC-",D57),8),"")</f>
        <v/>
      </c>
      <c r="AG57" s="11" t="n">
        <f aca="false">IF(AND(V57=1,J57&lt;&gt;""),IF(AND(J57&gt;=FechaCorte,J57&lt;=HorizonteExpuestos),1,0),0)</f>
        <v>1</v>
      </c>
    </row>
    <row r="58" customFormat="false" ht="15" hidden="false" customHeight="false" outlineLevel="0" collapsed="false">
      <c r="A58" s="7" t="n">
        <v>57</v>
      </c>
      <c r="B58" s="7" t="n">
        <v>2026</v>
      </c>
      <c r="C58" s="7" t="s">
        <v>213</v>
      </c>
      <c r="D58" s="7" t="s">
        <v>214</v>
      </c>
      <c r="E58" s="7"/>
      <c r="F58" s="7" t="s">
        <v>114</v>
      </c>
      <c r="G58" s="14" t="s">
        <v>215</v>
      </c>
      <c r="H58" s="8" t="n">
        <v>46082</v>
      </c>
      <c r="I58" s="8"/>
      <c r="J58" s="8" t="n">
        <v>46325</v>
      </c>
      <c r="K58" s="9" t="n">
        <v>0.2</v>
      </c>
      <c r="L58" s="7"/>
      <c r="M58" s="10" t="s">
        <v>81</v>
      </c>
      <c r="N58" s="11" t="str">
        <f aca="false">IFERROR(INDEX(dFrente!$B$2:$B$76,MATCH(C58,dFrente!$A$2:$A$76,0)),"Sin frente")</f>
        <v>Certificación de accesos</v>
      </c>
      <c r="O58" s="11" t="str">
        <f aca="false">IFERROR(INDEX(dNIST!$B$2:$B$13,MATCH(M58,dNIST!$A$2:$A$13,0)),"")</f>
        <v>PR</v>
      </c>
      <c r="P58" s="11" t="str">
        <f aca="false">TRIM(IFERROR(LEFT(G58,FIND(CHAR(10),G58)-1),G58))</f>
        <v>Bryan Uyana</v>
      </c>
      <c r="Q58" s="11" t="n">
        <f aca="false">LEN(TRIM(G58))-LEN(SUBSTITUTE(TRIM(G58),CHAR(10),""))+1</f>
        <v>3</v>
      </c>
      <c r="R58" s="11" t="str">
        <f aca="false">IF(E58&lt;&gt;"","Sí","No")</f>
        <v>No</v>
      </c>
      <c r="S58" s="12" t="n">
        <f aca="false">IF(OR(J58="",H58=""),"",IF(J58&lt;=H58,IF(FechaCorte&gt;=J58,1,0),MAX(0,MIN(1,(FechaCorte-H58)/(J58-H58)))))</f>
        <v>0.851851851851852</v>
      </c>
      <c r="T58" s="12" t="n">
        <f aca="false">IF(S58="","",K58-S58)</f>
        <v>-0.651851851851852</v>
      </c>
      <c r="U58" s="11" t="str">
        <f aca="false">IF(R58="Sí","Recurrente",IF(K58&gt;=1,"Completado",IF(AND(J58&lt;&gt;"",J58&lt;FechaCorte),"Vencido",IF(AND(K58=0,OR(H58="",H58&gt;FechaCorte)),"Por iniciar",IF(AND(T58&lt;&gt;"",T58&lt;=UmbralRiesgo),"En riesgo","En plazo")))))</f>
        <v>En riesgo</v>
      </c>
      <c r="V58" s="11" t="n">
        <f aca="false">IF(OR(U58="Vencido",U58="En riesgo",U58="En plazo",U58="Por iniciar"),1,0)</f>
        <v>1</v>
      </c>
      <c r="W58" s="11" t="str">
        <f aca="false">IF(U58="Vencido",FechaCorte-J58,"")</f>
        <v/>
      </c>
      <c r="X58" s="11" t="n">
        <f aca="false">IF(AND(V58=1,U58&lt;&gt;"Vencido"),J58-FechaCorte,"")</f>
        <v>36</v>
      </c>
      <c r="Y58" s="13" t="n">
        <f aca="false">IF(J58="","",DATE(YEAR(J58),MONTH(J58),1))</f>
        <v>46296</v>
      </c>
      <c r="Z58" s="13" t="str">
        <f aca="false">IF(AND(U58="Completado",I58&lt;&gt;""),IF(I58&lt;=FechaCorte,DATE(YEAR(I58),MONTH(I58),1),""),"")</f>
        <v/>
      </c>
      <c r="AA58" s="11" t="n">
        <f aca="false">IF(J58="","",IF(DAY(J58+1)=1,1,0))</f>
        <v>0</v>
      </c>
      <c r="AB58" s="11" t="n">
        <f aca="false">IF(AND(U58="Completado",I58&lt;&gt;"",I58=J58),1,0)</f>
        <v>0</v>
      </c>
      <c r="AC58" s="11" t="n">
        <f aca="false">IF(AND(K58&gt;=1,I58&lt;&gt;""),IF(I58&gt;FechaCorte,1,0),0)</f>
        <v>0</v>
      </c>
      <c r="AD58" s="11" t="n">
        <f aca="false">IF(AND(I58&lt;&gt;"",H58&lt;&gt;""),IF(I58&lt;H58,1,0),0)</f>
        <v>0</v>
      </c>
      <c r="AE58" s="11" t="n">
        <f aca="false">IF(OR(F58="Riesgos",F58="Obs. Auditoría"),1,0)</f>
        <v>0</v>
      </c>
      <c r="AF58" s="11" t="str">
        <f aca="false">IFERROR(MID(D58,FIND("PMC-",D58),8),"")</f>
        <v/>
      </c>
      <c r="AG58" s="11" t="n">
        <f aca="false">IF(AND(V58=1,J58&lt;&gt;""),IF(AND(J58&gt;=FechaCorte,J58&lt;=HorizonteExpuestos),1,0),0)</f>
        <v>0</v>
      </c>
    </row>
    <row r="59" customFormat="false" ht="15" hidden="false" customHeight="false" outlineLevel="0" collapsed="false">
      <c r="A59" s="7" t="n">
        <v>58</v>
      </c>
      <c r="B59" s="7" t="n">
        <v>2026</v>
      </c>
      <c r="C59" s="7" t="s">
        <v>216</v>
      </c>
      <c r="D59" s="7" t="s">
        <v>217</v>
      </c>
      <c r="E59" s="7"/>
      <c r="F59" s="7" t="s">
        <v>114</v>
      </c>
      <c r="G59" s="7" t="s">
        <v>218</v>
      </c>
      <c r="H59" s="8" t="n">
        <v>46174</v>
      </c>
      <c r="I59" s="8"/>
      <c r="J59" s="8" t="n">
        <v>46387</v>
      </c>
      <c r="K59" s="9" t="n">
        <v>0.3</v>
      </c>
      <c r="L59" s="7" t="s">
        <v>219</v>
      </c>
      <c r="M59" s="10" t="s">
        <v>81</v>
      </c>
      <c r="N59" s="11" t="str">
        <f aca="false">IFERROR(INDEX(dFrente!$B$2:$B$76,MATCH(C59,dFrente!$A$2:$A$76,0)),"Sin frente")</f>
        <v>Certificación de accesos</v>
      </c>
      <c r="O59" s="11" t="str">
        <f aca="false">IFERROR(INDEX(dNIST!$B$2:$B$13,MATCH(M59,dNIST!$A$2:$A$13,0)),"")</f>
        <v>PR</v>
      </c>
      <c r="P59" s="11" t="str">
        <f aca="false">TRIM(IFERROR(LEFT(G59,FIND(CHAR(10),G59)-1),G59))</f>
        <v>Todo el Equipo</v>
      </c>
      <c r="Q59" s="11" t="n">
        <f aca="false">LEN(TRIM(G59))-LEN(SUBSTITUTE(TRIM(G59),CHAR(10),""))+1</f>
        <v>1</v>
      </c>
      <c r="R59" s="11" t="str">
        <f aca="false">IF(E59&lt;&gt;"","Sí","No")</f>
        <v>No</v>
      </c>
      <c r="S59" s="12" t="n">
        <f aca="false">IF(OR(J59="",H59=""),"",IF(J59&lt;=H59,IF(FechaCorte&gt;=J59,1,0),MAX(0,MIN(1,(FechaCorte-H59)/(J59-H59)))))</f>
        <v>0.539906103286385</v>
      </c>
      <c r="T59" s="12" t="n">
        <f aca="false">IF(S59="","",K59-S59)</f>
        <v>-0.239906103286385</v>
      </c>
      <c r="U59" s="11" t="str">
        <f aca="false">IF(R59="Sí","Recurrente",IF(K59&gt;=1,"Completado",IF(AND(J59&lt;&gt;"",J59&lt;FechaCorte),"Vencido",IF(AND(K59=0,OR(H59="",H59&gt;FechaCorte)),"Por iniciar",IF(AND(T59&lt;&gt;"",T59&lt;=UmbralRiesgo),"En riesgo","En plazo")))))</f>
        <v>En plazo</v>
      </c>
      <c r="V59" s="11" t="n">
        <f aca="false">IF(OR(U59="Vencido",U59="En riesgo",U59="En plazo",U59="Por iniciar"),1,0)</f>
        <v>1</v>
      </c>
      <c r="W59" s="11" t="str">
        <f aca="false">IF(U59="Vencido",FechaCorte-J59,"")</f>
        <v/>
      </c>
      <c r="X59" s="11" t="n">
        <f aca="false">IF(AND(V59=1,U59&lt;&gt;"Vencido"),J59-FechaCorte,"")</f>
        <v>98</v>
      </c>
      <c r="Y59" s="13" t="n">
        <f aca="false">IF(J59="","",DATE(YEAR(J59),MONTH(J59),1))</f>
        <v>46357</v>
      </c>
      <c r="Z59" s="13" t="str">
        <f aca="false">IF(AND(U59="Completado",I59&lt;&gt;""),IF(I59&lt;=FechaCorte,DATE(YEAR(I59),MONTH(I59),1),""),"")</f>
        <v/>
      </c>
      <c r="AA59" s="11" t="n">
        <f aca="false">IF(J59="","",IF(DAY(J59+1)=1,1,0))</f>
        <v>1</v>
      </c>
      <c r="AB59" s="11" t="n">
        <f aca="false">IF(AND(U59="Completado",I59&lt;&gt;"",I59=J59),1,0)</f>
        <v>0</v>
      </c>
      <c r="AC59" s="11" t="n">
        <f aca="false">IF(AND(K59&gt;=1,I59&lt;&gt;""),IF(I59&gt;FechaCorte,1,0),0)</f>
        <v>0</v>
      </c>
      <c r="AD59" s="11" t="n">
        <f aca="false">IF(AND(I59&lt;&gt;"",H59&lt;&gt;""),IF(I59&lt;H59,1,0),0)</f>
        <v>0</v>
      </c>
      <c r="AE59" s="11" t="n">
        <f aca="false">IF(OR(F59="Riesgos",F59="Obs. Auditoría"),1,0)</f>
        <v>0</v>
      </c>
      <c r="AF59" s="11" t="str">
        <f aca="false">IFERROR(MID(D59,FIND("PMC-",D59),8),"")</f>
        <v>PMC-2943</v>
      </c>
      <c r="AG59" s="11" t="n">
        <f aca="false">IF(AND(V59=1,J59&lt;&gt;""),IF(AND(J59&gt;=FechaCorte,J59&lt;=HorizonteExpuestos),1,0),0)</f>
        <v>0</v>
      </c>
    </row>
    <row r="60" customFormat="false" ht="15" hidden="false" customHeight="false" outlineLevel="0" collapsed="false">
      <c r="A60" s="7" t="n">
        <v>59</v>
      </c>
      <c r="B60" s="7" t="n">
        <v>2026</v>
      </c>
      <c r="C60" s="7" t="s">
        <v>220</v>
      </c>
      <c r="D60" s="7" t="s">
        <v>221</v>
      </c>
      <c r="E60" s="7"/>
      <c r="F60" s="7" t="s">
        <v>74</v>
      </c>
      <c r="G60" s="7" t="s">
        <v>84</v>
      </c>
      <c r="H60" s="8" t="n">
        <v>46174</v>
      </c>
      <c r="I60" s="8"/>
      <c r="J60" s="8" t="n">
        <v>46295</v>
      </c>
      <c r="K60" s="9" t="n">
        <v>0.5</v>
      </c>
      <c r="L60" s="7" t="s">
        <v>222</v>
      </c>
      <c r="M60" s="10" t="s">
        <v>76</v>
      </c>
      <c r="N60" s="11" t="str">
        <f aca="false">IFERROR(INDEX(dFrente!$B$2:$B$76,MATCH(C60,dFrente!$A$2:$A$76,0)),"Sin frente")</f>
        <v>Terceros y genéricos</v>
      </c>
      <c r="O60" s="11" t="str">
        <f aca="false">IFERROR(INDEX(dNIST!$B$2:$B$13,MATCH(M60,dNIST!$A$2:$A$13,0)),"")</f>
        <v>PR</v>
      </c>
      <c r="P60" s="11" t="str">
        <f aca="false">TRIM(IFERROR(LEFT(G60,FIND(CHAR(10),G60)-1),G60))</f>
        <v>Richard Requelme</v>
      </c>
      <c r="Q60" s="11" t="n">
        <f aca="false">LEN(TRIM(G60))-LEN(SUBSTITUTE(TRIM(G60),CHAR(10),""))+1</f>
        <v>1</v>
      </c>
      <c r="R60" s="11" t="str">
        <f aca="false">IF(E60&lt;&gt;"","Sí","No")</f>
        <v>No</v>
      </c>
      <c r="S60" s="12" t="n">
        <f aca="false">IF(OR(J60="",H60=""),"",IF(J60&lt;=H60,IF(FechaCorte&gt;=J60,1,0),MAX(0,MIN(1,(FechaCorte-H60)/(J60-H60)))))</f>
        <v>0.950413223140496</v>
      </c>
      <c r="T60" s="12" t="n">
        <f aca="false">IF(S60="","",K60-S60)</f>
        <v>-0.450413223140496</v>
      </c>
      <c r="U60" s="11" t="str">
        <f aca="false">IF(R60="Sí","Recurrente",IF(K60&gt;=1,"Completado",IF(AND(J60&lt;&gt;"",J60&lt;FechaCorte),"Vencido",IF(AND(K60=0,OR(H60="",H60&gt;FechaCorte)),"Por iniciar",IF(AND(T60&lt;&gt;"",T60&lt;=UmbralRiesgo),"En riesgo","En plazo")))))</f>
        <v>En riesgo</v>
      </c>
      <c r="V60" s="11" t="n">
        <f aca="false">IF(OR(U60="Vencido",U60="En riesgo",U60="En plazo",U60="Por iniciar"),1,0)</f>
        <v>1</v>
      </c>
      <c r="W60" s="11" t="str">
        <f aca="false">IF(U60="Vencido",FechaCorte-J60,"")</f>
        <v/>
      </c>
      <c r="X60" s="11" t="n">
        <f aca="false">IF(AND(V60=1,U60&lt;&gt;"Vencido"),J60-FechaCorte,"")</f>
        <v>6</v>
      </c>
      <c r="Y60" s="13" t="n">
        <f aca="false">IF(J60="","",DATE(YEAR(J60),MONTH(J60),1))</f>
        <v>46266</v>
      </c>
      <c r="Z60" s="13" t="str">
        <f aca="false">IF(AND(U60="Completado",I60&lt;&gt;""),IF(I60&lt;=FechaCorte,DATE(YEAR(I60),MONTH(I60),1),""),"")</f>
        <v/>
      </c>
      <c r="AA60" s="11" t="n">
        <f aca="false">IF(J60="","",IF(DAY(J60+1)=1,1,0))</f>
        <v>1</v>
      </c>
      <c r="AB60" s="11" t="n">
        <f aca="false">IF(AND(U60="Completado",I60&lt;&gt;"",I60=J60),1,0)</f>
        <v>0</v>
      </c>
      <c r="AC60" s="11" t="n">
        <f aca="false">IF(AND(K60&gt;=1,I60&lt;&gt;""),IF(I60&gt;FechaCorte,1,0),0)</f>
        <v>0</v>
      </c>
      <c r="AD60" s="11" t="n">
        <f aca="false">IF(AND(I60&lt;&gt;"",H60&lt;&gt;""),IF(I60&lt;H60,1,0),0)</f>
        <v>0</v>
      </c>
      <c r="AE60" s="11" t="n">
        <f aca="false">IF(OR(F60="Riesgos",F60="Obs. Auditoría"),1,0)</f>
        <v>0</v>
      </c>
      <c r="AF60" s="11" t="str">
        <f aca="false">IFERROR(MID(D60,FIND("PMC-",D60),8),"")</f>
        <v/>
      </c>
      <c r="AG60" s="11" t="n">
        <f aca="false">IF(AND(V60=1,J60&lt;&gt;""),IF(AND(J60&gt;=FechaCorte,J60&lt;=HorizonteExpuestos),1,0),0)</f>
        <v>1</v>
      </c>
    </row>
    <row r="61" customFormat="false" ht="15" hidden="false" customHeight="false" outlineLevel="0" collapsed="false">
      <c r="A61" s="7" t="n">
        <v>60</v>
      </c>
      <c r="B61" s="7" t="n">
        <v>2026</v>
      </c>
      <c r="C61" s="7" t="s">
        <v>220</v>
      </c>
      <c r="D61" s="7" t="s">
        <v>223</v>
      </c>
      <c r="E61" s="7"/>
      <c r="F61" s="7" t="s">
        <v>74</v>
      </c>
      <c r="G61" s="7" t="s">
        <v>84</v>
      </c>
      <c r="H61" s="8" t="n">
        <v>46204</v>
      </c>
      <c r="I61" s="8"/>
      <c r="J61" s="8" t="n">
        <v>46264</v>
      </c>
      <c r="K61" s="9" t="n">
        <v>0.95</v>
      </c>
      <c r="L61" s="7" t="s">
        <v>224</v>
      </c>
      <c r="M61" s="10" t="s">
        <v>76</v>
      </c>
      <c r="N61" s="11" t="str">
        <f aca="false">IFERROR(INDEX(dFrente!$B$2:$B$76,MATCH(C61,dFrente!$A$2:$A$76,0)),"Sin frente")</f>
        <v>Terceros y genéricos</v>
      </c>
      <c r="O61" s="11" t="str">
        <f aca="false">IFERROR(INDEX(dNIST!$B$2:$B$13,MATCH(M61,dNIST!$A$2:$A$13,0)),"")</f>
        <v>PR</v>
      </c>
      <c r="P61" s="11" t="str">
        <f aca="false">TRIM(IFERROR(LEFT(G61,FIND(CHAR(10),G61)-1),G61))</f>
        <v>Richard Requelme</v>
      </c>
      <c r="Q61" s="11" t="n">
        <f aca="false">LEN(TRIM(G61))-LEN(SUBSTITUTE(TRIM(G61),CHAR(10),""))+1</f>
        <v>1</v>
      </c>
      <c r="R61" s="11" t="str">
        <f aca="false">IF(E61&lt;&gt;"","Sí","No")</f>
        <v>No</v>
      </c>
      <c r="S61" s="12" t="n">
        <f aca="false">IF(OR(J61="",H61=""),"",IF(J61&lt;=H61,IF(FechaCorte&gt;=J61,1,0),MAX(0,MIN(1,(FechaCorte-H61)/(J61-H61)))))</f>
        <v>1</v>
      </c>
      <c r="T61" s="12" t="n">
        <f aca="false">IF(S61="","",K61-S61)</f>
        <v>-0.05</v>
      </c>
      <c r="U61" s="11" t="str">
        <f aca="false">IF(R61="Sí","Recurrente",IF(K61&gt;=1,"Completado",IF(AND(J61&lt;&gt;"",J61&lt;FechaCorte),"Vencido",IF(AND(K61=0,OR(H61="",H61&gt;FechaCorte)),"Por iniciar",IF(AND(T61&lt;&gt;"",T61&lt;=UmbralRiesgo),"En riesgo","En plazo")))))</f>
        <v>Vencido</v>
      </c>
      <c r="V61" s="11" t="n">
        <f aca="false">IF(OR(U61="Vencido",U61="En riesgo",U61="En plazo",U61="Por iniciar"),1,0)</f>
        <v>1</v>
      </c>
      <c r="W61" s="11" t="n">
        <f aca="false">IF(U61="Vencido",FechaCorte-J61,"")</f>
        <v>25</v>
      </c>
      <c r="X61" s="11" t="str">
        <f aca="false">IF(AND(V61=1,U61&lt;&gt;"Vencido"),J61-FechaCorte,"")</f>
        <v/>
      </c>
      <c r="Y61" s="13" t="n">
        <f aca="false">IF(J61="","",DATE(YEAR(J61),MONTH(J61),1))</f>
        <v>46235</v>
      </c>
      <c r="Z61" s="13" t="str">
        <f aca="false">IF(AND(U61="Completado",I61&lt;&gt;""),IF(I61&lt;=FechaCorte,DATE(YEAR(I61),MONTH(I61),1),""),"")</f>
        <v/>
      </c>
      <c r="AA61" s="11" t="n">
        <f aca="false">IF(J61="","",IF(DAY(J61+1)=1,1,0))</f>
        <v>0</v>
      </c>
      <c r="AB61" s="11" t="n">
        <f aca="false">IF(AND(U61="Completado",I61&lt;&gt;"",I61=J61),1,0)</f>
        <v>0</v>
      </c>
      <c r="AC61" s="11" t="n">
        <f aca="false">IF(AND(K61&gt;=1,I61&lt;&gt;""),IF(I61&gt;FechaCorte,1,0),0)</f>
        <v>0</v>
      </c>
      <c r="AD61" s="11" t="n">
        <f aca="false">IF(AND(I61&lt;&gt;"",H61&lt;&gt;""),IF(I61&lt;H61,1,0),0)</f>
        <v>0</v>
      </c>
      <c r="AE61" s="11" t="n">
        <f aca="false">IF(OR(F61="Riesgos",F61="Obs. Auditoría"),1,0)</f>
        <v>0</v>
      </c>
      <c r="AF61" s="11" t="str">
        <f aca="false">IFERROR(MID(D61,FIND("PMC-",D61),8),"")</f>
        <v/>
      </c>
      <c r="AG61" s="11" t="n">
        <f aca="false">IF(AND(V61=1,J61&lt;&gt;""),IF(AND(J61&gt;=FechaCorte,J61&lt;=HorizonteExpuestos),1,0),0)</f>
        <v>0</v>
      </c>
    </row>
    <row r="62" customFormat="false" ht="15" hidden="false" customHeight="false" outlineLevel="0" collapsed="false">
      <c r="A62" s="7" t="n">
        <v>61</v>
      </c>
      <c r="B62" s="7" t="n">
        <v>2026</v>
      </c>
      <c r="C62" s="7" t="s">
        <v>220</v>
      </c>
      <c r="D62" s="7" t="s">
        <v>225</v>
      </c>
      <c r="E62" s="7"/>
      <c r="F62" s="7" t="s">
        <v>74</v>
      </c>
      <c r="G62" s="7" t="s">
        <v>226</v>
      </c>
      <c r="H62" s="8" t="n">
        <v>46174</v>
      </c>
      <c r="I62" s="8"/>
      <c r="J62" s="8" t="n">
        <v>46356</v>
      </c>
      <c r="K62" s="9" t="n">
        <v>0.05</v>
      </c>
      <c r="L62" s="7"/>
      <c r="M62" s="10" t="s">
        <v>76</v>
      </c>
      <c r="N62" s="11" t="str">
        <f aca="false">IFERROR(INDEX(dFrente!$B$2:$B$76,MATCH(C62,dFrente!$A$2:$A$76,0)),"Sin frente")</f>
        <v>Terceros y genéricos</v>
      </c>
      <c r="O62" s="11" t="str">
        <f aca="false">IFERROR(INDEX(dNIST!$B$2:$B$13,MATCH(M62,dNIST!$A$2:$A$13,0)),"")</f>
        <v>PR</v>
      </c>
      <c r="P62" s="11" t="str">
        <f aca="false">TRIM(IFERROR(LEFT(G62,FIND(CHAR(10),G62)-1),G62))</f>
        <v>Yolanda León</v>
      </c>
      <c r="Q62" s="11" t="n">
        <f aca="false">LEN(TRIM(G62))-LEN(SUBSTITUTE(TRIM(G62),CHAR(10),""))+1</f>
        <v>1</v>
      </c>
      <c r="R62" s="11" t="str">
        <f aca="false">IF(E62&lt;&gt;"","Sí","No")</f>
        <v>No</v>
      </c>
      <c r="S62" s="12" t="n">
        <f aca="false">IF(OR(J62="",H62=""),"",IF(J62&lt;=H62,IF(FechaCorte&gt;=J62,1,0),MAX(0,MIN(1,(FechaCorte-H62)/(J62-H62)))))</f>
        <v>0.631868131868132</v>
      </c>
      <c r="T62" s="12" t="n">
        <f aca="false">IF(S62="","",K62-S62)</f>
        <v>-0.581868131868132</v>
      </c>
      <c r="U62" s="11" t="str">
        <f aca="false">IF(R62="Sí","Recurrente",IF(K62&gt;=1,"Completado",IF(AND(J62&lt;&gt;"",J62&lt;FechaCorte),"Vencido",IF(AND(K62=0,OR(H62="",H62&gt;FechaCorte)),"Por iniciar",IF(AND(T62&lt;&gt;"",T62&lt;=UmbralRiesgo),"En riesgo","En plazo")))))</f>
        <v>En riesgo</v>
      </c>
      <c r="V62" s="11" t="n">
        <f aca="false">IF(OR(U62="Vencido",U62="En riesgo",U62="En plazo",U62="Por iniciar"),1,0)</f>
        <v>1</v>
      </c>
      <c r="W62" s="11" t="str">
        <f aca="false">IF(U62="Vencido",FechaCorte-J62,"")</f>
        <v/>
      </c>
      <c r="X62" s="11" t="n">
        <f aca="false">IF(AND(V62=1,U62&lt;&gt;"Vencido"),J62-FechaCorte,"")</f>
        <v>67</v>
      </c>
      <c r="Y62" s="13" t="n">
        <f aca="false">IF(J62="","",DATE(YEAR(J62),MONTH(J62),1))</f>
        <v>46327</v>
      </c>
      <c r="Z62" s="13" t="str">
        <f aca="false">IF(AND(U62="Completado",I62&lt;&gt;""),IF(I62&lt;=FechaCorte,DATE(YEAR(I62),MONTH(I62),1),""),"")</f>
        <v/>
      </c>
      <c r="AA62" s="11" t="n">
        <f aca="false">IF(J62="","",IF(DAY(J62+1)=1,1,0))</f>
        <v>1</v>
      </c>
      <c r="AB62" s="11" t="n">
        <f aca="false">IF(AND(U62="Completado",I62&lt;&gt;"",I62=J62),1,0)</f>
        <v>0</v>
      </c>
      <c r="AC62" s="11" t="n">
        <f aca="false">IF(AND(K62&gt;=1,I62&lt;&gt;""),IF(I62&gt;FechaCorte,1,0),0)</f>
        <v>0</v>
      </c>
      <c r="AD62" s="11" t="n">
        <f aca="false">IF(AND(I62&lt;&gt;"",H62&lt;&gt;""),IF(I62&lt;H62,1,0),0)</f>
        <v>0</v>
      </c>
      <c r="AE62" s="11" t="n">
        <f aca="false">IF(OR(F62="Riesgos",F62="Obs. Auditoría"),1,0)</f>
        <v>0</v>
      </c>
      <c r="AF62" s="11" t="str">
        <f aca="false">IFERROR(MID(D62,FIND("PMC-",D62),8),"")</f>
        <v/>
      </c>
      <c r="AG62" s="11" t="n">
        <f aca="false">IF(AND(V62=1,J62&lt;&gt;""),IF(AND(J62&gt;=FechaCorte,J62&lt;=HorizonteExpuestos),1,0),0)</f>
        <v>0</v>
      </c>
    </row>
    <row r="63" customFormat="false" ht="15" hidden="false" customHeight="false" outlineLevel="0" collapsed="false">
      <c r="A63" s="7" t="n">
        <v>62</v>
      </c>
      <c r="B63" s="7" t="n">
        <v>2026</v>
      </c>
      <c r="C63" s="7" t="s">
        <v>220</v>
      </c>
      <c r="D63" s="7" t="s">
        <v>227</v>
      </c>
      <c r="E63" s="7"/>
      <c r="F63" s="7" t="s">
        <v>74</v>
      </c>
      <c r="G63" s="7" t="s">
        <v>84</v>
      </c>
      <c r="H63" s="8" t="n">
        <v>46218</v>
      </c>
      <c r="I63" s="8"/>
      <c r="J63" s="8" t="n">
        <v>46264</v>
      </c>
      <c r="K63" s="9" t="n">
        <v>0.8</v>
      </c>
      <c r="L63" s="7" t="s">
        <v>228</v>
      </c>
      <c r="M63" s="10" t="s">
        <v>81</v>
      </c>
      <c r="N63" s="11" t="str">
        <f aca="false">IFERROR(INDEX(dFrente!$B$2:$B$76,MATCH(C63,dFrente!$A$2:$A$76,0)),"Sin frente")</f>
        <v>Terceros y genéricos</v>
      </c>
      <c r="O63" s="11" t="str">
        <f aca="false">IFERROR(INDEX(dNIST!$B$2:$B$13,MATCH(M63,dNIST!$A$2:$A$13,0)),"")</f>
        <v>PR</v>
      </c>
      <c r="P63" s="11" t="str">
        <f aca="false">TRIM(IFERROR(LEFT(G63,FIND(CHAR(10),G63)-1),G63))</f>
        <v>Richard Requelme</v>
      </c>
      <c r="Q63" s="11" t="n">
        <f aca="false">LEN(TRIM(G63))-LEN(SUBSTITUTE(TRIM(G63),CHAR(10),""))+1</f>
        <v>1</v>
      </c>
      <c r="R63" s="11" t="str">
        <f aca="false">IF(E63&lt;&gt;"","Sí","No")</f>
        <v>No</v>
      </c>
      <c r="S63" s="12" t="n">
        <f aca="false">IF(OR(J63="",H63=""),"",IF(J63&lt;=H63,IF(FechaCorte&gt;=J63,1,0),MAX(0,MIN(1,(FechaCorte-H63)/(J63-H63)))))</f>
        <v>1</v>
      </c>
      <c r="T63" s="12" t="n">
        <f aca="false">IF(S63="","",K63-S63)</f>
        <v>-0.2</v>
      </c>
      <c r="U63" s="11" t="str">
        <f aca="false">IF(R63="Sí","Recurrente",IF(K63&gt;=1,"Completado",IF(AND(J63&lt;&gt;"",J63&lt;FechaCorte),"Vencido",IF(AND(K63=0,OR(H63="",H63&gt;FechaCorte)),"Por iniciar",IF(AND(T63&lt;&gt;"",T63&lt;=UmbralRiesgo),"En riesgo","En plazo")))))</f>
        <v>Vencido</v>
      </c>
      <c r="V63" s="11" t="n">
        <f aca="false">IF(OR(U63="Vencido",U63="En riesgo",U63="En plazo",U63="Por iniciar"),1,0)</f>
        <v>1</v>
      </c>
      <c r="W63" s="11" t="n">
        <f aca="false">IF(U63="Vencido",FechaCorte-J63,"")</f>
        <v>25</v>
      </c>
      <c r="X63" s="11" t="str">
        <f aca="false">IF(AND(V63=1,U63&lt;&gt;"Vencido"),J63-FechaCorte,"")</f>
        <v/>
      </c>
      <c r="Y63" s="13" t="n">
        <f aca="false">IF(J63="","",DATE(YEAR(J63),MONTH(J63),1))</f>
        <v>46235</v>
      </c>
      <c r="Z63" s="13" t="str">
        <f aca="false">IF(AND(U63="Completado",I63&lt;&gt;""),IF(I63&lt;=FechaCorte,DATE(YEAR(I63),MONTH(I63),1),""),"")</f>
        <v/>
      </c>
      <c r="AA63" s="11" t="n">
        <f aca="false">IF(J63="","",IF(DAY(J63+1)=1,1,0))</f>
        <v>0</v>
      </c>
      <c r="AB63" s="11" t="n">
        <f aca="false">IF(AND(U63="Completado",I63&lt;&gt;"",I63=J63),1,0)</f>
        <v>0</v>
      </c>
      <c r="AC63" s="11" t="n">
        <f aca="false">IF(AND(K63&gt;=1,I63&lt;&gt;""),IF(I63&gt;FechaCorte,1,0),0)</f>
        <v>0</v>
      </c>
      <c r="AD63" s="11" t="n">
        <f aca="false">IF(AND(I63&lt;&gt;"",H63&lt;&gt;""),IF(I63&lt;H63,1,0),0)</f>
        <v>0</v>
      </c>
      <c r="AE63" s="11" t="n">
        <f aca="false">IF(OR(F63="Riesgos",F63="Obs. Auditoría"),1,0)</f>
        <v>0</v>
      </c>
      <c r="AF63" s="11" t="str">
        <f aca="false">IFERROR(MID(D63,FIND("PMC-",D63),8),"")</f>
        <v/>
      </c>
      <c r="AG63" s="11" t="n">
        <f aca="false">IF(AND(V63=1,J63&lt;&gt;""),IF(AND(J63&gt;=FechaCorte,J63&lt;=HorizonteExpuestos),1,0),0)</f>
        <v>0</v>
      </c>
    </row>
    <row r="64" customFormat="false" ht="15" hidden="false" customHeight="false" outlineLevel="0" collapsed="false">
      <c r="A64" s="7" t="n">
        <v>63</v>
      </c>
      <c r="B64" s="7" t="n">
        <v>2026</v>
      </c>
      <c r="C64" s="7" t="s">
        <v>229</v>
      </c>
      <c r="D64" s="7" t="s">
        <v>230</v>
      </c>
      <c r="E64" s="7"/>
      <c r="F64" s="7" t="s">
        <v>131</v>
      </c>
      <c r="G64" s="7" t="s">
        <v>231</v>
      </c>
      <c r="H64" s="8" t="n">
        <v>46082</v>
      </c>
      <c r="I64" s="8" t="n">
        <v>46272</v>
      </c>
      <c r="J64" s="8" t="n">
        <v>46272</v>
      </c>
      <c r="K64" s="9" t="n">
        <v>1</v>
      </c>
      <c r="L64" s="7"/>
      <c r="M64" s="10" t="s">
        <v>76</v>
      </c>
      <c r="N64" s="11" t="str">
        <f aca="false">IFERROR(INDEX(dFrente!$B$2:$B$76,MATCH(C64,dFrente!$A$2:$A$76,0)),"Sin frente")</f>
        <v>Certificación de accesos</v>
      </c>
      <c r="O64" s="11" t="str">
        <f aca="false">IFERROR(INDEX(dNIST!$B$2:$B$13,MATCH(M64,dNIST!$A$2:$A$13,0)),"")</f>
        <v>PR</v>
      </c>
      <c r="P64" s="11" t="str">
        <f aca="false">TRIM(IFERROR(LEFT(G64,FIND(CHAR(10),G64)-1),G64))</f>
        <v>Bryan Uyana</v>
      </c>
      <c r="Q64" s="11" t="n">
        <f aca="false">LEN(TRIM(G64))-LEN(SUBSTITUTE(TRIM(G64),CHAR(10),""))+1</f>
        <v>1</v>
      </c>
      <c r="R64" s="11" t="str">
        <f aca="false">IF(E64&lt;&gt;"","Sí","No")</f>
        <v>No</v>
      </c>
      <c r="S64" s="12" t="n">
        <f aca="false">IF(OR(J64="",H64=""),"",IF(J64&lt;=H64,IF(FechaCorte&gt;=J64,1,0),MAX(0,MIN(1,(FechaCorte-H64)/(J64-H64)))))</f>
        <v>1</v>
      </c>
      <c r="T64" s="12" t="n">
        <f aca="false">IF(S64="","",K64-S64)</f>
        <v>0</v>
      </c>
      <c r="U64" s="11" t="str">
        <f aca="false">IF(R64="Sí","Recurrente",IF(K64&gt;=1,"Completado",IF(AND(J64&lt;&gt;"",J64&lt;FechaCorte),"Vencido",IF(AND(K64=0,OR(H64="",H64&gt;FechaCorte)),"Por iniciar",IF(AND(T64&lt;&gt;"",T64&lt;=UmbralRiesgo),"En riesgo","En plazo")))))</f>
        <v>Completado</v>
      </c>
      <c r="V64" s="11" t="n">
        <f aca="false">IF(OR(U64="Vencido",U64="En riesgo",U64="En plazo",U64="Por iniciar"),1,0)</f>
        <v>0</v>
      </c>
      <c r="W64" s="11" t="str">
        <f aca="false">IF(U64="Vencido",FechaCorte-J64,"")</f>
        <v/>
      </c>
      <c r="X64" s="11" t="str">
        <f aca="false">IF(AND(V64=1,U64&lt;&gt;"Vencido"),J64-FechaCorte,"")</f>
        <v/>
      </c>
      <c r="Y64" s="13" t="n">
        <f aca="false">IF(J64="","",DATE(YEAR(J64),MONTH(J64),1))</f>
        <v>46266</v>
      </c>
      <c r="Z64" s="13" t="n">
        <f aca="false">IF(AND(U64="Completado",I64&lt;&gt;""),IF(I64&lt;=FechaCorte,DATE(YEAR(I64),MONTH(I64),1),""),"")</f>
        <v>46266</v>
      </c>
      <c r="AA64" s="11" t="n">
        <f aca="false">IF(J64="","",IF(DAY(J64+1)=1,1,0))</f>
        <v>0</v>
      </c>
      <c r="AB64" s="11" t="n">
        <f aca="false">IF(AND(U64="Completado",I64&lt;&gt;"",I64=J64),1,0)</f>
        <v>1</v>
      </c>
      <c r="AC64" s="11" t="n">
        <f aca="false">IF(AND(K64&gt;=1,I64&lt;&gt;""),IF(I64&gt;FechaCorte,1,0),0)</f>
        <v>0</v>
      </c>
      <c r="AD64" s="11" t="n">
        <f aca="false">IF(AND(I64&lt;&gt;"",H64&lt;&gt;""),IF(I64&lt;H64,1,0),0)</f>
        <v>0</v>
      </c>
      <c r="AE64" s="11" t="n">
        <f aca="false">IF(OR(F64="Riesgos",F64="Obs. Auditoría"),1,0)</f>
        <v>0</v>
      </c>
      <c r="AF64" s="11" t="str">
        <f aca="false">IFERROR(MID(D64,FIND("PMC-",D64),8),"")</f>
        <v/>
      </c>
      <c r="AG64" s="11" t="n">
        <f aca="false">IF(AND(V64=1,J64&lt;&gt;""),IF(AND(J64&gt;=FechaCorte,J64&lt;=HorizonteExpuestos),1,0),0)</f>
        <v>0</v>
      </c>
    </row>
    <row r="65" customFormat="false" ht="15" hidden="false" customHeight="false" outlineLevel="0" collapsed="false">
      <c r="A65" s="7" t="n">
        <v>64</v>
      </c>
      <c r="B65" s="7" t="n">
        <v>2026</v>
      </c>
      <c r="C65" s="7" t="s">
        <v>229</v>
      </c>
      <c r="D65" s="7" t="s">
        <v>232</v>
      </c>
      <c r="E65" s="7"/>
      <c r="F65" s="7" t="s">
        <v>74</v>
      </c>
      <c r="G65" s="14" t="s">
        <v>233</v>
      </c>
      <c r="H65" s="8" t="n">
        <v>46162</v>
      </c>
      <c r="I65" s="8"/>
      <c r="J65" s="8" t="n">
        <v>46387</v>
      </c>
      <c r="K65" s="9" t="n">
        <v>0.25</v>
      </c>
      <c r="L65" s="7" t="s">
        <v>234</v>
      </c>
      <c r="M65" s="10" t="s">
        <v>81</v>
      </c>
      <c r="N65" s="11" t="str">
        <f aca="false">IFERROR(INDEX(dFrente!$B$2:$B$76,MATCH(C65,dFrente!$A$2:$A$76,0)),"Sin frente")</f>
        <v>Certificación de accesos</v>
      </c>
      <c r="O65" s="11" t="str">
        <f aca="false">IFERROR(INDEX(dNIST!$B$2:$B$13,MATCH(M65,dNIST!$A$2:$A$13,0)),"")</f>
        <v>PR</v>
      </c>
      <c r="P65" s="11" t="str">
        <f aca="false">TRIM(IFERROR(LEFT(G65,FIND(CHAR(10),G65)-1),G65))</f>
        <v>Ana María Fierro</v>
      </c>
      <c r="Q65" s="11" t="n">
        <f aca="false">LEN(TRIM(G65))-LEN(SUBSTITUTE(TRIM(G65),CHAR(10),""))+1</f>
        <v>3</v>
      </c>
      <c r="R65" s="11" t="str">
        <f aca="false">IF(E65&lt;&gt;"","Sí","No")</f>
        <v>No</v>
      </c>
      <c r="S65" s="12" t="n">
        <f aca="false">IF(OR(J65="",H65=""),"",IF(J65&lt;=H65,IF(FechaCorte&gt;=J65,1,0),MAX(0,MIN(1,(FechaCorte-H65)/(J65-H65)))))</f>
        <v>0.564444444444444</v>
      </c>
      <c r="T65" s="12" t="n">
        <f aca="false">IF(S65="","",K65-S65)</f>
        <v>-0.314444444444444</v>
      </c>
      <c r="U65" s="11" t="str">
        <f aca="false">IF(R65="Sí","Recurrente",IF(K65&gt;=1,"Completado",IF(AND(J65&lt;&gt;"",J65&lt;FechaCorte),"Vencido",IF(AND(K65=0,OR(H65="",H65&gt;FechaCorte)),"Por iniciar",IF(AND(T65&lt;&gt;"",T65&lt;=UmbralRiesgo),"En riesgo","En plazo")))))</f>
        <v>En riesgo</v>
      </c>
      <c r="V65" s="11" t="n">
        <f aca="false">IF(OR(U65="Vencido",U65="En riesgo",U65="En plazo",U65="Por iniciar"),1,0)</f>
        <v>1</v>
      </c>
      <c r="W65" s="11" t="str">
        <f aca="false">IF(U65="Vencido",FechaCorte-J65,"")</f>
        <v/>
      </c>
      <c r="X65" s="11" t="n">
        <f aca="false">IF(AND(V65=1,U65&lt;&gt;"Vencido"),J65-FechaCorte,"")</f>
        <v>98</v>
      </c>
      <c r="Y65" s="13" t="n">
        <f aca="false">IF(J65="","",DATE(YEAR(J65),MONTH(J65),1))</f>
        <v>46357</v>
      </c>
      <c r="Z65" s="13" t="str">
        <f aca="false">IF(AND(U65="Completado",I65&lt;&gt;""),IF(I65&lt;=FechaCorte,DATE(YEAR(I65),MONTH(I65),1),""),"")</f>
        <v/>
      </c>
      <c r="AA65" s="11" t="n">
        <f aca="false">IF(J65="","",IF(DAY(J65+1)=1,1,0))</f>
        <v>1</v>
      </c>
      <c r="AB65" s="11" t="n">
        <f aca="false">IF(AND(U65="Completado",I65&lt;&gt;"",I65=J65),1,0)</f>
        <v>0</v>
      </c>
      <c r="AC65" s="11" t="n">
        <f aca="false">IF(AND(K65&gt;=1,I65&lt;&gt;""),IF(I65&gt;FechaCorte,1,0),0)</f>
        <v>0</v>
      </c>
      <c r="AD65" s="11" t="n">
        <f aca="false">IF(AND(I65&lt;&gt;"",H65&lt;&gt;""),IF(I65&lt;H65,1,0),0)</f>
        <v>0</v>
      </c>
      <c r="AE65" s="11" t="n">
        <f aca="false">IF(OR(F65="Riesgos",F65="Obs. Auditoría"),1,0)</f>
        <v>0</v>
      </c>
      <c r="AF65" s="11" t="str">
        <f aca="false">IFERROR(MID(D65,FIND("PMC-",D65),8),"")</f>
        <v/>
      </c>
      <c r="AG65" s="11" t="n">
        <f aca="false">IF(AND(V65=1,J65&lt;&gt;""),IF(AND(J65&gt;=FechaCorte,J65&lt;=HorizonteExpuestos),1,0),0)</f>
        <v>0</v>
      </c>
    </row>
    <row r="66" customFormat="false" ht="15" hidden="false" customHeight="false" outlineLevel="0" collapsed="false">
      <c r="A66" s="7" t="n">
        <v>65</v>
      </c>
      <c r="B66" s="7" t="n">
        <v>2026</v>
      </c>
      <c r="C66" s="7" t="s">
        <v>229</v>
      </c>
      <c r="D66" s="14" t="s">
        <v>235</v>
      </c>
      <c r="E66" s="7"/>
      <c r="F66" s="7" t="s">
        <v>74</v>
      </c>
      <c r="G66" s="14" t="s">
        <v>236</v>
      </c>
      <c r="H66" s="8" t="n">
        <v>46212</v>
      </c>
      <c r="I66" s="8"/>
      <c r="J66" s="8" t="n">
        <v>46326</v>
      </c>
      <c r="K66" s="9" t="n">
        <v>0.15</v>
      </c>
      <c r="L66" s="7" t="s">
        <v>237</v>
      </c>
      <c r="M66" s="10" t="s">
        <v>93</v>
      </c>
      <c r="N66" s="11" t="str">
        <f aca="false">IFERROR(INDEX(dFrente!$B$2:$B$76,MATCH(C66,dFrente!$A$2:$A$76,0)),"Sin frente")</f>
        <v>Certificación de accesos</v>
      </c>
      <c r="O66" s="11" t="str">
        <f aca="false">IFERROR(INDEX(dNIST!$B$2:$B$13,MATCH(M66,dNIST!$A$2:$A$13,0)),"")</f>
        <v>DE</v>
      </c>
      <c r="P66" s="11" t="str">
        <f aca="false">TRIM(IFERROR(LEFT(G66,FIND(CHAR(10),G66)-1),G66))</f>
        <v>Bryan Uyana</v>
      </c>
      <c r="Q66" s="11" t="n">
        <f aca="false">LEN(TRIM(G66))-LEN(SUBSTITUTE(TRIM(G66),CHAR(10),""))+1</f>
        <v>3</v>
      </c>
      <c r="R66" s="11" t="str">
        <f aca="false">IF(E66&lt;&gt;"","Sí","No")</f>
        <v>No</v>
      </c>
      <c r="S66" s="12" t="n">
        <f aca="false">IF(OR(J66="",H66=""),"",IF(J66&lt;=H66,IF(FechaCorte&gt;=J66,1,0),MAX(0,MIN(1,(FechaCorte-H66)/(J66-H66)))))</f>
        <v>0.675438596491228</v>
      </c>
      <c r="T66" s="12" t="n">
        <f aca="false">IF(S66="","",K66-S66)</f>
        <v>-0.525438596491228</v>
      </c>
      <c r="U66" s="11" t="str">
        <f aca="false">IF(R66="Sí","Recurrente",IF(K66&gt;=1,"Completado",IF(AND(J66&lt;&gt;"",J66&lt;FechaCorte),"Vencido",IF(AND(K66=0,OR(H66="",H66&gt;FechaCorte)),"Por iniciar",IF(AND(T66&lt;&gt;"",T66&lt;=UmbralRiesgo),"En riesgo","En plazo")))))</f>
        <v>En riesgo</v>
      </c>
      <c r="V66" s="11" t="n">
        <f aca="false">IF(OR(U66="Vencido",U66="En riesgo",U66="En plazo",U66="Por iniciar"),1,0)</f>
        <v>1</v>
      </c>
      <c r="W66" s="11" t="str">
        <f aca="false">IF(U66="Vencido",FechaCorte-J66,"")</f>
        <v/>
      </c>
      <c r="X66" s="11" t="n">
        <f aca="false">IF(AND(V66=1,U66&lt;&gt;"Vencido"),J66-FechaCorte,"")</f>
        <v>37</v>
      </c>
      <c r="Y66" s="13" t="n">
        <f aca="false">IF(J66="","",DATE(YEAR(J66),MONTH(J66),1))</f>
        <v>46296</v>
      </c>
      <c r="Z66" s="13" t="str">
        <f aca="false">IF(AND(U66="Completado",I66&lt;&gt;""),IF(I66&lt;=FechaCorte,DATE(YEAR(I66),MONTH(I66),1),""),"")</f>
        <v/>
      </c>
      <c r="AA66" s="11" t="n">
        <f aca="false">IF(J66="","",IF(DAY(J66+1)=1,1,0))</f>
        <v>1</v>
      </c>
      <c r="AB66" s="11" t="n">
        <f aca="false">IF(AND(U66="Completado",I66&lt;&gt;"",I66=J66),1,0)</f>
        <v>0</v>
      </c>
      <c r="AC66" s="11" t="n">
        <f aca="false">IF(AND(K66&gt;=1,I66&lt;&gt;""),IF(I66&gt;FechaCorte,1,0),0)</f>
        <v>0</v>
      </c>
      <c r="AD66" s="11" t="n">
        <f aca="false">IF(AND(I66&lt;&gt;"",H66&lt;&gt;""),IF(I66&lt;H66,1,0),0)</f>
        <v>0</v>
      </c>
      <c r="AE66" s="11" t="n">
        <f aca="false">IF(OR(F66="Riesgos",F66="Obs. Auditoría"),1,0)</f>
        <v>0</v>
      </c>
      <c r="AF66" s="11" t="str">
        <f aca="false">IFERROR(MID(D66,FIND("PMC-",D66),8),"")</f>
        <v/>
      </c>
      <c r="AG66" s="11" t="n">
        <f aca="false">IF(AND(V66=1,J66&lt;&gt;""),IF(AND(J66&gt;=FechaCorte,J66&lt;=HorizonteExpuestos),1,0),0)</f>
        <v>0</v>
      </c>
    </row>
    <row r="67" customFormat="false" ht="15" hidden="false" customHeight="false" outlineLevel="0" collapsed="false">
      <c r="A67" s="7" t="n">
        <v>66</v>
      </c>
      <c r="B67" s="7" t="n">
        <v>2026</v>
      </c>
      <c r="C67" s="7" t="s">
        <v>149</v>
      </c>
      <c r="D67" s="7" t="s">
        <v>238</v>
      </c>
      <c r="E67" s="7" t="s">
        <v>130</v>
      </c>
      <c r="F67" s="7" t="s">
        <v>131</v>
      </c>
      <c r="G67" s="7" t="s">
        <v>231</v>
      </c>
      <c r="H67" s="8" t="n">
        <v>46113</v>
      </c>
      <c r="I67" s="8"/>
      <c r="J67" s="8"/>
      <c r="K67" s="9" t="n">
        <v>1</v>
      </c>
      <c r="L67" s="7" t="s">
        <v>239</v>
      </c>
      <c r="M67" s="10" t="s">
        <v>93</v>
      </c>
      <c r="N67" s="11" t="str">
        <f aca="false">IFERROR(INDEX(dFrente!$B$2:$B$76,MATCH(C67,dFrente!$A$2:$A$76,0)),"Sin frente")</f>
        <v>Certificación de accesos</v>
      </c>
      <c r="O67" s="11" t="str">
        <f aca="false">IFERROR(INDEX(dNIST!$B$2:$B$13,MATCH(M67,dNIST!$A$2:$A$13,0)),"")</f>
        <v>DE</v>
      </c>
      <c r="P67" s="11" t="str">
        <f aca="false">TRIM(IFERROR(LEFT(G67,FIND(CHAR(10),G67)-1),G67))</f>
        <v>Bryan Uyana</v>
      </c>
      <c r="Q67" s="11" t="n">
        <f aca="false">LEN(TRIM(G67))-LEN(SUBSTITUTE(TRIM(G67),CHAR(10),""))+1</f>
        <v>1</v>
      </c>
      <c r="R67" s="11" t="str">
        <f aca="false">IF(E67&lt;&gt;"","Sí","No")</f>
        <v>Sí</v>
      </c>
      <c r="S67" s="12" t="str">
        <f aca="false">IF(OR(J67="",H67=""),"",IF(J67&lt;=H67,IF(FechaCorte&gt;=J67,1,0),MAX(0,MIN(1,(FechaCorte-H67)/(J67-H67)))))</f>
        <v/>
      </c>
      <c r="T67" s="12" t="str">
        <f aca="false">IF(S67="","",K67-S67)</f>
        <v/>
      </c>
      <c r="U67" s="11" t="str">
        <f aca="false">IF(R67="Sí","Recurrente",IF(K67&gt;=1,"Completado",IF(AND(J67&lt;&gt;"",J67&lt;FechaCorte),"Vencido",IF(AND(K67=0,OR(H67="",H67&gt;FechaCorte)),"Por iniciar",IF(AND(T67&lt;&gt;"",T67&lt;=UmbralRiesgo),"En riesgo","En plazo")))))</f>
        <v>Recurrente</v>
      </c>
      <c r="V67" s="11" t="n">
        <f aca="false">IF(OR(U67="Vencido",U67="En riesgo",U67="En plazo",U67="Por iniciar"),1,0)</f>
        <v>0</v>
      </c>
      <c r="W67" s="11" t="str">
        <f aca="false">IF(U67="Vencido",FechaCorte-J67,"")</f>
        <v/>
      </c>
      <c r="X67" s="11" t="str">
        <f aca="false">IF(AND(V67=1,U67&lt;&gt;"Vencido"),J67-FechaCorte,"")</f>
        <v/>
      </c>
      <c r="Y67" s="13" t="str">
        <f aca="false">IF(J67="","",DATE(YEAR(J67),MONTH(J67),1))</f>
        <v/>
      </c>
      <c r="Z67" s="13" t="str">
        <f aca="false">IF(AND(U67="Completado",I67&lt;&gt;""),IF(I67&lt;=FechaCorte,DATE(YEAR(I67),MONTH(I67),1),""),"")</f>
        <v/>
      </c>
      <c r="AA67" s="11" t="str">
        <f aca="false">IF(J67="","",IF(DAY(J67+1)=1,1,0))</f>
        <v/>
      </c>
      <c r="AB67" s="11" t="n">
        <f aca="false">IF(AND(U67="Completado",I67&lt;&gt;"",I67=J67),1,0)</f>
        <v>0</v>
      </c>
      <c r="AC67" s="11" t="n">
        <f aca="false">IF(AND(K67&gt;=1,I67&lt;&gt;""),IF(I67&gt;FechaCorte,1,0),0)</f>
        <v>0</v>
      </c>
      <c r="AD67" s="11" t="n">
        <f aca="false">IF(AND(I67&lt;&gt;"",H67&lt;&gt;""),IF(I67&lt;H67,1,0),0)</f>
        <v>0</v>
      </c>
      <c r="AE67" s="11" t="n">
        <f aca="false">IF(OR(F67="Riesgos",F67="Obs. Auditoría"),1,0)</f>
        <v>0</v>
      </c>
      <c r="AF67" s="11" t="str">
        <f aca="false">IFERROR(MID(D67,FIND("PMC-",D67),8),"")</f>
        <v/>
      </c>
      <c r="AG67" s="11" t="n">
        <f aca="false">IF(AND(V67=1,J67&lt;&gt;""),IF(AND(J67&gt;=FechaCorte,J67&lt;=HorizonteExpuestos),1,0),0)</f>
        <v>0</v>
      </c>
    </row>
    <row r="68" customFormat="false" ht="15" hidden="false" customHeight="false" outlineLevel="0" collapsed="false">
      <c r="A68" s="7" t="n">
        <v>67</v>
      </c>
      <c r="B68" s="7" t="n">
        <v>2026</v>
      </c>
      <c r="C68" s="7" t="s">
        <v>240</v>
      </c>
      <c r="D68" s="7" t="s">
        <v>241</v>
      </c>
      <c r="E68" s="7"/>
      <c r="F68" s="7" t="s">
        <v>74</v>
      </c>
      <c r="G68" s="14" t="s">
        <v>143</v>
      </c>
      <c r="H68" s="8" t="n">
        <v>46210</v>
      </c>
      <c r="I68" s="8" t="n">
        <v>46248</v>
      </c>
      <c r="J68" s="8" t="n">
        <v>46248</v>
      </c>
      <c r="K68" s="9" t="n">
        <v>1</v>
      </c>
      <c r="L68" s="7" t="s">
        <v>242</v>
      </c>
      <c r="M68" s="10" t="s">
        <v>76</v>
      </c>
      <c r="N68" s="11" t="str">
        <f aca="false">IFERROR(INDEX(dFrente!$B$2:$B$76,MATCH(C68,dFrente!$A$2:$A$76,0)),"Sin frente")</f>
        <v>Ciclo de vida JML</v>
      </c>
      <c r="O68" s="11" t="str">
        <f aca="false">IFERROR(INDEX(dNIST!$B$2:$B$13,MATCH(M68,dNIST!$A$2:$A$13,0)),"")</f>
        <v>PR</v>
      </c>
      <c r="P68" s="11" t="str">
        <f aca="false">TRIM(IFERROR(LEFT(G68,FIND(CHAR(10),G68)-1),G68))</f>
        <v>Richard Requelme</v>
      </c>
      <c r="Q68" s="11" t="n">
        <f aca="false">LEN(TRIM(G68))-LEN(SUBSTITUTE(TRIM(G68),CHAR(10),""))+1</f>
        <v>2</v>
      </c>
      <c r="R68" s="11" t="str">
        <f aca="false">IF(E68&lt;&gt;"","Sí","No")</f>
        <v>No</v>
      </c>
      <c r="S68" s="12" t="n">
        <f aca="false">IF(OR(J68="",H68=""),"",IF(J68&lt;=H68,IF(FechaCorte&gt;=J68,1,0),MAX(0,MIN(1,(FechaCorte-H68)/(J68-H68)))))</f>
        <v>1</v>
      </c>
      <c r="T68" s="12" t="n">
        <f aca="false">IF(S68="","",K68-S68)</f>
        <v>0</v>
      </c>
      <c r="U68" s="11" t="str">
        <f aca="false">IF(R68="Sí","Recurrente",IF(K68&gt;=1,"Completado",IF(AND(J68&lt;&gt;"",J68&lt;FechaCorte),"Vencido",IF(AND(K68=0,OR(H68="",H68&gt;FechaCorte)),"Por iniciar",IF(AND(T68&lt;&gt;"",T68&lt;=UmbralRiesgo),"En riesgo","En plazo")))))</f>
        <v>Completado</v>
      </c>
      <c r="V68" s="11" t="n">
        <f aca="false">IF(OR(U68="Vencido",U68="En riesgo",U68="En plazo",U68="Por iniciar"),1,0)</f>
        <v>0</v>
      </c>
      <c r="W68" s="11" t="str">
        <f aca="false">IF(U68="Vencido",FechaCorte-J68,"")</f>
        <v/>
      </c>
      <c r="X68" s="11" t="str">
        <f aca="false">IF(AND(V68=1,U68&lt;&gt;"Vencido"),J68-FechaCorte,"")</f>
        <v/>
      </c>
      <c r="Y68" s="13" t="n">
        <f aca="false">IF(J68="","",DATE(YEAR(J68),MONTH(J68),1))</f>
        <v>46235</v>
      </c>
      <c r="Z68" s="13" t="n">
        <f aca="false">IF(AND(U68="Completado",I68&lt;&gt;""),IF(I68&lt;=FechaCorte,DATE(YEAR(I68),MONTH(I68),1),""),"")</f>
        <v>46235</v>
      </c>
      <c r="AA68" s="11" t="n">
        <f aca="false">IF(J68="","",IF(DAY(J68+1)=1,1,0))</f>
        <v>0</v>
      </c>
      <c r="AB68" s="11" t="n">
        <f aca="false">IF(AND(U68="Completado",I68&lt;&gt;"",I68=J68),1,0)</f>
        <v>1</v>
      </c>
      <c r="AC68" s="11" t="n">
        <f aca="false">IF(AND(K68&gt;=1,I68&lt;&gt;""),IF(I68&gt;FechaCorte,1,0),0)</f>
        <v>0</v>
      </c>
      <c r="AD68" s="11" t="n">
        <f aca="false">IF(AND(I68&lt;&gt;"",H68&lt;&gt;""),IF(I68&lt;H68,1,0),0)</f>
        <v>0</v>
      </c>
      <c r="AE68" s="11" t="n">
        <f aca="false">IF(OR(F68="Riesgos",F68="Obs. Auditoría"),1,0)</f>
        <v>0</v>
      </c>
      <c r="AF68" s="11" t="str">
        <f aca="false">IFERROR(MID(D68,FIND("PMC-",D68),8),"")</f>
        <v/>
      </c>
      <c r="AG68" s="11" t="n">
        <f aca="false">IF(AND(V68=1,J68&lt;&gt;""),IF(AND(J68&gt;=FechaCorte,J68&lt;=HorizonteExpuestos),1,0),0)</f>
        <v>0</v>
      </c>
    </row>
    <row r="69" customFormat="false" ht="15" hidden="false" customHeight="false" outlineLevel="0" collapsed="false">
      <c r="A69" s="7" t="n">
        <v>68</v>
      </c>
      <c r="B69" s="7" t="n">
        <v>2026</v>
      </c>
      <c r="C69" s="7" t="s">
        <v>243</v>
      </c>
      <c r="D69" s="7" t="s">
        <v>244</v>
      </c>
      <c r="E69" s="7" t="s">
        <v>130</v>
      </c>
      <c r="F69" s="7" t="s">
        <v>97</v>
      </c>
      <c r="G69" s="14" t="s">
        <v>245</v>
      </c>
      <c r="H69" s="8" t="n">
        <v>46113</v>
      </c>
      <c r="I69" s="8"/>
      <c r="J69" s="8"/>
      <c r="K69" s="9" t="n">
        <v>1</v>
      </c>
      <c r="L69" s="7" t="s">
        <v>246</v>
      </c>
      <c r="M69" s="10" t="s">
        <v>76</v>
      </c>
      <c r="N69" s="11" t="str">
        <f aca="false">IFERROR(INDEX(dFrente!$B$2:$B$76,MATCH(C69,dFrente!$A$2:$A$76,0)),"Sin frente")</f>
        <v>Ciclo de vida JML</v>
      </c>
      <c r="O69" s="11" t="str">
        <f aca="false">IFERROR(INDEX(dNIST!$B$2:$B$13,MATCH(M69,dNIST!$A$2:$A$13,0)),"")</f>
        <v>PR</v>
      </c>
      <c r="P69" s="11" t="str">
        <f aca="false">TRIM(IFERROR(LEFT(G69,FIND(CHAR(10),G69)-1),G69))</f>
        <v>Bryan Uyana</v>
      </c>
      <c r="Q69" s="11" t="n">
        <f aca="false">LEN(TRIM(G69))-LEN(SUBSTITUTE(TRIM(G69),CHAR(10),""))+1</f>
        <v>3</v>
      </c>
      <c r="R69" s="11" t="str">
        <f aca="false">IF(E69&lt;&gt;"","Sí","No")</f>
        <v>Sí</v>
      </c>
      <c r="S69" s="12" t="str">
        <f aca="false">IF(OR(J69="",H69=""),"",IF(J69&lt;=H69,IF(FechaCorte&gt;=J69,1,0),MAX(0,MIN(1,(FechaCorte-H69)/(J69-H69)))))</f>
        <v/>
      </c>
      <c r="T69" s="12" t="str">
        <f aca="false">IF(S69="","",K69-S69)</f>
        <v/>
      </c>
      <c r="U69" s="11" t="str">
        <f aca="false">IF(R69="Sí","Recurrente",IF(K69&gt;=1,"Completado",IF(AND(J69&lt;&gt;"",J69&lt;FechaCorte),"Vencido",IF(AND(K69=0,OR(H69="",H69&gt;FechaCorte)),"Por iniciar",IF(AND(T69&lt;&gt;"",T69&lt;=UmbralRiesgo),"En riesgo","En plazo")))))</f>
        <v>Recurrente</v>
      </c>
      <c r="V69" s="11" t="n">
        <f aca="false">IF(OR(U69="Vencido",U69="En riesgo",U69="En plazo",U69="Por iniciar"),1,0)</f>
        <v>0</v>
      </c>
      <c r="W69" s="11" t="str">
        <f aca="false">IF(U69="Vencido",FechaCorte-J69,"")</f>
        <v/>
      </c>
      <c r="X69" s="11" t="str">
        <f aca="false">IF(AND(V69=1,U69&lt;&gt;"Vencido"),J69-FechaCorte,"")</f>
        <v/>
      </c>
      <c r="Y69" s="13" t="str">
        <f aca="false">IF(J69="","",DATE(YEAR(J69),MONTH(J69),1))</f>
        <v/>
      </c>
      <c r="Z69" s="13" t="str">
        <f aca="false">IF(AND(U69="Completado",I69&lt;&gt;""),IF(I69&lt;=FechaCorte,DATE(YEAR(I69),MONTH(I69),1),""),"")</f>
        <v/>
      </c>
      <c r="AA69" s="11" t="str">
        <f aca="false">IF(J69="","",IF(DAY(J69+1)=1,1,0))</f>
        <v/>
      </c>
      <c r="AB69" s="11" t="n">
        <f aca="false">IF(AND(U69="Completado",I69&lt;&gt;"",I69=J69),1,0)</f>
        <v>0</v>
      </c>
      <c r="AC69" s="11" t="n">
        <f aca="false">IF(AND(K69&gt;=1,I69&lt;&gt;""),IF(I69&gt;FechaCorte,1,0),0)</f>
        <v>0</v>
      </c>
      <c r="AD69" s="11" t="n">
        <f aca="false">IF(AND(I69&lt;&gt;"",H69&lt;&gt;""),IF(I69&lt;H69,1,0),0)</f>
        <v>0</v>
      </c>
      <c r="AE69" s="11" t="n">
        <f aca="false">IF(OR(F69="Riesgos",F69="Obs. Auditoría"),1,0)</f>
        <v>0</v>
      </c>
      <c r="AF69" s="11" t="str">
        <f aca="false">IFERROR(MID(D69,FIND("PMC-",D69),8),"")</f>
        <v/>
      </c>
      <c r="AG69" s="11" t="n">
        <f aca="false">IF(AND(V69=1,J69&lt;&gt;""),IF(AND(J69&gt;=FechaCorte,J69&lt;=HorizonteExpuestos),1,0),0)</f>
        <v>0</v>
      </c>
    </row>
    <row r="70" customFormat="false" ht="15" hidden="false" customHeight="false" outlineLevel="0" collapsed="false">
      <c r="A70" s="7" t="n">
        <v>69</v>
      </c>
      <c r="B70" s="7" t="n">
        <v>2026</v>
      </c>
      <c r="C70" s="7" t="s">
        <v>247</v>
      </c>
      <c r="D70" s="14" t="s">
        <v>248</v>
      </c>
      <c r="E70" s="7"/>
      <c r="F70" s="7" t="s">
        <v>74</v>
      </c>
      <c r="G70" s="14" t="s">
        <v>111</v>
      </c>
      <c r="H70" s="8" t="n">
        <v>46154</v>
      </c>
      <c r="I70" s="8" t="n">
        <v>46169</v>
      </c>
      <c r="J70" s="8" t="n">
        <v>46169</v>
      </c>
      <c r="K70" s="9" t="n">
        <v>1</v>
      </c>
      <c r="L70" s="7" t="s">
        <v>249</v>
      </c>
      <c r="M70" s="10" t="s">
        <v>81</v>
      </c>
      <c r="N70" s="11" t="str">
        <f aca="false">IFERROR(INDEX(dFrente!$B$2:$B$76,MATCH(C70,dFrente!$A$2:$A$76,0)),"Sin frente")</f>
        <v>Ciclo de vida JML</v>
      </c>
      <c r="O70" s="11" t="str">
        <f aca="false">IFERROR(INDEX(dNIST!$B$2:$B$13,MATCH(M70,dNIST!$A$2:$A$13,0)),"")</f>
        <v>PR</v>
      </c>
      <c r="P70" s="11" t="str">
        <f aca="false">TRIM(IFERROR(LEFT(G70,FIND(CHAR(10),G70)-1),G70))</f>
        <v>Richard Requelme</v>
      </c>
      <c r="Q70" s="11" t="n">
        <f aca="false">LEN(TRIM(G70))-LEN(SUBSTITUTE(TRIM(G70),CHAR(10),""))+1</f>
        <v>2</v>
      </c>
      <c r="R70" s="11" t="str">
        <f aca="false">IF(E70&lt;&gt;"","Sí","No")</f>
        <v>No</v>
      </c>
      <c r="S70" s="12" t="n">
        <f aca="false">IF(OR(J70="",H70=""),"",IF(J70&lt;=H70,IF(FechaCorte&gt;=J70,1,0),MAX(0,MIN(1,(FechaCorte-H70)/(J70-H70)))))</f>
        <v>1</v>
      </c>
      <c r="T70" s="12" t="n">
        <f aca="false">IF(S70="","",K70-S70)</f>
        <v>0</v>
      </c>
      <c r="U70" s="11" t="str">
        <f aca="false">IF(R70="Sí","Recurrente",IF(K70&gt;=1,"Completado",IF(AND(J70&lt;&gt;"",J70&lt;FechaCorte),"Vencido",IF(AND(K70=0,OR(H70="",H70&gt;FechaCorte)),"Por iniciar",IF(AND(T70&lt;&gt;"",T70&lt;=UmbralRiesgo),"En riesgo","En plazo")))))</f>
        <v>Completado</v>
      </c>
      <c r="V70" s="11" t="n">
        <f aca="false">IF(OR(U70="Vencido",U70="En riesgo",U70="En plazo",U70="Por iniciar"),1,0)</f>
        <v>0</v>
      </c>
      <c r="W70" s="11" t="str">
        <f aca="false">IF(U70="Vencido",FechaCorte-J70,"")</f>
        <v/>
      </c>
      <c r="X70" s="11" t="str">
        <f aca="false">IF(AND(V70=1,U70&lt;&gt;"Vencido"),J70-FechaCorte,"")</f>
        <v/>
      </c>
      <c r="Y70" s="13" t="n">
        <f aca="false">IF(J70="","",DATE(YEAR(J70),MONTH(J70),1))</f>
        <v>46143</v>
      </c>
      <c r="Z70" s="13" t="n">
        <f aca="false">IF(AND(U70="Completado",I70&lt;&gt;""),IF(I70&lt;=FechaCorte,DATE(YEAR(I70),MONTH(I70),1),""),"")</f>
        <v>46143</v>
      </c>
      <c r="AA70" s="11" t="n">
        <f aca="false">IF(J70="","",IF(DAY(J70+1)=1,1,0))</f>
        <v>0</v>
      </c>
      <c r="AB70" s="11" t="n">
        <f aca="false">IF(AND(U70="Completado",I70&lt;&gt;"",I70=J70),1,0)</f>
        <v>1</v>
      </c>
      <c r="AC70" s="11" t="n">
        <f aca="false">IF(AND(K70&gt;=1,I70&lt;&gt;""),IF(I70&gt;FechaCorte,1,0),0)</f>
        <v>0</v>
      </c>
      <c r="AD70" s="11" t="n">
        <f aca="false">IF(AND(I70&lt;&gt;"",H70&lt;&gt;""),IF(I70&lt;H70,1,0),0)</f>
        <v>0</v>
      </c>
      <c r="AE70" s="11" t="n">
        <f aca="false">IF(OR(F70="Riesgos",F70="Obs. Auditoría"),1,0)</f>
        <v>0</v>
      </c>
      <c r="AF70" s="11" t="str">
        <f aca="false">IFERROR(MID(D70,FIND("PMC-",D70),8),"")</f>
        <v/>
      </c>
      <c r="AG70" s="11" t="n">
        <f aca="false">IF(AND(V70=1,J70&lt;&gt;""),IF(AND(J70&gt;=FechaCorte,J70&lt;=HorizonteExpuestos),1,0),0)</f>
        <v>0</v>
      </c>
    </row>
    <row r="71" customFormat="false" ht="15" hidden="false" customHeight="false" outlineLevel="0" collapsed="false">
      <c r="A71" s="7" t="n">
        <v>70</v>
      </c>
      <c r="B71" s="7" t="n">
        <v>2026</v>
      </c>
      <c r="C71" s="7" t="s">
        <v>247</v>
      </c>
      <c r="D71" s="7" t="s">
        <v>250</v>
      </c>
      <c r="E71" s="7"/>
      <c r="F71" s="7" t="s">
        <v>114</v>
      </c>
      <c r="G71" s="14" t="s">
        <v>111</v>
      </c>
      <c r="H71" s="8" t="n">
        <v>46190</v>
      </c>
      <c r="I71" s="8" t="n">
        <v>46198</v>
      </c>
      <c r="J71" s="8" t="n">
        <v>46198</v>
      </c>
      <c r="K71" s="9" t="n">
        <v>1</v>
      </c>
      <c r="L71" s="14" t="s">
        <v>251</v>
      </c>
      <c r="M71" s="10" t="s">
        <v>76</v>
      </c>
      <c r="N71" s="11" t="str">
        <f aca="false">IFERROR(INDEX(dFrente!$B$2:$B$76,MATCH(C71,dFrente!$A$2:$A$76,0)),"Sin frente")</f>
        <v>Ciclo de vida JML</v>
      </c>
      <c r="O71" s="11" t="str">
        <f aca="false">IFERROR(INDEX(dNIST!$B$2:$B$13,MATCH(M71,dNIST!$A$2:$A$13,0)),"")</f>
        <v>PR</v>
      </c>
      <c r="P71" s="11" t="str">
        <f aca="false">TRIM(IFERROR(LEFT(G71,FIND(CHAR(10),G71)-1),G71))</f>
        <v>Richard Requelme</v>
      </c>
      <c r="Q71" s="11" t="n">
        <f aca="false">LEN(TRIM(G71))-LEN(SUBSTITUTE(TRIM(G71),CHAR(10),""))+1</f>
        <v>2</v>
      </c>
      <c r="R71" s="11" t="str">
        <f aca="false">IF(E71&lt;&gt;"","Sí","No")</f>
        <v>No</v>
      </c>
      <c r="S71" s="12" t="n">
        <f aca="false">IF(OR(J71="",H71=""),"",IF(J71&lt;=H71,IF(FechaCorte&gt;=J71,1,0),MAX(0,MIN(1,(FechaCorte-H71)/(J71-H71)))))</f>
        <v>1</v>
      </c>
      <c r="T71" s="12" t="n">
        <f aca="false">IF(S71="","",K71-S71)</f>
        <v>0</v>
      </c>
      <c r="U71" s="11" t="str">
        <f aca="false">IF(R71="Sí","Recurrente",IF(K71&gt;=1,"Completado",IF(AND(J71&lt;&gt;"",J71&lt;FechaCorte),"Vencido",IF(AND(K71=0,OR(H71="",H71&gt;FechaCorte)),"Por iniciar",IF(AND(T71&lt;&gt;"",T71&lt;=UmbralRiesgo),"En riesgo","En plazo")))))</f>
        <v>Completado</v>
      </c>
      <c r="V71" s="11" t="n">
        <f aca="false">IF(OR(U71="Vencido",U71="En riesgo",U71="En plazo",U71="Por iniciar"),1,0)</f>
        <v>0</v>
      </c>
      <c r="W71" s="11" t="str">
        <f aca="false">IF(U71="Vencido",FechaCorte-J71,"")</f>
        <v/>
      </c>
      <c r="X71" s="11" t="str">
        <f aca="false">IF(AND(V71=1,U71&lt;&gt;"Vencido"),J71-FechaCorte,"")</f>
        <v/>
      </c>
      <c r="Y71" s="13" t="n">
        <f aca="false">IF(J71="","",DATE(YEAR(J71),MONTH(J71),1))</f>
        <v>46174</v>
      </c>
      <c r="Z71" s="13" t="n">
        <f aca="false">IF(AND(U71="Completado",I71&lt;&gt;""),IF(I71&lt;=FechaCorte,DATE(YEAR(I71),MONTH(I71),1),""),"")</f>
        <v>46174</v>
      </c>
      <c r="AA71" s="11" t="n">
        <f aca="false">IF(J71="","",IF(DAY(J71+1)=1,1,0))</f>
        <v>0</v>
      </c>
      <c r="AB71" s="11" t="n">
        <f aca="false">IF(AND(U71="Completado",I71&lt;&gt;"",I71=J71),1,0)</f>
        <v>1</v>
      </c>
      <c r="AC71" s="11" t="n">
        <f aca="false">IF(AND(K71&gt;=1,I71&lt;&gt;""),IF(I71&gt;FechaCorte,1,0),0)</f>
        <v>0</v>
      </c>
      <c r="AD71" s="11" t="n">
        <f aca="false">IF(AND(I71&lt;&gt;"",H71&lt;&gt;""),IF(I71&lt;H71,1,0),0)</f>
        <v>0</v>
      </c>
      <c r="AE71" s="11" t="n">
        <f aca="false">IF(OR(F71="Riesgos",F71="Obs. Auditoría"),1,0)</f>
        <v>0</v>
      </c>
      <c r="AF71" s="11" t="str">
        <f aca="false">IFERROR(MID(D71,FIND("PMC-",D71),8),"")</f>
        <v/>
      </c>
      <c r="AG71" s="11" t="n">
        <f aca="false">IF(AND(V71=1,J71&lt;&gt;""),IF(AND(J71&gt;=FechaCorte,J71&lt;=HorizonteExpuestos),1,0),0)</f>
        <v>0</v>
      </c>
    </row>
    <row r="72" customFormat="false" ht="15" hidden="false" customHeight="false" outlineLevel="0" collapsed="false">
      <c r="A72" s="7" t="n">
        <v>71</v>
      </c>
      <c r="B72" s="7" t="n">
        <v>2026</v>
      </c>
      <c r="C72" s="7" t="s">
        <v>247</v>
      </c>
      <c r="D72" s="7" t="s">
        <v>252</v>
      </c>
      <c r="E72" s="7"/>
      <c r="F72" s="7" t="s">
        <v>74</v>
      </c>
      <c r="G72" s="7" t="s">
        <v>84</v>
      </c>
      <c r="H72" s="8" t="n">
        <v>46184</v>
      </c>
      <c r="I72" s="8" t="n">
        <v>46191</v>
      </c>
      <c r="J72" s="8" t="n">
        <v>46191</v>
      </c>
      <c r="K72" s="9" t="n">
        <v>1</v>
      </c>
      <c r="L72" s="14" t="s">
        <v>253</v>
      </c>
      <c r="M72" s="10" t="s">
        <v>81</v>
      </c>
      <c r="N72" s="11" t="str">
        <f aca="false">IFERROR(INDEX(dFrente!$B$2:$B$76,MATCH(C72,dFrente!$A$2:$A$76,0)),"Sin frente")</f>
        <v>Ciclo de vida JML</v>
      </c>
      <c r="O72" s="11" t="str">
        <f aca="false">IFERROR(INDEX(dNIST!$B$2:$B$13,MATCH(M72,dNIST!$A$2:$A$13,0)),"")</f>
        <v>PR</v>
      </c>
      <c r="P72" s="11" t="str">
        <f aca="false">TRIM(IFERROR(LEFT(G72,FIND(CHAR(10),G72)-1),G72))</f>
        <v>Richard Requelme</v>
      </c>
      <c r="Q72" s="11" t="n">
        <f aca="false">LEN(TRIM(G72))-LEN(SUBSTITUTE(TRIM(G72),CHAR(10),""))+1</f>
        <v>1</v>
      </c>
      <c r="R72" s="11" t="str">
        <f aca="false">IF(E72&lt;&gt;"","Sí","No")</f>
        <v>No</v>
      </c>
      <c r="S72" s="12" t="n">
        <f aca="false">IF(OR(J72="",H72=""),"",IF(J72&lt;=H72,IF(FechaCorte&gt;=J72,1,0),MAX(0,MIN(1,(FechaCorte-H72)/(J72-H72)))))</f>
        <v>1</v>
      </c>
      <c r="T72" s="12" t="n">
        <f aca="false">IF(S72="","",K72-S72)</f>
        <v>0</v>
      </c>
      <c r="U72" s="11" t="str">
        <f aca="false">IF(R72="Sí","Recurrente",IF(K72&gt;=1,"Completado",IF(AND(J72&lt;&gt;"",J72&lt;FechaCorte),"Vencido",IF(AND(K72=0,OR(H72="",H72&gt;FechaCorte)),"Por iniciar",IF(AND(T72&lt;&gt;"",T72&lt;=UmbralRiesgo),"En riesgo","En plazo")))))</f>
        <v>Completado</v>
      </c>
      <c r="V72" s="11" t="n">
        <f aca="false">IF(OR(U72="Vencido",U72="En riesgo",U72="En plazo",U72="Por iniciar"),1,0)</f>
        <v>0</v>
      </c>
      <c r="W72" s="11" t="str">
        <f aca="false">IF(U72="Vencido",FechaCorte-J72,"")</f>
        <v/>
      </c>
      <c r="X72" s="11" t="str">
        <f aca="false">IF(AND(V72=1,U72&lt;&gt;"Vencido"),J72-FechaCorte,"")</f>
        <v/>
      </c>
      <c r="Y72" s="13" t="n">
        <f aca="false">IF(J72="","",DATE(YEAR(J72),MONTH(J72),1))</f>
        <v>46174</v>
      </c>
      <c r="Z72" s="13" t="n">
        <f aca="false">IF(AND(U72="Completado",I72&lt;&gt;""),IF(I72&lt;=FechaCorte,DATE(YEAR(I72),MONTH(I72),1),""),"")</f>
        <v>46174</v>
      </c>
      <c r="AA72" s="11" t="n">
        <f aca="false">IF(J72="","",IF(DAY(J72+1)=1,1,0))</f>
        <v>0</v>
      </c>
      <c r="AB72" s="11" t="n">
        <f aca="false">IF(AND(U72="Completado",I72&lt;&gt;"",I72=J72),1,0)</f>
        <v>1</v>
      </c>
      <c r="AC72" s="11" t="n">
        <f aca="false">IF(AND(K72&gt;=1,I72&lt;&gt;""),IF(I72&gt;FechaCorte,1,0),0)</f>
        <v>0</v>
      </c>
      <c r="AD72" s="11" t="n">
        <f aca="false">IF(AND(I72&lt;&gt;"",H72&lt;&gt;""),IF(I72&lt;H72,1,0),0)</f>
        <v>0</v>
      </c>
      <c r="AE72" s="11" t="n">
        <f aca="false">IF(OR(F72="Riesgos",F72="Obs. Auditoría"),1,0)</f>
        <v>0</v>
      </c>
      <c r="AF72" s="11" t="str">
        <f aca="false">IFERROR(MID(D72,FIND("PMC-",D72),8),"")</f>
        <v/>
      </c>
      <c r="AG72" s="11" t="n">
        <f aca="false">IF(AND(V72=1,J72&lt;&gt;""),IF(AND(J72&gt;=FechaCorte,J72&lt;=HorizonteExpuestos),1,0),0)</f>
        <v>0</v>
      </c>
    </row>
    <row r="73" customFormat="false" ht="15" hidden="false" customHeight="false" outlineLevel="0" collapsed="false">
      <c r="A73" s="7" t="n">
        <v>72</v>
      </c>
      <c r="B73" s="7" t="n">
        <v>2026</v>
      </c>
      <c r="C73" s="7" t="s">
        <v>247</v>
      </c>
      <c r="D73" s="7" t="s">
        <v>254</v>
      </c>
      <c r="E73" s="7"/>
      <c r="F73" s="7" t="s">
        <v>74</v>
      </c>
      <c r="G73" s="7" t="s">
        <v>84</v>
      </c>
      <c r="H73" s="8" t="n">
        <v>46237</v>
      </c>
      <c r="I73" s="8"/>
      <c r="J73" s="8" t="n">
        <v>46272</v>
      </c>
      <c r="K73" s="9" t="n">
        <v>0.3</v>
      </c>
      <c r="L73" s="7" t="s">
        <v>255</v>
      </c>
      <c r="M73" s="10" t="s">
        <v>81</v>
      </c>
      <c r="N73" s="11" t="str">
        <f aca="false">IFERROR(INDEX(dFrente!$B$2:$B$76,MATCH(C73,dFrente!$A$2:$A$76,0)),"Sin frente")</f>
        <v>Ciclo de vida JML</v>
      </c>
      <c r="O73" s="11" t="str">
        <f aca="false">IFERROR(INDEX(dNIST!$B$2:$B$13,MATCH(M73,dNIST!$A$2:$A$13,0)),"")</f>
        <v>PR</v>
      </c>
      <c r="P73" s="11" t="str">
        <f aca="false">TRIM(IFERROR(LEFT(G73,FIND(CHAR(10),G73)-1),G73))</f>
        <v>Richard Requelme</v>
      </c>
      <c r="Q73" s="11" t="n">
        <f aca="false">LEN(TRIM(G73))-LEN(SUBSTITUTE(TRIM(G73),CHAR(10),""))+1</f>
        <v>1</v>
      </c>
      <c r="R73" s="11" t="str">
        <f aca="false">IF(E73&lt;&gt;"","Sí","No")</f>
        <v>No</v>
      </c>
      <c r="S73" s="12" t="n">
        <f aca="false">IF(OR(J73="",H73=""),"",IF(J73&lt;=H73,IF(FechaCorte&gt;=J73,1,0),MAX(0,MIN(1,(FechaCorte-H73)/(J73-H73)))))</f>
        <v>1</v>
      </c>
      <c r="T73" s="12" t="n">
        <f aca="false">IF(S73="","",K73-S73)</f>
        <v>-0.7</v>
      </c>
      <c r="U73" s="11" t="str">
        <f aca="false">IF(R73="Sí","Recurrente",IF(K73&gt;=1,"Completado",IF(AND(J73&lt;&gt;"",J73&lt;FechaCorte),"Vencido",IF(AND(K73=0,OR(H73="",H73&gt;FechaCorte)),"Por iniciar",IF(AND(T73&lt;&gt;"",T73&lt;=UmbralRiesgo),"En riesgo","En plazo")))))</f>
        <v>Vencido</v>
      </c>
      <c r="V73" s="11" t="n">
        <f aca="false">IF(OR(U73="Vencido",U73="En riesgo",U73="En plazo",U73="Por iniciar"),1,0)</f>
        <v>1</v>
      </c>
      <c r="W73" s="11" t="n">
        <f aca="false">IF(U73="Vencido",FechaCorte-J73,"")</f>
        <v>17</v>
      </c>
      <c r="X73" s="11" t="str">
        <f aca="false">IF(AND(V73=1,U73&lt;&gt;"Vencido"),J73-FechaCorte,"")</f>
        <v/>
      </c>
      <c r="Y73" s="13" t="n">
        <f aca="false">IF(J73="","",DATE(YEAR(J73),MONTH(J73),1))</f>
        <v>46266</v>
      </c>
      <c r="Z73" s="13" t="str">
        <f aca="false">IF(AND(U73="Completado",I73&lt;&gt;""),IF(I73&lt;=FechaCorte,DATE(YEAR(I73),MONTH(I73),1),""),"")</f>
        <v/>
      </c>
      <c r="AA73" s="11" t="n">
        <f aca="false">IF(J73="","",IF(DAY(J73+1)=1,1,0))</f>
        <v>0</v>
      </c>
      <c r="AB73" s="11" t="n">
        <f aca="false">IF(AND(U73="Completado",I73&lt;&gt;"",I73=J73),1,0)</f>
        <v>0</v>
      </c>
      <c r="AC73" s="11" t="n">
        <f aca="false">IF(AND(K73&gt;=1,I73&lt;&gt;""),IF(I73&gt;FechaCorte,1,0),0)</f>
        <v>0</v>
      </c>
      <c r="AD73" s="11" t="n">
        <f aca="false">IF(AND(I73&lt;&gt;"",H73&lt;&gt;""),IF(I73&lt;H73,1,0),0)</f>
        <v>0</v>
      </c>
      <c r="AE73" s="11" t="n">
        <f aca="false">IF(OR(F73="Riesgos",F73="Obs. Auditoría"),1,0)</f>
        <v>0</v>
      </c>
      <c r="AF73" s="11" t="str">
        <f aca="false">IFERROR(MID(D73,FIND("PMC-",D73),8),"")</f>
        <v/>
      </c>
      <c r="AG73" s="11" t="n">
        <f aca="false">IF(AND(V73=1,J73&lt;&gt;""),IF(AND(J73&gt;=FechaCorte,J73&lt;=HorizonteExpuestos),1,0),0)</f>
        <v>0</v>
      </c>
    </row>
    <row r="74" customFormat="false" ht="15" hidden="false" customHeight="false" outlineLevel="0" collapsed="false">
      <c r="A74" s="7" t="n">
        <v>73</v>
      </c>
      <c r="B74" s="7" t="n">
        <v>2026</v>
      </c>
      <c r="C74" s="7" t="s">
        <v>256</v>
      </c>
      <c r="D74" s="7" t="s">
        <v>257</v>
      </c>
      <c r="E74" s="7"/>
      <c r="F74" s="7" t="s">
        <v>74</v>
      </c>
      <c r="G74" s="7" t="s">
        <v>84</v>
      </c>
      <c r="H74" s="8" t="n">
        <v>46223</v>
      </c>
      <c r="I74" s="8" t="n">
        <v>46265</v>
      </c>
      <c r="J74" s="8" t="n">
        <v>46265</v>
      </c>
      <c r="K74" s="9" t="n">
        <v>1</v>
      </c>
      <c r="L74" s="7" t="s">
        <v>258</v>
      </c>
      <c r="M74" s="10" t="s">
        <v>76</v>
      </c>
      <c r="N74" s="11" t="str">
        <f aca="false">IFERROR(INDEX(dFrente!$B$2:$B$76,MATCH(C74,dFrente!$A$2:$A$76,0)),"Sin frente")</f>
        <v>Ciclo de vida JML</v>
      </c>
      <c r="O74" s="11" t="str">
        <f aca="false">IFERROR(INDEX(dNIST!$B$2:$B$13,MATCH(M74,dNIST!$A$2:$A$13,0)),"")</f>
        <v>PR</v>
      </c>
      <c r="P74" s="11" t="str">
        <f aca="false">TRIM(IFERROR(LEFT(G74,FIND(CHAR(10),G74)-1),G74))</f>
        <v>Richard Requelme</v>
      </c>
      <c r="Q74" s="11" t="n">
        <f aca="false">LEN(TRIM(G74))-LEN(SUBSTITUTE(TRIM(G74),CHAR(10),""))+1</f>
        <v>1</v>
      </c>
      <c r="R74" s="11" t="str">
        <f aca="false">IF(E74&lt;&gt;"","Sí","No")</f>
        <v>No</v>
      </c>
      <c r="S74" s="12" t="n">
        <f aca="false">IF(OR(J74="",H74=""),"",IF(J74&lt;=H74,IF(FechaCorte&gt;=J74,1,0),MAX(0,MIN(1,(FechaCorte-H74)/(J74-H74)))))</f>
        <v>1</v>
      </c>
      <c r="T74" s="12" t="n">
        <f aca="false">IF(S74="","",K74-S74)</f>
        <v>0</v>
      </c>
      <c r="U74" s="11" t="str">
        <f aca="false">IF(R74="Sí","Recurrente",IF(K74&gt;=1,"Completado",IF(AND(J74&lt;&gt;"",J74&lt;FechaCorte),"Vencido",IF(AND(K74=0,OR(H74="",H74&gt;FechaCorte)),"Por iniciar",IF(AND(T74&lt;&gt;"",T74&lt;=UmbralRiesgo),"En riesgo","En plazo")))))</f>
        <v>Completado</v>
      </c>
      <c r="V74" s="11" t="n">
        <f aca="false">IF(OR(U74="Vencido",U74="En riesgo",U74="En plazo",U74="Por iniciar"),1,0)</f>
        <v>0</v>
      </c>
      <c r="W74" s="11" t="str">
        <f aca="false">IF(U74="Vencido",FechaCorte-J74,"")</f>
        <v/>
      </c>
      <c r="X74" s="11" t="str">
        <f aca="false">IF(AND(V74=1,U74&lt;&gt;"Vencido"),J74-FechaCorte,"")</f>
        <v/>
      </c>
      <c r="Y74" s="13" t="n">
        <f aca="false">IF(J74="","",DATE(YEAR(J74),MONTH(J74),1))</f>
        <v>46235</v>
      </c>
      <c r="Z74" s="13" t="n">
        <f aca="false">IF(AND(U74="Completado",I74&lt;&gt;""),IF(I74&lt;=FechaCorte,DATE(YEAR(I74),MONTH(I74),1),""),"")</f>
        <v>46235</v>
      </c>
      <c r="AA74" s="11" t="n">
        <f aca="false">IF(J74="","",IF(DAY(J74+1)=1,1,0))</f>
        <v>1</v>
      </c>
      <c r="AB74" s="11" t="n">
        <f aca="false">IF(AND(U74="Completado",I74&lt;&gt;"",I74=J74),1,0)</f>
        <v>1</v>
      </c>
      <c r="AC74" s="11" t="n">
        <f aca="false">IF(AND(K74&gt;=1,I74&lt;&gt;""),IF(I74&gt;FechaCorte,1,0),0)</f>
        <v>0</v>
      </c>
      <c r="AD74" s="11" t="n">
        <f aca="false">IF(AND(I74&lt;&gt;"",H74&lt;&gt;""),IF(I74&lt;H74,1,0),0)</f>
        <v>0</v>
      </c>
      <c r="AE74" s="11" t="n">
        <f aca="false">IF(OR(F74="Riesgos",F74="Obs. Auditoría"),1,0)</f>
        <v>0</v>
      </c>
      <c r="AF74" s="11" t="str">
        <f aca="false">IFERROR(MID(D74,FIND("PMC-",D74),8),"")</f>
        <v/>
      </c>
      <c r="AG74" s="11" t="n">
        <f aca="false">IF(AND(V74=1,J74&lt;&gt;""),IF(AND(J74&gt;=FechaCorte,J74&lt;=HorizonteExpuestos),1,0),0)</f>
        <v>0</v>
      </c>
    </row>
    <row r="75" customFormat="false" ht="15" hidden="false" customHeight="false" outlineLevel="0" collapsed="false">
      <c r="A75" s="7" t="n">
        <v>74</v>
      </c>
      <c r="B75" s="7" t="n">
        <v>2026</v>
      </c>
      <c r="C75" s="7" t="s">
        <v>259</v>
      </c>
      <c r="D75" s="7" t="s">
        <v>260</v>
      </c>
      <c r="E75" s="7"/>
      <c r="F75" s="7" t="s">
        <v>74</v>
      </c>
      <c r="G75" s="14" t="s">
        <v>143</v>
      </c>
      <c r="H75" s="8" t="n">
        <v>46174</v>
      </c>
      <c r="I75" s="8" t="n">
        <v>46203</v>
      </c>
      <c r="J75" s="8" t="n">
        <v>46203</v>
      </c>
      <c r="K75" s="9" t="n">
        <v>1</v>
      </c>
      <c r="L75" s="7" t="s">
        <v>261</v>
      </c>
      <c r="M75" s="10" t="s">
        <v>182</v>
      </c>
      <c r="N75" s="11" t="str">
        <f aca="false">IFERROR(INDEX(dFrente!$B$2:$B$76,MATCH(C75,dFrente!$A$2:$A$76,0)),"Sin frente")</f>
        <v>Gobierno y reportería</v>
      </c>
      <c r="O75" s="11" t="str">
        <f aca="false">IFERROR(INDEX(dNIST!$B$2:$B$13,MATCH(M75,dNIST!$A$2:$A$13,0)),"")</f>
        <v>GV</v>
      </c>
      <c r="P75" s="11" t="str">
        <f aca="false">TRIM(IFERROR(LEFT(G75,FIND(CHAR(10),G75)-1),G75))</f>
        <v>Richard Requelme</v>
      </c>
      <c r="Q75" s="11" t="n">
        <f aca="false">LEN(TRIM(G75))-LEN(SUBSTITUTE(TRIM(G75),CHAR(10),""))+1</f>
        <v>2</v>
      </c>
      <c r="R75" s="11" t="str">
        <f aca="false">IF(E75&lt;&gt;"","Sí","No")</f>
        <v>No</v>
      </c>
      <c r="S75" s="12" t="n">
        <f aca="false">IF(OR(J75="",H75=""),"",IF(J75&lt;=H75,IF(FechaCorte&gt;=J75,1,0),MAX(0,MIN(1,(FechaCorte-H75)/(J75-H75)))))</f>
        <v>1</v>
      </c>
      <c r="T75" s="12" t="n">
        <f aca="false">IF(S75="","",K75-S75)</f>
        <v>0</v>
      </c>
      <c r="U75" s="11" t="str">
        <f aca="false">IF(R75="Sí","Recurrente",IF(K75&gt;=1,"Completado",IF(AND(J75&lt;&gt;"",J75&lt;FechaCorte),"Vencido",IF(AND(K75=0,OR(H75="",H75&gt;FechaCorte)),"Por iniciar",IF(AND(T75&lt;&gt;"",T75&lt;=UmbralRiesgo),"En riesgo","En plazo")))))</f>
        <v>Completado</v>
      </c>
      <c r="V75" s="11" t="n">
        <f aca="false">IF(OR(U75="Vencido",U75="En riesgo",U75="En plazo",U75="Por iniciar"),1,0)</f>
        <v>0</v>
      </c>
      <c r="W75" s="11" t="str">
        <f aca="false">IF(U75="Vencido",FechaCorte-J75,"")</f>
        <v/>
      </c>
      <c r="X75" s="11" t="str">
        <f aca="false">IF(AND(V75=1,U75&lt;&gt;"Vencido"),J75-FechaCorte,"")</f>
        <v/>
      </c>
      <c r="Y75" s="13" t="n">
        <f aca="false">IF(J75="","",DATE(YEAR(J75),MONTH(J75),1))</f>
        <v>46174</v>
      </c>
      <c r="Z75" s="13" t="n">
        <f aca="false">IF(AND(U75="Completado",I75&lt;&gt;""),IF(I75&lt;=FechaCorte,DATE(YEAR(I75),MONTH(I75),1),""),"")</f>
        <v>46174</v>
      </c>
      <c r="AA75" s="11" t="n">
        <f aca="false">IF(J75="","",IF(DAY(J75+1)=1,1,0))</f>
        <v>1</v>
      </c>
      <c r="AB75" s="11" t="n">
        <f aca="false">IF(AND(U75="Completado",I75&lt;&gt;"",I75=J75),1,0)</f>
        <v>1</v>
      </c>
      <c r="AC75" s="11" t="n">
        <f aca="false">IF(AND(K75&gt;=1,I75&lt;&gt;""),IF(I75&gt;FechaCorte,1,0),0)</f>
        <v>0</v>
      </c>
      <c r="AD75" s="11" t="n">
        <f aca="false">IF(AND(I75&lt;&gt;"",H75&lt;&gt;""),IF(I75&lt;H75,1,0),0)</f>
        <v>0</v>
      </c>
      <c r="AE75" s="11" t="n">
        <f aca="false">IF(OR(F75="Riesgos",F75="Obs. Auditoría"),1,0)</f>
        <v>0</v>
      </c>
      <c r="AF75" s="11" t="str">
        <f aca="false">IFERROR(MID(D75,FIND("PMC-",D75),8),"")</f>
        <v/>
      </c>
      <c r="AG75" s="11" t="n">
        <f aca="false">IF(AND(V75=1,J75&lt;&gt;""),IF(AND(J75&gt;=FechaCorte,J75&lt;=HorizonteExpuestos),1,0),0)</f>
        <v>0</v>
      </c>
    </row>
    <row r="76" customFormat="false" ht="15" hidden="false" customHeight="false" outlineLevel="0" collapsed="false">
      <c r="A76" s="7" t="n">
        <v>75</v>
      </c>
      <c r="B76" s="7" t="n">
        <v>2026</v>
      </c>
      <c r="C76" s="7" t="s">
        <v>259</v>
      </c>
      <c r="D76" s="7" t="s">
        <v>262</v>
      </c>
      <c r="E76" s="7"/>
      <c r="F76" s="7" t="s">
        <v>74</v>
      </c>
      <c r="G76" s="7" t="s">
        <v>84</v>
      </c>
      <c r="H76" s="8" t="n">
        <v>46217</v>
      </c>
      <c r="I76" s="8" t="n">
        <v>46225</v>
      </c>
      <c r="J76" s="8" t="n">
        <v>46225</v>
      </c>
      <c r="K76" s="9" t="n">
        <v>1</v>
      </c>
      <c r="L76" s="7" t="s">
        <v>263</v>
      </c>
      <c r="M76" s="10" t="s">
        <v>182</v>
      </c>
      <c r="N76" s="11" t="str">
        <f aca="false">IFERROR(INDEX(dFrente!$B$2:$B$76,MATCH(C76,dFrente!$A$2:$A$76,0)),"Sin frente")</f>
        <v>Gobierno y reportería</v>
      </c>
      <c r="O76" s="11" t="str">
        <f aca="false">IFERROR(INDEX(dNIST!$B$2:$B$13,MATCH(M76,dNIST!$A$2:$A$13,0)),"")</f>
        <v>GV</v>
      </c>
      <c r="P76" s="11" t="str">
        <f aca="false">TRIM(IFERROR(LEFT(G76,FIND(CHAR(10),G76)-1),G76))</f>
        <v>Richard Requelme</v>
      </c>
      <c r="Q76" s="11" t="n">
        <f aca="false">LEN(TRIM(G76))-LEN(SUBSTITUTE(TRIM(G76),CHAR(10),""))+1</f>
        <v>1</v>
      </c>
      <c r="R76" s="11" t="str">
        <f aca="false">IF(E76&lt;&gt;"","Sí","No")</f>
        <v>No</v>
      </c>
      <c r="S76" s="12" t="n">
        <f aca="false">IF(OR(J76="",H76=""),"",IF(J76&lt;=H76,IF(FechaCorte&gt;=J76,1,0),MAX(0,MIN(1,(FechaCorte-H76)/(J76-H76)))))</f>
        <v>1</v>
      </c>
      <c r="T76" s="12" t="n">
        <f aca="false">IF(S76="","",K76-S76)</f>
        <v>0</v>
      </c>
      <c r="U76" s="11" t="str">
        <f aca="false">IF(R76="Sí","Recurrente",IF(K76&gt;=1,"Completado",IF(AND(J76&lt;&gt;"",J76&lt;FechaCorte),"Vencido",IF(AND(K76=0,OR(H76="",H76&gt;FechaCorte)),"Por iniciar",IF(AND(T76&lt;&gt;"",T76&lt;=UmbralRiesgo),"En riesgo","En plazo")))))</f>
        <v>Completado</v>
      </c>
      <c r="V76" s="11" t="n">
        <f aca="false">IF(OR(U76="Vencido",U76="En riesgo",U76="En plazo",U76="Por iniciar"),1,0)</f>
        <v>0</v>
      </c>
      <c r="W76" s="11" t="str">
        <f aca="false">IF(U76="Vencido",FechaCorte-J76,"")</f>
        <v/>
      </c>
      <c r="X76" s="11" t="str">
        <f aca="false">IF(AND(V76=1,U76&lt;&gt;"Vencido"),J76-FechaCorte,"")</f>
        <v/>
      </c>
      <c r="Y76" s="13" t="n">
        <f aca="false">IF(J76="","",DATE(YEAR(J76),MONTH(J76),1))</f>
        <v>46204</v>
      </c>
      <c r="Z76" s="13" t="n">
        <f aca="false">IF(AND(U76="Completado",I76&lt;&gt;""),IF(I76&lt;=FechaCorte,DATE(YEAR(I76),MONTH(I76),1),""),"")</f>
        <v>46204</v>
      </c>
      <c r="AA76" s="11" t="n">
        <f aca="false">IF(J76="","",IF(DAY(J76+1)=1,1,0))</f>
        <v>0</v>
      </c>
      <c r="AB76" s="11" t="n">
        <f aca="false">IF(AND(U76="Completado",I76&lt;&gt;"",I76=J76),1,0)</f>
        <v>1</v>
      </c>
      <c r="AC76" s="11" t="n">
        <f aca="false">IF(AND(K76&gt;=1,I76&lt;&gt;""),IF(I76&gt;FechaCorte,1,0),0)</f>
        <v>0</v>
      </c>
      <c r="AD76" s="11" t="n">
        <f aca="false">IF(AND(I76&lt;&gt;"",H76&lt;&gt;""),IF(I76&lt;H76,1,0),0)</f>
        <v>0</v>
      </c>
      <c r="AE76" s="11" t="n">
        <f aca="false">IF(OR(F76="Riesgos",F76="Obs. Auditoría"),1,0)</f>
        <v>0</v>
      </c>
      <c r="AF76" s="11" t="str">
        <f aca="false">IFERROR(MID(D76,FIND("PMC-",D76),8),"")</f>
        <v/>
      </c>
      <c r="AG76" s="11" t="n">
        <f aca="false">IF(AND(V76=1,J76&lt;&gt;""),IF(AND(J76&gt;=FechaCorte,J76&lt;=HorizonteExpuestos),1,0),0)</f>
        <v>0</v>
      </c>
    </row>
    <row r="77" customFormat="false" ht="15" hidden="false" customHeight="false" outlineLevel="0" collapsed="false">
      <c r="A77" s="7" t="n">
        <v>76</v>
      </c>
      <c r="B77" s="7" t="n">
        <v>2026</v>
      </c>
      <c r="C77" s="7" t="s">
        <v>259</v>
      </c>
      <c r="D77" s="7" t="s">
        <v>264</v>
      </c>
      <c r="E77" s="7"/>
      <c r="F77" s="7" t="s">
        <v>74</v>
      </c>
      <c r="G77" s="7" t="s">
        <v>84</v>
      </c>
      <c r="H77" s="8" t="n">
        <v>46210</v>
      </c>
      <c r="I77" s="8" t="n">
        <v>46217</v>
      </c>
      <c r="J77" s="8" t="n">
        <v>46217</v>
      </c>
      <c r="K77" s="9" t="n">
        <v>1</v>
      </c>
      <c r="L77" s="7" t="s">
        <v>265</v>
      </c>
      <c r="M77" s="10" t="s">
        <v>182</v>
      </c>
      <c r="N77" s="11" t="str">
        <f aca="false">IFERROR(INDEX(dFrente!$B$2:$B$76,MATCH(C77,dFrente!$A$2:$A$76,0)),"Sin frente")</f>
        <v>Gobierno y reportería</v>
      </c>
      <c r="O77" s="11" t="str">
        <f aca="false">IFERROR(INDEX(dNIST!$B$2:$B$13,MATCH(M77,dNIST!$A$2:$A$13,0)),"")</f>
        <v>GV</v>
      </c>
      <c r="P77" s="11" t="str">
        <f aca="false">TRIM(IFERROR(LEFT(G77,FIND(CHAR(10),G77)-1),G77))</f>
        <v>Richard Requelme</v>
      </c>
      <c r="Q77" s="11" t="n">
        <f aca="false">LEN(TRIM(G77))-LEN(SUBSTITUTE(TRIM(G77),CHAR(10),""))+1</f>
        <v>1</v>
      </c>
      <c r="R77" s="11" t="str">
        <f aca="false">IF(E77&lt;&gt;"","Sí","No")</f>
        <v>No</v>
      </c>
      <c r="S77" s="12" t="n">
        <f aca="false">IF(OR(J77="",H77=""),"",IF(J77&lt;=H77,IF(FechaCorte&gt;=J77,1,0),MAX(0,MIN(1,(FechaCorte-H77)/(J77-H77)))))</f>
        <v>1</v>
      </c>
      <c r="T77" s="12" t="n">
        <f aca="false">IF(S77="","",K77-S77)</f>
        <v>0</v>
      </c>
      <c r="U77" s="11" t="str">
        <f aca="false">IF(R77="Sí","Recurrente",IF(K77&gt;=1,"Completado",IF(AND(J77&lt;&gt;"",J77&lt;FechaCorte),"Vencido",IF(AND(K77=0,OR(H77="",H77&gt;FechaCorte)),"Por iniciar",IF(AND(T77&lt;&gt;"",T77&lt;=UmbralRiesgo),"En riesgo","En plazo")))))</f>
        <v>Completado</v>
      </c>
      <c r="V77" s="11" t="n">
        <f aca="false">IF(OR(U77="Vencido",U77="En riesgo",U77="En plazo",U77="Por iniciar"),1,0)</f>
        <v>0</v>
      </c>
      <c r="W77" s="11" t="str">
        <f aca="false">IF(U77="Vencido",FechaCorte-J77,"")</f>
        <v/>
      </c>
      <c r="X77" s="11" t="str">
        <f aca="false">IF(AND(V77=1,U77&lt;&gt;"Vencido"),J77-FechaCorte,"")</f>
        <v/>
      </c>
      <c r="Y77" s="13" t="n">
        <f aca="false">IF(J77="","",DATE(YEAR(J77),MONTH(J77),1))</f>
        <v>46204</v>
      </c>
      <c r="Z77" s="13" t="n">
        <f aca="false">IF(AND(U77="Completado",I77&lt;&gt;""),IF(I77&lt;=FechaCorte,DATE(YEAR(I77),MONTH(I77),1),""),"")</f>
        <v>46204</v>
      </c>
      <c r="AA77" s="11" t="n">
        <f aca="false">IF(J77="","",IF(DAY(J77+1)=1,1,0))</f>
        <v>0</v>
      </c>
      <c r="AB77" s="11" t="n">
        <f aca="false">IF(AND(U77="Completado",I77&lt;&gt;"",I77=J77),1,0)</f>
        <v>1</v>
      </c>
      <c r="AC77" s="11" t="n">
        <f aca="false">IF(AND(K77&gt;=1,I77&lt;&gt;""),IF(I77&gt;FechaCorte,1,0),0)</f>
        <v>0</v>
      </c>
      <c r="AD77" s="11" t="n">
        <f aca="false">IF(AND(I77&lt;&gt;"",H77&lt;&gt;""),IF(I77&lt;H77,1,0),0)</f>
        <v>0</v>
      </c>
      <c r="AE77" s="11" t="n">
        <f aca="false">IF(OR(F77="Riesgos",F77="Obs. Auditoría"),1,0)</f>
        <v>0</v>
      </c>
      <c r="AF77" s="11" t="str">
        <f aca="false">IFERROR(MID(D77,FIND("PMC-",D77),8),"")</f>
        <v/>
      </c>
      <c r="AG77" s="11" t="n">
        <f aca="false">IF(AND(V77=1,J77&lt;&gt;""),IF(AND(J77&gt;=FechaCorte,J77&lt;=HorizonteExpuestos),1,0),0)</f>
        <v>0</v>
      </c>
    </row>
    <row r="78" customFormat="false" ht="15" hidden="false" customHeight="false" outlineLevel="0" collapsed="false">
      <c r="A78" s="7" t="n">
        <v>77</v>
      </c>
      <c r="B78" s="7" t="n">
        <v>2026</v>
      </c>
      <c r="C78" s="7" t="s">
        <v>266</v>
      </c>
      <c r="D78" s="7" t="s">
        <v>267</v>
      </c>
      <c r="E78" s="7"/>
      <c r="F78" s="7" t="s">
        <v>106</v>
      </c>
      <c r="G78" s="14" t="s">
        <v>268</v>
      </c>
      <c r="H78" s="8" t="n">
        <v>46192</v>
      </c>
      <c r="I78" s="8" t="n">
        <v>46199</v>
      </c>
      <c r="J78" s="8" t="n">
        <v>46199</v>
      </c>
      <c r="K78" s="9" t="n">
        <v>1</v>
      </c>
      <c r="L78" s="14" t="s">
        <v>269</v>
      </c>
      <c r="M78" s="10" t="s">
        <v>76</v>
      </c>
      <c r="N78" s="11" t="str">
        <f aca="false">IFERROR(INDEX(dFrente!$B$2:$B$76,MATCH(C78,dFrente!$A$2:$A$76,0)),"Sin frente")</f>
        <v>Ciclo de vida JML</v>
      </c>
      <c r="O78" s="11" t="str">
        <f aca="false">IFERROR(INDEX(dNIST!$B$2:$B$13,MATCH(M78,dNIST!$A$2:$A$13,0)),"")</f>
        <v>PR</v>
      </c>
      <c r="P78" s="11" t="str">
        <f aca="false">TRIM(IFERROR(LEFT(G78,FIND(CHAR(10),G78)-1),G78))</f>
        <v>Daniel Lescano</v>
      </c>
      <c r="Q78" s="11" t="n">
        <f aca="false">LEN(TRIM(G78))-LEN(SUBSTITUTE(TRIM(G78),CHAR(10),""))+1</f>
        <v>2</v>
      </c>
      <c r="R78" s="11" t="str">
        <f aca="false">IF(E78&lt;&gt;"","Sí","No")</f>
        <v>No</v>
      </c>
      <c r="S78" s="12" t="n">
        <f aca="false">IF(OR(J78="",H78=""),"",IF(J78&lt;=H78,IF(FechaCorte&gt;=J78,1,0),MAX(0,MIN(1,(FechaCorte-H78)/(J78-H78)))))</f>
        <v>1</v>
      </c>
      <c r="T78" s="12" t="n">
        <f aca="false">IF(S78="","",K78-S78)</f>
        <v>0</v>
      </c>
      <c r="U78" s="11" t="str">
        <f aca="false">IF(R78="Sí","Recurrente",IF(K78&gt;=1,"Completado",IF(AND(J78&lt;&gt;"",J78&lt;FechaCorte),"Vencido",IF(AND(K78=0,OR(H78="",H78&gt;FechaCorte)),"Por iniciar",IF(AND(T78&lt;&gt;"",T78&lt;=UmbralRiesgo),"En riesgo","En plazo")))))</f>
        <v>Completado</v>
      </c>
      <c r="V78" s="11" t="n">
        <f aca="false">IF(OR(U78="Vencido",U78="En riesgo",U78="En plazo",U78="Por iniciar"),1,0)</f>
        <v>0</v>
      </c>
      <c r="W78" s="11" t="str">
        <f aca="false">IF(U78="Vencido",FechaCorte-J78,"")</f>
        <v/>
      </c>
      <c r="X78" s="11" t="str">
        <f aca="false">IF(AND(V78=1,U78&lt;&gt;"Vencido"),J78-FechaCorte,"")</f>
        <v/>
      </c>
      <c r="Y78" s="13" t="n">
        <f aca="false">IF(J78="","",DATE(YEAR(J78),MONTH(J78),1))</f>
        <v>46174</v>
      </c>
      <c r="Z78" s="13" t="n">
        <f aca="false">IF(AND(U78="Completado",I78&lt;&gt;""),IF(I78&lt;=FechaCorte,DATE(YEAR(I78),MONTH(I78),1),""),"")</f>
        <v>46174</v>
      </c>
      <c r="AA78" s="11" t="n">
        <f aca="false">IF(J78="","",IF(DAY(J78+1)=1,1,0))</f>
        <v>0</v>
      </c>
      <c r="AB78" s="11" t="n">
        <f aca="false">IF(AND(U78="Completado",I78&lt;&gt;"",I78=J78),1,0)</f>
        <v>1</v>
      </c>
      <c r="AC78" s="11" t="n">
        <f aca="false">IF(AND(K78&gt;=1,I78&lt;&gt;""),IF(I78&gt;FechaCorte,1,0),0)</f>
        <v>0</v>
      </c>
      <c r="AD78" s="11" t="n">
        <f aca="false">IF(AND(I78&lt;&gt;"",H78&lt;&gt;""),IF(I78&lt;H78,1,0),0)</f>
        <v>0</v>
      </c>
      <c r="AE78" s="11" t="n">
        <f aca="false">IF(OR(F78="Riesgos",F78="Obs. Auditoría"),1,0)</f>
        <v>0</v>
      </c>
      <c r="AF78" s="11" t="str">
        <f aca="false">IFERROR(MID(D78,FIND("PMC-",D78),8),"")</f>
        <v/>
      </c>
      <c r="AG78" s="11" t="n">
        <f aca="false">IF(AND(V78=1,J78&lt;&gt;""),IF(AND(J78&gt;=FechaCorte,J78&lt;=HorizonteExpuestos),1,0),0)</f>
        <v>0</v>
      </c>
    </row>
    <row r="79" customFormat="false" ht="15" hidden="false" customHeight="false" outlineLevel="0" collapsed="false">
      <c r="A79" s="7" t="n">
        <v>78</v>
      </c>
      <c r="B79" s="7" t="n">
        <v>2026</v>
      </c>
      <c r="C79" s="7" t="s">
        <v>270</v>
      </c>
      <c r="D79" s="14" t="s">
        <v>271</v>
      </c>
      <c r="E79" s="7"/>
      <c r="F79" s="7" t="s">
        <v>74</v>
      </c>
      <c r="G79" s="14" t="s">
        <v>272</v>
      </c>
      <c r="H79" s="8" t="n">
        <v>46218</v>
      </c>
      <c r="I79" s="8"/>
      <c r="J79" s="8" t="n">
        <v>46326</v>
      </c>
      <c r="K79" s="9" t="n">
        <v>0.4</v>
      </c>
      <c r="L79" s="14" t="s">
        <v>273</v>
      </c>
      <c r="M79" s="10" t="s">
        <v>81</v>
      </c>
      <c r="N79" s="11" t="str">
        <f aca="false">IFERROR(INDEX(dFrente!$B$2:$B$76,MATCH(C79,dFrente!$A$2:$A$76,0)),"Sin frente")</f>
        <v>Ciclo de vida JML</v>
      </c>
      <c r="O79" s="11" t="str">
        <f aca="false">IFERROR(INDEX(dNIST!$B$2:$B$13,MATCH(M79,dNIST!$A$2:$A$13,0)),"")</f>
        <v>PR</v>
      </c>
      <c r="P79" s="11" t="str">
        <f aca="false">TRIM(IFERROR(LEFT(G79,FIND(CHAR(10),G79)-1),G79))</f>
        <v>Richard Requelme</v>
      </c>
      <c r="Q79" s="11" t="n">
        <f aca="false">LEN(TRIM(G79))-LEN(SUBSTITUTE(TRIM(G79),CHAR(10),""))+1</f>
        <v>2</v>
      </c>
      <c r="R79" s="11" t="str">
        <f aca="false">IF(E79&lt;&gt;"","Sí","No")</f>
        <v>No</v>
      </c>
      <c r="S79" s="12" t="n">
        <f aca="false">IF(OR(J79="",H79=""),"",IF(J79&lt;=H79,IF(FechaCorte&gt;=J79,1,0),MAX(0,MIN(1,(FechaCorte-H79)/(J79-H79)))))</f>
        <v>0.657407407407407</v>
      </c>
      <c r="T79" s="12" t="n">
        <f aca="false">IF(S79="","",K79-S79)</f>
        <v>-0.257407407407407</v>
      </c>
      <c r="U79" s="11" t="str">
        <f aca="false">IF(R79="Sí","Recurrente",IF(K79&gt;=1,"Completado",IF(AND(J79&lt;&gt;"",J79&lt;FechaCorte),"Vencido",IF(AND(K79=0,OR(H79="",H79&gt;FechaCorte)),"Por iniciar",IF(AND(T79&lt;&gt;"",T79&lt;=UmbralRiesgo),"En riesgo","En plazo")))))</f>
        <v>En riesgo</v>
      </c>
      <c r="V79" s="11" t="n">
        <f aca="false">IF(OR(U79="Vencido",U79="En riesgo",U79="En plazo",U79="Por iniciar"),1,0)</f>
        <v>1</v>
      </c>
      <c r="W79" s="11" t="str">
        <f aca="false">IF(U79="Vencido",FechaCorte-J79,"")</f>
        <v/>
      </c>
      <c r="X79" s="11" t="n">
        <f aca="false">IF(AND(V79=1,U79&lt;&gt;"Vencido"),J79-FechaCorte,"")</f>
        <v>37</v>
      </c>
      <c r="Y79" s="13" t="n">
        <f aca="false">IF(J79="","",DATE(YEAR(J79),MONTH(J79),1))</f>
        <v>46296</v>
      </c>
      <c r="Z79" s="13" t="str">
        <f aca="false">IF(AND(U79="Completado",I79&lt;&gt;""),IF(I79&lt;=FechaCorte,DATE(YEAR(I79),MONTH(I79),1),""),"")</f>
        <v/>
      </c>
      <c r="AA79" s="11" t="n">
        <f aca="false">IF(J79="","",IF(DAY(J79+1)=1,1,0))</f>
        <v>1</v>
      </c>
      <c r="AB79" s="11" t="n">
        <f aca="false">IF(AND(U79="Completado",I79&lt;&gt;"",I79=J79),1,0)</f>
        <v>0</v>
      </c>
      <c r="AC79" s="11" t="n">
        <f aca="false">IF(AND(K79&gt;=1,I79&lt;&gt;""),IF(I79&gt;FechaCorte,1,0),0)</f>
        <v>0</v>
      </c>
      <c r="AD79" s="11" t="n">
        <f aca="false">IF(AND(I79&lt;&gt;"",H79&lt;&gt;""),IF(I79&lt;H79,1,0),0)</f>
        <v>0</v>
      </c>
      <c r="AE79" s="11" t="n">
        <f aca="false">IF(OR(F79="Riesgos",F79="Obs. Auditoría"),1,0)</f>
        <v>0</v>
      </c>
      <c r="AF79" s="11" t="str">
        <f aca="false">IFERROR(MID(D79,FIND("PMC-",D79),8),"")</f>
        <v/>
      </c>
      <c r="AG79" s="11" t="n">
        <f aca="false">IF(AND(V79=1,J79&lt;&gt;""),IF(AND(J79&gt;=FechaCorte,J79&lt;=HorizonteExpuestos),1,0),0)</f>
        <v>0</v>
      </c>
    </row>
    <row r="80" customFormat="false" ht="15" hidden="false" customHeight="false" outlineLevel="0" collapsed="false">
      <c r="A80" s="7" t="n">
        <v>79</v>
      </c>
      <c r="B80" s="7" t="n">
        <v>2026</v>
      </c>
      <c r="C80" s="7" t="s">
        <v>274</v>
      </c>
      <c r="D80" s="7" t="s">
        <v>275</v>
      </c>
      <c r="E80" s="7"/>
      <c r="F80" s="7" t="s">
        <v>131</v>
      </c>
      <c r="G80" s="7" t="s">
        <v>276</v>
      </c>
      <c r="H80" s="8" t="n">
        <v>46225</v>
      </c>
      <c r="I80" s="8" t="n">
        <v>46233</v>
      </c>
      <c r="J80" s="8" t="n">
        <v>46233</v>
      </c>
      <c r="K80" s="9" t="n">
        <v>1</v>
      </c>
      <c r="L80" s="7" t="s">
        <v>277</v>
      </c>
      <c r="M80" s="10" t="s">
        <v>76</v>
      </c>
      <c r="N80" s="11" t="str">
        <f aca="false">IFERROR(INDEX(dFrente!$B$2:$B$76,MATCH(C80,dFrente!$A$2:$A$76,0)),"Sin frente")</f>
        <v>Ciclo de vida JML</v>
      </c>
      <c r="O80" s="11" t="str">
        <f aca="false">IFERROR(INDEX(dNIST!$B$2:$B$13,MATCH(M80,dNIST!$A$2:$A$13,0)),"")</f>
        <v>PR</v>
      </c>
      <c r="P80" s="11" t="str">
        <f aca="false">TRIM(IFERROR(LEFT(G80,FIND(CHAR(10),G80)-1),G80))</f>
        <v>Daniel Lescano</v>
      </c>
      <c r="Q80" s="11" t="n">
        <f aca="false">LEN(TRIM(G80))-LEN(SUBSTITUTE(TRIM(G80),CHAR(10),""))+1</f>
        <v>1</v>
      </c>
      <c r="R80" s="11" t="str">
        <f aca="false">IF(E80&lt;&gt;"","Sí","No")</f>
        <v>No</v>
      </c>
      <c r="S80" s="12" t="n">
        <f aca="false">IF(OR(J80="",H80=""),"",IF(J80&lt;=H80,IF(FechaCorte&gt;=J80,1,0),MAX(0,MIN(1,(FechaCorte-H80)/(J80-H80)))))</f>
        <v>1</v>
      </c>
      <c r="T80" s="12" t="n">
        <f aca="false">IF(S80="","",K80-S80)</f>
        <v>0</v>
      </c>
      <c r="U80" s="11" t="str">
        <f aca="false">IF(R80="Sí","Recurrente",IF(K80&gt;=1,"Completado",IF(AND(J80&lt;&gt;"",J80&lt;FechaCorte),"Vencido",IF(AND(K80=0,OR(H80="",H80&gt;FechaCorte)),"Por iniciar",IF(AND(T80&lt;&gt;"",T80&lt;=UmbralRiesgo),"En riesgo","En plazo")))))</f>
        <v>Completado</v>
      </c>
      <c r="V80" s="11" t="n">
        <f aca="false">IF(OR(U80="Vencido",U80="En riesgo",U80="En plazo",U80="Por iniciar"),1,0)</f>
        <v>0</v>
      </c>
      <c r="W80" s="11" t="str">
        <f aca="false">IF(U80="Vencido",FechaCorte-J80,"")</f>
        <v/>
      </c>
      <c r="X80" s="11" t="str">
        <f aca="false">IF(AND(V80=1,U80&lt;&gt;"Vencido"),J80-FechaCorte,"")</f>
        <v/>
      </c>
      <c r="Y80" s="13" t="n">
        <f aca="false">IF(J80="","",DATE(YEAR(J80),MONTH(J80),1))</f>
        <v>46204</v>
      </c>
      <c r="Z80" s="13" t="n">
        <f aca="false">IF(AND(U80="Completado",I80&lt;&gt;""),IF(I80&lt;=FechaCorte,DATE(YEAR(I80),MONTH(I80),1),""),"")</f>
        <v>46204</v>
      </c>
      <c r="AA80" s="11" t="n">
        <f aca="false">IF(J80="","",IF(DAY(J80+1)=1,1,0))</f>
        <v>0</v>
      </c>
      <c r="AB80" s="11" t="n">
        <f aca="false">IF(AND(U80="Completado",I80&lt;&gt;"",I80=J80),1,0)</f>
        <v>1</v>
      </c>
      <c r="AC80" s="11" t="n">
        <f aca="false">IF(AND(K80&gt;=1,I80&lt;&gt;""),IF(I80&gt;FechaCorte,1,0),0)</f>
        <v>0</v>
      </c>
      <c r="AD80" s="11" t="n">
        <f aca="false">IF(AND(I80&lt;&gt;"",H80&lt;&gt;""),IF(I80&lt;H80,1,0),0)</f>
        <v>0</v>
      </c>
      <c r="AE80" s="11" t="n">
        <f aca="false">IF(OR(F80="Riesgos",F80="Obs. Auditoría"),1,0)</f>
        <v>0</v>
      </c>
      <c r="AF80" s="11" t="str">
        <f aca="false">IFERROR(MID(D80,FIND("PMC-",D80),8),"")</f>
        <v/>
      </c>
      <c r="AG80" s="11" t="n">
        <f aca="false">IF(AND(V80=1,J80&lt;&gt;""),IF(AND(J80&gt;=FechaCorte,J80&lt;=HorizonteExpuestos),1,0),0)</f>
        <v>0</v>
      </c>
    </row>
    <row r="81" customFormat="false" ht="15" hidden="false" customHeight="false" outlineLevel="0" collapsed="false">
      <c r="A81" s="7" t="n">
        <v>80</v>
      </c>
      <c r="B81" s="7" t="n">
        <v>2026</v>
      </c>
      <c r="C81" s="7" t="s">
        <v>278</v>
      </c>
      <c r="D81" s="7" t="s">
        <v>279</v>
      </c>
      <c r="E81" s="7"/>
      <c r="F81" s="7" t="s">
        <v>114</v>
      </c>
      <c r="G81" s="7" t="s">
        <v>80</v>
      </c>
      <c r="H81" s="8" t="n">
        <v>46113</v>
      </c>
      <c r="I81" s="8"/>
      <c r="J81" s="8" t="n">
        <v>46265</v>
      </c>
      <c r="K81" s="9" t="n">
        <v>0.05</v>
      </c>
      <c r="L81" s="7" t="s">
        <v>280</v>
      </c>
      <c r="M81" s="10" t="s">
        <v>81</v>
      </c>
      <c r="N81" s="11" t="str">
        <f aca="false">IFERROR(INDEX(dFrente!$B$2:$B$76,MATCH(C81,dFrente!$A$2:$A$76,0)),"Sin frente")</f>
        <v>Certificación de accesos</v>
      </c>
      <c r="O81" s="11" t="str">
        <f aca="false">IFERROR(INDEX(dNIST!$B$2:$B$13,MATCH(M81,dNIST!$A$2:$A$13,0)),"")</f>
        <v>PR</v>
      </c>
      <c r="P81" s="11" t="str">
        <f aca="false">TRIM(IFERROR(LEFT(G81,FIND(CHAR(10),G81)-1),G81))</f>
        <v>Ana María Fierro</v>
      </c>
      <c r="Q81" s="11" t="n">
        <f aca="false">LEN(TRIM(G81))-LEN(SUBSTITUTE(TRIM(G81),CHAR(10),""))+1</f>
        <v>1</v>
      </c>
      <c r="R81" s="11" t="str">
        <f aca="false">IF(E81&lt;&gt;"","Sí","No")</f>
        <v>No</v>
      </c>
      <c r="S81" s="12" t="n">
        <f aca="false">IF(OR(J81="",H81=""),"",IF(J81&lt;=H81,IF(FechaCorte&gt;=J81,1,0),MAX(0,MIN(1,(FechaCorte-H81)/(J81-H81)))))</f>
        <v>1</v>
      </c>
      <c r="T81" s="12" t="n">
        <f aca="false">IF(S81="","",K81-S81)</f>
        <v>-0.95</v>
      </c>
      <c r="U81" s="11" t="str">
        <f aca="false">IF(R81="Sí","Recurrente",IF(K81&gt;=1,"Completado",IF(AND(J81&lt;&gt;"",J81&lt;FechaCorte),"Vencido",IF(AND(K81=0,OR(H81="",H81&gt;FechaCorte)),"Por iniciar",IF(AND(T81&lt;&gt;"",T81&lt;=UmbralRiesgo),"En riesgo","En plazo")))))</f>
        <v>Vencido</v>
      </c>
      <c r="V81" s="11" t="n">
        <f aca="false">IF(OR(U81="Vencido",U81="En riesgo",U81="En plazo",U81="Por iniciar"),1,0)</f>
        <v>1</v>
      </c>
      <c r="W81" s="11" t="n">
        <f aca="false">IF(U81="Vencido",FechaCorte-J81,"")</f>
        <v>24</v>
      </c>
      <c r="X81" s="11" t="str">
        <f aca="false">IF(AND(V81=1,U81&lt;&gt;"Vencido"),J81-FechaCorte,"")</f>
        <v/>
      </c>
      <c r="Y81" s="13" t="n">
        <f aca="false">IF(J81="","",DATE(YEAR(J81),MONTH(J81),1))</f>
        <v>46235</v>
      </c>
      <c r="Z81" s="13" t="str">
        <f aca="false">IF(AND(U81="Completado",I81&lt;&gt;""),IF(I81&lt;=FechaCorte,DATE(YEAR(I81),MONTH(I81),1),""),"")</f>
        <v/>
      </c>
      <c r="AA81" s="11" t="n">
        <f aca="false">IF(J81="","",IF(DAY(J81+1)=1,1,0))</f>
        <v>1</v>
      </c>
      <c r="AB81" s="11" t="n">
        <f aca="false">IF(AND(U81="Completado",I81&lt;&gt;"",I81=J81),1,0)</f>
        <v>0</v>
      </c>
      <c r="AC81" s="11" t="n">
        <f aca="false">IF(AND(K81&gt;=1,I81&lt;&gt;""),IF(I81&gt;FechaCorte,1,0),0)</f>
        <v>0</v>
      </c>
      <c r="AD81" s="11" t="n">
        <f aca="false">IF(AND(I81&lt;&gt;"",H81&lt;&gt;""),IF(I81&lt;H81,1,0),0)</f>
        <v>0</v>
      </c>
      <c r="AE81" s="11" t="n">
        <f aca="false">IF(OR(F81="Riesgos",F81="Obs. Auditoría"),1,0)</f>
        <v>0</v>
      </c>
      <c r="AF81" s="11" t="str">
        <f aca="false">IFERROR(MID(D81,FIND("PMC-",D81),8),"")</f>
        <v/>
      </c>
      <c r="AG81" s="11" t="n">
        <f aca="false">IF(AND(V81=1,J81&lt;&gt;""),IF(AND(J81&gt;=FechaCorte,J81&lt;=HorizonteExpuestos),1,0),0)</f>
        <v>0</v>
      </c>
    </row>
    <row r="82" customFormat="false" ht="15" hidden="false" customHeight="false" outlineLevel="0" collapsed="false">
      <c r="A82" s="7" t="n">
        <v>81</v>
      </c>
      <c r="B82" s="7" t="n">
        <v>2026</v>
      </c>
      <c r="C82" s="7" t="s">
        <v>278</v>
      </c>
      <c r="D82" s="7" t="s">
        <v>281</v>
      </c>
      <c r="E82" s="7"/>
      <c r="F82" s="7" t="s">
        <v>114</v>
      </c>
      <c r="G82" s="7" t="s">
        <v>80</v>
      </c>
      <c r="H82" s="8" t="n">
        <v>46023</v>
      </c>
      <c r="I82" s="8"/>
      <c r="J82" s="8" t="n">
        <v>46387</v>
      </c>
      <c r="K82" s="9" t="n">
        <v>0.5</v>
      </c>
      <c r="L82" s="7" t="s">
        <v>282</v>
      </c>
      <c r="M82" s="10" t="s">
        <v>81</v>
      </c>
      <c r="N82" s="11" t="str">
        <f aca="false">IFERROR(INDEX(dFrente!$B$2:$B$76,MATCH(C82,dFrente!$A$2:$A$76,0)),"Sin frente")</f>
        <v>Certificación de accesos</v>
      </c>
      <c r="O82" s="11" t="str">
        <f aca="false">IFERROR(INDEX(dNIST!$B$2:$B$13,MATCH(M82,dNIST!$A$2:$A$13,0)),"")</f>
        <v>PR</v>
      </c>
      <c r="P82" s="11" t="str">
        <f aca="false">TRIM(IFERROR(LEFT(G82,FIND(CHAR(10),G82)-1),G82))</f>
        <v>Ana María Fierro</v>
      </c>
      <c r="Q82" s="11" t="n">
        <f aca="false">LEN(TRIM(G82))-LEN(SUBSTITUTE(TRIM(G82),CHAR(10),""))+1</f>
        <v>1</v>
      </c>
      <c r="R82" s="11" t="str">
        <f aca="false">IF(E82&lt;&gt;"","Sí","No")</f>
        <v>No</v>
      </c>
      <c r="S82" s="12" t="n">
        <f aca="false">IF(OR(J82="",H82=""),"",IF(J82&lt;=H82,IF(FechaCorte&gt;=J82,1,0),MAX(0,MIN(1,(FechaCorte-H82)/(J82-H82)))))</f>
        <v>0.730769230769231</v>
      </c>
      <c r="T82" s="12" t="n">
        <f aca="false">IF(S82="","",K82-S82)</f>
        <v>-0.230769230769231</v>
      </c>
      <c r="U82" s="11" t="str">
        <f aca="false">IF(R82="Sí","Recurrente",IF(K82&gt;=1,"Completado",IF(AND(J82&lt;&gt;"",J82&lt;FechaCorte),"Vencido",IF(AND(K82=0,OR(H82="",H82&gt;FechaCorte)),"Por iniciar",IF(AND(T82&lt;&gt;"",T82&lt;=UmbralRiesgo),"En riesgo","En plazo")))))</f>
        <v>En plazo</v>
      </c>
      <c r="V82" s="11" t="n">
        <f aca="false">IF(OR(U82="Vencido",U82="En riesgo",U82="En plazo",U82="Por iniciar"),1,0)</f>
        <v>1</v>
      </c>
      <c r="W82" s="11" t="str">
        <f aca="false">IF(U82="Vencido",FechaCorte-J82,"")</f>
        <v/>
      </c>
      <c r="X82" s="11" t="n">
        <f aca="false">IF(AND(V82=1,U82&lt;&gt;"Vencido"),J82-FechaCorte,"")</f>
        <v>98</v>
      </c>
      <c r="Y82" s="13" t="n">
        <f aca="false">IF(J82="","",DATE(YEAR(J82),MONTH(J82),1))</f>
        <v>46357</v>
      </c>
      <c r="Z82" s="13" t="str">
        <f aca="false">IF(AND(U82="Completado",I82&lt;&gt;""),IF(I82&lt;=FechaCorte,DATE(YEAR(I82),MONTH(I82),1),""),"")</f>
        <v/>
      </c>
      <c r="AA82" s="11" t="n">
        <f aca="false">IF(J82="","",IF(DAY(J82+1)=1,1,0))</f>
        <v>1</v>
      </c>
      <c r="AB82" s="11" t="n">
        <f aca="false">IF(AND(U82="Completado",I82&lt;&gt;"",I82=J82),1,0)</f>
        <v>0</v>
      </c>
      <c r="AC82" s="11" t="n">
        <f aca="false">IF(AND(K82&gt;=1,I82&lt;&gt;""),IF(I82&gt;FechaCorte,1,0),0)</f>
        <v>0</v>
      </c>
      <c r="AD82" s="11" t="n">
        <f aca="false">IF(AND(I82&lt;&gt;"",H82&lt;&gt;""),IF(I82&lt;H82,1,0),0)</f>
        <v>0</v>
      </c>
      <c r="AE82" s="11" t="n">
        <f aca="false">IF(OR(F82="Riesgos",F82="Obs. Auditoría"),1,0)</f>
        <v>0</v>
      </c>
      <c r="AF82" s="11" t="str">
        <f aca="false">IFERROR(MID(D82,FIND("PMC-",D82),8),"")</f>
        <v/>
      </c>
      <c r="AG82" s="11" t="n">
        <f aca="false">IF(AND(V82=1,J82&lt;&gt;""),IF(AND(J82&gt;=FechaCorte,J82&lt;=HorizonteExpuestos),1,0),0)</f>
        <v>0</v>
      </c>
    </row>
    <row r="83" customFormat="false" ht="15" hidden="false" customHeight="false" outlineLevel="0" collapsed="false">
      <c r="A83" s="7" t="n">
        <v>82</v>
      </c>
      <c r="B83" s="7" t="n">
        <v>2026</v>
      </c>
      <c r="C83" s="7" t="s">
        <v>278</v>
      </c>
      <c r="D83" s="14" t="s">
        <v>283</v>
      </c>
      <c r="E83" s="7"/>
      <c r="F83" s="7" t="s">
        <v>97</v>
      </c>
      <c r="G83" s="7" t="s">
        <v>80</v>
      </c>
      <c r="H83" s="8" t="n">
        <v>46113</v>
      </c>
      <c r="I83" s="8"/>
      <c r="J83" s="8" t="n">
        <v>46265</v>
      </c>
      <c r="K83" s="9" t="n">
        <v>0.2</v>
      </c>
      <c r="L83" s="7" t="s">
        <v>284</v>
      </c>
      <c r="M83" s="10" t="s">
        <v>186</v>
      </c>
      <c r="N83" s="11" t="str">
        <f aca="false">IFERROR(INDEX(dFrente!$B$2:$B$76,MATCH(C83,dFrente!$A$2:$A$76,0)),"Sin frente")</f>
        <v>Certificación de accesos</v>
      </c>
      <c r="O83" s="11" t="str">
        <f aca="false">IFERROR(INDEX(dNIST!$B$2:$B$13,MATCH(M83,dNIST!$A$2:$A$13,0)),"")</f>
        <v>GV</v>
      </c>
      <c r="P83" s="11" t="str">
        <f aca="false">TRIM(IFERROR(LEFT(G83,FIND(CHAR(10),G83)-1),G83))</f>
        <v>Ana María Fierro</v>
      </c>
      <c r="Q83" s="11" t="n">
        <f aca="false">LEN(TRIM(G83))-LEN(SUBSTITUTE(TRIM(G83),CHAR(10),""))+1</f>
        <v>1</v>
      </c>
      <c r="R83" s="11" t="str">
        <f aca="false">IF(E83&lt;&gt;"","Sí","No")</f>
        <v>No</v>
      </c>
      <c r="S83" s="12" t="n">
        <f aca="false">IF(OR(J83="",H83=""),"",IF(J83&lt;=H83,IF(FechaCorte&gt;=J83,1,0),MAX(0,MIN(1,(FechaCorte-H83)/(J83-H83)))))</f>
        <v>1</v>
      </c>
      <c r="T83" s="12" t="n">
        <f aca="false">IF(S83="","",K83-S83)</f>
        <v>-0.8</v>
      </c>
      <c r="U83" s="11" t="str">
        <f aca="false">IF(R83="Sí","Recurrente",IF(K83&gt;=1,"Completado",IF(AND(J83&lt;&gt;"",J83&lt;FechaCorte),"Vencido",IF(AND(K83=0,OR(H83="",H83&gt;FechaCorte)),"Por iniciar",IF(AND(T83&lt;&gt;"",T83&lt;=UmbralRiesgo),"En riesgo","En plazo")))))</f>
        <v>Vencido</v>
      </c>
      <c r="V83" s="11" t="n">
        <f aca="false">IF(OR(U83="Vencido",U83="En riesgo",U83="En plazo",U83="Por iniciar"),1,0)</f>
        <v>1</v>
      </c>
      <c r="W83" s="11" t="n">
        <f aca="false">IF(U83="Vencido",FechaCorte-J83,"")</f>
        <v>24</v>
      </c>
      <c r="X83" s="11" t="str">
        <f aca="false">IF(AND(V83=1,U83&lt;&gt;"Vencido"),J83-FechaCorte,"")</f>
        <v/>
      </c>
      <c r="Y83" s="13" t="n">
        <f aca="false">IF(J83="","",DATE(YEAR(J83),MONTH(J83),1))</f>
        <v>46235</v>
      </c>
      <c r="Z83" s="13" t="str">
        <f aca="false">IF(AND(U83="Completado",I83&lt;&gt;""),IF(I83&lt;=FechaCorte,DATE(YEAR(I83),MONTH(I83),1),""),"")</f>
        <v/>
      </c>
      <c r="AA83" s="11" t="n">
        <f aca="false">IF(J83="","",IF(DAY(J83+1)=1,1,0))</f>
        <v>1</v>
      </c>
      <c r="AB83" s="11" t="n">
        <f aca="false">IF(AND(U83="Completado",I83&lt;&gt;"",I83=J83),1,0)</f>
        <v>0</v>
      </c>
      <c r="AC83" s="11" t="n">
        <f aca="false">IF(AND(K83&gt;=1,I83&lt;&gt;""),IF(I83&gt;FechaCorte,1,0),0)</f>
        <v>0</v>
      </c>
      <c r="AD83" s="11" t="n">
        <f aca="false">IF(AND(I83&lt;&gt;"",H83&lt;&gt;""),IF(I83&lt;H83,1,0),0)</f>
        <v>0</v>
      </c>
      <c r="AE83" s="11" t="n">
        <f aca="false">IF(OR(F83="Riesgos",F83="Obs. Auditoría"),1,0)</f>
        <v>0</v>
      </c>
      <c r="AF83" s="11" t="str">
        <f aca="false">IFERROR(MID(D83,FIND("PMC-",D83),8),"")</f>
        <v/>
      </c>
      <c r="AG83" s="11" t="n">
        <f aca="false">IF(AND(V83=1,J83&lt;&gt;""),IF(AND(J83&gt;=FechaCorte,J83&lt;=HorizonteExpuestos),1,0),0)</f>
        <v>0</v>
      </c>
    </row>
    <row r="84" customFormat="false" ht="15" hidden="false" customHeight="false" outlineLevel="0" collapsed="false">
      <c r="A84" s="7" t="n">
        <v>83</v>
      </c>
      <c r="B84" s="7" t="n">
        <v>2026</v>
      </c>
      <c r="C84" s="7" t="s">
        <v>278</v>
      </c>
      <c r="D84" s="7" t="s">
        <v>285</v>
      </c>
      <c r="E84" s="7"/>
      <c r="F84" s="7" t="s">
        <v>74</v>
      </c>
      <c r="G84" s="7" t="s">
        <v>80</v>
      </c>
      <c r="H84" s="8" t="n">
        <v>46023</v>
      </c>
      <c r="I84" s="8"/>
      <c r="J84" s="8" t="n">
        <v>46295</v>
      </c>
      <c r="K84" s="9" t="n">
        <v>0.71</v>
      </c>
      <c r="L84" s="7" t="s">
        <v>286</v>
      </c>
      <c r="M84" s="10" t="s">
        <v>81</v>
      </c>
      <c r="N84" s="11" t="str">
        <f aca="false">IFERROR(INDEX(dFrente!$B$2:$B$76,MATCH(C84,dFrente!$A$2:$A$76,0)),"Sin frente")</f>
        <v>Certificación de accesos</v>
      </c>
      <c r="O84" s="11" t="str">
        <f aca="false">IFERROR(INDEX(dNIST!$B$2:$B$13,MATCH(M84,dNIST!$A$2:$A$13,0)),"")</f>
        <v>PR</v>
      </c>
      <c r="P84" s="11" t="str">
        <f aca="false">TRIM(IFERROR(LEFT(G84,FIND(CHAR(10),G84)-1),G84))</f>
        <v>Ana María Fierro</v>
      </c>
      <c r="Q84" s="11" t="n">
        <f aca="false">LEN(TRIM(G84))-LEN(SUBSTITUTE(TRIM(G84),CHAR(10),""))+1</f>
        <v>1</v>
      </c>
      <c r="R84" s="11" t="str">
        <f aca="false">IF(E84&lt;&gt;"","Sí","No")</f>
        <v>No</v>
      </c>
      <c r="S84" s="12" t="n">
        <f aca="false">IF(OR(J84="",H84=""),"",IF(J84&lt;=H84,IF(FechaCorte&gt;=J84,1,0),MAX(0,MIN(1,(FechaCorte-H84)/(J84-H84)))))</f>
        <v>0.977941176470588</v>
      </c>
      <c r="T84" s="12" t="n">
        <f aca="false">IF(S84="","",K84-S84)</f>
        <v>-0.267941176470588</v>
      </c>
      <c r="U84" s="11" t="str">
        <f aca="false">IF(R84="Sí","Recurrente",IF(K84&gt;=1,"Completado",IF(AND(J84&lt;&gt;"",J84&lt;FechaCorte),"Vencido",IF(AND(K84=0,OR(H84="",H84&gt;FechaCorte)),"Por iniciar",IF(AND(T84&lt;&gt;"",T84&lt;=UmbralRiesgo),"En riesgo","En plazo")))))</f>
        <v>En riesgo</v>
      </c>
      <c r="V84" s="11" t="n">
        <f aca="false">IF(OR(U84="Vencido",U84="En riesgo",U84="En plazo",U84="Por iniciar"),1,0)</f>
        <v>1</v>
      </c>
      <c r="W84" s="11" t="str">
        <f aca="false">IF(U84="Vencido",FechaCorte-J84,"")</f>
        <v/>
      </c>
      <c r="X84" s="11" t="n">
        <f aca="false">IF(AND(V84=1,U84&lt;&gt;"Vencido"),J84-FechaCorte,"")</f>
        <v>6</v>
      </c>
      <c r="Y84" s="13" t="n">
        <f aca="false">IF(J84="","",DATE(YEAR(J84),MONTH(J84),1))</f>
        <v>46266</v>
      </c>
      <c r="Z84" s="13" t="str">
        <f aca="false">IF(AND(U84="Completado",I84&lt;&gt;""),IF(I84&lt;=FechaCorte,DATE(YEAR(I84),MONTH(I84),1),""),"")</f>
        <v/>
      </c>
      <c r="AA84" s="11" t="n">
        <f aca="false">IF(J84="","",IF(DAY(J84+1)=1,1,0))</f>
        <v>1</v>
      </c>
      <c r="AB84" s="11" t="n">
        <f aca="false">IF(AND(U84="Completado",I84&lt;&gt;"",I84=J84),1,0)</f>
        <v>0</v>
      </c>
      <c r="AC84" s="11" t="n">
        <f aca="false">IF(AND(K84&gt;=1,I84&lt;&gt;""),IF(I84&gt;FechaCorte,1,0),0)</f>
        <v>0</v>
      </c>
      <c r="AD84" s="11" t="n">
        <f aca="false">IF(AND(I84&lt;&gt;"",H84&lt;&gt;""),IF(I84&lt;H84,1,0),0)</f>
        <v>0</v>
      </c>
      <c r="AE84" s="11" t="n">
        <f aca="false">IF(OR(F84="Riesgos",F84="Obs. Auditoría"),1,0)</f>
        <v>0</v>
      </c>
      <c r="AF84" s="11" t="str">
        <f aca="false">IFERROR(MID(D84,FIND("PMC-",D84),8),"")</f>
        <v/>
      </c>
      <c r="AG84" s="11" t="n">
        <f aca="false">IF(AND(V84=1,J84&lt;&gt;""),IF(AND(J84&gt;=FechaCorte,J84&lt;=HorizonteExpuestos),1,0),0)</f>
        <v>1</v>
      </c>
    </row>
    <row r="85" customFormat="false" ht="15" hidden="false" customHeight="false" outlineLevel="0" collapsed="false">
      <c r="A85" s="7" t="n">
        <v>84</v>
      </c>
      <c r="B85" s="7" t="n">
        <v>2026</v>
      </c>
      <c r="C85" s="7" t="s">
        <v>287</v>
      </c>
      <c r="D85" s="7" t="s">
        <v>288</v>
      </c>
      <c r="E85" s="7"/>
      <c r="F85" s="7" t="s">
        <v>114</v>
      </c>
      <c r="G85" s="14" t="s">
        <v>289</v>
      </c>
      <c r="H85" s="8" t="n">
        <v>46175</v>
      </c>
      <c r="I85" s="8"/>
      <c r="J85" s="8" t="n">
        <v>46234</v>
      </c>
      <c r="K85" s="9" t="n">
        <v>0.75</v>
      </c>
      <c r="L85" s="7" t="s">
        <v>290</v>
      </c>
      <c r="M85" s="10" t="s">
        <v>81</v>
      </c>
      <c r="N85" s="11" t="str">
        <f aca="false">IFERROR(INDEX(dFrente!$B$2:$B$76,MATCH(C85,dFrente!$A$2:$A$76,0)),"Sin frente")</f>
        <v>Certificación de accesos</v>
      </c>
      <c r="O85" s="11" t="str">
        <f aca="false">IFERROR(INDEX(dNIST!$B$2:$B$13,MATCH(M85,dNIST!$A$2:$A$13,0)),"")</f>
        <v>PR</v>
      </c>
      <c r="P85" s="11" t="str">
        <f aca="false">TRIM(IFERROR(LEFT(G85,FIND(CHAR(10),G85)-1),G85))</f>
        <v>Ana María Fierro</v>
      </c>
      <c r="Q85" s="11" t="n">
        <f aca="false">LEN(TRIM(G85))-LEN(SUBSTITUTE(TRIM(G85),CHAR(10),""))+1</f>
        <v>2</v>
      </c>
      <c r="R85" s="11" t="str">
        <f aca="false">IF(E85&lt;&gt;"","Sí","No")</f>
        <v>No</v>
      </c>
      <c r="S85" s="12" t="n">
        <f aca="false">IF(OR(J85="",H85=""),"",IF(J85&lt;=H85,IF(FechaCorte&gt;=J85,1,0),MAX(0,MIN(1,(FechaCorte-H85)/(J85-H85)))))</f>
        <v>1</v>
      </c>
      <c r="T85" s="12" t="n">
        <f aca="false">IF(S85="","",K85-S85)</f>
        <v>-0.25</v>
      </c>
      <c r="U85" s="11" t="str">
        <f aca="false">IF(R85="Sí","Recurrente",IF(K85&gt;=1,"Completado",IF(AND(J85&lt;&gt;"",J85&lt;FechaCorte),"Vencido",IF(AND(K85=0,OR(H85="",H85&gt;FechaCorte)),"Por iniciar",IF(AND(T85&lt;&gt;"",T85&lt;=UmbralRiesgo),"En riesgo","En plazo")))))</f>
        <v>Vencido</v>
      </c>
      <c r="V85" s="11" t="n">
        <f aca="false">IF(OR(U85="Vencido",U85="En riesgo",U85="En plazo",U85="Por iniciar"),1,0)</f>
        <v>1</v>
      </c>
      <c r="W85" s="11" t="n">
        <f aca="false">IF(U85="Vencido",FechaCorte-J85,"")</f>
        <v>55</v>
      </c>
      <c r="X85" s="11" t="str">
        <f aca="false">IF(AND(V85=1,U85&lt;&gt;"Vencido"),J85-FechaCorte,"")</f>
        <v/>
      </c>
      <c r="Y85" s="13" t="n">
        <f aca="false">IF(J85="","",DATE(YEAR(J85),MONTH(J85),1))</f>
        <v>46204</v>
      </c>
      <c r="Z85" s="13" t="str">
        <f aca="false">IF(AND(U85="Completado",I85&lt;&gt;""),IF(I85&lt;=FechaCorte,DATE(YEAR(I85),MONTH(I85),1),""),"")</f>
        <v/>
      </c>
      <c r="AA85" s="11" t="n">
        <f aca="false">IF(J85="","",IF(DAY(J85+1)=1,1,0))</f>
        <v>1</v>
      </c>
      <c r="AB85" s="11" t="n">
        <f aca="false">IF(AND(U85="Completado",I85&lt;&gt;"",I85=J85),1,0)</f>
        <v>0</v>
      </c>
      <c r="AC85" s="11" t="n">
        <f aca="false">IF(AND(K85&gt;=1,I85&lt;&gt;""),IF(I85&gt;FechaCorte,1,0),0)</f>
        <v>0</v>
      </c>
      <c r="AD85" s="11" t="n">
        <f aca="false">IF(AND(I85&lt;&gt;"",H85&lt;&gt;""),IF(I85&lt;H85,1,0),0)</f>
        <v>0</v>
      </c>
      <c r="AE85" s="11" t="n">
        <f aca="false">IF(OR(F85="Riesgos",F85="Obs. Auditoría"),1,0)</f>
        <v>0</v>
      </c>
      <c r="AF85" s="11" t="str">
        <f aca="false">IFERROR(MID(D85,FIND("PMC-",D85),8),"")</f>
        <v/>
      </c>
      <c r="AG85" s="11" t="n">
        <f aca="false">IF(AND(V85=1,J85&lt;&gt;""),IF(AND(J85&gt;=FechaCorte,J85&lt;=HorizonteExpuestos),1,0),0)</f>
        <v>0</v>
      </c>
    </row>
    <row r="86" customFormat="false" ht="15" hidden="false" customHeight="false" outlineLevel="0" collapsed="false">
      <c r="A86" s="7" t="n">
        <v>85</v>
      </c>
      <c r="B86" s="7" t="n">
        <v>2026</v>
      </c>
      <c r="C86" s="7" t="s">
        <v>291</v>
      </c>
      <c r="D86" s="14" t="s">
        <v>292</v>
      </c>
      <c r="E86" s="7"/>
      <c r="F86" s="7" t="s">
        <v>74</v>
      </c>
      <c r="G86" s="14" t="s">
        <v>289</v>
      </c>
      <c r="H86" s="8" t="n">
        <v>46023</v>
      </c>
      <c r="I86" s="8"/>
      <c r="J86" s="8" t="n">
        <v>46326</v>
      </c>
      <c r="K86" s="9" t="n">
        <v>0.75</v>
      </c>
      <c r="L86" s="14" t="s">
        <v>293</v>
      </c>
      <c r="M86" s="10" t="s">
        <v>81</v>
      </c>
      <c r="N86" s="11" t="str">
        <f aca="false">IFERROR(INDEX(dFrente!$B$2:$B$76,MATCH(C86,dFrente!$A$2:$A$76,0)),"Sin frente")</f>
        <v>Certificación de accesos</v>
      </c>
      <c r="O86" s="11" t="str">
        <f aca="false">IFERROR(INDEX(dNIST!$B$2:$B$13,MATCH(M86,dNIST!$A$2:$A$13,0)),"")</f>
        <v>PR</v>
      </c>
      <c r="P86" s="11" t="str">
        <f aca="false">TRIM(IFERROR(LEFT(G86,FIND(CHAR(10),G86)-1),G86))</f>
        <v>Ana María Fierro</v>
      </c>
      <c r="Q86" s="11" t="n">
        <f aca="false">LEN(TRIM(G86))-LEN(SUBSTITUTE(TRIM(G86),CHAR(10),""))+1</f>
        <v>2</v>
      </c>
      <c r="R86" s="11" t="str">
        <f aca="false">IF(E86&lt;&gt;"","Sí","No")</f>
        <v>No</v>
      </c>
      <c r="S86" s="12" t="n">
        <f aca="false">IF(OR(J86="",H86=""),"",IF(J86&lt;=H86,IF(FechaCorte&gt;=J86,1,0),MAX(0,MIN(1,(FechaCorte-H86)/(J86-H86)))))</f>
        <v>0.877887788778878</v>
      </c>
      <c r="T86" s="12" t="n">
        <f aca="false">IF(S86="","",K86-S86)</f>
        <v>-0.127887788778878</v>
      </c>
      <c r="U86" s="11" t="str">
        <f aca="false">IF(R86="Sí","Recurrente",IF(K86&gt;=1,"Completado",IF(AND(J86&lt;&gt;"",J86&lt;FechaCorte),"Vencido",IF(AND(K86=0,OR(H86="",H86&gt;FechaCorte)),"Por iniciar",IF(AND(T86&lt;&gt;"",T86&lt;=UmbralRiesgo),"En riesgo","En plazo")))))</f>
        <v>En plazo</v>
      </c>
      <c r="V86" s="11" t="n">
        <f aca="false">IF(OR(U86="Vencido",U86="En riesgo",U86="En plazo",U86="Por iniciar"),1,0)</f>
        <v>1</v>
      </c>
      <c r="W86" s="11" t="str">
        <f aca="false">IF(U86="Vencido",FechaCorte-J86,"")</f>
        <v/>
      </c>
      <c r="X86" s="11" t="n">
        <f aca="false">IF(AND(V86=1,U86&lt;&gt;"Vencido"),J86-FechaCorte,"")</f>
        <v>37</v>
      </c>
      <c r="Y86" s="13" t="n">
        <f aca="false">IF(J86="","",DATE(YEAR(J86),MONTH(J86),1))</f>
        <v>46296</v>
      </c>
      <c r="Z86" s="13" t="str">
        <f aca="false">IF(AND(U86="Completado",I86&lt;&gt;""),IF(I86&lt;=FechaCorte,DATE(YEAR(I86),MONTH(I86),1),""),"")</f>
        <v/>
      </c>
      <c r="AA86" s="11" t="n">
        <f aca="false">IF(J86="","",IF(DAY(J86+1)=1,1,0))</f>
        <v>1</v>
      </c>
      <c r="AB86" s="11" t="n">
        <f aca="false">IF(AND(U86="Completado",I86&lt;&gt;"",I86=J86),1,0)</f>
        <v>0</v>
      </c>
      <c r="AC86" s="11" t="n">
        <f aca="false">IF(AND(K86&gt;=1,I86&lt;&gt;""),IF(I86&gt;FechaCorte,1,0),0)</f>
        <v>0</v>
      </c>
      <c r="AD86" s="11" t="n">
        <f aca="false">IF(AND(I86&lt;&gt;"",H86&lt;&gt;""),IF(I86&lt;H86,1,0),0)</f>
        <v>0</v>
      </c>
      <c r="AE86" s="11" t="n">
        <f aca="false">IF(OR(F86="Riesgos",F86="Obs. Auditoría"),1,0)</f>
        <v>0</v>
      </c>
      <c r="AF86" s="11" t="str">
        <f aca="false">IFERROR(MID(D86,FIND("PMC-",D86),8),"")</f>
        <v/>
      </c>
      <c r="AG86" s="11" t="n">
        <f aca="false">IF(AND(V86=1,J86&lt;&gt;""),IF(AND(J86&gt;=FechaCorte,J86&lt;=HorizonteExpuestos),1,0),0)</f>
        <v>0</v>
      </c>
    </row>
    <row r="87" customFormat="false" ht="15" hidden="false" customHeight="false" outlineLevel="0" collapsed="false">
      <c r="A87" s="7" t="n">
        <v>86</v>
      </c>
      <c r="B87" s="7" t="n">
        <v>2026</v>
      </c>
      <c r="C87" s="7" t="s">
        <v>294</v>
      </c>
      <c r="D87" s="7" t="s">
        <v>295</v>
      </c>
      <c r="E87" s="7"/>
      <c r="F87" s="7" t="s">
        <v>131</v>
      </c>
      <c r="G87" s="14" t="s">
        <v>289</v>
      </c>
      <c r="H87" s="8" t="n">
        <v>46164</v>
      </c>
      <c r="I87" s="8" t="n">
        <v>46206</v>
      </c>
      <c r="J87" s="8" t="n">
        <v>46206</v>
      </c>
      <c r="K87" s="9" t="n">
        <v>1</v>
      </c>
      <c r="L87" s="14" t="s">
        <v>296</v>
      </c>
      <c r="M87" s="10" t="s">
        <v>81</v>
      </c>
      <c r="N87" s="11" t="str">
        <f aca="false">IFERROR(INDEX(dFrente!$B$2:$B$76,MATCH(C87,dFrente!$A$2:$A$76,0)),"Sin frente")</f>
        <v>Certificación de accesos</v>
      </c>
      <c r="O87" s="11" t="str">
        <f aca="false">IFERROR(INDEX(dNIST!$B$2:$B$13,MATCH(M87,dNIST!$A$2:$A$13,0)),"")</f>
        <v>PR</v>
      </c>
      <c r="P87" s="11" t="str">
        <f aca="false">TRIM(IFERROR(LEFT(G87,FIND(CHAR(10),G87)-1),G87))</f>
        <v>Ana María Fierro</v>
      </c>
      <c r="Q87" s="11" t="n">
        <f aca="false">LEN(TRIM(G87))-LEN(SUBSTITUTE(TRIM(G87),CHAR(10),""))+1</f>
        <v>2</v>
      </c>
      <c r="R87" s="11" t="str">
        <f aca="false">IF(E87&lt;&gt;"","Sí","No")</f>
        <v>No</v>
      </c>
      <c r="S87" s="12" t="n">
        <f aca="false">IF(OR(J87="",H87=""),"",IF(J87&lt;=H87,IF(FechaCorte&gt;=J87,1,0),MAX(0,MIN(1,(FechaCorte-H87)/(J87-H87)))))</f>
        <v>1</v>
      </c>
      <c r="T87" s="12" t="n">
        <f aca="false">IF(S87="","",K87-S87)</f>
        <v>0</v>
      </c>
      <c r="U87" s="11" t="str">
        <f aca="false">IF(R87="Sí","Recurrente",IF(K87&gt;=1,"Completado",IF(AND(J87&lt;&gt;"",J87&lt;FechaCorte),"Vencido",IF(AND(K87=0,OR(H87="",H87&gt;FechaCorte)),"Por iniciar",IF(AND(T87&lt;&gt;"",T87&lt;=UmbralRiesgo),"En riesgo","En plazo")))))</f>
        <v>Completado</v>
      </c>
      <c r="V87" s="11" t="n">
        <f aca="false">IF(OR(U87="Vencido",U87="En riesgo",U87="En plazo",U87="Por iniciar"),1,0)</f>
        <v>0</v>
      </c>
      <c r="W87" s="11" t="str">
        <f aca="false">IF(U87="Vencido",FechaCorte-J87,"")</f>
        <v/>
      </c>
      <c r="X87" s="11" t="str">
        <f aca="false">IF(AND(V87=1,U87&lt;&gt;"Vencido"),J87-FechaCorte,"")</f>
        <v/>
      </c>
      <c r="Y87" s="13" t="n">
        <f aca="false">IF(J87="","",DATE(YEAR(J87),MONTH(J87),1))</f>
        <v>46204</v>
      </c>
      <c r="Z87" s="13" t="n">
        <f aca="false">IF(AND(U87="Completado",I87&lt;&gt;""),IF(I87&lt;=FechaCorte,DATE(YEAR(I87),MONTH(I87),1),""),"")</f>
        <v>46204</v>
      </c>
      <c r="AA87" s="11" t="n">
        <f aca="false">IF(J87="","",IF(DAY(J87+1)=1,1,0))</f>
        <v>0</v>
      </c>
      <c r="AB87" s="11" t="n">
        <f aca="false">IF(AND(U87="Completado",I87&lt;&gt;"",I87=J87),1,0)</f>
        <v>1</v>
      </c>
      <c r="AC87" s="11" t="n">
        <f aca="false">IF(AND(K87&gt;=1,I87&lt;&gt;""),IF(I87&gt;FechaCorte,1,0),0)</f>
        <v>0</v>
      </c>
      <c r="AD87" s="11" t="n">
        <f aca="false">IF(AND(I87&lt;&gt;"",H87&lt;&gt;""),IF(I87&lt;H87,1,0),0)</f>
        <v>0</v>
      </c>
      <c r="AE87" s="11" t="n">
        <f aca="false">IF(OR(F87="Riesgos",F87="Obs. Auditoría"),1,0)</f>
        <v>0</v>
      </c>
      <c r="AF87" s="11" t="str">
        <f aca="false">IFERROR(MID(D87,FIND("PMC-",D87),8),"")</f>
        <v/>
      </c>
      <c r="AG87" s="11" t="n">
        <f aca="false">IF(AND(V87=1,J87&lt;&gt;""),IF(AND(J87&gt;=FechaCorte,J87&lt;=HorizonteExpuestos),1,0),0)</f>
        <v>0</v>
      </c>
    </row>
    <row r="88" customFormat="false" ht="15" hidden="false" customHeight="false" outlineLevel="0" collapsed="false">
      <c r="A88" s="7" t="n">
        <v>87</v>
      </c>
      <c r="B88" s="7" t="n">
        <v>2026</v>
      </c>
      <c r="C88" s="7" t="s">
        <v>297</v>
      </c>
      <c r="D88" s="7" t="s">
        <v>298</v>
      </c>
      <c r="E88" s="7"/>
      <c r="F88" s="7" t="s">
        <v>97</v>
      </c>
      <c r="G88" s="7" t="s">
        <v>80</v>
      </c>
      <c r="H88" s="8" t="n">
        <v>46113</v>
      </c>
      <c r="I88" s="8" t="n">
        <v>46265</v>
      </c>
      <c r="J88" s="8" t="n">
        <v>46265</v>
      </c>
      <c r="K88" s="9" t="n">
        <v>1</v>
      </c>
      <c r="L88" s="14" t="s">
        <v>299</v>
      </c>
      <c r="M88" s="10" t="s">
        <v>81</v>
      </c>
      <c r="N88" s="11" t="str">
        <f aca="false">IFERROR(INDEX(dFrente!$B$2:$B$76,MATCH(C88,dFrente!$A$2:$A$76,0)),"Sin frente")</f>
        <v>Certificación de accesos</v>
      </c>
      <c r="O88" s="11" t="str">
        <f aca="false">IFERROR(INDEX(dNIST!$B$2:$B$13,MATCH(M88,dNIST!$A$2:$A$13,0)),"")</f>
        <v>PR</v>
      </c>
      <c r="P88" s="11" t="str">
        <f aca="false">TRIM(IFERROR(LEFT(G88,FIND(CHAR(10),G88)-1),G88))</f>
        <v>Ana María Fierro</v>
      </c>
      <c r="Q88" s="11" t="n">
        <f aca="false">LEN(TRIM(G88))-LEN(SUBSTITUTE(TRIM(G88),CHAR(10),""))+1</f>
        <v>1</v>
      </c>
      <c r="R88" s="11" t="str">
        <f aca="false">IF(E88&lt;&gt;"","Sí","No")</f>
        <v>No</v>
      </c>
      <c r="S88" s="12" t="n">
        <f aca="false">IF(OR(J88="",H88=""),"",IF(J88&lt;=H88,IF(FechaCorte&gt;=J88,1,0),MAX(0,MIN(1,(FechaCorte-H88)/(J88-H88)))))</f>
        <v>1</v>
      </c>
      <c r="T88" s="12" t="n">
        <f aca="false">IF(S88="","",K88-S88)</f>
        <v>0</v>
      </c>
      <c r="U88" s="11" t="str">
        <f aca="false">IF(R88="Sí","Recurrente",IF(K88&gt;=1,"Completado",IF(AND(J88&lt;&gt;"",J88&lt;FechaCorte),"Vencido",IF(AND(K88=0,OR(H88="",H88&gt;FechaCorte)),"Por iniciar",IF(AND(T88&lt;&gt;"",T88&lt;=UmbralRiesgo),"En riesgo","En plazo")))))</f>
        <v>Completado</v>
      </c>
      <c r="V88" s="11" t="n">
        <f aca="false">IF(OR(U88="Vencido",U88="En riesgo",U88="En plazo",U88="Por iniciar"),1,0)</f>
        <v>0</v>
      </c>
      <c r="W88" s="11" t="str">
        <f aca="false">IF(U88="Vencido",FechaCorte-J88,"")</f>
        <v/>
      </c>
      <c r="X88" s="11" t="str">
        <f aca="false">IF(AND(V88=1,U88&lt;&gt;"Vencido"),J88-FechaCorte,"")</f>
        <v/>
      </c>
      <c r="Y88" s="13" t="n">
        <f aca="false">IF(J88="","",DATE(YEAR(J88),MONTH(J88),1))</f>
        <v>46235</v>
      </c>
      <c r="Z88" s="13" t="n">
        <f aca="false">IF(AND(U88="Completado",I88&lt;&gt;""),IF(I88&lt;=FechaCorte,DATE(YEAR(I88),MONTH(I88),1),""),"")</f>
        <v>46235</v>
      </c>
      <c r="AA88" s="11" t="n">
        <f aca="false">IF(J88="","",IF(DAY(J88+1)=1,1,0))</f>
        <v>1</v>
      </c>
      <c r="AB88" s="11" t="n">
        <f aca="false">IF(AND(U88="Completado",I88&lt;&gt;"",I88=J88),1,0)</f>
        <v>1</v>
      </c>
      <c r="AC88" s="11" t="n">
        <f aca="false">IF(AND(K88&gt;=1,I88&lt;&gt;""),IF(I88&gt;FechaCorte,1,0),0)</f>
        <v>0</v>
      </c>
      <c r="AD88" s="11" t="n">
        <f aca="false">IF(AND(I88&lt;&gt;"",H88&lt;&gt;""),IF(I88&lt;H88,1,0),0)</f>
        <v>0</v>
      </c>
      <c r="AE88" s="11" t="n">
        <f aca="false">IF(OR(F88="Riesgos",F88="Obs. Auditoría"),1,0)</f>
        <v>0</v>
      </c>
      <c r="AF88" s="11" t="str">
        <f aca="false">IFERROR(MID(D88,FIND("PMC-",D88),8),"")</f>
        <v/>
      </c>
      <c r="AG88" s="11" t="n">
        <f aca="false">IF(AND(V88=1,J88&lt;&gt;""),IF(AND(J88&gt;=FechaCorte,J88&lt;=HorizonteExpuestos),1,0),0)</f>
        <v>0</v>
      </c>
    </row>
    <row r="89" customFormat="false" ht="15" hidden="false" customHeight="false" outlineLevel="0" collapsed="false">
      <c r="A89" s="7" t="n">
        <v>88</v>
      </c>
      <c r="B89" s="7" t="n">
        <v>2026</v>
      </c>
      <c r="C89" s="7" t="s">
        <v>297</v>
      </c>
      <c r="D89" s="7" t="s">
        <v>300</v>
      </c>
      <c r="E89" s="7"/>
      <c r="F89" s="7" t="s">
        <v>301</v>
      </c>
      <c r="G89" s="7" t="s">
        <v>80</v>
      </c>
      <c r="H89" s="8" t="n">
        <v>46023</v>
      </c>
      <c r="I89" s="8"/>
      <c r="J89" s="8" t="n">
        <v>46356</v>
      </c>
      <c r="K89" s="9" t="n">
        <v>0.9</v>
      </c>
      <c r="L89" s="14" t="s">
        <v>302</v>
      </c>
      <c r="M89" s="10" t="s">
        <v>81</v>
      </c>
      <c r="N89" s="11" t="str">
        <f aca="false">IFERROR(INDEX(dFrente!$B$2:$B$76,MATCH(C89,dFrente!$A$2:$A$76,0)),"Sin frente")</f>
        <v>Certificación de accesos</v>
      </c>
      <c r="O89" s="11" t="str">
        <f aca="false">IFERROR(INDEX(dNIST!$B$2:$B$13,MATCH(M89,dNIST!$A$2:$A$13,0)),"")</f>
        <v>PR</v>
      </c>
      <c r="P89" s="11" t="str">
        <f aca="false">TRIM(IFERROR(LEFT(G89,FIND(CHAR(10),G89)-1),G89))</f>
        <v>Ana María Fierro</v>
      </c>
      <c r="Q89" s="11" t="n">
        <f aca="false">LEN(TRIM(G89))-LEN(SUBSTITUTE(TRIM(G89),CHAR(10),""))+1</f>
        <v>1</v>
      </c>
      <c r="R89" s="11" t="str">
        <f aca="false">IF(E89&lt;&gt;"","Sí","No")</f>
        <v>No</v>
      </c>
      <c r="S89" s="12" t="n">
        <f aca="false">IF(OR(J89="",H89=""),"",IF(J89&lt;=H89,IF(FechaCorte&gt;=J89,1,0),MAX(0,MIN(1,(FechaCorte-H89)/(J89-H89)))))</f>
        <v>0.798798798798799</v>
      </c>
      <c r="T89" s="12" t="n">
        <f aca="false">IF(S89="","",K89-S89)</f>
        <v>0.101201201201201</v>
      </c>
      <c r="U89" s="11" t="str">
        <f aca="false">IF(R89="Sí","Recurrente",IF(K89&gt;=1,"Completado",IF(AND(J89&lt;&gt;"",J89&lt;FechaCorte),"Vencido",IF(AND(K89=0,OR(H89="",H89&gt;FechaCorte)),"Por iniciar",IF(AND(T89&lt;&gt;"",T89&lt;=UmbralRiesgo),"En riesgo","En plazo")))))</f>
        <v>En plazo</v>
      </c>
      <c r="V89" s="11" t="n">
        <f aca="false">IF(OR(U89="Vencido",U89="En riesgo",U89="En plazo",U89="Por iniciar"),1,0)</f>
        <v>1</v>
      </c>
      <c r="W89" s="11" t="str">
        <f aca="false">IF(U89="Vencido",FechaCorte-J89,"")</f>
        <v/>
      </c>
      <c r="X89" s="11" t="n">
        <f aca="false">IF(AND(V89=1,U89&lt;&gt;"Vencido"),J89-FechaCorte,"")</f>
        <v>67</v>
      </c>
      <c r="Y89" s="13" t="n">
        <f aca="false">IF(J89="","",DATE(YEAR(J89),MONTH(J89),1))</f>
        <v>46327</v>
      </c>
      <c r="Z89" s="13" t="str">
        <f aca="false">IF(AND(U89="Completado",I89&lt;&gt;""),IF(I89&lt;=FechaCorte,DATE(YEAR(I89),MONTH(I89),1),""),"")</f>
        <v/>
      </c>
      <c r="AA89" s="11" t="n">
        <f aca="false">IF(J89="","",IF(DAY(J89+1)=1,1,0))</f>
        <v>1</v>
      </c>
      <c r="AB89" s="11" t="n">
        <f aca="false">IF(AND(U89="Completado",I89&lt;&gt;"",I89=J89),1,0)</f>
        <v>0</v>
      </c>
      <c r="AC89" s="11" t="n">
        <f aca="false">IF(AND(K89&gt;=1,I89&lt;&gt;""),IF(I89&gt;FechaCorte,1,0),0)</f>
        <v>0</v>
      </c>
      <c r="AD89" s="11" t="n">
        <f aca="false">IF(AND(I89&lt;&gt;"",H89&lt;&gt;""),IF(I89&lt;H89,1,0),0)</f>
        <v>0</v>
      </c>
      <c r="AE89" s="11" t="n">
        <f aca="false">IF(OR(F89="Riesgos",F89="Obs. Auditoría"),1,0)</f>
        <v>1</v>
      </c>
      <c r="AF89" s="11" t="str">
        <f aca="false">IFERROR(MID(D89,FIND("PMC-",D89),8),"")</f>
        <v/>
      </c>
      <c r="AG89" s="11" t="n">
        <f aca="false">IF(AND(V89=1,J89&lt;&gt;""),IF(AND(J89&gt;=FechaCorte,J89&lt;=HorizonteExpuestos),1,0),0)</f>
        <v>0</v>
      </c>
    </row>
    <row r="90" customFormat="false" ht="15" hidden="false" customHeight="false" outlineLevel="0" collapsed="false">
      <c r="A90" s="7" t="n">
        <v>89</v>
      </c>
      <c r="B90" s="7" t="n">
        <v>2026</v>
      </c>
      <c r="C90" s="7" t="s">
        <v>297</v>
      </c>
      <c r="D90" s="7" t="s">
        <v>303</v>
      </c>
      <c r="E90" s="7"/>
      <c r="F90" s="7" t="s">
        <v>131</v>
      </c>
      <c r="G90" s="14" t="s">
        <v>204</v>
      </c>
      <c r="H90" s="8" t="n">
        <v>46224</v>
      </c>
      <c r="I90" s="8"/>
      <c r="J90" s="8" t="n">
        <v>46325</v>
      </c>
      <c r="K90" s="9" t="n">
        <v>0.2</v>
      </c>
      <c r="L90" s="7" t="s">
        <v>304</v>
      </c>
      <c r="M90" s="10" t="s">
        <v>81</v>
      </c>
      <c r="N90" s="11" t="str">
        <f aca="false">IFERROR(INDEX(dFrente!$B$2:$B$76,MATCH(C90,dFrente!$A$2:$A$76,0)),"Sin frente")</f>
        <v>Certificación de accesos</v>
      </c>
      <c r="O90" s="11" t="str">
        <f aca="false">IFERROR(INDEX(dNIST!$B$2:$B$13,MATCH(M90,dNIST!$A$2:$A$13,0)),"")</f>
        <v>PR</v>
      </c>
      <c r="P90" s="11" t="str">
        <f aca="false">TRIM(IFERROR(LEFT(G90,FIND(CHAR(10),G90)-1),G90))</f>
        <v>Bryan Uyana</v>
      </c>
      <c r="Q90" s="11" t="n">
        <f aca="false">LEN(TRIM(G90))-LEN(SUBSTITUTE(TRIM(G90),CHAR(10),""))+1</f>
        <v>2</v>
      </c>
      <c r="R90" s="11" t="str">
        <f aca="false">IF(E90&lt;&gt;"","Sí","No")</f>
        <v>No</v>
      </c>
      <c r="S90" s="12" t="n">
        <f aca="false">IF(OR(J90="",H90=""),"",IF(J90&lt;=H90,IF(FechaCorte&gt;=J90,1,0),MAX(0,MIN(1,(FechaCorte-H90)/(J90-H90)))))</f>
        <v>0.643564356435644</v>
      </c>
      <c r="T90" s="12" t="n">
        <f aca="false">IF(S90="","",K90-S90)</f>
        <v>-0.443564356435644</v>
      </c>
      <c r="U90" s="11" t="str">
        <f aca="false">IF(R90="Sí","Recurrente",IF(K90&gt;=1,"Completado",IF(AND(J90&lt;&gt;"",J90&lt;FechaCorte),"Vencido",IF(AND(K90=0,OR(H90="",H90&gt;FechaCorte)),"Por iniciar",IF(AND(T90&lt;&gt;"",T90&lt;=UmbralRiesgo),"En riesgo","En plazo")))))</f>
        <v>En riesgo</v>
      </c>
      <c r="V90" s="11" t="n">
        <f aca="false">IF(OR(U90="Vencido",U90="En riesgo",U90="En plazo",U90="Por iniciar"),1,0)</f>
        <v>1</v>
      </c>
      <c r="W90" s="11" t="str">
        <f aca="false">IF(U90="Vencido",FechaCorte-J90,"")</f>
        <v/>
      </c>
      <c r="X90" s="11" t="n">
        <f aca="false">IF(AND(V90=1,U90&lt;&gt;"Vencido"),J90-FechaCorte,"")</f>
        <v>36</v>
      </c>
      <c r="Y90" s="13" t="n">
        <f aca="false">IF(J90="","",DATE(YEAR(J90),MONTH(J90),1))</f>
        <v>46296</v>
      </c>
      <c r="Z90" s="13" t="str">
        <f aca="false">IF(AND(U90="Completado",I90&lt;&gt;""),IF(I90&lt;=FechaCorte,DATE(YEAR(I90),MONTH(I90),1),""),"")</f>
        <v/>
      </c>
      <c r="AA90" s="11" t="n">
        <f aca="false">IF(J90="","",IF(DAY(J90+1)=1,1,0))</f>
        <v>0</v>
      </c>
      <c r="AB90" s="11" t="n">
        <f aca="false">IF(AND(U90="Completado",I90&lt;&gt;"",I90=J90),1,0)</f>
        <v>0</v>
      </c>
      <c r="AC90" s="11" t="n">
        <f aca="false">IF(AND(K90&gt;=1,I90&lt;&gt;""),IF(I90&gt;FechaCorte,1,0),0)</f>
        <v>0</v>
      </c>
      <c r="AD90" s="11" t="n">
        <f aca="false">IF(AND(I90&lt;&gt;"",H90&lt;&gt;""),IF(I90&lt;H90,1,0),0)</f>
        <v>0</v>
      </c>
      <c r="AE90" s="11" t="n">
        <f aca="false">IF(OR(F90="Riesgos",F90="Obs. Auditoría"),1,0)</f>
        <v>0</v>
      </c>
      <c r="AF90" s="11" t="str">
        <f aca="false">IFERROR(MID(D90,FIND("PMC-",D90),8),"")</f>
        <v/>
      </c>
      <c r="AG90" s="11" t="n">
        <f aca="false">IF(AND(V90=1,J90&lt;&gt;""),IF(AND(J90&gt;=FechaCorte,J90&lt;=HorizonteExpuestos),1,0),0)</f>
        <v>0</v>
      </c>
    </row>
    <row r="91" customFormat="false" ht="15" hidden="false" customHeight="false" outlineLevel="0" collapsed="false">
      <c r="A91" s="7" t="n">
        <v>90</v>
      </c>
      <c r="B91" s="7" t="n">
        <v>2026</v>
      </c>
      <c r="C91" s="7" t="s">
        <v>297</v>
      </c>
      <c r="D91" s="7" t="s">
        <v>305</v>
      </c>
      <c r="E91" s="7"/>
      <c r="F91" s="7" t="s">
        <v>74</v>
      </c>
      <c r="G91" s="7" t="s">
        <v>80</v>
      </c>
      <c r="H91" s="8" t="n">
        <v>46204</v>
      </c>
      <c r="I91" s="8" t="n">
        <v>46235</v>
      </c>
      <c r="J91" s="8" t="n">
        <v>46235</v>
      </c>
      <c r="K91" s="9" t="n">
        <v>1</v>
      </c>
      <c r="L91" s="7" t="s">
        <v>306</v>
      </c>
      <c r="M91" s="10" t="s">
        <v>81</v>
      </c>
      <c r="N91" s="11" t="str">
        <f aca="false">IFERROR(INDEX(dFrente!$B$2:$B$76,MATCH(C91,dFrente!$A$2:$A$76,0)),"Sin frente")</f>
        <v>Certificación de accesos</v>
      </c>
      <c r="O91" s="11" t="str">
        <f aca="false">IFERROR(INDEX(dNIST!$B$2:$B$13,MATCH(M91,dNIST!$A$2:$A$13,0)),"")</f>
        <v>PR</v>
      </c>
      <c r="P91" s="11" t="str">
        <f aca="false">TRIM(IFERROR(LEFT(G91,FIND(CHAR(10),G91)-1),G91))</f>
        <v>Ana María Fierro</v>
      </c>
      <c r="Q91" s="11" t="n">
        <f aca="false">LEN(TRIM(G91))-LEN(SUBSTITUTE(TRIM(G91),CHAR(10),""))+1</f>
        <v>1</v>
      </c>
      <c r="R91" s="11" t="str">
        <f aca="false">IF(E91&lt;&gt;"","Sí","No")</f>
        <v>No</v>
      </c>
      <c r="S91" s="12" t="n">
        <f aca="false">IF(OR(J91="",H91=""),"",IF(J91&lt;=H91,IF(FechaCorte&gt;=J91,1,0),MAX(0,MIN(1,(FechaCorte-H91)/(J91-H91)))))</f>
        <v>1</v>
      </c>
      <c r="T91" s="12" t="n">
        <f aca="false">IF(S91="","",K91-S91)</f>
        <v>0</v>
      </c>
      <c r="U91" s="11" t="str">
        <f aca="false">IF(R91="Sí","Recurrente",IF(K91&gt;=1,"Completado",IF(AND(J91&lt;&gt;"",J91&lt;FechaCorte),"Vencido",IF(AND(K91=0,OR(H91="",H91&gt;FechaCorte)),"Por iniciar",IF(AND(T91&lt;&gt;"",T91&lt;=UmbralRiesgo),"En riesgo","En plazo")))))</f>
        <v>Completado</v>
      </c>
      <c r="V91" s="11" t="n">
        <f aca="false">IF(OR(U91="Vencido",U91="En riesgo",U91="En plazo",U91="Por iniciar"),1,0)</f>
        <v>0</v>
      </c>
      <c r="W91" s="11" t="str">
        <f aca="false">IF(U91="Vencido",FechaCorte-J91,"")</f>
        <v/>
      </c>
      <c r="X91" s="11" t="str">
        <f aca="false">IF(AND(V91=1,U91&lt;&gt;"Vencido"),J91-FechaCorte,"")</f>
        <v/>
      </c>
      <c r="Y91" s="13" t="n">
        <f aca="false">IF(J91="","",DATE(YEAR(J91),MONTH(J91),1))</f>
        <v>46235</v>
      </c>
      <c r="Z91" s="13" t="n">
        <f aca="false">IF(AND(U91="Completado",I91&lt;&gt;""),IF(I91&lt;=FechaCorte,DATE(YEAR(I91),MONTH(I91),1),""),"")</f>
        <v>46235</v>
      </c>
      <c r="AA91" s="11" t="n">
        <f aca="false">IF(J91="","",IF(DAY(J91+1)=1,1,0))</f>
        <v>0</v>
      </c>
      <c r="AB91" s="11" t="n">
        <f aca="false">IF(AND(U91="Completado",I91&lt;&gt;"",I91=J91),1,0)</f>
        <v>1</v>
      </c>
      <c r="AC91" s="11" t="n">
        <f aca="false">IF(AND(K91&gt;=1,I91&lt;&gt;""),IF(I91&gt;FechaCorte,1,0),0)</f>
        <v>0</v>
      </c>
      <c r="AD91" s="11" t="n">
        <f aca="false">IF(AND(I91&lt;&gt;"",H91&lt;&gt;""),IF(I91&lt;H91,1,0),0)</f>
        <v>0</v>
      </c>
      <c r="AE91" s="11" t="n">
        <f aca="false">IF(OR(F91="Riesgos",F91="Obs. Auditoría"),1,0)</f>
        <v>0</v>
      </c>
      <c r="AF91" s="11" t="str">
        <f aca="false">IFERROR(MID(D91,FIND("PMC-",D91),8),"")</f>
        <v/>
      </c>
      <c r="AG91" s="11" t="n">
        <f aca="false">IF(AND(V91=1,J91&lt;&gt;""),IF(AND(J91&gt;=FechaCorte,J91&lt;=HorizonteExpuestos),1,0),0)</f>
        <v>0</v>
      </c>
    </row>
    <row r="92" customFormat="false" ht="15" hidden="false" customHeight="false" outlineLevel="0" collapsed="false">
      <c r="A92" s="7" t="n">
        <v>91</v>
      </c>
      <c r="B92" s="7" t="n">
        <v>2026</v>
      </c>
      <c r="C92" s="7" t="s">
        <v>297</v>
      </c>
      <c r="D92" s="7" t="s">
        <v>307</v>
      </c>
      <c r="E92" s="7"/>
      <c r="F92" s="7" t="s">
        <v>131</v>
      </c>
      <c r="G92" s="7" t="s">
        <v>80</v>
      </c>
      <c r="H92" s="8" t="n">
        <v>46235</v>
      </c>
      <c r="I92" s="8" t="n">
        <v>46266</v>
      </c>
      <c r="J92" s="8" t="n">
        <v>46266</v>
      </c>
      <c r="K92" s="9" t="n">
        <v>1</v>
      </c>
      <c r="L92" s="7" t="s">
        <v>308</v>
      </c>
      <c r="M92" s="10" t="s">
        <v>81</v>
      </c>
      <c r="N92" s="11" t="str">
        <f aca="false">IFERROR(INDEX(dFrente!$B$2:$B$76,MATCH(C92,dFrente!$A$2:$A$76,0)),"Sin frente")</f>
        <v>Certificación de accesos</v>
      </c>
      <c r="O92" s="11" t="str">
        <f aca="false">IFERROR(INDEX(dNIST!$B$2:$B$13,MATCH(M92,dNIST!$A$2:$A$13,0)),"")</f>
        <v>PR</v>
      </c>
      <c r="P92" s="11" t="str">
        <f aca="false">TRIM(IFERROR(LEFT(G92,FIND(CHAR(10),G92)-1),G92))</f>
        <v>Ana María Fierro</v>
      </c>
      <c r="Q92" s="11" t="n">
        <f aca="false">LEN(TRIM(G92))-LEN(SUBSTITUTE(TRIM(G92),CHAR(10),""))+1</f>
        <v>1</v>
      </c>
      <c r="R92" s="11" t="str">
        <f aca="false">IF(E92&lt;&gt;"","Sí","No")</f>
        <v>No</v>
      </c>
      <c r="S92" s="12" t="n">
        <f aca="false">IF(OR(J92="",H92=""),"",IF(J92&lt;=H92,IF(FechaCorte&gt;=J92,1,0),MAX(0,MIN(1,(FechaCorte-H92)/(J92-H92)))))</f>
        <v>1</v>
      </c>
      <c r="T92" s="12" t="n">
        <f aca="false">IF(S92="","",K92-S92)</f>
        <v>0</v>
      </c>
      <c r="U92" s="11" t="str">
        <f aca="false">IF(R92="Sí","Recurrente",IF(K92&gt;=1,"Completado",IF(AND(J92&lt;&gt;"",J92&lt;FechaCorte),"Vencido",IF(AND(K92=0,OR(H92="",H92&gt;FechaCorte)),"Por iniciar",IF(AND(T92&lt;&gt;"",T92&lt;=UmbralRiesgo),"En riesgo","En plazo")))))</f>
        <v>Completado</v>
      </c>
      <c r="V92" s="11" t="n">
        <f aca="false">IF(OR(U92="Vencido",U92="En riesgo",U92="En plazo",U92="Por iniciar"),1,0)</f>
        <v>0</v>
      </c>
      <c r="W92" s="11" t="str">
        <f aca="false">IF(U92="Vencido",FechaCorte-J92,"")</f>
        <v/>
      </c>
      <c r="X92" s="11" t="str">
        <f aca="false">IF(AND(V92=1,U92&lt;&gt;"Vencido"),J92-FechaCorte,"")</f>
        <v/>
      </c>
      <c r="Y92" s="13" t="n">
        <f aca="false">IF(J92="","",DATE(YEAR(J92),MONTH(J92),1))</f>
        <v>46266</v>
      </c>
      <c r="Z92" s="13" t="n">
        <f aca="false">IF(AND(U92="Completado",I92&lt;&gt;""),IF(I92&lt;=FechaCorte,DATE(YEAR(I92),MONTH(I92),1),""),"")</f>
        <v>46266</v>
      </c>
      <c r="AA92" s="11" t="n">
        <f aca="false">IF(J92="","",IF(DAY(J92+1)=1,1,0))</f>
        <v>0</v>
      </c>
      <c r="AB92" s="11" t="n">
        <f aca="false">IF(AND(U92="Completado",I92&lt;&gt;"",I92=J92),1,0)</f>
        <v>1</v>
      </c>
      <c r="AC92" s="11" t="n">
        <f aca="false">IF(AND(K92&gt;=1,I92&lt;&gt;""),IF(I92&gt;FechaCorte,1,0),0)</f>
        <v>0</v>
      </c>
      <c r="AD92" s="11" t="n">
        <f aca="false">IF(AND(I92&lt;&gt;"",H92&lt;&gt;""),IF(I92&lt;H92,1,0),0)</f>
        <v>0</v>
      </c>
      <c r="AE92" s="11" t="n">
        <f aca="false">IF(OR(F92="Riesgos",F92="Obs. Auditoría"),1,0)</f>
        <v>0</v>
      </c>
      <c r="AF92" s="11" t="str">
        <f aca="false">IFERROR(MID(D92,FIND("PMC-",D92),8),"")</f>
        <v/>
      </c>
      <c r="AG92" s="11" t="n">
        <f aca="false">IF(AND(V92=1,J92&lt;&gt;""),IF(AND(J92&gt;=FechaCorte,J92&lt;=HorizonteExpuestos),1,0),0)</f>
        <v>0</v>
      </c>
    </row>
    <row r="93" customFormat="false" ht="15" hidden="false" customHeight="false" outlineLevel="0" collapsed="false">
      <c r="A93" s="7" t="n">
        <v>92</v>
      </c>
      <c r="B93" s="7" t="n">
        <v>2026</v>
      </c>
      <c r="C93" s="7" t="s">
        <v>297</v>
      </c>
      <c r="D93" s="14" t="s">
        <v>309</v>
      </c>
      <c r="E93" s="7"/>
      <c r="F93" s="7" t="s">
        <v>131</v>
      </c>
      <c r="G93" s="14" t="s">
        <v>289</v>
      </c>
      <c r="H93" s="8" t="n">
        <v>46266</v>
      </c>
      <c r="I93" s="8"/>
      <c r="J93" s="8" t="n">
        <v>46356</v>
      </c>
      <c r="K93" s="9" t="n">
        <v>0.14</v>
      </c>
      <c r="L93" s="7" t="s">
        <v>310</v>
      </c>
      <c r="M93" s="10" t="s">
        <v>81</v>
      </c>
      <c r="N93" s="11" t="str">
        <f aca="false">IFERROR(INDEX(dFrente!$B$2:$B$76,MATCH(C93,dFrente!$A$2:$A$76,0)),"Sin frente")</f>
        <v>Certificación de accesos</v>
      </c>
      <c r="O93" s="11" t="str">
        <f aca="false">IFERROR(INDEX(dNIST!$B$2:$B$13,MATCH(M93,dNIST!$A$2:$A$13,0)),"")</f>
        <v>PR</v>
      </c>
      <c r="P93" s="11" t="str">
        <f aca="false">TRIM(IFERROR(LEFT(G93,FIND(CHAR(10),G93)-1),G93))</f>
        <v>Ana María Fierro</v>
      </c>
      <c r="Q93" s="11" t="n">
        <f aca="false">LEN(TRIM(G93))-LEN(SUBSTITUTE(TRIM(G93),CHAR(10),""))+1</f>
        <v>2</v>
      </c>
      <c r="R93" s="11" t="str">
        <f aca="false">IF(E93&lt;&gt;"","Sí","No")</f>
        <v>No</v>
      </c>
      <c r="S93" s="12" t="n">
        <f aca="false">IF(OR(J93="",H93=""),"",IF(J93&lt;=H93,IF(FechaCorte&gt;=J93,1,0),MAX(0,MIN(1,(FechaCorte-H93)/(J93-H93)))))</f>
        <v>0.255555555555556</v>
      </c>
      <c r="T93" s="12" t="n">
        <f aca="false">IF(S93="","",K93-S93)</f>
        <v>-0.115555555555556</v>
      </c>
      <c r="U93" s="11" t="str">
        <f aca="false">IF(R93="Sí","Recurrente",IF(K93&gt;=1,"Completado",IF(AND(J93&lt;&gt;"",J93&lt;FechaCorte),"Vencido",IF(AND(K93=0,OR(H93="",H93&gt;FechaCorte)),"Por iniciar",IF(AND(T93&lt;&gt;"",T93&lt;=UmbralRiesgo),"En riesgo","En plazo")))))</f>
        <v>En plazo</v>
      </c>
      <c r="V93" s="11" t="n">
        <f aca="false">IF(OR(U93="Vencido",U93="En riesgo",U93="En plazo",U93="Por iniciar"),1,0)</f>
        <v>1</v>
      </c>
      <c r="W93" s="11" t="str">
        <f aca="false">IF(U93="Vencido",FechaCorte-J93,"")</f>
        <v/>
      </c>
      <c r="X93" s="11" t="n">
        <f aca="false">IF(AND(V93=1,U93&lt;&gt;"Vencido"),J93-FechaCorte,"")</f>
        <v>67</v>
      </c>
      <c r="Y93" s="13" t="n">
        <f aca="false">IF(J93="","",DATE(YEAR(J93),MONTH(J93),1))</f>
        <v>46327</v>
      </c>
      <c r="Z93" s="13" t="str">
        <f aca="false">IF(AND(U93="Completado",I93&lt;&gt;""),IF(I93&lt;=FechaCorte,DATE(YEAR(I93),MONTH(I93),1),""),"")</f>
        <v/>
      </c>
      <c r="AA93" s="11" t="n">
        <f aca="false">IF(J93="","",IF(DAY(J93+1)=1,1,0))</f>
        <v>1</v>
      </c>
      <c r="AB93" s="11" t="n">
        <f aca="false">IF(AND(U93="Completado",I93&lt;&gt;"",I93=J93),1,0)</f>
        <v>0</v>
      </c>
      <c r="AC93" s="11" t="n">
        <f aca="false">IF(AND(K93&gt;=1,I93&lt;&gt;""),IF(I93&gt;FechaCorte,1,0),0)</f>
        <v>0</v>
      </c>
      <c r="AD93" s="11" t="n">
        <f aca="false">IF(AND(I93&lt;&gt;"",H93&lt;&gt;""),IF(I93&lt;H93,1,0),0)</f>
        <v>0</v>
      </c>
      <c r="AE93" s="11" t="n">
        <f aca="false">IF(OR(F93="Riesgos",F93="Obs. Auditoría"),1,0)</f>
        <v>0</v>
      </c>
      <c r="AF93" s="11" t="str">
        <f aca="false">IFERROR(MID(D93,FIND("PMC-",D93),8),"")</f>
        <v/>
      </c>
      <c r="AG93" s="11" t="n">
        <f aca="false">IF(AND(V93=1,J93&lt;&gt;""),IF(AND(J93&gt;=FechaCorte,J93&lt;=HorizonteExpuestos),1,0),0)</f>
        <v>0</v>
      </c>
    </row>
    <row r="94" customFormat="false" ht="15" hidden="false" customHeight="false" outlineLevel="0" collapsed="false">
      <c r="A94" s="7" t="n">
        <v>93</v>
      </c>
      <c r="B94" s="7" t="n">
        <v>2026</v>
      </c>
      <c r="C94" s="7" t="s">
        <v>311</v>
      </c>
      <c r="D94" s="7" t="s">
        <v>312</v>
      </c>
      <c r="E94" s="7"/>
      <c r="F94" s="7" t="s">
        <v>301</v>
      </c>
      <c r="G94" s="14" t="s">
        <v>313</v>
      </c>
      <c r="H94" s="8" t="n">
        <v>46113</v>
      </c>
      <c r="I94" s="8"/>
      <c r="J94" s="8" t="n">
        <v>46295</v>
      </c>
      <c r="K94" s="9" t="n">
        <v>0.8</v>
      </c>
      <c r="L94" s="7" t="s">
        <v>314</v>
      </c>
      <c r="M94" s="10" t="s">
        <v>81</v>
      </c>
      <c r="N94" s="11" t="str">
        <f aca="false">IFERROR(INDEX(dFrente!$B$2:$B$76,MATCH(C94,dFrente!$A$2:$A$76,0)),"Sin frente")</f>
        <v>Bases de datos y SFTP</v>
      </c>
      <c r="O94" s="11" t="str">
        <f aca="false">IFERROR(INDEX(dNIST!$B$2:$B$13,MATCH(M94,dNIST!$A$2:$A$13,0)),"")</f>
        <v>PR</v>
      </c>
      <c r="P94" s="11" t="str">
        <f aca="false">TRIM(IFERROR(LEFT(G94,FIND(CHAR(10),G94)-1),G94))</f>
        <v>Bryan Uyana</v>
      </c>
      <c r="Q94" s="11" t="n">
        <f aca="false">LEN(TRIM(G94))-LEN(SUBSTITUTE(TRIM(G94),CHAR(10),""))+1</f>
        <v>3</v>
      </c>
      <c r="R94" s="11" t="str">
        <f aca="false">IF(E94&lt;&gt;"","Sí","No")</f>
        <v>No</v>
      </c>
      <c r="S94" s="12" t="n">
        <f aca="false">IF(OR(J94="",H94=""),"",IF(J94&lt;=H94,IF(FechaCorte&gt;=J94,1,0),MAX(0,MIN(1,(FechaCorte-H94)/(J94-H94)))))</f>
        <v>0.967032967032967</v>
      </c>
      <c r="T94" s="12" t="n">
        <f aca="false">IF(S94="","",K94-S94)</f>
        <v>-0.167032967032967</v>
      </c>
      <c r="U94" s="11" t="str">
        <f aca="false">IF(R94="Sí","Recurrente",IF(K94&gt;=1,"Completado",IF(AND(J94&lt;&gt;"",J94&lt;FechaCorte),"Vencido",IF(AND(K94=0,OR(H94="",H94&gt;FechaCorte)),"Por iniciar",IF(AND(T94&lt;&gt;"",T94&lt;=UmbralRiesgo),"En riesgo","En plazo")))))</f>
        <v>En plazo</v>
      </c>
      <c r="V94" s="11" t="n">
        <f aca="false">IF(OR(U94="Vencido",U94="En riesgo",U94="En plazo",U94="Por iniciar"),1,0)</f>
        <v>1</v>
      </c>
      <c r="W94" s="11" t="str">
        <f aca="false">IF(U94="Vencido",FechaCorte-J94,"")</f>
        <v/>
      </c>
      <c r="X94" s="11" t="n">
        <f aca="false">IF(AND(V94=1,U94&lt;&gt;"Vencido"),J94-FechaCorte,"")</f>
        <v>6</v>
      </c>
      <c r="Y94" s="13" t="n">
        <f aca="false">IF(J94="","",DATE(YEAR(J94),MONTH(J94),1))</f>
        <v>46266</v>
      </c>
      <c r="Z94" s="13" t="str">
        <f aca="false">IF(AND(U94="Completado",I94&lt;&gt;""),IF(I94&lt;=FechaCorte,DATE(YEAR(I94),MONTH(I94),1),""),"")</f>
        <v/>
      </c>
      <c r="AA94" s="11" t="n">
        <f aca="false">IF(J94="","",IF(DAY(J94+1)=1,1,0))</f>
        <v>1</v>
      </c>
      <c r="AB94" s="11" t="n">
        <f aca="false">IF(AND(U94="Completado",I94&lt;&gt;"",I94=J94),1,0)</f>
        <v>0</v>
      </c>
      <c r="AC94" s="11" t="n">
        <f aca="false">IF(AND(K94&gt;=1,I94&lt;&gt;""),IF(I94&gt;FechaCorte,1,0),0)</f>
        <v>0</v>
      </c>
      <c r="AD94" s="11" t="n">
        <f aca="false">IF(AND(I94&lt;&gt;"",H94&lt;&gt;""),IF(I94&lt;H94,1,0),0)</f>
        <v>0</v>
      </c>
      <c r="AE94" s="11" t="n">
        <f aca="false">IF(OR(F94="Riesgos",F94="Obs. Auditoría"),1,0)</f>
        <v>1</v>
      </c>
      <c r="AF94" s="11" t="str">
        <f aca="false">IFERROR(MID(D94,FIND("PMC-",D94),8),"")</f>
        <v/>
      </c>
      <c r="AG94" s="11" t="n">
        <f aca="false">IF(AND(V94=1,J94&lt;&gt;""),IF(AND(J94&gt;=FechaCorte,J94&lt;=HorizonteExpuestos),1,0),0)</f>
        <v>1</v>
      </c>
    </row>
    <row r="95" customFormat="false" ht="15" hidden="false" customHeight="false" outlineLevel="0" collapsed="false">
      <c r="A95" s="7" t="n">
        <v>94</v>
      </c>
      <c r="B95" s="7" t="n">
        <v>2026</v>
      </c>
      <c r="C95" s="7" t="s">
        <v>311</v>
      </c>
      <c r="D95" s="7" t="s">
        <v>315</v>
      </c>
      <c r="E95" s="7"/>
      <c r="F95" s="7" t="s">
        <v>131</v>
      </c>
      <c r="G95" s="7" t="s">
        <v>316</v>
      </c>
      <c r="H95" s="8" t="n">
        <v>46204</v>
      </c>
      <c r="I95" s="8"/>
      <c r="J95" s="8" t="n">
        <v>46387</v>
      </c>
      <c r="K95" s="9" t="n">
        <v>0.05</v>
      </c>
      <c r="L95" s="7"/>
      <c r="M95" s="10" t="s">
        <v>81</v>
      </c>
      <c r="N95" s="11" t="str">
        <f aca="false">IFERROR(INDEX(dFrente!$B$2:$B$76,MATCH(C95,dFrente!$A$2:$A$76,0)),"Sin frente")</f>
        <v>Bases de datos y SFTP</v>
      </c>
      <c r="O95" s="11" t="str">
        <f aca="false">IFERROR(INDEX(dNIST!$B$2:$B$13,MATCH(M95,dNIST!$A$2:$A$13,0)),"")</f>
        <v>PR</v>
      </c>
      <c r="P95" s="11" t="str">
        <f aca="false">TRIM(IFERROR(LEFT(G95,FIND(CHAR(10),G95)-1),G95))</f>
        <v>Rommel Merchan</v>
      </c>
      <c r="Q95" s="11" t="n">
        <f aca="false">LEN(TRIM(G95))-LEN(SUBSTITUTE(TRIM(G95),CHAR(10),""))+1</f>
        <v>1</v>
      </c>
      <c r="R95" s="11" t="str">
        <f aca="false">IF(E95&lt;&gt;"","Sí","No")</f>
        <v>No</v>
      </c>
      <c r="S95" s="12" t="n">
        <f aca="false">IF(OR(J95="",H95=""),"",IF(J95&lt;=H95,IF(FechaCorte&gt;=J95,1,0),MAX(0,MIN(1,(FechaCorte-H95)/(J95-H95)))))</f>
        <v>0.46448087431694</v>
      </c>
      <c r="T95" s="12" t="n">
        <f aca="false">IF(S95="","",K95-S95)</f>
        <v>-0.41448087431694</v>
      </c>
      <c r="U95" s="11" t="str">
        <f aca="false">IF(R95="Sí","Recurrente",IF(K95&gt;=1,"Completado",IF(AND(J95&lt;&gt;"",J95&lt;FechaCorte),"Vencido",IF(AND(K95=0,OR(H95="",H95&gt;FechaCorte)),"Por iniciar",IF(AND(T95&lt;&gt;"",T95&lt;=UmbralRiesgo),"En riesgo","En plazo")))))</f>
        <v>En riesgo</v>
      </c>
      <c r="V95" s="11" t="n">
        <f aca="false">IF(OR(U95="Vencido",U95="En riesgo",U95="En plazo",U95="Por iniciar"),1,0)</f>
        <v>1</v>
      </c>
      <c r="W95" s="11" t="str">
        <f aca="false">IF(U95="Vencido",FechaCorte-J95,"")</f>
        <v/>
      </c>
      <c r="X95" s="11" t="n">
        <f aca="false">IF(AND(V95=1,U95&lt;&gt;"Vencido"),J95-FechaCorte,"")</f>
        <v>98</v>
      </c>
      <c r="Y95" s="13" t="n">
        <f aca="false">IF(J95="","",DATE(YEAR(J95),MONTH(J95),1))</f>
        <v>46357</v>
      </c>
      <c r="Z95" s="13" t="str">
        <f aca="false">IF(AND(U95="Completado",I95&lt;&gt;""),IF(I95&lt;=FechaCorte,DATE(YEAR(I95),MONTH(I95),1),""),"")</f>
        <v/>
      </c>
      <c r="AA95" s="11" t="n">
        <f aca="false">IF(J95="","",IF(DAY(J95+1)=1,1,0))</f>
        <v>1</v>
      </c>
      <c r="AB95" s="11" t="n">
        <f aca="false">IF(AND(U95="Completado",I95&lt;&gt;"",I95=J95),1,0)</f>
        <v>0</v>
      </c>
      <c r="AC95" s="11" t="n">
        <f aca="false">IF(AND(K95&gt;=1,I95&lt;&gt;""),IF(I95&gt;FechaCorte,1,0),0)</f>
        <v>0</v>
      </c>
      <c r="AD95" s="11" t="n">
        <f aca="false">IF(AND(I95&lt;&gt;"",H95&lt;&gt;""),IF(I95&lt;H95,1,0),0)</f>
        <v>0</v>
      </c>
      <c r="AE95" s="11" t="n">
        <f aca="false">IF(OR(F95="Riesgos",F95="Obs. Auditoría"),1,0)</f>
        <v>0</v>
      </c>
      <c r="AF95" s="11" t="str">
        <f aca="false">IFERROR(MID(D95,FIND("PMC-",D95),8),"")</f>
        <v/>
      </c>
      <c r="AG95" s="11" t="n">
        <f aca="false">IF(AND(V95=1,J95&lt;&gt;""),IF(AND(J95&gt;=FechaCorte,J95&lt;=HorizonteExpuestos),1,0),0)</f>
        <v>0</v>
      </c>
    </row>
    <row r="96" customFormat="false" ht="15" hidden="false" customHeight="false" outlineLevel="0" collapsed="false">
      <c r="A96" s="7" t="n">
        <v>95</v>
      </c>
      <c r="B96" s="7" t="n">
        <v>2026</v>
      </c>
      <c r="C96" s="7" t="s">
        <v>311</v>
      </c>
      <c r="D96" s="7" t="s">
        <v>317</v>
      </c>
      <c r="E96" s="7"/>
      <c r="F96" s="7" t="s">
        <v>74</v>
      </c>
      <c r="G96" s="7" t="s">
        <v>231</v>
      </c>
      <c r="H96" s="8" t="n">
        <v>46146</v>
      </c>
      <c r="I96" s="8" t="n">
        <v>46154</v>
      </c>
      <c r="J96" s="8" t="n">
        <v>46154</v>
      </c>
      <c r="K96" s="9" t="n">
        <v>1</v>
      </c>
      <c r="L96" s="7"/>
      <c r="M96" s="10" t="s">
        <v>81</v>
      </c>
      <c r="N96" s="11" t="str">
        <f aca="false">IFERROR(INDEX(dFrente!$B$2:$B$76,MATCH(C96,dFrente!$A$2:$A$76,0)),"Sin frente")</f>
        <v>Bases de datos y SFTP</v>
      </c>
      <c r="O96" s="11" t="str">
        <f aca="false">IFERROR(INDEX(dNIST!$B$2:$B$13,MATCH(M96,dNIST!$A$2:$A$13,0)),"")</f>
        <v>PR</v>
      </c>
      <c r="P96" s="11" t="str">
        <f aca="false">TRIM(IFERROR(LEFT(G96,FIND(CHAR(10),G96)-1),G96))</f>
        <v>Bryan Uyana</v>
      </c>
      <c r="Q96" s="11" t="n">
        <f aca="false">LEN(TRIM(G96))-LEN(SUBSTITUTE(TRIM(G96),CHAR(10),""))+1</f>
        <v>1</v>
      </c>
      <c r="R96" s="11" t="str">
        <f aca="false">IF(E96&lt;&gt;"","Sí","No")</f>
        <v>No</v>
      </c>
      <c r="S96" s="12" t="n">
        <f aca="false">IF(OR(J96="",H96=""),"",IF(J96&lt;=H96,IF(FechaCorte&gt;=J96,1,0),MAX(0,MIN(1,(FechaCorte-H96)/(J96-H96)))))</f>
        <v>1</v>
      </c>
      <c r="T96" s="12" t="n">
        <f aca="false">IF(S96="","",K96-S96)</f>
        <v>0</v>
      </c>
      <c r="U96" s="11" t="str">
        <f aca="false">IF(R96="Sí","Recurrente",IF(K96&gt;=1,"Completado",IF(AND(J96&lt;&gt;"",J96&lt;FechaCorte),"Vencido",IF(AND(K96=0,OR(H96="",H96&gt;FechaCorte)),"Por iniciar",IF(AND(T96&lt;&gt;"",T96&lt;=UmbralRiesgo),"En riesgo","En plazo")))))</f>
        <v>Completado</v>
      </c>
      <c r="V96" s="11" t="n">
        <f aca="false">IF(OR(U96="Vencido",U96="En riesgo",U96="En plazo",U96="Por iniciar"),1,0)</f>
        <v>0</v>
      </c>
      <c r="W96" s="11" t="str">
        <f aca="false">IF(U96="Vencido",FechaCorte-J96,"")</f>
        <v/>
      </c>
      <c r="X96" s="11" t="str">
        <f aca="false">IF(AND(V96=1,U96&lt;&gt;"Vencido"),J96-FechaCorte,"")</f>
        <v/>
      </c>
      <c r="Y96" s="13" t="n">
        <f aca="false">IF(J96="","",DATE(YEAR(J96),MONTH(J96),1))</f>
        <v>46143</v>
      </c>
      <c r="Z96" s="13" t="n">
        <f aca="false">IF(AND(U96="Completado",I96&lt;&gt;""),IF(I96&lt;=FechaCorte,DATE(YEAR(I96),MONTH(I96),1),""),"")</f>
        <v>46143</v>
      </c>
      <c r="AA96" s="11" t="n">
        <f aca="false">IF(J96="","",IF(DAY(J96+1)=1,1,0))</f>
        <v>0</v>
      </c>
      <c r="AB96" s="11" t="n">
        <f aca="false">IF(AND(U96="Completado",I96&lt;&gt;"",I96=J96),1,0)</f>
        <v>1</v>
      </c>
      <c r="AC96" s="11" t="n">
        <f aca="false">IF(AND(K96&gt;=1,I96&lt;&gt;""),IF(I96&gt;FechaCorte,1,0),0)</f>
        <v>0</v>
      </c>
      <c r="AD96" s="11" t="n">
        <f aca="false">IF(AND(I96&lt;&gt;"",H96&lt;&gt;""),IF(I96&lt;H96,1,0),0)</f>
        <v>0</v>
      </c>
      <c r="AE96" s="11" t="n">
        <f aca="false">IF(OR(F96="Riesgos",F96="Obs. Auditoría"),1,0)</f>
        <v>0</v>
      </c>
      <c r="AF96" s="11" t="str">
        <f aca="false">IFERROR(MID(D96,FIND("PMC-",D96),8),"")</f>
        <v/>
      </c>
      <c r="AG96" s="11" t="n">
        <f aca="false">IF(AND(V96=1,J96&lt;&gt;""),IF(AND(J96&gt;=FechaCorte,J96&lt;=HorizonteExpuestos),1,0),0)</f>
        <v>0</v>
      </c>
    </row>
    <row r="97" customFormat="false" ht="15" hidden="false" customHeight="false" outlineLevel="0" collapsed="false">
      <c r="A97" s="7" t="n">
        <v>96</v>
      </c>
      <c r="B97" s="7" t="n">
        <v>2026</v>
      </c>
      <c r="C97" s="7" t="s">
        <v>311</v>
      </c>
      <c r="D97" s="7" t="s">
        <v>318</v>
      </c>
      <c r="E97" s="7"/>
      <c r="F97" s="7" t="s">
        <v>319</v>
      </c>
      <c r="G97" s="7" t="s">
        <v>276</v>
      </c>
      <c r="H97" s="8" t="n">
        <v>46082</v>
      </c>
      <c r="I97" s="8" t="n">
        <v>46183</v>
      </c>
      <c r="J97" s="8" t="n">
        <v>46183</v>
      </c>
      <c r="K97" s="9" t="n">
        <v>1</v>
      </c>
      <c r="L97" s="7" t="s">
        <v>320</v>
      </c>
      <c r="M97" s="10" t="s">
        <v>81</v>
      </c>
      <c r="N97" s="11" t="str">
        <f aca="false">IFERROR(INDEX(dFrente!$B$2:$B$76,MATCH(C97,dFrente!$A$2:$A$76,0)),"Sin frente")</f>
        <v>Bases de datos y SFTP</v>
      </c>
      <c r="O97" s="11" t="str">
        <f aca="false">IFERROR(INDEX(dNIST!$B$2:$B$13,MATCH(M97,dNIST!$A$2:$A$13,0)),"")</f>
        <v>PR</v>
      </c>
      <c r="P97" s="11" t="str">
        <f aca="false">TRIM(IFERROR(LEFT(G97,FIND(CHAR(10),G97)-1),G97))</f>
        <v>Daniel Lescano</v>
      </c>
      <c r="Q97" s="11" t="n">
        <f aca="false">LEN(TRIM(G97))-LEN(SUBSTITUTE(TRIM(G97),CHAR(10),""))+1</f>
        <v>1</v>
      </c>
      <c r="R97" s="11" t="str">
        <f aca="false">IF(E97&lt;&gt;"","Sí","No")</f>
        <v>No</v>
      </c>
      <c r="S97" s="12" t="n">
        <f aca="false">IF(OR(J97="",H97=""),"",IF(J97&lt;=H97,IF(FechaCorte&gt;=J97,1,0),MAX(0,MIN(1,(FechaCorte-H97)/(J97-H97)))))</f>
        <v>1</v>
      </c>
      <c r="T97" s="12" t="n">
        <f aca="false">IF(S97="","",K97-S97)</f>
        <v>0</v>
      </c>
      <c r="U97" s="11" t="str">
        <f aca="false">IF(R97="Sí","Recurrente",IF(K97&gt;=1,"Completado",IF(AND(J97&lt;&gt;"",J97&lt;FechaCorte),"Vencido",IF(AND(K97=0,OR(H97="",H97&gt;FechaCorte)),"Por iniciar",IF(AND(T97&lt;&gt;"",T97&lt;=UmbralRiesgo),"En riesgo","En plazo")))))</f>
        <v>Completado</v>
      </c>
      <c r="V97" s="11" t="n">
        <f aca="false">IF(OR(U97="Vencido",U97="En riesgo",U97="En plazo",U97="Por iniciar"),1,0)</f>
        <v>0</v>
      </c>
      <c r="W97" s="11" t="str">
        <f aca="false">IF(U97="Vencido",FechaCorte-J97,"")</f>
        <v/>
      </c>
      <c r="X97" s="11" t="str">
        <f aca="false">IF(AND(V97=1,U97&lt;&gt;"Vencido"),J97-FechaCorte,"")</f>
        <v/>
      </c>
      <c r="Y97" s="13" t="n">
        <f aca="false">IF(J97="","",DATE(YEAR(J97),MONTH(J97),1))</f>
        <v>46174</v>
      </c>
      <c r="Z97" s="13" t="n">
        <f aca="false">IF(AND(U97="Completado",I97&lt;&gt;""),IF(I97&lt;=FechaCorte,DATE(YEAR(I97),MONTH(I97),1),""),"")</f>
        <v>46174</v>
      </c>
      <c r="AA97" s="11" t="n">
        <f aca="false">IF(J97="","",IF(DAY(J97+1)=1,1,0))</f>
        <v>0</v>
      </c>
      <c r="AB97" s="11" t="n">
        <f aca="false">IF(AND(U97="Completado",I97&lt;&gt;"",I97=J97),1,0)</f>
        <v>1</v>
      </c>
      <c r="AC97" s="11" t="n">
        <f aca="false">IF(AND(K97&gt;=1,I97&lt;&gt;""),IF(I97&gt;FechaCorte,1,0),0)</f>
        <v>0</v>
      </c>
      <c r="AD97" s="11" t="n">
        <f aca="false">IF(AND(I97&lt;&gt;"",H97&lt;&gt;""),IF(I97&lt;H97,1,0),0)</f>
        <v>0</v>
      </c>
      <c r="AE97" s="11" t="n">
        <f aca="false">IF(OR(F97="Riesgos",F97="Obs. Auditoría"),1,0)</f>
        <v>1</v>
      </c>
      <c r="AF97" s="11" t="str">
        <f aca="false">IFERROR(MID(D97,FIND("PMC-",D97),8),"")</f>
        <v/>
      </c>
      <c r="AG97" s="11" t="n">
        <f aca="false">IF(AND(V97=1,J97&lt;&gt;""),IF(AND(J97&gt;=FechaCorte,J97&lt;=HorizonteExpuestos),1,0),0)</f>
        <v>0</v>
      </c>
    </row>
    <row r="98" customFormat="false" ht="15" hidden="false" customHeight="false" outlineLevel="0" collapsed="false">
      <c r="A98" s="7" t="n">
        <v>97</v>
      </c>
      <c r="B98" s="7" t="n">
        <v>2026</v>
      </c>
      <c r="C98" s="7" t="s">
        <v>311</v>
      </c>
      <c r="D98" s="7" t="s">
        <v>321</v>
      </c>
      <c r="E98" s="7"/>
      <c r="F98" s="7" t="s">
        <v>74</v>
      </c>
      <c r="G98" s="14" t="s">
        <v>322</v>
      </c>
      <c r="H98" s="8" t="n">
        <v>46196</v>
      </c>
      <c r="I98" s="8" t="n">
        <v>46224</v>
      </c>
      <c r="J98" s="8" t="n">
        <v>46224</v>
      </c>
      <c r="K98" s="9" t="n">
        <v>1</v>
      </c>
      <c r="L98" s="7" t="s">
        <v>323</v>
      </c>
      <c r="M98" s="10" t="s">
        <v>81</v>
      </c>
      <c r="N98" s="11" t="str">
        <f aca="false">IFERROR(INDEX(dFrente!$B$2:$B$76,MATCH(C98,dFrente!$A$2:$A$76,0)),"Sin frente")</f>
        <v>Bases de datos y SFTP</v>
      </c>
      <c r="O98" s="11" t="str">
        <f aca="false">IFERROR(INDEX(dNIST!$B$2:$B$13,MATCH(M98,dNIST!$A$2:$A$13,0)),"")</f>
        <v>PR</v>
      </c>
      <c r="P98" s="11" t="str">
        <f aca="false">TRIM(IFERROR(LEFT(G98,FIND(CHAR(10),G98)-1),G98))</f>
        <v>Daniel Lescano</v>
      </c>
      <c r="Q98" s="11" t="n">
        <f aca="false">LEN(TRIM(G98))-LEN(SUBSTITUTE(TRIM(G98),CHAR(10),""))+1</f>
        <v>3</v>
      </c>
      <c r="R98" s="11" t="str">
        <f aca="false">IF(E98&lt;&gt;"","Sí","No")</f>
        <v>No</v>
      </c>
      <c r="S98" s="12" t="n">
        <f aca="false">IF(OR(J98="",H98=""),"",IF(J98&lt;=H98,IF(FechaCorte&gt;=J98,1,0),MAX(0,MIN(1,(FechaCorte-H98)/(J98-H98)))))</f>
        <v>1</v>
      </c>
      <c r="T98" s="12" t="n">
        <f aca="false">IF(S98="","",K98-S98)</f>
        <v>0</v>
      </c>
      <c r="U98" s="11" t="str">
        <f aca="false">IF(R98="Sí","Recurrente",IF(K98&gt;=1,"Completado",IF(AND(J98&lt;&gt;"",J98&lt;FechaCorte),"Vencido",IF(AND(K98=0,OR(H98="",H98&gt;FechaCorte)),"Por iniciar",IF(AND(T98&lt;&gt;"",T98&lt;=UmbralRiesgo),"En riesgo","En plazo")))))</f>
        <v>Completado</v>
      </c>
      <c r="V98" s="11" t="n">
        <f aca="false">IF(OR(U98="Vencido",U98="En riesgo",U98="En plazo",U98="Por iniciar"),1,0)</f>
        <v>0</v>
      </c>
      <c r="W98" s="11" t="str">
        <f aca="false">IF(U98="Vencido",FechaCorte-J98,"")</f>
        <v/>
      </c>
      <c r="X98" s="11" t="str">
        <f aca="false">IF(AND(V98=1,U98&lt;&gt;"Vencido"),J98-FechaCorte,"")</f>
        <v/>
      </c>
      <c r="Y98" s="13" t="n">
        <f aca="false">IF(J98="","",DATE(YEAR(J98),MONTH(J98),1))</f>
        <v>46204</v>
      </c>
      <c r="Z98" s="13" t="n">
        <f aca="false">IF(AND(U98="Completado",I98&lt;&gt;""),IF(I98&lt;=FechaCorte,DATE(YEAR(I98),MONTH(I98),1),""),"")</f>
        <v>46204</v>
      </c>
      <c r="AA98" s="11" t="n">
        <f aca="false">IF(J98="","",IF(DAY(J98+1)=1,1,0))</f>
        <v>0</v>
      </c>
      <c r="AB98" s="11" t="n">
        <f aca="false">IF(AND(U98="Completado",I98&lt;&gt;"",I98=J98),1,0)</f>
        <v>1</v>
      </c>
      <c r="AC98" s="11" t="n">
        <f aca="false">IF(AND(K98&gt;=1,I98&lt;&gt;""),IF(I98&gt;FechaCorte,1,0),0)</f>
        <v>0</v>
      </c>
      <c r="AD98" s="11" t="n">
        <f aca="false">IF(AND(I98&lt;&gt;"",H98&lt;&gt;""),IF(I98&lt;H98,1,0),0)</f>
        <v>0</v>
      </c>
      <c r="AE98" s="11" t="n">
        <f aca="false">IF(OR(F98="Riesgos",F98="Obs. Auditoría"),1,0)</f>
        <v>0</v>
      </c>
      <c r="AF98" s="11" t="str">
        <f aca="false">IFERROR(MID(D98,FIND("PMC-",D98),8),"")</f>
        <v/>
      </c>
      <c r="AG98" s="11" t="n">
        <f aca="false">IF(AND(V98=1,J98&lt;&gt;""),IF(AND(J98&gt;=FechaCorte,J98&lt;=HorizonteExpuestos),1,0),0)</f>
        <v>0</v>
      </c>
    </row>
    <row r="99" customFormat="false" ht="15" hidden="false" customHeight="false" outlineLevel="0" collapsed="false">
      <c r="A99" s="7" t="n">
        <v>98</v>
      </c>
      <c r="B99" s="7" t="n">
        <v>2026</v>
      </c>
      <c r="C99" s="7" t="s">
        <v>311</v>
      </c>
      <c r="D99" s="7" t="s">
        <v>324</v>
      </c>
      <c r="E99" s="7"/>
      <c r="F99" s="7" t="s">
        <v>74</v>
      </c>
      <c r="G99" s="7" t="s">
        <v>316</v>
      </c>
      <c r="H99" s="8" t="n">
        <v>46082</v>
      </c>
      <c r="I99" s="8"/>
      <c r="J99" s="8" t="n">
        <v>46295</v>
      </c>
      <c r="K99" s="9" t="n">
        <v>0.05</v>
      </c>
      <c r="L99" s="7" t="s">
        <v>325</v>
      </c>
      <c r="M99" s="10" t="s">
        <v>81</v>
      </c>
      <c r="N99" s="11" t="str">
        <f aca="false">IFERROR(INDEX(dFrente!$B$2:$B$76,MATCH(C99,dFrente!$A$2:$A$76,0)),"Sin frente")</f>
        <v>Bases de datos y SFTP</v>
      </c>
      <c r="O99" s="11" t="str">
        <f aca="false">IFERROR(INDEX(dNIST!$B$2:$B$13,MATCH(M99,dNIST!$A$2:$A$13,0)),"")</f>
        <v>PR</v>
      </c>
      <c r="P99" s="11" t="str">
        <f aca="false">TRIM(IFERROR(LEFT(G99,FIND(CHAR(10),G99)-1),G99))</f>
        <v>Rommel Merchan</v>
      </c>
      <c r="Q99" s="11" t="n">
        <f aca="false">LEN(TRIM(G99))-LEN(SUBSTITUTE(TRIM(G99),CHAR(10),""))+1</f>
        <v>1</v>
      </c>
      <c r="R99" s="11" t="str">
        <f aca="false">IF(E99&lt;&gt;"","Sí","No")</f>
        <v>No</v>
      </c>
      <c r="S99" s="12" t="n">
        <f aca="false">IF(OR(J99="",H99=""),"",IF(J99&lt;=H99,IF(FechaCorte&gt;=J99,1,0),MAX(0,MIN(1,(FechaCorte-H99)/(J99-H99)))))</f>
        <v>0.971830985915493</v>
      </c>
      <c r="T99" s="12" t="n">
        <f aca="false">IF(S99="","",K99-S99)</f>
        <v>-0.921830985915493</v>
      </c>
      <c r="U99" s="11" t="str">
        <f aca="false">IF(R99="Sí","Recurrente",IF(K99&gt;=1,"Completado",IF(AND(J99&lt;&gt;"",J99&lt;FechaCorte),"Vencido",IF(AND(K99=0,OR(H99="",H99&gt;FechaCorte)),"Por iniciar",IF(AND(T99&lt;&gt;"",T99&lt;=UmbralRiesgo),"En riesgo","En plazo")))))</f>
        <v>En riesgo</v>
      </c>
      <c r="V99" s="11" t="n">
        <f aca="false">IF(OR(U99="Vencido",U99="En riesgo",U99="En plazo",U99="Por iniciar"),1,0)</f>
        <v>1</v>
      </c>
      <c r="W99" s="11" t="str">
        <f aca="false">IF(U99="Vencido",FechaCorte-J99,"")</f>
        <v/>
      </c>
      <c r="X99" s="11" t="n">
        <f aca="false">IF(AND(V99=1,U99&lt;&gt;"Vencido"),J99-FechaCorte,"")</f>
        <v>6</v>
      </c>
      <c r="Y99" s="13" t="n">
        <f aca="false">IF(J99="","",DATE(YEAR(J99),MONTH(J99),1))</f>
        <v>46266</v>
      </c>
      <c r="Z99" s="13" t="str">
        <f aca="false">IF(AND(U99="Completado",I99&lt;&gt;""),IF(I99&lt;=FechaCorte,DATE(YEAR(I99),MONTH(I99),1),""),"")</f>
        <v/>
      </c>
      <c r="AA99" s="11" t="n">
        <f aca="false">IF(J99="","",IF(DAY(J99+1)=1,1,0))</f>
        <v>1</v>
      </c>
      <c r="AB99" s="11" t="n">
        <f aca="false">IF(AND(U99="Completado",I99&lt;&gt;"",I99=J99),1,0)</f>
        <v>0</v>
      </c>
      <c r="AC99" s="11" t="n">
        <f aca="false">IF(AND(K99&gt;=1,I99&lt;&gt;""),IF(I99&gt;FechaCorte,1,0),0)</f>
        <v>0</v>
      </c>
      <c r="AD99" s="11" t="n">
        <f aca="false">IF(AND(I99&lt;&gt;"",H99&lt;&gt;""),IF(I99&lt;H99,1,0),0)</f>
        <v>0</v>
      </c>
      <c r="AE99" s="11" t="n">
        <f aca="false">IF(OR(F99="Riesgos",F99="Obs. Auditoría"),1,0)</f>
        <v>0</v>
      </c>
      <c r="AF99" s="11" t="str">
        <f aca="false">IFERROR(MID(D99,FIND("PMC-",D99),8),"")</f>
        <v/>
      </c>
      <c r="AG99" s="11" t="n">
        <f aca="false">IF(AND(V99=1,J99&lt;&gt;""),IF(AND(J99&gt;=FechaCorte,J99&lt;=HorizonteExpuestos),1,0),0)</f>
        <v>1</v>
      </c>
    </row>
    <row r="100" customFormat="false" ht="15" hidden="false" customHeight="false" outlineLevel="0" collapsed="false">
      <c r="A100" s="7" t="n">
        <v>99</v>
      </c>
      <c r="B100" s="7" t="n">
        <v>2026</v>
      </c>
      <c r="C100" s="7" t="s">
        <v>311</v>
      </c>
      <c r="D100" s="7" t="s">
        <v>326</v>
      </c>
      <c r="E100" s="7"/>
      <c r="F100" s="7" t="s">
        <v>301</v>
      </c>
      <c r="G100" s="14" t="s">
        <v>327</v>
      </c>
      <c r="H100" s="8" t="n">
        <v>46210</v>
      </c>
      <c r="I100" s="8" t="n">
        <v>46239</v>
      </c>
      <c r="J100" s="8" t="n">
        <v>46239</v>
      </c>
      <c r="K100" s="9" t="n">
        <v>1</v>
      </c>
      <c r="L100" s="7" t="s">
        <v>328</v>
      </c>
      <c r="M100" s="10" t="s">
        <v>81</v>
      </c>
      <c r="N100" s="11" t="str">
        <f aca="false">IFERROR(INDEX(dFrente!$B$2:$B$76,MATCH(C100,dFrente!$A$2:$A$76,0)),"Sin frente")</f>
        <v>Bases de datos y SFTP</v>
      </c>
      <c r="O100" s="11" t="str">
        <f aca="false">IFERROR(INDEX(dNIST!$B$2:$B$13,MATCH(M100,dNIST!$A$2:$A$13,0)),"")</f>
        <v>PR</v>
      </c>
      <c r="P100" s="11" t="str">
        <f aca="false">TRIM(IFERROR(LEFT(G100,FIND(CHAR(10),G100)-1),G100))</f>
        <v>Daniel Lescano</v>
      </c>
      <c r="Q100" s="11" t="n">
        <f aca="false">LEN(TRIM(G100))-LEN(SUBSTITUTE(TRIM(G100),CHAR(10),""))+1</f>
        <v>2</v>
      </c>
      <c r="R100" s="11" t="str">
        <f aca="false">IF(E100&lt;&gt;"","Sí","No")</f>
        <v>No</v>
      </c>
      <c r="S100" s="12" t="n">
        <f aca="false">IF(OR(J100="",H100=""),"",IF(J100&lt;=H100,IF(FechaCorte&gt;=J100,1,0),MAX(0,MIN(1,(FechaCorte-H100)/(J100-H100)))))</f>
        <v>1</v>
      </c>
      <c r="T100" s="12" t="n">
        <f aca="false">IF(S100="","",K100-S100)</f>
        <v>0</v>
      </c>
      <c r="U100" s="11" t="str">
        <f aca="false">IF(R100="Sí","Recurrente",IF(K100&gt;=1,"Completado",IF(AND(J100&lt;&gt;"",J100&lt;FechaCorte),"Vencido",IF(AND(K100=0,OR(H100="",H100&gt;FechaCorte)),"Por iniciar",IF(AND(T100&lt;&gt;"",T100&lt;=UmbralRiesgo),"En riesgo","En plazo")))))</f>
        <v>Completado</v>
      </c>
      <c r="V100" s="11" t="n">
        <f aca="false">IF(OR(U100="Vencido",U100="En riesgo",U100="En plazo",U100="Por iniciar"),1,0)</f>
        <v>0</v>
      </c>
      <c r="W100" s="11" t="str">
        <f aca="false">IF(U100="Vencido",FechaCorte-J100,"")</f>
        <v/>
      </c>
      <c r="X100" s="11" t="str">
        <f aca="false">IF(AND(V100=1,U100&lt;&gt;"Vencido"),J100-FechaCorte,"")</f>
        <v/>
      </c>
      <c r="Y100" s="13" t="n">
        <f aca="false">IF(J100="","",DATE(YEAR(J100),MONTH(J100),1))</f>
        <v>46235</v>
      </c>
      <c r="Z100" s="13" t="n">
        <f aca="false">IF(AND(U100="Completado",I100&lt;&gt;""),IF(I100&lt;=FechaCorte,DATE(YEAR(I100),MONTH(I100),1),""),"")</f>
        <v>46235</v>
      </c>
      <c r="AA100" s="11" t="n">
        <f aca="false">IF(J100="","",IF(DAY(J100+1)=1,1,0))</f>
        <v>0</v>
      </c>
      <c r="AB100" s="11" t="n">
        <f aca="false">IF(AND(U100="Completado",I100&lt;&gt;"",I100=J100),1,0)</f>
        <v>1</v>
      </c>
      <c r="AC100" s="11" t="n">
        <f aca="false">IF(AND(K100&gt;=1,I100&lt;&gt;""),IF(I100&gt;FechaCorte,1,0),0)</f>
        <v>0</v>
      </c>
      <c r="AD100" s="11" t="n">
        <f aca="false">IF(AND(I100&lt;&gt;"",H100&lt;&gt;""),IF(I100&lt;H100,1,0),0)</f>
        <v>0</v>
      </c>
      <c r="AE100" s="11" t="n">
        <f aca="false">IF(OR(F100="Riesgos",F100="Obs. Auditoría"),1,0)</f>
        <v>1</v>
      </c>
      <c r="AF100" s="11" t="str">
        <f aca="false">IFERROR(MID(D100,FIND("PMC-",D100),8),"")</f>
        <v/>
      </c>
      <c r="AG100" s="11" t="n">
        <f aca="false">IF(AND(V100=1,J100&lt;&gt;""),IF(AND(J100&gt;=FechaCorte,J100&lt;=HorizonteExpuestos),1,0),0)</f>
        <v>0</v>
      </c>
    </row>
    <row r="101" customFormat="false" ht="15" hidden="false" customHeight="false" outlineLevel="0" collapsed="false">
      <c r="A101" s="7" t="n">
        <v>100</v>
      </c>
      <c r="B101" s="7" t="n">
        <v>2026</v>
      </c>
      <c r="C101" s="7" t="s">
        <v>311</v>
      </c>
      <c r="D101" s="7" t="s">
        <v>329</v>
      </c>
      <c r="E101" s="7"/>
      <c r="F101" s="7" t="s">
        <v>301</v>
      </c>
      <c r="G101" s="14" t="s">
        <v>327</v>
      </c>
      <c r="H101" s="8" t="n">
        <v>46133</v>
      </c>
      <c r="I101" s="8" t="n">
        <v>46156</v>
      </c>
      <c r="J101" s="8" t="n">
        <v>46156</v>
      </c>
      <c r="K101" s="9" t="n">
        <v>1</v>
      </c>
      <c r="L101" s="7" t="s">
        <v>330</v>
      </c>
      <c r="M101" s="10" t="s">
        <v>81</v>
      </c>
      <c r="N101" s="11" t="str">
        <f aca="false">IFERROR(INDEX(dFrente!$B$2:$B$76,MATCH(C101,dFrente!$A$2:$A$76,0)),"Sin frente")</f>
        <v>Bases de datos y SFTP</v>
      </c>
      <c r="O101" s="11" t="str">
        <f aca="false">IFERROR(INDEX(dNIST!$B$2:$B$13,MATCH(M101,dNIST!$A$2:$A$13,0)),"")</f>
        <v>PR</v>
      </c>
      <c r="P101" s="11" t="str">
        <f aca="false">TRIM(IFERROR(LEFT(G101,FIND(CHAR(10),G101)-1),G101))</f>
        <v>Daniel Lescano</v>
      </c>
      <c r="Q101" s="11" t="n">
        <f aca="false">LEN(TRIM(G101))-LEN(SUBSTITUTE(TRIM(G101),CHAR(10),""))+1</f>
        <v>2</v>
      </c>
      <c r="R101" s="11" t="str">
        <f aca="false">IF(E101&lt;&gt;"","Sí","No")</f>
        <v>No</v>
      </c>
      <c r="S101" s="12" t="n">
        <f aca="false">IF(OR(J101="",H101=""),"",IF(J101&lt;=H101,IF(FechaCorte&gt;=J101,1,0),MAX(0,MIN(1,(FechaCorte-H101)/(J101-H101)))))</f>
        <v>1</v>
      </c>
      <c r="T101" s="12" t="n">
        <f aca="false">IF(S101="","",K101-S101)</f>
        <v>0</v>
      </c>
      <c r="U101" s="11" t="str">
        <f aca="false">IF(R101="Sí","Recurrente",IF(K101&gt;=1,"Completado",IF(AND(J101&lt;&gt;"",J101&lt;FechaCorte),"Vencido",IF(AND(K101=0,OR(H101="",H101&gt;FechaCorte)),"Por iniciar",IF(AND(T101&lt;&gt;"",T101&lt;=UmbralRiesgo),"En riesgo","En plazo")))))</f>
        <v>Completado</v>
      </c>
      <c r="V101" s="11" t="n">
        <f aca="false">IF(OR(U101="Vencido",U101="En riesgo",U101="En plazo",U101="Por iniciar"),1,0)</f>
        <v>0</v>
      </c>
      <c r="W101" s="11" t="str">
        <f aca="false">IF(U101="Vencido",FechaCorte-J101,"")</f>
        <v/>
      </c>
      <c r="X101" s="11" t="str">
        <f aca="false">IF(AND(V101=1,U101&lt;&gt;"Vencido"),J101-FechaCorte,"")</f>
        <v/>
      </c>
      <c r="Y101" s="13" t="n">
        <f aca="false">IF(J101="","",DATE(YEAR(J101),MONTH(J101),1))</f>
        <v>46143</v>
      </c>
      <c r="Z101" s="13" t="n">
        <f aca="false">IF(AND(U101="Completado",I101&lt;&gt;""),IF(I101&lt;=FechaCorte,DATE(YEAR(I101),MONTH(I101),1),""),"")</f>
        <v>46143</v>
      </c>
      <c r="AA101" s="11" t="n">
        <f aca="false">IF(J101="","",IF(DAY(J101+1)=1,1,0))</f>
        <v>0</v>
      </c>
      <c r="AB101" s="11" t="n">
        <f aca="false">IF(AND(U101="Completado",I101&lt;&gt;"",I101=J101),1,0)</f>
        <v>1</v>
      </c>
      <c r="AC101" s="11" t="n">
        <f aca="false">IF(AND(K101&gt;=1,I101&lt;&gt;""),IF(I101&gt;FechaCorte,1,0),0)</f>
        <v>0</v>
      </c>
      <c r="AD101" s="11" t="n">
        <f aca="false">IF(AND(I101&lt;&gt;"",H101&lt;&gt;""),IF(I101&lt;H101,1,0),0)</f>
        <v>0</v>
      </c>
      <c r="AE101" s="11" t="n">
        <f aca="false">IF(OR(F101="Riesgos",F101="Obs. Auditoría"),1,0)</f>
        <v>1</v>
      </c>
      <c r="AF101" s="11" t="str">
        <f aca="false">IFERROR(MID(D101,FIND("PMC-",D101),8),"")</f>
        <v/>
      </c>
      <c r="AG101" s="11" t="n">
        <f aca="false">IF(AND(V101=1,J101&lt;&gt;""),IF(AND(J101&gt;=FechaCorte,J101&lt;=HorizonteExpuestos),1,0),0)</f>
        <v>0</v>
      </c>
    </row>
    <row r="102" customFormat="false" ht="15" hidden="false" customHeight="false" outlineLevel="0" collapsed="false">
      <c r="A102" s="7" t="n">
        <v>101</v>
      </c>
      <c r="B102" s="7" t="n">
        <v>2026</v>
      </c>
      <c r="C102" s="7" t="s">
        <v>331</v>
      </c>
      <c r="D102" s="7" t="s">
        <v>332</v>
      </c>
      <c r="E102" s="7"/>
      <c r="F102" s="7" t="s">
        <v>301</v>
      </c>
      <c r="G102" s="7" t="s">
        <v>276</v>
      </c>
      <c r="H102" s="8" t="n">
        <v>46028</v>
      </c>
      <c r="I102" s="8" t="n">
        <v>46295</v>
      </c>
      <c r="J102" s="8" t="n">
        <v>46295</v>
      </c>
      <c r="K102" s="9" t="n">
        <v>1</v>
      </c>
      <c r="L102" s="7" t="s">
        <v>333</v>
      </c>
      <c r="M102" s="10" t="s">
        <v>81</v>
      </c>
      <c r="N102" s="11" t="str">
        <f aca="false">IFERROR(INDEX(dFrente!$B$2:$B$76,MATCH(C102,dFrente!$A$2:$A$76,0)),"Sin frente")</f>
        <v>Bases de datos y SFTP</v>
      </c>
      <c r="O102" s="11" t="str">
        <f aca="false">IFERROR(INDEX(dNIST!$B$2:$B$13,MATCH(M102,dNIST!$A$2:$A$13,0)),"")</f>
        <v>PR</v>
      </c>
      <c r="P102" s="11" t="str">
        <f aca="false">TRIM(IFERROR(LEFT(G102,FIND(CHAR(10),G102)-1),G102))</f>
        <v>Daniel Lescano</v>
      </c>
      <c r="Q102" s="11" t="n">
        <f aca="false">LEN(TRIM(G102))-LEN(SUBSTITUTE(TRIM(G102),CHAR(10),""))+1</f>
        <v>1</v>
      </c>
      <c r="R102" s="11" t="str">
        <f aca="false">IF(E102&lt;&gt;"","Sí","No")</f>
        <v>No</v>
      </c>
      <c r="S102" s="12" t="n">
        <f aca="false">IF(OR(J102="",H102=""),"",IF(J102&lt;=H102,IF(FechaCorte&gt;=J102,1,0),MAX(0,MIN(1,(FechaCorte-H102)/(J102-H102)))))</f>
        <v>0.97752808988764</v>
      </c>
      <c r="T102" s="12" t="n">
        <f aca="false">IF(S102="","",K102-S102)</f>
        <v>0.0224719101123596</v>
      </c>
      <c r="U102" s="11" t="str">
        <f aca="false">IF(R102="Sí","Recurrente",IF(K102&gt;=1,"Completado",IF(AND(J102&lt;&gt;"",J102&lt;FechaCorte),"Vencido",IF(AND(K102=0,OR(H102="",H102&gt;FechaCorte)),"Por iniciar",IF(AND(T102&lt;&gt;"",T102&lt;=UmbralRiesgo),"En riesgo","En plazo")))))</f>
        <v>Completado</v>
      </c>
      <c r="V102" s="11" t="n">
        <f aca="false">IF(OR(U102="Vencido",U102="En riesgo",U102="En plazo",U102="Por iniciar"),1,0)</f>
        <v>0</v>
      </c>
      <c r="W102" s="11" t="str">
        <f aca="false">IF(U102="Vencido",FechaCorte-J102,"")</f>
        <v/>
      </c>
      <c r="X102" s="11" t="str">
        <f aca="false">IF(AND(V102=1,U102&lt;&gt;"Vencido"),J102-FechaCorte,"")</f>
        <v/>
      </c>
      <c r="Y102" s="13" t="n">
        <f aca="false">IF(J102="","",DATE(YEAR(J102),MONTH(J102),1))</f>
        <v>46266</v>
      </c>
      <c r="Z102" s="13" t="str">
        <f aca="false">IF(AND(U102="Completado",I102&lt;&gt;""),IF(I102&lt;=FechaCorte,DATE(YEAR(I102),MONTH(I102),1),""),"")</f>
        <v/>
      </c>
      <c r="AA102" s="11" t="n">
        <f aca="false">IF(J102="","",IF(DAY(J102+1)=1,1,0))</f>
        <v>1</v>
      </c>
      <c r="AB102" s="11" t="n">
        <f aca="false">IF(AND(U102="Completado",I102&lt;&gt;"",I102=J102),1,0)</f>
        <v>1</v>
      </c>
      <c r="AC102" s="11" t="n">
        <f aca="false">IF(AND(K102&gt;=1,I102&lt;&gt;""),IF(I102&gt;FechaCorte,1,0),0)</f>
        <v>1</v>
      </c>
      <c r="AD102" s="11" t="n">
        <f aca="false">IF(AND(I102&lt;&gt;"",H102&lt;&gt;""),IF(I102&lt;H102,1,0),0)</f>
        <v>0</v>
      </c>
      <c r="AE102" s="11" t="n">
        <f aca="false">IF(OR(F102="Riesgos",F102="Obs. Auditoría"),1,0)</f>
        <v>1</v>
      </c>
      <c r="AF102" s="11" t="str">
        <f aca="false">IFERROR(MID(D102,FIND("PMC-",D102),8),"")</f>
        <v/>
      </c>
      <c r="AG102" s="11" t="n">
        <f aca="false">IF(AND(V102=1,J102&lt;&gt;""),IF(AND(J102&gt;=FechaCorte,J102&lt;=HorizonteExpuestos),1,0),0)</f>
        <v>0</v>
      </c>
    </row>
    <row r="103" customFormat="false" ht="15" hidden="false" customHeight="false" outlineLevel="0" collapsed="false">
      <c r="A103" s="7" t="n">
        <v>102</v>
      </c>
      <c r="B103" s="7" t="n">
        <v>2026</v>
      </c>
      <c r="C103" s="7" t="s">
        <v>331</v>
      </c>
      <c r="D103" s="7" t="s">
        <v>334</v>
      </c>
      <c r="E103" s="7"/>
      <c r="F103" s="7" t="s">
        <v>301</v>
      </c>
      <c r="G103" s="7" t="s">
        <v>276</v>
      </c>
      <c r="H103" s="8" t="n">
        <v>46028</v>
      </c>
      <c r="I103" s="8" t="n">
        <v>46295</v>
      </c>
      <c r="J103" s="8" t="n">
        <v>46295</v>
      </c>
      <c r="K103" s="9" t="n">
        <v>1</v>
      </c>
      <c r="L103" s="7" t="s">
        <v>335</v>
      </c>
      <c r="M103" s="10" t="s">
        <v>81</v>
      </c>
      <c r="N103" s="11" t="str">
        <f aca="false">IFERROR(INDEX(dFrente!$B$2:$B$76,MATCH(C103,dFrente!$A$2:$A$76,0)),"Sin frente")</f>
        <v>Bases de datos y SFTP</v>
      </c>
      <c r="O103" s="11" t="str">
        <f aca="false">IFERROR(INDEX(dNIST!$B$2:$B$13,MATCH(M103,dNIST!$A$2:$A$13,0)),"")</f>
        <v>PR</v>
      </c>
      <c r="P103" s="11" t="str">
        <f aca="false">TRIM(IFERROR(LEFT(G103,FIND(CHAR(10),G103)-1),G103))</f>
        <v>Daniel Lescano</v>
      </c>
      <c r="Q103" s="11" t="n">
        <f aca="false">LEN(TRIM(G103))-LEN(SUBSTITUTE(TRIM(G103),CHAR(10),""))+1</f>
        <v>1</v>
      </c>
      <c r="R103" s="11" t="str">
        <f aca="false">IF(E103&lt;&gt;"","Sí","No")</f>
        <v>No</v>
      </c>
      <c r="S103" s="12" t="n">
        <f aca="false">IF(OR(J103="",H103=""),"",IF(J103&lt;=H103,IF(FechaCorte&gt;=J103,1,0),MAX(0,MIN(1,(FechaCorte-H103)/(J103-H103)))))</f>
        <v>0.97752808988764</v>
      </c>
      <c r="T103" s="12" t="n">
        <f aca="false">IF(S103="","",K103-S103)</f>
        <v>0.0224719101123596</v>
      </c>
      <c r="U103" s="11" t="str">
        <f aca="false">IF(R103="Sí","Recurrente",IF(K103&gt;=1,"Completado",IF(AND(J103&lt;&gt;"",J103&lt;FechaCorte),"Vencido",IF(AND(K103=0,OR(H103="",H103&gt;FechaCorte)),"Por iniciar",IF(AND(T103&lt;&gt;"",T103&lt;=UmbralRiesgo),"En riesgo","En plazo")))))</f>
        <v>Completado</v>
      </c>
      <c r="V103" s="11" t="n">
        <f aca="false">IF(OR(U103="Vencido",U103="En riesgo",U103="En plazo",U103="Por iniciar"),1,0)</f>
        <v>0</v>
      </c>
      <c r="W103" s="11" t="str">
        <f aca="false">IF(U103="Vencido",FechaCorte-J103,"")</f>
        <v/>
      </c>
      <c r="X103" s="11" t="str">
        <f aca="false">IF(AND(V103=1,U103&lt;&gt;"Vencido"),J103-FechaCorte,"")</f>
        <v/>
      </c>
      <c r="Y103" s="13" t="n">
        <f aca="false">IF(J103="","",DATE(YEAR(J103),MONTH(J103),1))</f>
        <v>46266</v>
      </c>
      <c r="Z103" s="13" t="str">
        <f aca="false">IF(AND(U103="Completado",I103&lt;&gt;""),IF(I103&lt;=FechaCorte,DATE(YEAR(I103),MONTH(I103),1),""),"")</f>
        <v/>
      </c>
      <c r="AA103" s="11" t="n">
        <f aca="false">IF(J103="","",IF(DAY(J103+1)=1,1,0))</f>
        <v>1</v>
      </c>
      <c r="AB103" s="11" t="n">
        <f aca="false">IF(AND(U103="Completado",I103&lt;&gt;"",I103=J103),1,0)</f>
        <v>1</v>
      </c>
      <c r="AC103" s="11" t="n">
        <f aca="false">IF(AND(K103&gt;=1,I103&lt;&gt;""),IF(I103&gt;FechaCorte,1,0),0)</f>
        <v>1</v>
      </c>
      <c r="AD103" s="11" t="n">
        <f aca="false">IF(AND(I103&lt;&gt;"",H103&lt;&gt;""),IF(I103&lt;H103,1,0),0)</f>
        <v>0</v>
      </c>
      <c r="AE103" s="11" t="n">
        <f aca="false">IF(OR(F103="Riesgos",F103="Obs. Auditoría"),1,0)</f>
        <v>1</v>
      </c>
      <c r="AF103" s="11" t="str">
        <f aca="false">IFERROR(MID(D103,FIND("PMC-",D103),8),"")</f>
        <v/>
      </c>
      <c r="AG103" s="11" t="n">
        <f aca="false">IF(AND(V103=1,J103&lt;&gt;""),IF(AND(J103&gt;=FechaCorte,J103&lt;=HorizonteExpuestos),1,0),0)</f>
        <v>0</v>
      </c>
    </row>
    <row r="104" customFormat="false" ht="15" hidden="false" customHeight="false" outlineLevel="0" collapsed="false">
      <c r="A104" s="7" t="n">
        <v>103</v>
      </c>
      <c r="B104" s="7" t="n">
        <v>2026</v>
      </c>
      <c r="C104" s="7" t="s">
        <v>331</v>
      </c>
      <c r="D104" s="7" t="s">
        <v>336</v>
      </c>
      <c r="E104" s="7"/>
      <c r="F104" s="7" t="s">
        <v>301</v>
      </c>
      <c r="G104" s="7" t="s">
        <v>276</v>
      </c>
      <c r="H104" s="8" t="n">
        <v>46064</v>
      </c>
      <c r="I104" s="8"/>
      <c r="J104" s="8" t="n">
        <v>46295</v>
      </c>
      <c r="K104" s="9" t="n">
        <v>0.5</v>
      </c>
      <c r="L104" s="7" t="s">
        <v>337</v>
      </c>
      <c r="M104" s="10" t="s">
        <v>81</v>
      </c>
      <c r="N104" s="11" t="str">
        <f aca="false">IFERROR(INDEX(dFrente!$B$2:$B$76,MATCH(C104,dFrente!$A$2:$A$76,0)),"Sin frente")</f>
        <v>Bases de datos y SFTP</v>
      </c>
      <c r="O104" s="11" t="str">
        <f aca="false">IFERROR(INDEX(dNIST!$B$2:$B$13,MATCH(M104,dNIST!$A$2:$A$13,0)),"")</f>
        <v>PR</v>
      </c>
      <c r="P104" s="11" t="str">
        <f aca="false">TRIM(IFERROR(LEFT(G104,FIND(CHAR(10),G104)-1),G104))</f>
        <v>Daniel Lescano</v>
      </c>
      <c r="Q104" s="11" t="n">
        <f aca="false">LEN(TRIM(G104))-LEN(SUBSTITUTE(TRIM(G104),CHAR(10),""))+1</f>
        <v>1</v>
      </c>
      <c r="R104" s="11" t="str">
        <f aca="false">IF(E104&lt;&gt;"","Sí","No")</f>
        <v>No</v>
      </c>
      <c r="S104" s="12" t="n">
        <f aca="false">IF(OR(J104="",H104=""),"",IF(J104&lt;=H104,IF(FechaCorte&gt;=J104,1,0),MAX(0,MIN(1,(FechaCorte-H104)/(J104-H104)))))</f>
        <v>0.974025974025974</v>
      </c>
      <c r="T104" s="12" t="n">
        <f aca="false">IF(S104="","",K104-S104)</f>
        <v>-0.474025974025974</v>
      </c>
      <c r="U104" s="11" t="str">
        <f aca="false">IF(R104="Sí","Recurrente",IF(K104&gt;=1,"Completado",IF(AND(J104&lt;&gt;"",J104&lt;FechaCorte),"Vencido",IF(AND(K104=0,OR(H104="",H104&gt;FechaCorte)),"Por iniciar",IF(AND(T104&lt;&gt;"",T104&lt;=UmbralRiesgo),"En riesgo","En plazo")))))</f>
        <v>En riesgo</v>
      </c>
      <c r="V104" s="11" t="n">
        <f aca="false">IF(OR(U104="Vencido",U104="En riesgo",U104="En plazo",U104="Por iniciar"),1,0)</f>
        <v>1</v>
      </c>
      <c r="W104" s="11" t="str">
        <f aca="false">IF(U104="Vencido",FechaCorte-J104,"")</f>
        <v/>
      </c>
      <c r="X104" s="11" t="n">
        <f aca="false">IF(AND(V104=1,U104&lt;&gt;"Vencido"),J104-FechaCorte,"")</f>
        <v>6</v>
      </c>
      <c r="Y104" s="13" t="n">
        <f aca="false">IF(J104="","",DATE(YEAR(J104),MONTH(J104),1))</f>
        <v>46266</v>
      </c>
      <c r="Z104" s="13" t="str">
        <f aca="false">IF(AND(U104="Completado",I104&lt;&gt;""),IF(I104&lt;=FechaCorte,DATE(YEAR(I104),MONTH(I104),1),""),"")</f>
        <v/>
      </c>
      <c r="AA104" s="11" t="n">
        <f aca="false">IF(J104="","",IF(DAY(J104+1)=1,1,0))</f>
        <v>1</v>
      </c>
      <c r="AB104" s="11" t="n">
        <f aca="false">IF(AND(U104="Completado",I104&lt;&gt;"",I104=J104),1,0)</f>
        <v>0</v>
      </c>
      <c r="AC104" s="11" t="n">
        <f aca="false">IF(AND(K104&gt;=1,I104&lt;&gt;""),IF(I104&gt;FechaCorte,1,0),0)</f>
        <v>0</v>
      </c>
      <c r="AD104" s="11" t="n">
        <f aca="false">IF(AND(I104&lt;&gt;"",H104&lt;&gt;""),IF(I104&lt;H104,1,0),0)</f>
        <v>0</v>
      </c>
      <c r="AE104" s="11" t="n">
        <f aca="false">IF(OR(F104="Riesgos",F104="Obs. Auditoría"),1,0)</f>
        <v>1</v>
      </c>
      <c r="AF104" s="11" t="str">
        <f aca="false">IFERROR(MID(D104,FIND("PMC-",D104),8),"")</f>
        <v/>
      </c>
      <c r="AG104" s="11" t="n">
        <f aca="false">IF(AND(V104=1,J104&lt;&gt;""),IF(AND(J104&gt;=FechaCorte,J104&lt;=HorizonteExpuestos),1,0),0)</f>
        <v>1</v>
      </c>
    </row>
    <row r="105" customFormat="false" ht="15" hidden="false" customHeight="false" outlineLevel="0" collapsed="false">
      <c r="A105" s="7" t="n">
        <v>104</v>
      </c>
      <c r="B105" s="7" t="n">
        <v>2026</v>
      </c>
      <c r="C105" s="7" t="s">
        <v>331</v>
      </c>
      <c r="D105" s="7" t="s">
        <v>338</v>
      </c>
      <c r="E105" s="7"/>
      <c r="F105" s="7" t="s">
        <v>301</v>
      </c>
      <c r="G105" s="7" t="s">
        <v>276</v>
      </c>
      <c r="H105" s="8" t="n">
        <v>46295</v>
      </c>
      <c r="I105" s="8"/>
      <c r="J105" s="8" t="n">
        <v>46295</v>
      </c>
      <c r="K105" s="9" t="n">
        <v>0.5</v>
      </c>
      <c r="L105" s="14" t="s">
        <v>339</v>
      </c>
      <c r="M105" s="10" t="s">
        <v>81</v>
      </c>
      <c r="N105" s="11" t="str">
        <f aca="false">IFERROR(INDEX(dFrente!$B$2:$B$76,MATCH(C105,dFrente!$A$2:$A$76,0)),"Sin frente")</f>
        <v>Bases de datos y SFTP</v>
      </c>
      <c r="O105" s="11" t="str">
        <f aca="false">IFERROR(INDEX(dNIST!$B$2:$B$13,MATCH(M105,dNIST!$A$2:$A$13,0)),"")</f>
        <v>PR</v>
      </c>
      <c r="P105" s="11" t="str">
        <f aca="false">TRIM(IFERROR(LEFT(G105,FIND(CHAR(10),G105)-1),G105))</f>
        <v>Daniel Lescano</v>
      </c>
      <c r="Q105" s="11" t="n">
        <f aca="false">LEN(TRIM(G105))-LEN(SUBSTITUTE(TRIM(G105),CHAR(10),""))+1</f>
        <v>1</v>
      </c>
      <c r="R105" s="11" t="str">
        <f aca="false">IF(E105&lt;&gt;"","Sí","No")</f>
        <v>No</v>
      </c>
      <c r="S105" s="12" t="n">
        <f aca="false">IF(OR(J105="",H105=""),"",IF(J105&lt;=H105,IF(FechaCorte&gt;=J105,1,0),MAX(0,MIN(1,(FechaCorte-H105)/(J105-H105)))))</f>
        <v>0</v>
      </c>
      <c r="T105" s="12" t="n">
        <f aca="false">IF(S105="","",K105-S105)</f>
        <v>0.5</v>
      </c>
      <c r="U105" s="11" t="str">
        <f aca="false">IF(R105="Sí","Recurrente",IF(K105&gt;=1,"Completado",IF(AND(J105&lt;&gt;"",J105&lt;FechaCorte),"Vencido",IF(AND(K105=0,OR(H105="",H105&gt;FechaCorte)),"Por iniciar",IF(AND(T105&lt;&gt;"",T105&lt;=UmbralRiesgo),"En riesgo","En plazo")))))</f>
        <v>En plazo</v>
      </c>
      <c r="V105" s="11" t="n">
        <f aca="false">IF(OR(U105="Vencido",U105="En riesgo",U105="En plazo",U105="Por iniciar"),1,0)</f>
        <v>1</v>
      </c>
      <c r="W105" s="11" t="str">
        <f aca="false">IF(U105="Vencido",FechaCorte-J105,"")</f>
        <v/>
      </c>
      <c r="X105" s="11" t="n">
        <f aca="false">IF(AND(V105=1,U105&lt;&gt;"Vencido"),J105-FechaCorte,"")</f>
        <v>6</v>
      </c>
      <c r="Y105" s="13" t="n">
        <f aca="false">IF(J105="","",DATE(YEAR(J105),MONTH(J105),1))</f>
        <v>46266</v>
      </c>
      <c r="Z105" s="13" t="str">
        <f aca="false">IF(AND(U105="Completado",I105&lt;&gt;""),IF(I105&lt;=FechaCorte,DATE(YEAR(I105),MONTH(I105),1),""),"")</f>
        <v/>
      </c>
      <c r="AA105" s="11" t="n">
        <f aca="false">IF(J105="","",IF(DAY(J105+1)=1,1,0))</f>
        <v>1</v>
      </c>
      <c r="AB105" s="11" t="n">
        <f aca="false">IF(AND(U105="Completado",I105&lt;&gt;"",I105=J105),1,0)</f>
        <v>0</v>
      </c>
      <c r="AC105" s="11" t="n">
        <f aca="false">IF(AND(K105&gt;=1,I105&lt;&gt;""),IF(I105&gt;FechaCorte,1,0),0)</f>
        <v>0</v>
      </c>
      <c r="AD105" s="11" t="n">
        <f aca="false">IF(AND(I105&lt;&gt;"",H105&lt;&gt;""),IF(I105&lt;H105,1,0),0)</f>
        <v>0</v>
      </c>
      <c r="AE105" s="11" t="n">
        <f aca="false">IF(OR(F105="Riesgos",F105="Obs. Auditoría"),1,0)</f>
        <v>1</v>
      </c>
      <c r="AF105" s="11" t="str">
        <f aca="false">IFERROR(MID(D105,FIND("PMC-",D105),8),"")</f>
        <v/>
      </c>
      <c r="AG105" s="11" t="n">
        <f aca="false">IF(AND(V105=1,J105&lt;&gt;""),IF(AND(J105&gt;=FechaCorte,J105&lt;=HorizonteExpuestos),1,0),0)</f>
        <v>1</v>
      </c>
    </row>
    <row r="106" customFormat="false" ht="15" hidden="false" customHeight="false" outlineLevel="0" collapsed="false">
      <c r="A106" s="7" t="n">
        <v>105</v>
      </c>
      <c r="B106" s="7" t="n">
        <v>2026</v>
      </c>
      <c r="C106" s="7" t="s">
        <v>340</v>
      </c>
      <c r="D106" s="7" t="s">
        <v>341</v>
      </c>
      <c r="E106" s="7"/>
      <c r="F106" s="7" t="s">
        <v>97</v>
      </c>
      <c r="G106" s="7" t="s">
        <v>276</v>
      </c>
      <c r="H106" s="8" t="n">
        <v>46082</v>
      </c>
      <c r="I106" s="8" t="n">
        <v>46184</v>
      </c>
      <c r="J106" s="8" t="n">
        <v>46184</v>
      </c>
      <c r="K106" s="9" t="n">
        <v>1</v>
      </c>
      <c r="L106" s="7" t="s">
        <v>342</v>
      </c>
      <c r="M106" s="10" t="s">
        <v>173</v>
      </c>
      <c r="N106" s="11" t="str">
        <f aca="false">IFERROR(INDEX(dFrente!$B$2:$B$76,MATCH(C106,dFrente!$A$2:$A$76,0)),"Sin frente")</f>
        <v>Ciclo de vida JML</v>
      </c>
      <c r="O106" s="11" t="str">
        <f aca="false">IFERROR(INDEX(dNIST!$B$2:$B$13,MATCH(M106,dNIST!$A$2:$A$13,0)),"")</f>
        <v>PR</v>
      </c>
      <c r="P106" s="11" t="str">
        <f aca="false">TRIM(IFERROR(LEFT(G106,FIND(CHAR(10),G106)-1),G106))</f>
        <v>Daniel Lescano</v>
      </c>
      <c r="Q106" s="11" t="n">
        <f aca="false">LEN(TRIM(G106))-LEN(SUBSTITUTE(TRIM(G106),CHAR(10),""))+1</f>
        <v>1</v>
      </c>
      <c r="R106" s="11" t="str">
        <f aca="false">IF(E106&lt;&gt;"","Sí","No")</f>
        <v>No</v>
      </c>
      <c r="S106" s="12" t="n">
        <f aca="false">IF(OR(J106="",H106=""),"",IF(J106&lt;=H106,IF(FechaCorte&gt;=J106,1,0),MAX(0,MIN(1,(FechaCorte-H106)/(J106-H106)))))</f>
        <v>1</v>
      </c>
      <c r="T106" s="12" t="n">
        <f aca="false">IF(S106="","",K106-S106)</f>
        <v>0</v>
      </c>
      <c r="U106" s="11" t="str">
        <f aca="false">IF(R106="Sí","Recurrente",IF(K106&gt;=1,"Completado",IF(AND(J106&lt;&gt;"",J106&lt;FechaCorte),"Vencido",IF(AND(K106=0,OR(H106="",H106&gt;FechaCorte)),"Por iniciar",IF(AND(T106&lt;&gt;"",T106&lt;=UmbralRiesgo),"En riesgo","En plazo")))))</f>
        <v>Completado</v>
      </c>
      <c r="V106" s="11" t="n">
        <f aca="false">IF(OR(U106="Vencido",U106="En riesgo",U106="En plazo",U106="Por iniciar"),1,0)</f>
        <v>0</v>
      </c>
      <c r="W106" s="11" t="str">
        <f aca="false">IF(U106="Vencido",FechaCorte-J106,"")</f>
        <v/>
      </c>
      <c r="X106" s="11" t="str">
        <f aca="false">IF(AND(V106=1,U106&lt;&gt;"Vencido"),J106-FechaCorte,"")</f>
        <v/>
      </c>
      <c r="Y106" s="13" t="n">
        <f aca="false">IF(J106="","",DATE(YEAR(J106),MONTH(J106),1))</f>
        <v>46174</v>
      </c>
      <c r="Z106" s="13" t="n">
        <f aca="false">IF(AND(U106="Completado",I106&lt;&gt;""),IF(I106&lt;=FechaCorte,DATE(YEAR(I106),MONTH(I106),1),""),"")</f>
        <v>46174</v>
      </c>
      <c r="AA106" s="11" t="n">
        <f aca="false">IF(J106="","",IF(DAY(J106+1)=1,1,0))</f>
        <v>0</v>
      </c>
      <c r="AB106" s="11" t="n">
        <f aca="false">IF(AND(U106="Completado",I106&lt;&gt;"",I106=J106),1,0)</f>
        <v>1</v>
      </c>
      <c r="AC106" s="11" t="n">
        <f aca="false">IF(AND(K106&gt;=1,I106&lt;&gt;""),IF(I106&gt;FechaCorte,1,0),0)</f>
        <v>0</v>
      </c>
      <c r="AD106" s="11" t="n">
        <f aca="false">IF(AND(I106&lt;&gt;"",H106&lt;&gt;""),IF(I106&lt;H106,1,0),0)</f>
        <v>0</v>
      </c>
      <c r="AE106" s="11" t="n">
        <f aca="false">IF(OR(F106="Riesgos",F106="Obs. Auditoría"),1,0)</f>
        <v>0</v>
      </c>
      <c r="AF106" s="11" t="str">
        <f aca="false">IFERROR(MID(D106,FIND("PMC-",D106),8),"")</f>
        <v/>
      </c>
      <c r="AG106" s="11" t="n">
        <f aca="false">IF(AND(V106=1,J106&lt;&gt;""),IF(AND(J106&gt;=FechaCorte,J106&lt;=HorizonteExpuestos),1,0),0)</f>
        <v>0</v>
      </c>
    </row>
    <row r="107" customFormat="false" ht="15" hidden="false" customHeight="false" outlineLevel="0" collapsed="false">
      <c r="A107" s="7" t="n">
        <v>106</v>
      </c>
      <c r="B107" s="7" t="n">
        <v>2026</v>
      </c>
      <c r="C107" s="7" t="s">
        <v>343</v>
      </c>
      <c r="D107" s="7" t="s">
        <v>344</v>
      </c>
      <c r="E107" s="7"/>
      <c r="F107" s="7" t="s">
        <v>97</v>
      </c>
      <c r="G107" s="7" t="s">
        <v>276</v>
      </c>
      <c r="H107" s="8" t="n">
        <v>46279</v>
      </c>
      <c r="I107" s="8"/>
      <c r="J107" s="8" t="n">
        <v>46387</v>
      </c>
      <c r="K107" s="9" t="n">
        <v>0</v>
      </c>
      <c r="L107" s="7" t="s">
        <v>345</v>
      </c>
      <c r="M107" s="10" t="s">
        <v>173</v>
      </c>
      <c r="N107" s="11" t="str">
        <f aca="false">IFERROR(INDEX(dFrente!$B$2:$B$76,MATCH(C107,dFrente!$A$2:$A$76,0)),"Sin frente")</f>
        <v>Privilegiados y contraseñas</v>
      </c>
      <c r="O107" s="11" t="str">
        <f aca="false">IFERROR(INDEX(dNIST!$B$2:$B$13,MATCH(M107,dNIST!$A$2:$A$13,0)),"")</f>
        <v>PR</v>
      </c>
      <c r="P107" s="11" t="str">
        <f aca="false">TRIM(IFERROR(LEFT(G107,FIND(CHAR(10),G107)-1),G107))</f>
        <v>Daniel Lescano</v>
      </c>
      <c r="Q107" s="11" t="n">
        <f aca="false">LEN(TRIM(G107))-LEN(SUBSTITUTE(TRIM(G107),CHAR(10),""))+1</f>
        <v>1</v>
      </c>
      <c r="R107" s="11" t="str">
        <f aca="false">IF(E107&lt;&gt;"","Sí","No")</f>
        <v>No</v>
      </c>
      <c r="S107" s="12" t="n">
        <f aca="false">IF(OR(J107="",H107=""),"",IF(J107&lt;=H107,IF(FechaCorte&gt;=J107,1,0),MAX(0,MIN(1,(FechaCorte-H107)/(J107-H107)))))</f>
        <v>0.0925925925925926</v>
      </c>
      <c r="T107" s="12" t="n">
        <f aca="false">IF(S107="","",K107-S107)</f>
        <v>-0.0925925925925926</v>
      </c>
      <c r="U107" s="11" t="str">
        <f aca="false">IF(R107="Sí","Recurrente",IF(K107&gt;=1,"Completado",IF(AND(J107&lt;&gt;"",J107&lt;FechaCorte),"Vencido",IF(AND(K107=0,OR(H107="",H107&gt;FechaCorte)),"Por iniciar",IF(AND(T107&lt;&gt;"",T107&lt;=UmbralRiesgo),"En riesgo","En plazo")))))</f>
        <v>En plazo</v>
      </c>
      <c r="V107" s="11" t="n">
        <f aca="false">IF(OR(U107="Vencido",U107="En riesgo",U107="En plazo",U107="Por iniciar"),1,0)</f>
        <v>1</v>
      </c>
      <c r="W107" s="11" t="str">
        <f aca="false">IF(U107="Vencido",FechaCorte-J107,"")</f>
        <v/>
      </c>
      <c r="X107" s="11" t="n">
        <f aca="false">IF(AND(V107=1,U107&lt;&gt;"Vencido"),J107-FechaCorte,"")</f>
        <v>98</v>
      </c>
      <c r="Y107" s="13" t="n">
        <f aca="false">IF(J107="","",DATE(YEAR(J107),MONTH(J107),1))</f>
        <v>46357</v>
      </c>
      <c r="Z107" s="13" t="str">
        <f aca="false">IF(AND(U107="Completado",I107&lt;&gt;""),IF(I107&lt;=FechaCorte,DATE(YEAR(I107),MONTH(I107),1),""),"")</f>
        <v/>
      </c>
      <c r="AA107" s="11" t="n">
        <f aca="false">IF(J107="","",IF(DAY(J107+1)=1,1,0))</f>
        <v>1</v>
      </c>
      <c r="AB107" s="11" t="n">
        <f aca="false">IF(AND(U107="Completado",I107&lt;&gt;"",I107=J107),1,0)</f>
        <v>0</v>
      </c>
      <c r="AC107" s="11" t="n">
        <f aca="false">IF(AND(K107&gt;=1,I107&lt;&gt;""),IF(I107&gt;FechaCorte,1,0),0)</f>
        <v>0</v>
      </c>
      <c r="AD107" s="11" t="n">
        <f aca="false">IF(AND(I107&lt;&gt;"",H107&lt;&gt;""),IF(I107&lt;H107,1,0),0)</f>
        <v>0</v>
      </c>
      <c r="AE107" s="11" t="n">
        <f aca="false">IF(OR(F107="Riesgos",F107="Obs. Auditoría"),1,0)</f>
        <v>0</v>
      </c>
      <c r="AF107" s="11" t="str">
        <f aca="false">IFERROR(MID(D107,FIND("PMC-",D107),8),"")</f>
        <v/>
      </c>
      <c r="AG107" s="11" t="n">
        <f aca="false">IF(AND(V107=1,J107&lt;&gt;""),IF(AND(J107&gt;=FechaCorte,J107&lt;=HorizonteExpuestos),1,0),0)</f>
        <v>0</v>
      </c>
    </row>
    <row r="108" customFormat="false" ht="15" hidden="false" customHeight="false" outlineLevel="0" collapsed="false">
      <c r="A108" s="7" t="n">
        <v>107</v>
      </c>
      <c r="B108" s="7" t="n">
        <v>2026</v>
      </c>
      <c r="C108" s="7" t="s">
        <v>346</v>
      </c>
      <c r="D108" s="7" t="s">
        <v>347</v>
      </c>
      <c r="E108" s="7"/>
      <c r="F108" s="7" t="s">
        <v>97</v>
      </c>
      <c r="G108" s="7" t="s">
        <v>231</v>
      </c>
      <c r="H108" s="8" t="n">
        <v>46082</v>
      </c>
      <c r="I108" s="8"/>
      <c r="J108" s="8" t="n">
        <v>46265</v>
      </c>
      <c r="K108" s="9" t="n">
        <v>0.93</v>
      </c>
      <c r="L108" s="7" t="s">
        <v>348</v>
      </c>
      <c r="M108" s="10" t="s">
        <v>182</v>
      </c>
      <c r="N108" s="11" t="str">
        <f aca="false">IFERROR(INDEX(dFrente!$B$2:$B$76,MATCH(C108,dFrente!$A$2:$A$76,0)),"Sin frente")</f>
        <v>Gobierno y reportería</v>
      </c>
      <c r="O108" s="11" t="str">
        <f aca="false">IFERROR(INDEX(dNIST!$B$2:$B$13,MATCH(M108,dNIST!$A$2:$A$13,0)),"")</f>
        <v>GV</v>
      </c>
      <c r="P108" s="11" t="str">
        <f aca="false">TRIM(IFERROR(LEFT(G108,FIND(CHAR(10),G108)-1),G108))</f>
        <v>Bryan Uyana</v>
      </c>
      <c r="Q108" s="11" t="n">
        <f aca="false">LEN(TRIM(G108))-LEN(SUBSTITUTE(TRIM(G108),CHAR(10),""))+1</f>
        <v>1</v>
      </c>
      <c r="R108" s="11" t="str">
        <f aca="false">IF(E108&lt;&gt;"","Sí","No")</f>
        <v>No</v>
      </c>
      <c r="S108" s="12" t="n">
        <f aca="false">IF(OR(J108="",H108=""),"",IF(J108&lt;=H108,IF(FechaCorte&gt;=J108,1,0),MAX(0,MIN(1,(FechaCorte-H108)/(J108-H108)))))</f>
        <v>1</v>
      </c>
      <c r="T108" s="12" t="n">
        <f aca="false">IF(S108="","",K108-S108)</f>
        <v>-0.07</v>
      </c>
      <c r="U108" s="11" t="str">
        <f aca="false">IF(R108="Sí","Recurrente",IF(K108&gt;=1,"Completado",IF(AND(J108&lt;&gt;"",J108&lt;FechaCorte),"Vencido",IF(AND(K108=0,OR(H108="",H108&gt;FechaCorte)),"Por iniciar",IF(AND(T108&lt;&gt;"",T108&lt;=UmbralRiesgo),"En riesgo","En plazo")))))</f>
        <v>Vencido</v>
      </c>
      <c r="V108" s="11" t="n">
        <f aca="false">IF(OR(U108="Vencido",U108="En riesgo",U108="En plazo",U108="Por iniciar"),1,0)</f>
        <v>1</v>
      </c>
      <c r="W108" s="11" t="n">
        <f aca="false">IF(U108="Vencido",FechaCorte-J108,"")</f>
        <v>24</v>
      </c>
      <c r="X108" s="11" t="str">
        <f aca="false">IF(AND(V108=1,U108&lt;&gt;"Vencido"),J108-FechaCorte,"")</f>
        <v/>
      </c>
      <c r="Y108" s="13" t="n">
        <f aca="false">IF(J108="","",DATE(YEAR(J108),MONTH(J108),1))</f>
        <v>46235</v>
      </c>
      <c r="Z108" s="13" t="str">
        <f aca="false">IF(AND(U108="Completado",I108&lt;&gt;""),IF(I108&lt;=FechaCorte,DATE(YEAR(I108),MONTH(I108),1),""),"")</f>
        <v/>
      </c>
      <c r="AA108" s="11" t="n">
        <f aca="false">IF(J108="","",IF(DAY(J108+1)=1,1,0))</f>
        <v>1</v>
      </c>
      <c r="AB108" s="11" t="n">
        <f aca="false">IF(AND(U108="Completado",I108&lt;&gt;"",I108=J108),1,0)</f>
        <v>0</v>
      </c>
      <c r="AC108" s="11" t="n">
        <f aca="false">IF(AND(K108&gt;=1,I108&lt;&gt;""),IF(I108&gt;FechaCorte,1,0),0)</f>
        <v>0</v>
      </c>
      <c r="AD108" s="11" t="n">
        <f aca="false">IF(AND(I108&lt;&gt;"",H108&lt;&gt;""),IF(I108&lt;H108,1,0),0)</f>
        <v>0</v>
      </c>
      <c r="AE108" s="11" t="n">
        <f aca="false">IF(OR(F108="Riesgos",F108="Obs. Auditoría"),1,0)</f>
        <v>0</v>
      </c>
      <c r="AF108" s="11" t="str">
        <f aca="false">IFERROR(MID(D108,FIND("PMC-",D108),8),"")</f>
        <v/>
      </c>
      <c r="AG108" s="11" t="n">
        <f aca="false">IF(AND(V108=1,J108&lt;&gt;""),IF(AND(J108&gt;=FechaCorte,J108&lt;=HorizonteExpuestos),1,0),0)</f>
        <v>0</v>
      </c>
    </row>
    <row r="109" customFormat="false" ht="15" hidden="false" customHeight="false" outlineLevel="0" collapsed="false">
      <c r="A109" s="7" t="n">
        <v>108</v>
      </c>
      <c r="B109" s="7" t="n">
        <v>2026</v>
      </c>
      <c r="C109" s="7" t="s">
        <v>349</v>
      </c>
      <c r="D109" s="7" t="s">
        <v>350</v>
      </c>
      <c r="E109" s="7"/>
      <c r="F109" s="7" t="s">
        <v>97</v>
      </c>
      <c r="G109" s="7" t="s">
        <v>231</v>
      </c>
      <c r="H109" s="8" t="n">
        <v>46113</v>
      </c>
      <c r="I109" s="8" t="n">
        <v>46204</v>
      </c>
      <c r="J109" s="8" t="n">
        <v>46204</v>
      </c>
      <c r="K109" s="9" t="n">
        <v>1</v>
      </c>
      <c r="L109" s="7"/>
      <c r="M109" s="10" t="s">
        <v>351</v>
      </c>
      <c r="N109" s="11" t="str">
        <f aca="false">IFERROR(INDEX(dFrente!$B$2:$B$76,MATCH(C109,dFrente!$A$2:$A$76,0)),"Sin frente")</f>
        <v>Controles, red y M365</v>
      </c>
      <c r="O109" s="11" t="str">
        <f aca="false">IFERROR(INDEX(dNIST!$B$2:$B$13,MATCH(M109,dNIST!$A$2:$A$13,0)),"")</f>
        <v>PR</v>
      </c>
      <c r="P109" s="11" t="str">
        <f aca="false">TRIM(IFERROR(LEFT(G109,FIND(CHAR(10),G109)-1),G109))</f>
        <v>Bryan Uyana</v>
      </c>
      <c r="Q109" s="11" t="n">
        <f aca="false">LEN(TRIM(G109))-LEN(SUBSTITUTE(TRIM(G109),CHAR(10),""))+1</f>
        <v>1</v>
      </c>
      <c r="R109" s="11" t="str">
        <f aca="false">IF(E109&lt;&gt;"","Sí","No")</f>
        <v>No</v>
      </c>
      <c r="S109" s="12" t="n">
        <f aca="false">IF(OR(J109="",H109=""),"",IF(J109&lt;=H109,IF(FechaCorte&gt;=J109,1,0),MAX(0,MIN(1,(FechaCorte-H109)/(J109-H109)))))</f>
        <v>1</v>
      </c>
      <c r="T109" s="12" t="n">
        <f aca="false">IF(S109="","",K109-S109)</f>
        <v>0</v>
      </c>
      <c r="U109" s="11" t="str">
        <f aca="false">IF(R109="Sí","Recurrente",IF(K109&gt;=1,"Completado",IF(AND(J109&lt;&gt;"",J109&lt;FechaCorte),"Vencido",IF(AND(K109=0,OR(H109="",H109&gt;FechaCorte)),"Por iniciar",IF(AND(T109&lt;&gt;"",T109&lt;=UmbralRiesgo),"En riesgo","En plazo")))))</f>
        <v>Completado</v>
      </c>
      <c r="V109" s="11" t="n">
        <f aca="false">IF(OR(U109="Vencido",U109="En riesgo",U109="En plazo",U109="Por iniciar"),1,0)</f>
        <v>0</v>
      </c>
      <c r="W109" s="11" t="str">
        <f aca="false">IF(U109="Vencido",FechaCorte-J109,"")</f>
        <v/>
      </c>
      <c r="X109" s="11" t="str">
        <f aca="false">IF(AND(V109=1,U109&lt;&gt;"Vencido"),J109-FechaCorte,"")</f>
        <v/>
      </c>
      <c r="Y109" s="13" t="n">
        <f aca="false">IF(J109="","",DATE(YEAR(J109),MONTH(J109),1))</f>
        <v>46204</v>
      </c>
      <c r="Z109" s="13" t="n">
        <f aca="false">IF(AND(U109="Completado",I109&lt;&gt;""),IF(I109&lt;=FechaCorte,DATE(YEAR(I109),MONTH(I109),1),""),"")</f>
        <v>46204</v>
      </c>
      <c r="AA109" s="11" t="n">
        <f aca="false">IF(J109="","",IF(DAY(J109+1)=1,1,0))</f>
        <v>0</v>
      </c>
      <c r="AB109" s="11" t="n">
        <f aca="false">IF(AND(U109="Completado",I109&lt;&gt;"",I109=J109),1,0)</f>
        <v>1</v>
      </c>
      <c r="AC109" s="11" t="n">
        <f aca="false">IF(AND(K109&gt;=1,I109&lt;&gt;""),IF(I109&gt;FechaCorte,1,0),0)</f>
        <v>0</v>
      </c>
      <c r="AD109" s="11" t="n">
        <f aca="false">IF(AND(I109&lt;&gt;"",H109&lt;&gt;""),IF(I109&lt;H109,1,0),0)</f>
        <v>0</v>
      </c>
      <c r="AE109" s="11" t="n">
        <f aca="false">IF(OR(F109="Riesgos",F109="Obs. Auditoría"),1,0)</f>
        <v>0</v>
      </c>
      <c r="AF109" s="11" t="str">
        <f aca="false">IFERROR(MID(D109,FIND("PMC-",D109),8),"")</f>
        <v/>
      </c>
      <c r="AG109" s="11" t="n">
        <f aca="false">IF(AND(V109=1,J109&lt;&gt;""),IF(AND(J109&gt;=FechaCorte,J109&lt;=HorizonteExpuestos),1,0),0)</f>
        <v>0</v>
      </c>
    </row>
    <row r="110" customFormat="false" ht="15" hidden="false" customHeight="false" outlineLevel="0" collapsed="false">
      <c r="A110" s="7" t="n">
        <v>109</v>
      </c>
      <c r="B110" s="7" t="n">
        <v>2026</v>
      </c>
      <c r="C110" s="7" t="s">
        <v>352</v>
      </c>
      <c r="D110" s="7" t="s">
        <v>353</v>
      </c>
      <c r="E110" s="7"/>
      <c r="F110" s="7" t="s">
        <v>97</v>
      </c>
      <c r="G110" s="7" t="s">
        <v>354</v>
      </c>
      <c r="H110" s="8" t="n">
        <v>46082</v>
      </c>
      <c r="I110" s="8" t="n">
        <v>46223</v>
      </c>
      <c r="J110" s="8" t="n">
        <v>46223</v>
      </c>
      <c r="K110" s="9" t="n">
        <v>1</v>
      </c>
      <c r="L110" s="7"/>
      <c r="M110" s="10" t="s">
        <v>81</v>
      </c>
      <c r="N110" s="11" t="str">
        <f aca="false">IFERROR(INDEX(dFrente!$B$2:$B$76,MATCH(C110,dFrente!$A$2:$A$76,0)),"Sin frente")</f>
        <v>Controles, red y M365</v>
      </c>
      <c r="O110" s="11" t="str">
        <f aca="false">IFERROR(INDEX(dNIST!$B$2:$B$13,MATCH(M110,dNIST!$A$2:$A$13,0)),"")</f>
        <v>PR</v>
      </c>
      <c r="P110" s="11" t="str">
        <f aca="false">TRIM(IFERROR(LEFT(G110,FIND(CHAR(10),G110)-1),G110))</f>
        <v>Dayanara Terán</v>
      </c>
      <c r="Q110" s="11" t="n">
        <f aca="false">LEN(TRIM(G110))-LEN(SUBSTITUTE(TRIM(G110),CHAR(10),""))+1</f>
        <v>1</v>
      </c>
      <c r="R110" s="11" t="str">
        <f aca="false">IF(E110&lt;&gt;"","Sí","No")</f>
        <v>No</v>
      </c>
      <c r="S110" s="12" t="n">
        <f aca="false">IF(OR(J110="",H110=""),"",IF(J110&lt;=H110,IF(FechaCorte&gt;=J110,1,0),MAX(0,MIN(1,(FechaCorte-H110)/(J110-H110)))))</f>
        <v>1</v>
      </c>
      <c r="T110" s="12" t="n">
        <f aca="false">IF(S110="","",K110-S110)</f>
        <v>0</v>
      </c>
      <c r="U110" s="11" t="str">
        <f aca="false">IF(R110="Sí","Recurrente",IF(K110&gt;=1,"Completado",IF(AND(J110&lt;&gt;"",J110&lt;FechaCorte),"Vencido",IF(AND(K110=0,OR(H110="",H110&gt;FechaCorte)),"Por iniciar",IF(AND(T110&lt;&gt;"",T110&lt;=UmbralRiesgo),"En riesgo","En plazo")))))</f>
        <v>Completado</v>
      </c>
      <c r="V110" s="11" t="n">
        <f aca="false">IF(OR(U110="Vencido",U110="En riesgo",U110="En plazo",U110="Por iniciar"),1,0)</f>
        <v>0</v>
      </c>
      <c r="W110" s="11" t="str">
        <f aca="false">IF(U110="Vencido",FechaCorte-J110,"")</f>
        <v/>
      </c>
      <c r="X110" s="11" t="str">
        <f aca="false">IF(AND(V110=1,U110&lt;&gt;"Vencido"),J110-FechaCorte,"")</f>
        <v/>
      </c>
      <c r="Y110" s="13" t="n">
        <f aca="false">IF(J110="","",DATE(YEAR(J110),MONTH(J110),1))</f>
        <v>46204</v>
      </c>
      <c r="Z110" s="13" t="n">
        <f aca="false">IF(AND(U110="Completado",I110&lt;&gt;""),IF(I110&lt;=FechaCorte,DATE(YEAR(I110),MONTH(I110),1),""),"")</f>
        <v>46204</v>
      </c>
      <c r="AA110" s="11" t="n">
        <f aca="false">IF(J110="","",IF(DAY(J110+1)=1,1,0))</f>
        <v>0</v>
      </c>
      <c r="AB110" s="11" t="n">
        <f aca="false">IF(AND(U110="Completado",I110&lt;&gt;"",I110=J110),1,0)</f>
        <v>1</v>
      </c>
      <c r="AC110" s="11" t="n">
        <f aca="false">IF(AND(K110&gt;=1,I110&lt;&gt;""),IF(I110&gt;FechaCorte,1,0),0)</f>
        <v>0</v>
      </c>
      <c r="AD110" s="11" t="n">
        <f aca="false">IF(AND(I110&lt;&gt;"",H110&lt;&gt;""),IF(I110&lt;H110,1,0),0)</f>
        <v>0</v>
      </c>
      <c r="AE110" s="11" t="n">
        <f aca="false">IF(OR(F110="Riesgos",F110="Obs. Auditoría"),1,0)</f>
        <v>0</v>
      </c>
      <c r="AF110" s="11" t="str">
        <f aca="false">IFERROR(MID(D110,FIND("PMC-",D110),8),"")</f>
        <v/>
      </c>
      <c r="AG110" s="11" t="n">
        <f aca="false">IF(AND(V110=1,J110&lt;&gt;""),IF(AND(J110&gt;=FechaCorte,J110&lt;=HorizonteExpuestos),1,0),0)</f>
        <v>0</v>
      </c>
    </row>
    <row r="111" customFormat="false" ht="15" hidden="false" customHeight="false" outlineLevel="0" collapsed="false">
      <c r="A111" s="7" t="n">
        <v>110</v>
      </c>
      <c r="B111" s="7" t="n">
        <v>2026</v>
      </c>
      <c r="C111" s="7" t="s">
        <v>352</v>
      </c>
      <c r="D111" s="14" t="s">
        <v>355</v>
      </c>
      <c r="E111" s="7"/>
      <c r="F111" s="7" t="s">
        <v>97</v>
      </c>
      <c r="G111" s="14" t="s">
        <v>356</v>
      </c>
      <c r="H111" s="8" t="n">
        <v>46224</v>
      </c>
      <c r="I111" s="8" t="n">
        <v>46226</v>
      </c>
      <c r="J111" s="8" t="n">
        <v>46226</v>
      </c>
      <c r="K111" s="9" t="n">
        <v>1</v>
      </c>
      <c r="L111" s="14" t="s">
        <v>357</v>
      </c>
      <c r="M111" s="10" t="s">
        <v>76</v>
      </c>
      <c r="N111" s="11" t="str">
        <f aca="false">IFERROR(INDEX(dFrente!$B$2:$B$76,MATCH(C111,dFrente!$A$2:$A$76,0)),"Sin frente")</f>
        <v>Controles, red y M365</v>
      </c>
      <c r="O111" s="11" t="str">
        <f aca="false">IFERROR(INDEX(dNIST!$B$2:$B$13,MATCH(M111,dNIST!$A$2:$A$13,0)),"")</f>
        <v>PR</v>
      </c>
      <c r="P111" s="11" t="str">
        <f aca="false">TRIM(IFERROR(LEFT(G111,FIND(CHAR(10),G111)-1),G111))</f>
        <v>Bryan Uyana</v>
      </c>
      <c r="Q111" s="11" t="n">
        <f aca="false">LEN(TRIM(G111))-LEN(SUBSTITUTE(TRIM(G111),CHAR(10),""))+1</f>
        <v>2</v>
      </c>
      <c r="R111" s="11" t="str">
        <f aca="false">IF(E111&lt;&gt;"","Sí","No")</f>
        <v>No</v>
      </c>
      <c r="S111" s="12" t="n">
        <f aca="false">IF(OR(J111="",H111=""),"",IF(J111&lt;=H111,IF(FechaCorte&gt;=J111,1,0),MAX(0,MIN(1,(FechaCorte-H111)/(J111-H111)))))</f>
        <v>1</v>
      </c>
      <c r="T111" s="12" t="n">
        <f aca="false">IF(S111="","",K111-S111)</f>
        <v>0</v>
      </c>
      <c r="U111" s="11" t="str">
        <f aca="false">IF(R111="Sí","Recurrente",IF(K111&gt;=1,"Completado",IF(AND(J111&lt;&gt;"",J111&lt;FechaCorte),"Vencido",IF(AND(K111=0,OR(H111="",H111&gt;FechaCorte)),"Por iniciar",IF(AND(T111&lt;&gt;"",T111&lt;=UmbralRiesgo),"En riesgo","En plazo")))))</f>
        <v>Completado</v>
      </c>
      <c r="V111" s="11" t="n">
        <f aca="false">IF(OR(U111="Vencido",U111="En riesgo",U111="En plazo",U111="Por iniciar"),1,0)</f>
        <v>0</v>
      </c>
      <c r="W111" s="11" t="str">
        <f aca="false">IF(U111="Vencido",FechaCorte-J111,"")</f>
        <v/>
      </c>
      <c r="X111" s="11" t="str">
        <f aca="false">IF(AND(V111=1,U111&lt;&gt;"Vencido"),J111-FechaCorte,"")</f>
        <v/>
      </c>
      <c r="Y111" s="13" t="n">
        <f aca="false">IF(J111="","",DATE(YEAR(J111),MONTH(J111),1))</f>
        <v>46204</v>
      </c>
      <c r="Z111" s="13" t="n">
        <f aca="false">IF(AND(U111="Completado",I111&lt;&gt;""),IF(I111&lt;=FechaCorte,DATE(YEAR(I111),MONTH(I111),1),""),"")</f>
        <v>46204</v>
      </c>
      <c r="AA111" s="11" t="n">
        <f aca="false">IF(J111="","",IF(DAY(J111+1)=1,1,0))</f>
        <v>0</v>
      </c>
      <c r="AB111" s="11" t="n">
        <f aca="false">IF(AND(U111="Completado",I111&lt;&gt;"",I111=J111),1,0)</f>
        <v>1</v>
      </c>
      <c r="AC111" s="11" t="n">
        <f aca="false">IF(AND(K111&gt;=1,I111&lt;&gt;""),IF(I111&gt;FechaCorte,1,0),0)</f>
        <v>0</v>
      </c>
      <c r="AD111" s="11" t="n">
        <f aca="false">IF(AND(I111&lt;&gt;"",H111&lt;&gt;""),IF(I111&lt;H111,1,0),0)</f>
        <v>0</v>
      </c>
      <c r="AE111" s="11" t="n">
        <f aca="false">IF(OR(F111="Riesgos",F111="Obs. Auditoría"),1,0)</f>
        <v>0</v>
      </c>
      <c r="AF111" s="11" t="str">
        <f aca="false">IFERROR(MID(D111,FIND("PMC-",D111),8),"")</f>
        <v/>
      </c>
      <c r="AG111" s="11" t="n">
        <f aca="false">IF(AND(V111=1,J111&lt;&gt;""),IF(AND(J111&gt;=FechaCorte,J111&lt;=HorizonteExpuestos),1,0),0)</f>
        <v>0</v>
      </c>
    </row>
    <row r="112" customFormat="false" ht="15" hidden="false" customHeight="false" outlineLevel="0" collapsed="false">
      <c r="A112" s="7" t="n">
        <v>111</v>
      </c>
      <c r="B112" s="7" t="n">
        <v>2026</v>
      </c>
      <c r="C112" s="7" t="s">
        <v>352</v>
      </c>
      <c r="D112" s="7" t="s">
        <v>358</v>
      </c>
      <c r="E112" s="7"/>
      <c r="F112" s="7" t="s">
        <v>97</v>
      </c>
      <c r="G112" s="7" t="s">
        <v>354</v>
      </c>
      <c r="H112" s="8" t="n">
        <v>46082</v>
      </c>
      <c r="I112" s="8" t="n">
        <v>46282</v>
      </c>
      <c r="J112" s="8" t="n">
        <v>46282</v>
      </c>
      <c r="K112" s="9" t="n">
        <v>1</v>
      </c>
      <c r="L112" s="7" t="s">
        <v>359</v>
      </c>
      <c r="M112" s="10" t="s">
        <v>81</v>
      </c>
      <c r="N112" s="11" t="str">
        <f aca="false">IFERROR(INDEX(dFrente!$B$2:$B$76,MATCH(C112,dFrente!$A$2:$A$76,0)),"Sin frente")</f>
        <v>Controles, red y M365</v>
      </c>
      <c r="O112" s="11" t="str">
        <f aca="false">IFERROR(INDEX(dNIST!$B$2:$B$13,MATCH(M112,dNIST!$A$2:$A$13,0)),"")</f>
        <v>PR</v>
      </c>
      <c r="P112" s="11" t="str">
        <f aca="false">TRIM(IFERROR(LEFT(G112,FIND(CHAR(10),G112)-1),G112))</f>
        <v>Dayanara Terán</v>
      </c>
      <c r="Q112" s="11" t="n">
        <f aca="false">LEN(TRIM(G112))-LEN(SUBSTITUTE(TRIM(G112),CHAR(10),""))+1</f>
        <v>1</v>
      </c>
      <c r="R112" s="11" t="str">
        <f aca="false">IF(E112&lt;&gt;"","Sí","No")</f>
        <v>No</v>
      </c>
      <c r="S112" s="12" t="n">
        <f aca="false">IF(OR(J112="",H112=""),"",IF(J112&lt;=H112,IF(FechaCorte&gt;=J112,1,0),MAX(0,MIN(1,(FechaCorte-H112)/(J112-H112)))))</f>
        <v>1</v>
      </c>
      <c r="T112" s="12" t="n">
        <f aca="false">IF(S112="","",K112-S112)</f>
        <v>0</v>
      </c>
      <c r="U112" s="11" t="str">
        <f aca="false">IF(R112="Sí","Recurrente",IF(K112&gt;=1,"Completado",IF(AND(J112&lt;&gt;"",J112&lt;FechaCorte),"Vencido",IF(AND(K112=0,OR(H112="",H112&gt;FechaCorte)),"Por iniciar",IF(AND(T112&lt;&gt;"",T112&lt;=UmbralRiesgo),"En riesgo","En plazo")))))</f>
        <v>Completado</v>
      </c>
      <c r="V112" s="11" t="n">
        <f aca="false">IF(OR(U112="Vencido",U112="En riesgo",U112="En plazo",U112="Por iniciar"),1,0)</f>
        <v>0</v>
      </c>
      <c r="W112" s="11" t="str">
        <f aca="false">IF(U112="Vencido",FechaCorte-J112,"")</f>
        <v/>
      </c>
      <c r="X112" s="11" t="str">
        <f aca="false">IF(AND(V112=1,U112&lt;&gt;"Vencido"),J112-FechaCorte,"")</f>
        <v/>
      </c>
      <c r="Y112" s="13" t="n">
        <f aca="false">IF(J112="","",DATE(YEAR(J112),MONTH(J112),1))</f>
        <v>46266</v>
      </c>
      <c r="Z112" s="13" t="n">
        <f aca="false">IF(AND(U112="Completado",I112&lt;&gt;""),IF(I112&lt;=FechaCorte,DATE(YEAR(I112),MONTH(I112),1),""),"")</f>
        <v>46266</v>
      </c>
      <c r="AA112" s="11" t="n">
        <f aca="false">IF(J112="","",IF(DAY(J112+1)=1,1,0))</f>
        <v>0</v>
      </c>
      <c r="AB112" s="11" t="n">
        <f aca="false">IF(AND(U112="Completado",I112&lt;&gt;"",I112=J112),1,0)</f>
        <v>1</v>
      </c>
      <c r="AC112" s="11" t="n">
        <f aca="false">IF(AND(K112&gt;=1,I112&lt;&gt;""),IF(I112&gt;FechaCorte,1,0),0)</f>
        <v>0</v>
      </c>
      <c r="AD112" s="11" t="n">
        <f aca="false">IF(AND(I112&lt;&gt;"",H112&lt;&gt;""),IF(I112&lt;H112,1,0),0)</f>
        <v>0</v>
      </c>
      <c r="AE112" s="11" t="n">
        <f aca="false">IF(OR(F112="Riesgos",F112="Obs. Auditoría"),1,0)</f>
        <v>0</v>
      </c>
      <c r="AF112" s="11" t="str">
        <f aca="false">IFERROR(MID(D112,FIND("PMC-",D112),8),"")</f>
        <v/>
      </c>
      <c r="AG112" s="11" t="n">
        <f aca="false">IF(AND(V112=1,J112&lt;&gt;""),IF(AND(J112&gt;=FechaCorte,J112&lt;=HorizonteExpuestos),1,0),0)</f>
        <v>0</v>
      </c>
    </row>
    <row r="113" customFormat="false" ht="15" hidden="false" customHeight="false" outlineLevel="0" collapsed="false">
      <c r="A113" s="7" t="n">
        <v>112</v>
      </c>
      <c r="B113" s="7" t="n">
        <v>2026</v>
      </c>
      <c r="C113" s="7" t="s">
        <v>352</v>
      </c>
      <c r="D113" s="7" t="s">
        <v>360</v>
      </c>
      <c r="E113" s="7"/>
      <c r="F113" s="7" t="s">
        <v>97</v>
      </c>
      <c r="G113" s="14" t="s">
        <v>361</v>
      </c>
      <c r="H113" s="8" t="n">
        <v>46174</v>
      </c>
      <c r="I113" s="8"/>
      <c r="J113" s="8" t="n">
        <v>46295</v>
      </c>
      <c r="K113" s="9" t="n">
        <v>0.9</v>
      </c>
      <c r="L113" s="14" t="s">
        <v>362</v>
      </c>
      <c r="M113" s="10" t="s">
        <v>81</v>
      </c>
      <c r="N113" s="11" t="str">
        <f aca="false">IFERROR(INDEX(dFrente!$B$2:$B$76,MATCH(C113,dFrente!$A$2:$A$76,0)),"Sin frente")</f>
        <v>Controles, red y M365</v>
      </c>
      <c r="O113" s="11" t="str">
        <f aca="false">IFERROR(INDEX(dNIST!$B$2:$B$13,MATCH(M113,dNIST!$A$2:$A$13,0)),"")</f>
        <v>PR</v>
      </c>
      <c r="P113" s="11" t="str">
        <f aca="false">TRIM(IFERROR(LEFT(G113,FIND(CHAR(10),G113)-1),G113))</f>
        <v>Bryan Uyana</v>
      </c>
      <c r="Q113" s="11" t="n">
        <f aca="false">LEN(TRIM(G113))-LEN(SUBSTITUTE(TRIM(G113),CHAR(10),""))+1</f>
        <v>2</v>
      </c>
      <c r="R113" s="11" t="str">
        <f aca="false">IF(E113&lt;&gt;"","Sí","No")</f>
        <v>No</v>
      </c>
      <c r="S113" s="12" t="n">
        <f aca="false">IF(OR(J113="",H113=""),"",IF(J113&lt;=H113,IF(FechaCorte&gt;=J113,1,0),MAX(0,MIN(1,(FechaCorte-H113)/(J113-H113)))))</f>
        <v>0.950413223140496</v>
      </c>
      <c r="T113" s="12" t="n">
        <f aca="false">IF(S113="","",K113-S113)</f>
        <v>-0.0504132231404959</v>
      </c>
      <c r="U113" s="11" t="str">
        <f aca="false">IF(R113="Sí","Recurrente",IF(K113&gt;=1,"Completado",IF(AND(J113&lt;&gt;"",J113&lt;FechaCorte),"Vencido",IF(AND(K113=0,OR(H113="",H113&gt;FechaCorte)),"Por iniciar",IF(AND(T113&lt;&gt;"",T113&lt;=UmbralRiesgo),"En riesgo","En plazo")))))</f>
        <v>En plazo</v>
      </c>
      <c r="V113" s="11" t="n">
        <f aca="false">IF(OR(U113="Vencido",U113="En riesgo",U113="En plazo",U113="Por iniciar"),1,0)</f>
        <v>1</v>
      </c>
      <c r="W113" s="11" t="str">
        <f aca="false">IF(U113="Vencido",FechaCorte-J113,"")</f>
        <v/>
      </c>
      <c r="X113" s="11" t="n">
        <f aca="false">IF(AND(V113=1,U113&lt;&gt;"Vencido"),J113-FechaCorte,"")</f>
        <v>6</v>
      </c>
      <c r="Y113" s="13" t="n">
        <f aca="false">IF(J113="","",DATE(YEAR(J113),MONTH(J113),1))</f>
        <v>46266</v>
      </c>
      <c r="Z113" s="13" t="str">
        <f aca="false">IF(AND(U113="Completado",I113&lt;&gt;""),IF(I113&lt;=FechaCorte,DATE(YEAR(I113),MONTH(I113),1),""),"")</f>
        <v/>
      </c>
      <c r="AA113" s="11" t="n">
        <f aca="false">IF(J113="","",IF(DAY(J113+1)=1,1,0))</f>
        <v>1</v>
      </c>
      <c r="AB113" s="11" t="n">
        <f aca="false">IF(AND(U113="Completado",I113&lt;&gt;"",I113=J113),1,0)</f>
        <v>0</v>
      </c>
      <c r="AC113" s="11" t="n">
        <f aca="false">IF(AND(K113&gt;=1,I113&lt;&gt;""),IF(I113&gt;FechaCorte,1,0),0)</f>
        <v>0</v>
      </c>
      <c r="AD113" s="11" t="n">
        <f aca="false">IF(AND(I113&lt;&gt;"",H113&lt;&gt;""),IF(I113&lt;H113,1,0),0)</f>
        <v>0</v>
      </c>
      <c r="AE113" s="11" t="n">
        <f aca="false">IF(OR(F113="Riesgos",F113="Obs. Auditoría"),1,0)</f>
        <v>0</v>
      </c>
      <c r="AF113" s="11" t="str">
        <f aca="false">IFERROR(MID(D113,FIND("PMC-",D113),8),"")</f>
        <v/>
      </c>
      <c r="AG113" s="11" t="n">
        <f aca="false">IF(AND(V113=1,J113&lt;&gt;""),IF(AND(J113&gt;=FechaCorte,J113&lt;=HorizonteExpuestos),1,0),0)</f>
        <v>1</v>
      </c>
    </row>
    <row r="114" customFormat="false" ht="15" hidden="false" customHeight="false" outlineLevel="0" collapsed="false">
      <c r="A114" s="7" t="n">
        <v>113</v>
      </c>
      <c r="B114" s="7" t="n">
        <v>2026</v>
      </c>
      <c r="C114" s="7" t="s">
        <v>352</v>
      </c>
      <c r="D114" s="7" t="s">
        <v>363</v>
      </c>
      <c r="E114" s="7"/>
      <c r="F114" s="7" t="s">
        <v>97</v>
      </c>
      <c r="G114" s="7" t="s">
        <v>231</v>
      </c>
      <c r="H114" s="8" t="n">
        <v>46218</v>
      </c>
      <c r="I114" s="8"/>
      <c r="J114" s="8" t="n">
        <v>46325</v>
      </c>
      <c r="K114" s="9" t="n">
        <v>0.25</v>
      </c>
      <c r="L114" s="7" t="s">
        <v>364</v>
      </c>
      <c r="M114" s="10" t="s">
        <v>81</v>
      </c>
      <c r="N114" s="11" t="str">
        <f aca="false">IFERROR(INDEX(dFrente!$B$2:$B$76,MATCH(C114,dFrente!$A$2:$A$76,0)),"Sin frente")</f>
        <v>Controles, red y M365</v>
      </c>
      <c r="O114" s="11" t="str">
        <f aca="false">IFERROR(INDEX(dNIST!$B$2:$B$13,MATCH(M114,dNIST!$A$2:$A$13,0)),"")</f>
        <v>PR</v>
      </c>
      <c r="P114" s="11" t="str">
        <f aca="false">TRIM(IFERROR(LEFT(G114,FIND(CHAR(10),G114)-1),G114))</f>
        <v>Bryan Uyana</v>
      </c>
      <c r="Q114" s="11" t="n">
        <f aca="false">LEN(TRIM(G114))-LEN(SUBSTITUTE(TRIM(G114),CHAR(10),""))+1</f>
        <v>1</v>
      </c>
      <c r="R114" s="11" t="str">
        <f aca="false">IF(E114&lt;&gt;"","Sí","No")</f>
        <v>No</v>
      </c>
      <c r="S114" s="12" t="n">
        <f aca="false">IF(OR(J114="",H114=""),"",IF(J114&lt;=H114,IF(FechaCorte&gt;=J114,1,0),MAX(0,MIN(1,(FechaCorte-H114)/(J114-H114)))))</f>
        <v>0.663551401869159</v>
      </c>
      <c r="T114" s="12" t="n">
        <f aca="false">IF(S114="","",K114-S114)</f>
        <v>-0.413551401869159</v>
      </c>
      <c r="U114" s="11" t="str">
        <f aca="false">IF(R114="Sí","Recurrente",IF(K114&gt;=1,"Completado",IF(AND(J114&lt;&gt;"",J114&lt;FechaCorte),"Vencido",IF(AND(K114=0,OR(H114="",H114&gt;FechaCorte)),"Por iniciar",IF(AND(T114&lt;&gt;"",T114&lt;=UmbralRiesgo),"En riesgo","En plazo")))))</f>
        <v>En riesgo</v>
      </c>
      <c r="V114" s="11" t="n">
        <f aca="false">IF(OR(U114="Vencido",U114="En riesgo",U114="En plazo",U114="Por iniciar"),1,0)</f>
        <v>1</v>
      </c>
      <c r="W114" s="11" t="str">
        <f aca="false">IF(U114="Vencido",FechaCorte-J114,"")</f>
        <v/>
      </c>
      <c r="X114" s="11" t="n">
        <f aca="false">IF(AND(V114=1,U114&lt;&gt;"Vencido"),J114-FechaCorte,"")</f>
        <v>36</v>
      </c>
      <c r="Y114" s="13" t="n">
        <f aca="false">IF(J114="","",DATE(YEAR(J114),MONTH(J114),1))</f>
        <v>46296</v>
      </c>
      <c r="Z114" s="13" t="str">
        <f aca="false">IF(AND(U114="Completado",I114&lt;&gt;""),IF(I114&lt;=FechaCorte,DATE(YEAR(I114),MONTH(I114),1),""),"")</f>
        <v/>
      </c>
      <c r="AA114" s="11" t="n">
        <f aca="false">IF(J114="","",IF(DAY(J114+1)=1,1,0))</f>
        <v>0</v>
      </c>
      <c r="AB114" s="11" t="n">
        <f aca="false">IF(AND(U114="Completado",I114&lt;&gt;"",I114=J114),1,0)</f>
        <v>0</v>
      </c>
      <c r="AC114" s="11" t="n">
        <f aca="false">IF(AND(K114&gt;=1,I114&lt;&gt;""),IF(I114&gt;FechaCorte,1,0),0)</f>
        <v>0</v>
      </c>
      <c r="AD114" s="11" t="n">
        <f aca="false">IF(AND(I114&lt;&gt;"",H114&lt;&gt;""),IF(I114&lt;H114,1,0),0)</f>
        <v>0</v>
      </c>
      <c r="AE114" s="11" t="n">
        <f aca="false">IF(OR(F114="Riesgos",F114="Obs. Auditoría"),1,0)</f>
        <v>0</v>
      </c>
      <c r="AF114" s="11" t="str">
        <f aca="false">IFERROR(MID(D114,FIND("PMC-",D114),8),"")</f>
        <v/>
      </c>
      <c r="AG114" s="11" t="n">
        <f aca="false">IF(AND(V114=1,J114&lt;&gt;""),IF(AND(J114&gt;=FechaCorte,J114&lt;=HorizonteExpuestos),1,0),0)</f>
        <v>0</v>
      </c>
    </row>
    <row r="115" customFormat="false" ht="15" hidden="false" customHeight="false" outlineLevel="0" collapsed="false">
      <c r="A115" s="7" t="n">
        <v>114</v>
      </c>
      <c r="B115" s="7" t="n">
        <v>2026</v>
      </c>
      <c r="C115" s="7" t="s">
        <v>319</v>
      </c>
      <c r="D115" s="7" t="s">
        <v>365</v>
      </c>
      <c r="E115" s="7"/>
      <c r="F115" s="7" t="s">
        <v>319</v>
      </c>
      <c r="G115" s="7" t="s">
        <v>276</v>
      </c>
      <c r="H115" s="8" t="n">
        <v>46082</v>
      </c>
      <c r="I115" s="8" t="n">
        <v>46326</v>
      </c>
      <c r="J115" s="8" t="n">
        <v>46326</v>
      </c>
      <c r="K115" s="9" t="n">
        <v>1</v>
      </c>
      <c r="L115" s="7" t="s">
        <v>366</v>
      </c>
      <c r="M115" s="10" t="s">
        <v>351</v>
      </c>
      <c r="N115" s="11" t="str">
        <f aca="false">IFERROR(INDEX(dFrente!$B$2:$B$76,MATCH(C115,dFrente!$A$2:$A$76,0)),"Sin frente")</f>
        <v>Planes de riesgo (PMC)</v>
      </c>
      <c r="O115" s="11" t="str">
        <f aca="false">IFERROR(INDEX(dNIST!$B$2:$B$13,MATCH(M115,dNIST!$A$2:$A$13,0)),"")</f>
        <v>PR</v>
      </c>
      <c r="P115" s="11" t="str">
        <f aca="false">TRIM(IFERROR(LEFT(G115,FIND(CHAR(10),G115)-1),G115))</f>
        <v>Daniel Lescano</v>
      </c>
      <c r="Q115" s="11" t="n">
        <f aca="false">LEN(TRIM(G115))-LEN(SUBSTITUTE(TRIM(G115),CHAR(10),""))+1</f>
        <v>1</v>
      </c>
      <c r="R115" s="11" t="str">
        <f aca="false">IF(E115&lt;&gt;"","Sí","No")</f>
        <v>No</v>
      </c>
      <c r="S115" s="12" t="n">
        <f aca="false">IF(OR(J115="",H115=""),"",IF(J115&lt;=H115,IF(FechaCorte&gt;=J115,1,0),MAX(0,MIN(1,(FechaCorte-H115)/(J115-H115)))))</f>
        <v>0.848360655737705</v>
      </c>
      <c r="T115" s="12" t="n">
        <f aca="false">IF(S115="","",K115-S115)</f>
        <v>0.151639344262295</v>
      </c>
      <c r="U115" s="11" t="str">
        <f aca="false">IF(R115="Sí","Recurrente",IF(K115&gt;=1,"Completado",IF(AND(J115&lt;&gt;"",J115&lt;FechaCorte),"Vencido",IF(AND(K115=0,OR(H115="",H115&gt;FechaCorte)),"Por iniciar",IF(AND(T115&lt;&gt;"",T115&lt;=UmbralRiesgo),"En riesgo","En plazo")))))</f>
        <v>Completado</v>
      </c>
      <c r="V115" s="11" t="n">
        <f aca="false">IF(OR(U115="Vencido",U115="En riesgo",U115="En plazo",U115="Por iniciar"),1,0)</f>
        <v>0</v>
      </c>
      <c r="W115" s="11" t="str">
        <f aca="false">IF(U115="Vencido",FechaCorte-J115,"")</f>
        <v/>
      </c>
      <c r="X115" s="11" t="str">
        <f aca="false">IF(AND(V115=1,U115&lt;&gt;"Vencido"),J115-FechaCorte,"")</f>
        <v/>
      </c>
      <c r="Y115" s="13" t="n">
        <f aca="false">IF(J115="","",DATE(YEAR(J115),MONTH(J115),1))</f>
        <v>46296</v>
      </c>
      <c r="Z115" s="13" t="str">
        <f aca="false">IF(AND(U115="Completado",I115&lt;&gt;""),IF(I115&lt;=FechaCorte,DATE(YEAR(I115),MONTH(I115),1),""),"")</f>
        <v/>
      </c>
      <c r="AA115" s="11" t="n">
        <f aca="false">IF(J115="","",IF(DAY(J115+1)=1,1,0))</f>
        <v>1</v>
      </c>
      <c r="AB115" s="11" t="n">
        <f aca="false">IF(AND(U115="Completado",I115&lt;&gt;"",I115=J115),1,0)</f>
        <v>1</v>
      </c>
      <c r="AC115" s="11" t="n">
        <f aca="false">IF(AND(K115&gt;=1,I115&lt;&gt;""),IF(I115&gt;FechaCorte,1,0),0)</f>
        <v>1</v>
      </c>
      <c r="AD115" s="11" t="n">
        <f aca="false">IF(AND(I115&lt;&gt;"",H115&lt;&gt;""),IF(I115&lt;H115,1,0),0)</f>
        <v>0</v>
      </c>
      <c r="AE115" s="11" t="n">
        <f aca="false">IF(OR(F115="Riesgos",F115="Obs. Auditoría"),1,0)</f>
        <v>1</v>
      </c>
      <c r="AF115" s="11" t="str">
        <f aca="false">IFERROR(MID(D115,FIND("PMC-",D115),8),"")</f>
        <v>PMC-2166</v>
      </c>
      <c r="AG115" s="11" t="n">
        <f aca="false">IF(AND(V115=1,J115&lt;&gt;""),IF(AND(J115&gt;=FechaCorte,J115&lt;=HorizonteExpuestos),1,0),0)</f>
        <v>0</v>
      </c>
    </row>
    <row r="116" customFormat="false" ht="15" hidden="false" customHeight="false" outlineLevel="0" collapsed="false">
      <c r="A116" s="7" t="n">
        <v>115</v>
      </c>
      <c r="B116" s="7" t="n">
        <v>2026</v>
      </c>
      <c r="C116" s="7" t="s">
        <v>319</v>
      </c>
      <c r="D116" s="7" t="s">
        <v>367</v>
      </c>
      <c r="E116" s="7"/>
      <c r="F116" s="7" t="s">
        <v>319</v>
      </c>
      <c r="G116" s="14" t="s">
        <v>368</v>
      </c>
      <c r="H116" s="8" t="n">
        <v>46082</v>
      </c>
      <c r="I116" s="8"/>
      <c r="J116" s="8" t="n">
        <v>46295</v>
      </c>
      <c r="K116" s="9" t="n">
        <v>0.5</v>
      </c>
      <c r="L116" s="7" t="s">
        <v>369</v>
      </c>
      <c r="M116" s="10" t="s">
        <v>81</v>
      </c>
      <c r="N116" s="11" t="str">
        <f aca="false">IFERROR(INDEX(dFrente!$B$2:$B$76,MATCH(C116,dFrente!$A$2:$A$76,0)),"Sin frente")</f>
        <v>Planes de riesgo (PMC)</v>
      </c>
      <c r="O116" s="11" t="str">
        <f aca="false">IFERROR(INDEX(dNIST!$B$2:$B$13,MATCH(M116,dNIST!$A$2:$A$13,0)),"")</f>
        <v>PR</v>
      </c>
      <c r="P116" s="11" t="str">
        <f aca="false">TRIM(IFERROR(LEFT(G116,FIND(CHAR(10),G116)-1),G116))</f>
        <v>Daniel Lescano</v>
      </c>
      <c r="Q116" s="11" t="n">
        <f aca="false">LEN(TRIM(G116))-LEN(SUBSTITUTE(TRIM(G116),CHAR(10),""))+1</f>
        <v>2</v>
      </c>
      <c r="R116" s="11" t="str">
        <f aca="false">IF(E116&lt;&gt;"","Sí","No")</f>
        <v>No</v>
      </c>
      <c r="S116" s="12" t="n">
        <f aca="false">IF(OR(J116="",H116=""),"",IF(J116&lt;=H116,IF(FechaCorte&gt;=J116,1,0),MAX(0,MIN(1,(FechaCorte-H116)/(J116-H116)))))</f>
        <v>0.971830985915493</v>
      </c>
      <c r="T116" s="12" t="n">
        <f aca="false">IF(S116="","",K116-S116)</f>
        <v>-0.471830985915493</v>
      </c>
      <c r="U116" s="11" t="str">
        <f aca="false">IF(R116="Sí","Recurrente",IF(K116&gt;=1,"Completado",IF(AND(J116&lt;&gt;"",J116&lt;FechaCorte),"Vencido",IF(AND(K116=0,OR(H116="",H116&gt;FechaCorte)),"Por iniciar",IF(AND(T116&lt;&gt;"",T116&lt;=UmbralRiesgo),"En riesgo","En plazo")))))</f>
        <v>En riesgo</v>
      </c>
      <c r="V116" s="11" t="n">
        <f aca="false">IF(OR(U116="Vencido",U116="En riesgo",U116="En plazo",U116="Por iniciar"),1,0)</f>
        <v>1</v>
      </c>
      <c r="W116" s="11" t="str">
        <f aca="false">IF(U116="Vencido",FechaCorte-J116,"")</f>
        <v/>
      </c>
      <c r="X116" s="11" t="n">
        <f aca="false">IF(AND(V116=1,U116&lt;&gt;"Vencido"),J116-FechaCorte,"")</f>
        <v>6</v>
      </c>
      <c r="Y116" s="13" t="n">
        <f aca="false">IF(J116="","",DATE(YEAR(J116),MONTH(J116),1))</f>
        <v>46266</v>
      </c>
      <c r="Z116" s="13" t="str">
        <f aca="false">IF(AND(U116="Completado",I116&lt;&gt;""),IF(I116&lt;=FechaCorte,DATE(YEAR(I116),MONTH(I116),1),""),"")</f>
        <v/>
      </c>
      <c r="AA116" s="11" t="n">
        <f aca="false">IF(J116="","",IF(DAY(J116+1)=1,1,0))</f>
        <v>1</v>
      </c>
      <c r="AB116" s="11" t="n">
        <f aca="false">IF(AND(U116="Completado",I116&lt;&gt;"",I116=J116),1,0)</f>
        <v>0</v>
      </c>
      <c r="AC116" s="11" t="n">
        <f aca="false">IF(AND(K116&gt;=1,I116&lt;&gt;""),IF(I116&gt;FechaCorte,1,0),0)</f>
        <v>0</v>
      </c>
      <c r="AD116" s="11" t="n">
        <f aca="false">IF(AND(I116&lt;&gt;"",H116&lt;&gt;""),IF(I116&lt;H116,1,0),0)</f>
        <v>0</v>
      </c>
      <c r="AE116" s="11" t="n">
        <f aca="false">IF(OR(F116="Riesgos",F116="Obs. Auditoría"),1,0)</f>
        <v>1</v>
      </c>
      <c r="AF116" s="11" t="str">
        <f aca="false">IFERROR(MID(D116,FIND("PMC-",D116),8),"")</f>
        <v>PMC-2167</v>
      </c>
      <c r="AG116" s="11" t="n">
        <f aca="false">IF(AND(V116=1,J116&lt;&gt;""),IF(AND(J116&gt;=FechaCorte,J116&lt;=HorizonteExpuestos),1,0),0)</f>
        <v>1</v>
      </c>
    </row>
    <row r="117" customFormat="false" ht="15" hidden="false" customHeight="false" outlineLevel="0" collapsed="false">
      <c r="A117" s="7" t="n">
        <v>116</v>
      </c>
      <c r="B117" s="7" t="n">
        <v>2026</v>
      </c>
      <c r="C117" s="7" t="s">
        <v>319</v>
      </c>
      <c r="D117" s="7" t="s">
        <v>370</v>
      </c>
      <c r="E117" s="7"/>
      <c r="F117" s="7" t="s">
        <v>319</v>
      </c>
      <c r="G117" s="7" t="s">
        <v>184</v>
      </c>
      <c r="H117" s="8" t="n">
        <v>46082</v>
      </c>
      <c r="I117" s="8" t="n">
        <v>46165</v>
      </c>
      <c r="J117" s="8" t="n">
        <v>46165</v>
      </c>
      <c r="K117" s="9" t="n">
        <v>1</v>
      </c>
      <c r="L117" s="7"/>
      <c r="M117" s="10" t="s">
        <v>81</v>
      </c>
      <c r="N117" s="11" t="str">
        <f aca="false">IFERROR(INDEX(dFrente!$B$2:$B$76,MATCH(C117,dFrente!$A$2:$A$76,0)),"Sin frente")</f>
        <v>Planes de riesgo (PMC)</v>
      </c>
      <c r="O117" s="11" t="str">
        <f aca="false">IFERROR(INDEX(dNIST!$B$2:$B$13,MATCH(M117,dNIST!$A$2:$A$13,0)),"")</f>
        <v>PR</v>
      </c>
      <c r="P117" s="11" t="str">
        <f aca="false">TRIM(IFERROR(LEFT(G117,FIND(CHAR(10),G117)-1),G117))</f>
        <v>Ariel Villacis</v>
      </c>
      <c r="Q117" s="11" t="n">
        <f aca="false">LEN(TRIM(G117))-LEN(SUBSTITUTE(TRIM(G117),CHAR(10),""))+1</f>
        <v>1</v>
      </c>
      <c r="R117" s="11" t="str">
        <f aca="false">IF(E117&lt;&gt;"","Sí","No")</f>
        <v>No</v>
      </c>
      <c r="S117" s="12" t="n">
        <f aca="false">IF(OR(J117="",H117=""),"",IF(J117&lt;=H117,IF(FechaCorte&gt;=J117,1,0),MAX(0,MIN(1,(FechaCorte-H117)/(J117-H117)))))</f>
        <v>1</v>
      </c>
      <c r="T117" s="12" t="n">
        <f aca="false">IF(S117="","",K117-S117)</f>
        <v>0</v>
      </c>
      <c r="U117" s="11" t="str">
        <f aca="false">IF(R117="Sí","Recurrente",IF(K117&gt;=1,"Completado",IF(AND(J117&lt;&gt;"",J117&lt;FechaCorte),"Vencido",IF(AND(K117=0,OR(H117="",H117&gt;FechaCorte)),"Por iniciar",IF(AND(T117&lt;&gt;"",T117&lt;=UmbralRiesgo),"En riesgo","En plazo")))))</f>
        <v>Completado</v>
      </c>
      <c r="V117" s="11" t="n">
        <f aca="false">IF(OR(U117="Vencido",U117="En riesgo",U117="En plazo",U117="Por iniciar"),1,0)</f>
        <v>0</v>
      </c>
      <c r="W117" s="11" t="str">
        <f aca="false">IF(U117="Vencido",FechaCorte-J117,"")</f>
        <v/>
      </c>
      <c r="X117" s="11" t="str">
        <f aca="false">IF(AND(V117=1,U117&lt;&gt;"Vencido"),J117-FechaCorte,"")</f>
        <v/>
      </c>
      <c r="Y117" s="13" t="n">
        <f aca="false">IF(J117="","",DATE(YEAR(J117),MONTH(J117),1))</f>
        <v>46143</v>
      </c>
      <c r="Z117" s="13" t="n">
        <f aca="false">IF(AND(U117="Completado",I117&lt;&gt;""),IF(I117&lt;=FechaCorte,DATE(YEAR(I117),MONTH(I117),1),""),"")</f>
        <v>46143</v>
      </c>
      <c r="AA117" s="11" t="n">
        <f aca="false">IF(J117="","",IF(DAY(J117+1)=1,1,0))</f>
        <v>0</v>
      </c>
      <c r="AB117" s="11" t="n">
        <f aca="false">IF(AND(U117="Completado",I117&lt;&gt;"",I117=J117),1,0)</f>
        <v>1</v>
      </c>
      <c r="AC117" s="11" t="n">
        <f aca="false">IF(AND(K117&gt;=1,I117&lt;&gt;""),IF(I117&gt;FechaCorte,1,0),0)</f>
        <v>0</v>
      </c>
      <c r="AD117" s="11" t="n">
        <f aca="false">IF(AND(I117&lt;&gt;"",H117&lt;&gt;""),IF(I117&lt;H117,1,0),0)</f>
        <v>0</v>
      </c>
      <c r="AE117" s="11" t="n">
        <f aca="false">IF(OR(F117="Riesgos",F117="Obs. Auditoría"),1,0)</f>
        <v>1</v>
      </c>
      <c r="AF117" s="11" t="str">
        <f aca="false">IFERROR(MID(D117,FIND("PMC-",D117),8),"")</f>
        <v>PMC-1710</v>
      </c>
      <c r="AG117" s="11" t="n">
        <f aca="false">IF(AND(V117=1,J117&lt;&gt;""),IF(AND(J117&gt;=FechaCorte,J117&lt;=HorizonteExpuestos),1,0),0)</f>
        <v>0</v>
      </c>
    </row>
    <row r="118" customFormat="false" ht="15" hidden="false" customHeight="false" outlineLevel="0" collapsed="false">
      <c r="A118" s="7" t="n">
        <v>117</v>
      </c>
      <c r="B118" s="7" t="n">
        <v>2026</v>
      </c>
      <c r="C118" s="7" t="s">
        <v>319</v>
      </c>
      <c r="D118" s="7" t="s">
        <v>371</v>
      </c>
      <c r="E118" s="7"/>
      <c r="F118" s="7" t="s">
        <v>319</v>
      </c>
      <c r="G118" s="7" t="s">
        <v>184</v>
      </c>
      <c r="H118" s="8"/>
      <c r="I118" s="8"/>
      <c r="J118" s="8" t="n">
        <v>46233</v>
      </c>
      <c r="K118" s="9" t="n">
        <v>0</v>
      </c>
      <c r="L118" s="7"/>
      <c r="M118" s="10" t="s">
        <v>93</v>
      </c>
      <c r="N118" s="11" t="str">
        <f aca="false">IFERROR(INDEX(dFrente!$B$2:$B$76,MATCH(C118,dFrente!$A$2:$A$76,0)),"Sin frente")</f>
        <v>Planes de riesgo (PMC)</v>
      </c>
      <c r="O118" s="11" t="str">
        <f aca="false">IFERROR(INDEX(dNIST!$B$2:$B$13,MATCH(M118,dNIST!$A$2:$A$13,0)),"")</f>
        <v>DE</v>
      </c>
      <c r="P118" s="11" t="str">
        <f aca="false">TRIM(IFERROR(LEFT(G118,FIND(CHAR(10),G118)-1),G118))</f>
        <v>Ariel Villacis</v>
      </c>
      <c r="Q118" s="11" t="n">
        <f aca="false">LEN(TRIM(G118))-LEN(SUBSTITUTE(TRIM(G118),CHAR(10),""))+1</f>
        <v>1</v>
      </c>
      <c r="R118" s="11" t="str">
        <f aca="false">IF(E118&lt;&gt;"","Sí","No")</f>
        <v>No</v>
      </c>
      <c r="S118" s="12" t="str">
        <f aca="false">IF(OR(J118="",H118=""),"",IF(J118&lt;=H118,IF(FechaCorte&gt;=J118,1,0),MAX(0,MIN(1,(FechaCorte-H118)/(J118-H118)))))</f>
        <v/>
      </c>
      <c r="T118" s="12" t="str">
        <f aca="false">IF(S118="","",K118-S118)</f>
        <v/>
      </c>
      <c r="U118" s="11" t="str">
        <f aca="false">IF(R118="Sí","Recurrente",IF(K118&gt;=1,"Completado",IF(AND(J118&lt;&gt;"",J118&lt;FechaCorte),"Vencido",IF(AND(K118=0,OR(H118="",H118&gt;FechaCorte)),"Por iniciar",IF(AND(T118&lt;&gt;"",T118&lt;=UmbralRiesgo),"En riesgo","En plazo")))))</f>
        <v>Vencido</v>
      </c>
      <c r="V118" s="11" t="n">
        <f aca="false">IF(OR(U118="Vencido",U118="En riesgo",U118="En plazo",U118="Por iniciar"),1,0)</f>
        <v>1</v>
      </c>
      <c r="W118" s="11" t="n">
        <f aca="false">IF(U118="Vencido",FechaCorte-J118,"")</f>
        <v>56</v>
      </c>
      <c r="X118" s="11" t="str">
        <f aca="false">IF(AND(V118=1,U118&lt;&gt;"Vencido"),J118-FechaCorte,"")</f>
        <v/>
      </c>
      <c r="Y118" s="13" t="n">
        <f aca="false">IF(J118="","",DATE(YEAR(J118),MONTH(J118),1))</f>
        <v>46204</v>
      </c>
      <c r="Z118" s="13" t="str">
        <f aca="false">IF(AND(U118="Completado",I118&lt;&gt;""),IF(I118&lt;=FechaCorte,DATE(YEAR(I118),MONTH(I118),1),""),"")</f>
        <v/>
      </c>
      <c r="AA118" s="11" t="n">
        <f aca="false">IF(J118="","",IF(DAY(J118+1)=1,1,0))</f>
        <v>0</v>
      </c>
      <c r="AB118" s="11" t="n">
        <f aca="false">IF(AND(U118="Completado",I118&lt;&gt;"",I118=J118),1,0)</f>
        <v>0</v>
      </c>
      <c r="AC118" s="11" t="n">
        <f aca="false">IF(AND(K118&gt;=1,I118&lt;&gt;""),IF(I118&gt;FechaCorte,1,0),0)</f>
        <v>0</v>
      </c>
      <c r="AD118" s="11" t="n">
        <f aca="false">IF(AND(I118&lt;&gt;"",H118&lt;&gt;""),IF(I118&lt;H118,1,0),0)</f>
        <v>0</v>
      </c>
      <c r="AE118" s="11" t="n">
        <f aca="false">IF(OR(F118="Riesgos",F118="Obs. Auditoría"),1,0)</f>
        <v>1</v>
      </c>
      <c r="AF118" s="11" t="str">
        <f aca="false">IFERROR(MID(D118,FIND("PMC-",D118),8),"")</f>
        <v>PMC-1711</v>
      </c>
      <c r="AG118" s="11" t="n">
        <f aca="false">IF(AND(V118=1,J118&lt;&gt;""),IF(AND(J118&gt;=FechaCorte,J118&lt;=HorizonteExpuestos),1,0),0)</f>
        <v>0</v>
      </c>
    </row>
    <row r="119" customFormat="false" ht="15" hidden="false" customHeight="false" outlineLevel="0" collapsed="false">
      <c r="A119" s="7" t="n">
        <v>118</v>
      </c>
      <c r="B119" s="7" t="n">
        <v>2026</v>
      </c>
      <c r="C119" s="7" t="s">
        <v>319</v>
      </c>
      <c r="D119" s="7" t="s">
        <v>372</v>
      </c>
      <c r="E119" s="7"/>
      <c r="F119" s="7" t="s">
        <v>319</v>
      </c>
      <c r="G119" s="14" t="s">
        <v>373</v>
      </c>
      <c r="H119" s="8" t="n">
        <v>46084</v>
      </c>
      <c r="I119" s="8" t="n">
        <v>46203</v>
      </c>
      <c r="J119" s="8" t="n">
        <v>46203</v>
      </c>
      <c r="K119" s="9" t="n">
        <v>1</v>
      </c>
      <c r="L119" s="7"/>
      <c r="M119" s="10" t="s">
        <v>93</v>
      </c>
      <c r="N119" s="11" t="str">
        <f aca="false">IFERROR(INDEX(dFrente!$B$2:$B$76,MATCH(C119,dFrente!$A$2:$A$76,0)),"Sin frente")</f>
        <v>Planes de riesgo (PMC)</v>
      </c>
      <c r="O119" s="11" t="str">
        <f aca="false">IFERROR(INDEX(dNIST!$B$2:$B$13,MATCH(M119,dNIST!$A$2:$A$13,0)),"")</f>
        <v>DE</v>
      </c>
      <c r="P119" s="11" t="str">
        <f aca="false">TRIM(IFERROR(LEFT(G119,FIND(CHAR(10),G119)-1),G119))</f>
        <v>Vinicio Samaniego</v>
      </c>
      <c r="Q119" s="11" t="n">
        <f aca="false">LEN(TRIM(G119))-LEN(SUBSTITUTE(TRIM(G119),CHAR(10),""))+1</f>
        <v>2</v>
      </c>
      <c r="R119" s="11" t="str">
        <f aca="false">IF(E119&lt;&gt;"","Sí","No")</f>
        <v>No</v>
      </c>
      <c r="S119" s="12" t="n">
        <f aca="false">IF(OR(J119="",H119=""),"",IF(J119&lt;=H119,IF(FechaCorte&gt;=J119,1,0),MAX(0,MIN(1,(FechaCorte-H119)/(J119-H119)))))</f>
        <v>1</v>
      </c>
      <c r="T119" s="12" t="n">
        <f aca="false">IF(S119="","",K119-S119)</f>
        <v>0</v>
      </c>
      <c r="U119" s="11" t="str">
        <f aca="false">IF(R119="Sí","Recurrente",IF(K119&gt;=1,"Completado",IF(AND(J119&lt;&gt;"",J119&lt;FechaCorte),"Vencido",IF(AND(K119=0,OR(H119="",H119&gt;FechaCorte)),"Por iniciar",IF(AND(T119&lt;&gt;"",T119&lt;=UmbralRiesgo),"En riesgo","En plazo")))))</f>
        <v>Completado</v>
      </c>
      <c r="V119" s="11" t="n">
        <f aca="false">IF(OR(U119="Vencido",U119="En riesgo",U119="En plazo",U119="Por iniciar"),1,0)</f>
        <v>0</v>
      </c>
      <c r="W119" s="11" t="str">
        <f aca="false">IF(U119="Vencido",FechaCorte-J119,"")</f>
        <v/>
      </c>
      <c r="X119" s="11" t="str">
        <f aca="false">IF(AND(V119=1,U119&lt;&gt;"Vencido"),J119-FechaCorte,"")</f>
        <v/>
      </c>
      <c r="Y119" s="13" t="n">
        <f aca="false">IF(J119="","",DATE(YEAR(J119),MONTH(J119),1))</f>
        <v>46174</v>
      </c>
      <c r="Z119" s="13" t="n">
        <f aca="false">IF(AND(U119="Completado",I119&lt;&gt;""),IF(I119&lt;=FechaCorte,DATE(YEAR(I119),MONTH(I119),1),""),"")</f>
        <v>46174</v>
      </c>
      <c r="AA119" s="11" t="n">
        <f aca="false">IF(J119="","",IF(DAY(J119+1)=1,1,0))</f>
        <v>1</v>
      </c>
      <c r="AB119" s="11" t="n">
        <f aca="false">IF(AND(U119="Completado",I119&lt;&gt;"",I119=J119),1,0)</f>
        <v>1</v>
      </c>
      <c r="AC119" s="11" t="n">
        <f aca="false">IF(AND(K119&gt;=1,I119&lt;&gt;""),IF(I119&gt;FechaCorte,1,0),0)</f>
        <v>0</v>
      </c>
      <c r="AD119" s="11" t="n">
        <f aca="false">IF(AND(I119&lt;&gt;"",H119&lt;&gt;""),IF(I119&lt;H119,1,0),0)</f>
        <v>0</v>
      </c>
      <c r="AE119" s="11" t="n">
        <f aca="false">IF(OR(F119="Riesgos",F119="Obs. Auditoría"),1,0)</f>
        <v>1</v>
      </c>
      <c r="AF119" s="11" t="str">
        <f aca="false">IFERROR(MID(D119,FIND("PMC-",D119),8),"")</f>
        <v>PMC-2052</v>
      </c>
      <c r="AG119" s="11" t="n">
        <f aca="false">IF(AND(V119=1,J119&lt;&gt;""),IF(AND(J119&gt;=FechaCorte,J119&lt;=HorizonteExpuestos),1,0),0)</f>
        <v>0</v>
      </c>
    </row>
    <row r="120" customFormat="false" ht="15" hidden="false" customHeight="false" outlineLevel="0" collapsed="false">
      <c r="A120" s="7" t="n">
        <v>119</v>
      </c>
      <c r="B120" s="7" t="n">
        <v>2026</v>
      </c>
      <c r="C120" s="7" t="s">
        <v>319</v>
      </c>
      <c r="D120" s="7" t="s">
        <v>374</v>
      </c>
      <c r="E120" s="7"/>
      <c r="F120" s="7" t="s">
        <v>319</v>
      </c>
      <c r="G120" s="7" t="s">
        <v>184</v>
      </c>
      <c r="H120" s="8"/>
      <c r="I120" s="8"/>
      <c r="J120" s="8" t="n">
        <v>46265</v>
      </c>
      <c r="K120" s="9" t="n">
        <v>0</v>
      </c>
      <c r="L120" s="7"/>
      <c r="M120" s="10" t="s">
        <v>76</v>
      </c>
      <c r="N120" s="11" t="str">
        <f aca="false">IFERROR(INDEX(dFrente!$B$2:$B$76,MATCH(C120,dFrente!$A$2:$A$76,0)),"Sin frente")</f>
        <v>Planes de riesgo (PMC)</v>
      </c>
      <c r="O120" s="11" t="str">
        <f aca="false">IFERROR(INDEX(dNIST!$B$2:$B$13,MATCH(M120,dNIST!$A$2:$A$13,0)),"")</f>
        <v>PR</v>
      </c>
      <c r="P120" s="11" t="str">
        <f aca="false">TRIM(IFERROR(LEFT(G120,FIND(CHAR(10),G120)-1),G120))</f>
        <v>Ariel Villacis</v>
      </c>
      <c r="Q120" s="11" t="n">
        <f aca="false">LEN(TRIM(G120))-LEN(SUBSTITUTE(TRIM(G120),CHAR(10),""))+1</f>
        <v>1</v>
      </c>
      <c r="R120" s="11" t="str">
        <f aca="false">IF(E120&lt;&gt;"","Sí","No")</f>
        <v>No</v>
      </c>
      <c r="S120" s="12" t="str">
        <f aca="false">IF(OR(J120="",H120=""),"",IF(J120&lt;=H120,IF(FechaCorte&gt;=J120,1,0),MAX(0,MIN(1,(FechaCorte-H120)/(J120-H120)))))</f>
        <v/>
      </c>
      <c r="T120" s="12" t="str">
        <f aca="false">IF(S120="","",K120-S120)</f>
        <v/>
      </c>
      <c r="U120" s="11" t="str">
        <f aca="false">IF(R120="Sí","Recurrente",IF(K120&gt;=1,"Completado",IF(AND(J120&lt;&gt;"",J120&lt;FechaCorte),"Vencido",IF(AND(K120=0,OR(H120="",H120&gt;FechaCorte)),"Por iniciar",IF(AND(T120&lt;&gt;"",T120&lt;=UmbralRiesgo),"En riesgo","En plazo")))))</f>
        <v>Vencido</v>
      </c>
      <c r="V120" s="11" t="n">
        <f aca="false">IF(OR(U120="Vencido",U120="En riesgo",U120="En plazo",U120="Por iniciar"),1,0)</f>
        <v>1</v>
      </c>
      <c r="W120" s="11" t="n">
        <f aca="false">IF(U120="Vencido",FechaCorte-J120,"")</f>
        <v>24</v>
      </c>
      <c r="X120" s="11" t="str">
        <f aca="false">IF(AND(V120=1,U120&lt;&gt;"Vencido"),J120-FechaCorte,"")</f>
        <v/>
      </c>
      <c r="Y120" s="13" t="n">
        <f aca="false">IF(J120="","",DATE(YEAR(J120),MONTH(J120),1))</f>
        <v>46235</v>
      </c>
      <c r="Z120" s="13" t="str">
        <f aca="false">IF(AND(U120="Completado",I120&lt;&gt;""),IF(I120&lt;=FechaCorte,DATE(YEAR(I120),MONTH(I120),1),""),"")</f>
        <v/>
      </c>
      <c r="AA120" s="11" t="n">
        <f aca="false">IF(J120="","",IF(DAY(J120+1)=1,1,0))</f>
        <v>1</v>
      </c>
      <c r="AB120" s="11" t="n">
        <f aca="false">IF(AND(U120="Completado",I120&lt;&gt;"",I120=J120),1,0)</f>
        <v>0</v>
      </c>
      <c r="AC120" s="11" t="n">
        <f aca="false">IF(AND(K120&gt;=1,I120&lt;&gt;""),IF(I120&gt;FechaCorte,1,0),0)</f>
        <v>0</v>
      </c>
      <c r="AD120" s="11" t="n">
        <f aca="false">IF(AND(I120&lt;&gt;"",H120&lt;&gt;""),IF(I120&lt;H120,1,0),0)</f>
        <v>0</v>
      </c>
      <c r="AE120" s="11" t="n">
        <f aca="false">IF(OR(F120="Riesgos",F120="Obs. Auditoría"),1,0)</f>
        <v>1</v>
      </c>
      <c r="AF120" s="11" t="str">
        <f aca="false">IFERROR(MID(D120,FIND("PMC-",D120),8),"")</f>
        <v>PMC-1315</v>
      </c>
      <c r="AG120" s="11" t="n">
        <f aca="false">IF(AND(V120=1,J120&lt;&gt;""),IF(AND(J120&gt;=FechaCorte,J120&lt;=HorizonteExpuestos),1,0),0)</f>
        <v>0</v>
      </c>
    </row>
    <row r="121" customFormat="false" ht="15" hidden="false" customHeight="false" outlineLevel="0" collapsed="false">
      <c r="A121" s="7" t="n">
        <v>120</v>
      </c>
      <c r="B121" s="7" t="n">
        <v>2026</v>
      </c>
      <c r="C121" s="7" t="s">
        <v>319</v>
      </c>
      <c r="D121" s="7" t="s">
        <v>375</v>
      </c>
      <c r="E121" s="7"/>
      <c r="F121" s="7" t="s">
        <v>131</v>
      </c>
      <c r="G121" s="7" t="s">
        <v>91</v>
      </c>
      <c r="H121" s="8" t="n">
        <v>46188</v>
      </c>
      <c r="I121" s="8"/>
      <c r="J121" s="8" t="n">
        <v>46264</v>
      </c>
      <c r="K121" s="9" t="n">
        <v>0.5</v>
      </c>
      <c r="L121" s="7" t="s">
        <v>376</v>
      </c>
      <c r="M121" s="10" t="s">
        <v>186</v>
      </c>
      <c r="N121" s="11" t="str">
        <f aca="false">IFERROR(INDEX(dFrente!$B$2:$B$76,MATCH(C121,dFrente!$A$2:$A$76,0)),"Sin frente")</f>
        <v>Planes de riesgo (PMC)</v>
      </c>
      <c r="O121" s="11" t="str">
        <f aca="false">IFERROR(INDEX(dNIST!$B$2:$B$13,MATCH(M121,dNIST!$A$2:$A$13,0)),"")</f>
        <v>GV</v>
      </c>
      <c r="P121" s="11" t="str">
        <f aca="false">TRIM(IFERROR(LEFT(G121,FIND(CHAR(10),G121)-1),G121))</f>
        <v>Jhonny Barreiro</v>
      </c>
      <c r="Q121" s="11" t="n">
        <f aca="false">LEN(TRIM(G121))-LEN(SUBSTITUTE(TRIM(G121),CHAR(10),""))+1</f>
        <v>1</v>
      </c>
      <c r="R121" s="11" t="str">
        <f aca="false">IF(E121&lt;&gt;"","Sí","No")</f>
        <v>No</v>
      </c>
      <c r="S121" s="12" t="n">
        <f aca="false">IF(OR(J121="",H121=""),"",IF(J121&lt;=H121,IF(FechaCorte&gt;=J121,1,0),MAX(0,MIN(1,(FechaCorte-H121)/(J121-H121)))))</f>
        <v>1</v>
      </c>
      <c r="T121" s="12" t="n">
        <f aca="false">IF(S121="","",K121-S121)</f>
        <v>-0.5</v>
      </c>
      <c r="U121" s="11" t="str">
        <f aca="false">IF(R121="Sí","Recurrente",IF(K121&gt;=1,"Completado",IF(AND(J121&lt;&gt;"",J121&lt;FechaCorte),"Vencido",IF(AND(K121=0,OR(H121="",H121&gt;FechaCorte)),"Por iniciar",IF(AND(T121&lt;&gt;"",T121&lt;=UmbralRiesgo),"En riesgo","En plazo")))))</f>
        <v>Vencido</v>
      </c>
      <c r="V121" s="11" t="n">
        <f aca="false">IF(OR(U121="Vencido",U121="En riesgo",U121="En plazo",U121="Por iniciar"),1,0)</f>
        <v>1</v>
      </c>
      <c r="W121" s="11" t="n">
        <f aca="false">IF(U121="Vencido",FechaCorte-J121,"")</f>
        <v>25</v>
      </c>
      <c r="X121" s="11" t="str">
        <f aca="false">IF(AND(V121=1,U121&lt;&gt;"Vencido"),J121-FechaCorte,"")</f>
        <v/>
      </c>
      <c r="Y121" s="13" t="n">
        <f aca="false">IF(J121="","",DATE(YEAR(J121),MONTH(J121),1))</f>
        <v>46235</v>
      </c>
      <c r="Z121" s="13" t="str">
        <f aca="false">IF(AND(U121="Completado",I121&lt;&gt;""),IF(I121&lt;=FechaCorte,DATE(YEAR(I121),MONTH(I121),1),""),"")</f>
        <v/>
      </c>
      <c r="AA121" s="11" t="n">
        <f aca="false">IF(J121="","",IF(DAY(J121+1)=1,1,0))</f>
        <v>0</v>
      </c>
      <c r="AB121" s="11" t="n">
        <f aca="false">IF(AND(U121="Completado",I121&lt;&gt;"",I121=J121),1,0)</f>
        <v>0</v>
      </c>
      <c r="AC121" s="11" t="n">
        <f aca="false">IF(AND(K121&gt;=1,I121&lt;&gt;""),IF(I121&gt;FechaCorte,1,0),0)</f>
        <v>0</v>
      </c>
      <c r="AD121" s="11" t="n">
        <f aca="false">IF(AND(I121&lt;&gt;"",H121&lt;&gt;""),IF(I121&lt;H121,1,0),0)</f>
        <v>0</v>
      </c>
      <c r="AE121" s="11" t="n">
        <f aca="false">IF(OR(F121="Riesgos",F121="Obs. Auditoría"),1,0)</f>
        <v>0</v>
      </c>
      <c r="AF121" s="11" t="str">
        <f aca="false">IFERROR(MID(D121,FIND("PMC-",D121),8),"")</f>
        <v/>
      </c>
      <c r="AG121" s="11" t="n">
        <f aca="false">IF(AND(V121=1,J121&lt;&gt;""),IF(AND(J121&gt;=FechaCorte,J121&lt;=HorizonteExpuestos),1,0),0)</f>
        <v>0</v>
      </c>
    </row>
    <row r="122" customFormat="false" ht="15" hidden="false" customHeight="false" outlineLevel="0" collapsed="false">
      <c r="A122" s="7" t="n">
        <v>121</v>
      </c>
      <c r="B122" s="7" t="n">
        <v>2026</v>
      </c>
      <c r="C122" s="7" t="s">
        <v>377</v>
      </c>
      <c r="D122" s="14" t="s">
        <v>378</v>
      </c>
      <c r="E122" s="7" t="s">
        <v>379</v>
      </c>
      <c r="F122" s="7" t="s">
        <v>131</v>
      </c>
      <c r="G122" s="7" t="s">
        <v>276</v>
      </c>
      <c r="H122" s="8" t="n">
        <v>46181</v>
      </c>
      <c r="I122" s="8"/>
      <c r="J122" s="8"/>
      <c r="K122" s="9" t="n">
        <v>1</v>
      </c>
      <c r="L122" s="7" t="s">
        <v>380</v>
      </c>
      <c r="M122" s="10" t="s">
        <v>81</v>
      </c>
      <c r="N122" s="11" t="str">
        <f aca="false">IFERROR(INDEX(dFrente!$B$2:$B$76,MATCH(C122,dFrente!$A$2:$A$76,0)),"Sin frente")</f>
        <v>Bases de datos y SFTP</v>
      </c>
      <c r="O122" s="11" t="str">
        <f aca="false">IFERROR(INDEX(dNIST!$B$2:$B$13,MATCH(M122,dNIST!$A$2:$A$13,0)),"")</f>
        <v>PR</v>
      </c>
      <c r="P122" s="11" t="str">
        <f aca="false">TRIM(IFERROR(LEFT(G122,FIND(CHAR(10),G122)-1),G122))</f>
        <v>Daniel Lescano</v>
      </c>
      <c r="Q122" s="11" t="n">
        <f aca="false">LEN(TRIM(G122))-LEN(SUBSTITUTE(TRIM(G122),CHAR(10),""))+1</f>
        <v>1</v>
      </c>
      <c r="R122" s="11" t="str">
        <f aca="false">IF(E122&lt;&gt;"","Sí","No")</f>
        <v>Sí</v>
      </c>
      <c r="S122" s="12" t="str">
        <f aca="false">IF(OR(J122="",H122=""),"",IF(J122&lt;=H122,IF(FechaCorte&gt;=J122,1,0),MAX(0,MIN(1,(FechaCorte-H122)/(J122-H122)))))</f>
        <v/>
      </c>
      <c r="T122" s="12" t="str">
        <f aca="false">IF(S122="","",K122-S122)</f>
        <v/>
      </c>
      <c r="U122" s="11" t="str">
        <f aca="false">IF(R122="Sí","Recurrente",IF(K122&gt;=1,"Completado",IF(AND(J122&lt;&gt;"",J122&lt;FechaCorte),"Vencido",IF(AND(K122=0,OR(H122="",H122&gt;FechaCorte)),"Por iniciar",IF(AND(T122&lt;&gt;"",T122&lt;=UmbralRiesgo),"En riesgo","En plazo")))))</f>
        <v>Recurrente</v>
      </c>
      <c r="V122" s="11" t="n">
        <f aca="false">IF(OR(U122="Vencido",U122="En riesgo",U122="En plazo",U122="Por iniciar"),1,0)</f>
        <v>0</v>
      </c>
      <c r="W122" s="11" t="str">
        <f aca="false">IF(U122="Vencido",FechaCorte-J122,"")</f>
        <v/>
      </c>
      <c r="X122" s="11" t="str">
        <f aca="false">IF(AND(V122=1,U122&lt;&gt;"Vencido"),J122-FechaCorte,"")</f>
        <v/>
      </c>
      <c r="Y122" s="13" t="str">
        <f aca="false">IF(J122="","",DATE(YEAR(J122),MONTH(J122),1))</f>
        <v/>
      </c>
      <c r="Z122" s="13" t="str">
        <f aca="false">IF(AND(U122="Completado",I122&lt;&gt;""),IF(I122&lt;=FechaCorte,DATE(YEAR(I122),MONTH(I122),1),""),"")</f>
        <v/>
      </c>
      <c r="AA122" s="11" t="str">
        <f aca="false">IF(J122="","",IF(DAY(J122+1)=1,1,0))</f>
        <v/>
      </c>
      <c r="AB122" s="11" t="n">
        <f aca="false">IF(AND(U122="Completado",I122&lt;&gt;"",I122=J122),1,0)</f>
        <v>0</v>
      </c>
      <c r="AC122" s="11" t="n">
        <f aca="false">IF(AND(K122&gt;=1,I122&lt;&gt;""),IF(I122&gt;FechaCorte,1,0),0)</f>
        <v>0</v>
      </c>
      <c r="AD122" s="11" t="n">
        <f aca="false">IF(AND(I122&lt;&gt;"",H122&lt;&gt;""),IF(I122&lt;H122,1,0),0)</f>
        <v>0</v>
      </c>
      <c r="AE122" s="11" t="n">
        <f aca="false">IF(OR(F122="Riesgos",F122="Obs. Auditoría"),1,0)</f>
        <v>0</v>
      </c>
      <c r="AF122" s="11" t="str">
        <f aca="false">IFERROR(MID(D122,FIND("PMC-",D122),8),"")</f>
        <v/>
      </c>
      <c r="AG122" s="11" t="n">
        <f aca="false">IF(AND(V122=1,J122&lt;&gt;""),IF(AND(J122&gt;=FechaCorte,J122&lt;=HorizonteExpuestos),1,0),0)</f>
        <v>0</v>
      </c>
    </row>
    <row r="123" customFormat="false" ht="15" hidden="false" customHeight="false" outlineLevel="0" collapsed="false">
      <c r="A123" s="7" t="n">
        <v>122</v>
      </c>
      <c r="B123" s="7" t="n">
        <v>2026</v>
      </c>
      <c r="C123" s="7" t="s">
        <v>377</v>
      </c>
      <c r="D123" s="14" t="s">
        <v>381</v>
      </c>
      <c r="E123" s="7"/>
      <c r="F123" s="7" t="s">
        <v>131</v>
      </c>
      <c r="G123" s="7" t="s">
        <v>276</v>
      </c>
      <c r="H123" s="8" t="n">
        <v>46167</v>
      </c>
      <c r="I123" s="8" t="n">
        <v>46185</v>
      </c>
      <c r="J123" s="8" t="n">
        <v>46185</v>
      </c>
      <c r="K123" s="9" t="n">
        <v>1</v>
      </c>
      <c r="L123" s="14" t="s">
        <v>382</v>
      </c>
      <c r="M123" s="10" t="s">
        <v>81</v>
      </c>
      <c r="N123" s="11" t="str">
        <f aca="false">IFERROR(INDEX(dFrente!$B$2:$B$76,MATCH(C123,dFrente!$A$2:$A$76,0)),"Sin frente")</f>
        <v>Bases de datos y SFTP</v>
      </c>
      <c r="O123" s="11" t="str">
        <f aca="false">IFERROR(INDEX(dNIST!$B$2:$B$13,MATCH(M123,dNIST!$A$2:$A$13,0)),"")</f>
        <v>PR</v>
      </c>
      <c r="P123" s="11" t="str">
        <f aca="false">TRIM(IFERROR(LEFT(G123,FIND(CHAR(10),G123)-1),G123))</f>
        <v>Daniel Lescano</v>
      </c>
      <c r="Q123" s="11" t="n">
        <f aca="false">LEN(TRIM(G123))-LEN(SUBSTITUTE(TRIM(G123),CHAR(10),""))+1</f>
        <v>1</v>
      </c>
      <c r="R123" s="11" t="str">
        <f aca="false">IF(E123&lt;&gt;"","Sí","No")</f>
        <v>No</v>
      </c>
      <c r="S123" s="12" t="n">
        <f aca="false">IF(OR(J123="",H123=""),"",IF(J123&lt;=H123,IF(FechaCorte&gt;=J123,1,0),MAX(0,MIN(1,(FechaCorte-H123)/(J123-H123)))))</f>
        <v>1</v>
      </c>
      <c r="T123" s="12" t="n">
        <f aca="false">IF(S123="","",K123-S123)</f>
        <v>0</v>
      </c>
      <c r="U123" s="11" t="str">
        <f aca="false">IF(R123="Sí","Recurrente",IF(K123&gt;=1,"Completado",IF(AND(J123&lt;&gt;"",J123&lt;FechaCorte),"Vencido",IF(AND(K123=0,OR(H123="",H123&gt;FechaCorte)),"Por iniciar",IF(AND(T123&lt;&gt;"",T123&lt;=UmbralRiesgo),"En riesgo","En plazo")))))</f>
        <v>Completado</v>
      </c>
      <c r="V123" s="11" t="n">
        <f aca="false">IF(OR(U123="Vencido",U123="En riesgo",U123="En plazo",U123="Por iniciar"),1,0)</f>
        <v>0</v>
      </c>
      <c r="W123" s="11" t="str">
        <f aca="false">IF(U123="Vencido",FechaCorte-J123,"")</f>
        <v/>
      </c>
      <c r="X123" s="11" t="str">
        <f aca="false">IF(AND(V123=1,U123&lt;&gt;"Vencido"),J123-FechaCorte,"")</f>
        <v/>
      </c>
      <c r="Y123" s="13" t="n">
        <f aca="false">IF(J123="","",DATE(YEAR(J123),MONTH(J123),1))</f>
        <v>46174</v>
      </c>
      <c r="Z123" s="13" t="n">
        <f aca="false">IF(AND(U123="Completado",I123&lt;&gt;""),IF(I123&lt;=FechaCorte,DATE(YEAR(I123),MONTH(I123),1),""),"")</f>
        <v>46174</v>
      </c>
      <c r="AA123" s="11" t="n">
        <f aca="false">IF(J123="","",IF(DAY(J123+1)=1,1,0))</f>
        <v>0</v>
      </c>
      <c r="AB123" s="11" t="n">
        <f aca="false">IF(AND(U123="Completado",I123&lt;&gt;"",I123=J123),1,0)</f>
        <v>1</v>
      </c>
      <c r="AC123" s="11" t="n">
        <f aca="false">IF(AND(K123&gt;=1,I123&lt;&gt;""),IF(I123&gt;FechaCorte,1,0),0)</f>
        <v>0</v>
      </c>
      <c r="AD123" s="11" t="n">
        <f aca="false">IF(AND(I123&lt;&gt;"",H123&lt;&gt;""),IF(I123&lt;H123,1,0),0)</f>
        <v>0</v>
      </c>
      <c r="AE123" s="11" t="n">
        <f aca="false">IF(OR(F123="Riesgos",F123="Obs. Auditoría"),1,0)</f>
        <v>0</v>
      </c>
      <c r="AF123" s="11" t="str">
        <f aca="false">IFERROR(MID(D123,FIND("PMC-",D123),8),"")</f>
        <v/>
      </c>
      <c r="AG123" s="11" t="n">
        <f aca="false">IF(AND(V123=1,J123&lt;&gt;""),IF(AND(J123&gt;=FechaCorte,J123&lt;=HorizonteExpuestos),1,0),0)</f>
        <v>0</v>
      </c>
    </row>
    <row r="124" customFormat="false" ht="15" hidden="false" customHeight="false" outlineLevel="0" collapsed="false">
      <c r="A124" s="7" t="n">
        <v>123</v>
      </c>
      <c r="B124" s="7" t="n">
        <v>2026</v>
      </c>
      <c r="C124" s="7" t="s">
        <v>377</v>
      </c>
      <c r="D124" s="7" t="s">
        <v>383</v>
      </c>
      <c r="E124" s="7"/>
      <c r="F124" s="7" t="s">
        <v>131</v>
      </c>
      <c r="G124" s="7" t="s">
        <v>276</v>
      </c>
      <c r="H124" s="8" t="n">
        <v>46211</v>
      </c>
      <c r="I124" s="8" t="n">
        <v>46240</v>
      </c>
      <c r="J124" s="8" t="n">
        <v>46240</v>
      </c>
      <c r="K124" s="9" t="n">
        <v>1</v>
      </c>
      <c r="L124" s="7" t="s">
        <v>384</v>
      </c>
      <c r="M124" s="10" t="s">
        <v>81</v>
      </c>
      <c r="N124" s="11" t="str">
        <f aca="false">IFERROR(INDEX(dFrente!$B$2:$B$76,MATCH(C124,dFrente!$A$2:$A$76,0)),"Sin frente")</f>
        <v>Bases de datos y SFTP</v>
      </c>
      <c r="O124" s="11" t="str">
        <f aca="false">IFERROR(INDEX(dNIST!$B$2:$B$13,MATCH(M124,dNIST!$A$2:$A$13,0)),"")</f>
        <v>PR</v>
      </c>
      <c r="P124" s="11" t="str">
        <f aca="false">TRIM(IFERROR(LEFT(G124,FIND(CHAR(10),G124)-1),G124))</f>
        <v>Daniel Lescano</v>
      </c>
      <c r="Q124" s="11" t="n">
        <f aca="false">LEN(TRIM(G124))-LEN(SUBSTITUTE(TRIM(G124),CHAR(10),""))+1</f>
        <v>1</v>
      </c>
      <c r="R124" s="11" t="str">
        <f aca="false">IF(E124&lt;&gt;"","Sí","No")</f>
        <v>No</v>
      </c>
      <c r="S124" s="12" t="n">
        <f aca="false">IF(OR(J124="",H124=""),"",IF(J124&lt;=H124,IF(FechaCorte&gt;=J124,1,0),MAX(0,MIN(1,(FechaCorte-H124)/(J124-H124)))))</f>
        <v>1</v>
      </c>
      <c r="T124" s="12" t="n">
        <f aca="false">IF(S124="","",K124-S124)</f>
        <v>0</v>
      </c>
      <c r="U124" s="11" t="str">
        <f aca="false">IF(R124="Sí","Recurrente",IF(K124&gt;=1,"Completado",IF(AND(J124&lt;&gt;"",J124&lt;FechaCorte),"Vencido",IF(AND(K124=0,OR(H124="",H124&gt;FechaCorte)),"Por iniciar",IF(AND(T124&lt;&gt;"",T124&lt;=UmbralRiesgo),"En riesgo","En plazo")))))</f>
        <v>Completado</v>
      </c>
      <c r="V124" s="11" t="n">
        <f aca="false">IF(OR(U124="Vencido",U124="En riesgo",U124="En plazo",U124="Por iniciar"),1,0)</f>
        <v>0</v>
      </c>
      <c r="W124" s="11" t="str">
        <f aca="false">IF(U124="Vencido",FechaCorte-J124,"")</f>
        <v/>
      </c>
      <c r="X124" s="11" t="str">
        <f aca="false">IF(AND(V124=1,U124&lt;&gt;"Vencido"),J124-FechaCorte,"")</f>
        <v/>
      </c>
      <c r="Y124" s="13" t="n">
        <f aca="false">IF(J124="","",DATE(YEAR(J124),MONTH(J124),1))</f>
        <v>46235</v>
      </c>
      <c r="Z124" s="13" t="n">
        <f aca="false">IF(AND(U124="Completado",I124&lt;&gt;""),IF(I124&lt;=FechaCorte,DATE(YEAR(I124),MONTH(I124),1),""),"")</f>
        <v>46235</v>
      </c>
      <c r="AA124" s="11" t="n">
        <f aca="false">IF(J124="","",IF(DAY(J124+1)=1,1,0))</f>
        <v>0</v>
      </c>
      <c r="AB124" s="11" t="n">
        <f aca="false">IF(AND(U124="Completado",I124&lt;&gt;"",I124=J124),1,0)</f>
        <v>1</v>
      </c>
      <c r="AC124" s="11" t="n">
        <f aca="false">IF(AND(K124&gt;=1,I124&lt;&gt;""),IF(I124&gt;FechaCorte,1,0),0)</f>
        <v>0</v>
      </c>
      <c r="AD124" s="11" t="n">
        <f aca="false">IF(AND(I124&lt;&gt;"",H124&lt;&gt;""),IF(I124&lt;H124,1,0),0)</f>
        <v>0</v>
      </c>
      <c r="AE124" s="11" t="n">
        <f aca="false">IF(OR(F124="Riesgos",F124="Obs. Auditoría"),1,0)</f>
        <v>0</v>
      </c>
      <c r="AF124" s="11" t="str">
        <f aca="false">IFERROR(MID(D124,FIND("PMC-",D124),8),"")</f>
        <v/>
      </c>
      <c r="AG124" s="11" t="n">
        <f aca="false">IF(AND(V124=1,J124&lt;&gt;""),IF(AND(J124&gt;=FechaCorte,J124&lt;=HorizonteExpuestos),1,0),0)</f>
        <v>0</v>
      </c>
    </row>
    <row r="125" customFormat="false" ht="15" hidden="false" customHeight="false" outlineLevel="0" collapsed="false">
      <c r="A125" s="7" t="n">
        <v>124</v>
      </c>
      <c r="B125" s="7" t="n">
        <v>2026</v>
      </c>
      <c r="C125" s="7" t="s">
        <v>377</v>
      </c>
      <c r="D125" s="7" t="s">
        <v>385</v>
      </c>
      <c r="E125" s="7"/>
      <c r="F125" s="7" t="s">
        <v>131</v>
      </c>
      <c r="G125" s="7" t="s">
        <v>276</v>
      </c>
      <c r="H125" s="8" t="n">
        <v>46223</v>
      </c>
      <c r="I125" s="8"/>
      <c r="J125" s="8" t="n">
        <v>46387</v>
      </c>
      <c r="K125" s="9" t="n">
        <v>0.75</v>
      </c>
      <c r="L125" s="7" t="s">
        <v>386</v>
      </c>
      <c r="M125" s="10" t="s">
        <v>81</v>
      </c>
      <c r="N125" s="11" t="str">
        <f aca="false">IFERROR(INDEX(dFrente!$B$2:$B$76,MATCH(C125,dFrente!$A$2:$A$76,0)),"Sin frente")</f>
        <v>Bases de datos y SFTP</v>
      </c>
      <c r="O125" s="11" t="str">
        <f aca="false">IFERROR(INDEX(dNIST!$B$2:$B$13,MATCH(M125,dNIST!$A$2:$A$13,0)),"")</f>
        <v>PR</v>
      </c>
      <c r="P125" s="11" t="str">
        <f aca="false">TRIM(IFERROR(LEFT(G125,FIND(CHAR(10),G125)-1),G125))</f>
        <v>Daniel Lescano</v>
      </c>
      <c r="Q125" s="11" t="n">
        <f aca="false">LEN(TRIM(G125))-LEN(SUBSTITUTE(TRIM(G125),CHAR(10),""))+1</f>
        <v>1</v>
      </c>
      <c r="R125" s="11" t="str">
        <f aca="false">IF(E125&lt;&gt;"","Sí","No")</f>
        <v>No</v>
      </c>
      <c r="S125" s="12" t="n">
        <f aca="false">IF(OR(J125="",H125=""),"",IF(J125&lt;=H125,IF(FechaCorte&gt;=J125,1,0),MAX(0,MIN(1,(FechaCorte-H125)/(J125-H125)))))</f>
        <v>0.402439024390244</v>
      </c>
      <c r="T125" s="12" t="n">
        <f aca="false">IF(S125="","",K125-S125)</f>
        <v>0.347560975609756</v>
      </c>
      <c r="U125" s="11" t="str">
        <f aca="false">IF(R125="Sí","Recurrente",IF(K125&gt;=1,"Completado",IF(AND(J125&lt;&gt;"",J125&lt;FechaCorte),"Vencido",IF(AND(K125=0,OR(H125="",H125&gt;FechaCorte)),"Por iniciar",IF(AND(T125&lt;&gt;"",T125&lt;=UmbralRiesgo),"En riesgo","En plazo")))))</f>
        <v>En plazo</v>
      </c>
      <c r="V125" s="11" t="n">
        <f aca="false">IF(OR(U125="Vencido",U125="En riesgo",U125="En plazo",U125="Por iniciar"),1,0)</f>
        <v>1</v>
      </c>
      <c r="W125" s="11" t="str">
        <f aca="false">IF(U125="Vencido",FechaCorte-J125,"")</f>
        <v/>
      </c>
      <c r="X125" s="11" t="n">
        <f aca="false">IF(AND(V125=1,U125&lt;&gt;"Vencido"),J125-FechaCorte,"")</f>
        <v>98</v>
      </c>
      <c r="Y125" s="13" t="n">
        <f aca="false">IF(J125="","",DATE(YEAR(J125),MONTH(J125),1))</f>
        <v>46357</v>
      </c>
      <c r="Z125" s="13" t="str">
        <f aca="false">IF(AND(U125="Completado",I125&lt;&gt;""),IF(I125&lt;=FechaCorte,DATE(YEAR(I125),MONTH(I125),1),""),"")</f>
        <v/>
      </c>
      <c r="AA125" s="11" t="n">
        <f aca="false">IF(J125="","",IF(DAY(J125+1)=1,1,0))</f>
        <v>1</v>
      </c>
      <c r="AB125" s="11" t="n">
        <f aca="false">IF(AND(U125="Completado",I125&lt;&gt;"",I125=J125),1,0)</f>
        <v>0</v>
      </c>
      <c r="AC125" s="11" t="n">
        <f aca="false">IF(AND(K125&gt;=1,I125&lt;&gt;""),IF(I125&gt;FechaCorte,1,0),0)</f>
        <v>0</v>
      </c>
      <c r="AD125" s="11" t="n">
        <f aca="false">IF(AND(I125&lt;&gt;"",H125&lt;&gt;""),IF(I125&lt;H125,1,0),0)</f>
        <v>0</v>
      </c>
      <c r="AE125" s="11" t="n">
        <f aca="false">IF(OR(F125="Riesgos",F125="Obs. Auditoría"),1,0)</f>
        <v>0</v>
      </c>
      <c r="AF125" s="11" t="str">
        <f aca="false">IFERROR(MID(D125,FIND("PMC-",D125),8),"")</f>
        <v/>
      </c>
      <c r="AG125" s="11" t="n">
        <f aca="false">IF(AND(V125=1,J125&lt;&gt;""),IF(AND(J125&gt;=FechaCorte,J125&lt;=HorizonteExpuestos),1,0),0)</f>
        <v>0</v>
      </c>
    </row>
    <row r="126" customFormat="false" ht="15" hidden="false" customHeight="false" outlineLevel="0" collapsed="false">
      <c r="A126" s="7" t="n">
        <v>125</v>
      </c>
      <c r="B126" s="7" t="n">
        <v>2026</v>
      </c>
      <c r="C126" s="7" t="s">
        <v>377</v>
      </c>
      <c r="D126" s="7" t="s">
        <v>387</v>
      </c>
      <c r="E126" s="7"/>
      <c r="F126" s="7" t="s">
        <v>131</v>
      </c>
      <c r="G126" s="7" t="s">
        <v>276</v>
      </c>
      <c r="H126" s="8" t="n">
        <v>46220</v>
      </c>
      <c r="I126" s="8" t="n">
        <v>46241</v>
      </c>
      <c r="J126" s="8" t="n">
        <v>46241</v>
      </c>
      <c r="K126" s="9" t="n">
        <v>1</v>
      </c>
      <c r="L126" s="14" t="s">
        <v>388</v>
      </c>
      <c r="M126" s="10" t="s">
        <v>81</v>
      </c>
      <c r="N126" s="11" t="str">
        <f aca="false">IFERROR(INDEX(dFrente!$B$2:$B$76,MATCH(C126,dFrente!$A$2:$A$76,0)),"Sin frente")</f>
        <v>Bases de datos y SFTP</v>
      </c>
      <c r="O126" s="11" t="str">
        <f aca="false">IFERROR(INDEX(dNIST!$B$2:$B$13,MATCH(M126,dNIST!$A$2:$A$13,0)),"")</f>
        <v>PR</v>
      </c>
      <c r="P126" s="11" t="str">
        <f aca="false">TRIM(IFERROR(LEFT(G126,FIND(CHAR(10),G126)-1),G126))</f>
        <v>Daniel Lescano</v>
      </c>
      <c r="Q126" s="11" t="n">
        <f aca="false">LEN(TRIM(G126))-LEN(SUBSTITUTE(TRIM(G126),CHAR(10),""))+1</f>
        <v>1</v>
      </c>
      <c r="R126" s="11" t="str">
        <f aca="false">IF(E126&lt;&gt;"","Sí","No")</f>
        <v>No</v>
      </c>
      <c r="S126" s="12" t="n">
        <f aca="false">IF(OR(J126="",H126=""),"",IF(J126&lt;=H126,IF(FechaCorte&gt;=J126,1,0),MAX(0,MIN(1,(FechaCorte-H126)/(J126-H126)))))</f>
        <v>1</v>
      </c>
      <c r="T126" s="12" t="n">
        <f aca="false">IF(S126="","",K126-S126)</f>
        <v>0</v>
      </c>
      <c r="U126" s="11" t="str">
        <f aca="false">IF(R126="Sí","Recurrente",IF(K126&gt;=1,"Completado",IF(AND(J126&lt;&gt;"",J126&lt;FechaCorte),"Vencido",IF(AND(K126=0,OR(H126="",H126&gt;FechaCorte)),"Por iniciar",IF(AND(T126&lt;&gt;"",T126&lt;=UmbralRiesgo),"En riesgo","En plazo")))))</f>
        <v>Completado</v>
      </c>
      <c r="V126" s="11" t="n">
        <f aca="false">IF(OR(U126="Vencido",U126="En riesgo",U126="En plazo",U126="Por iniciar"),1,0)</f>
        <v>0</v>
      </c>
      <c r="W126" s="11" t="str">
        <f aca="false">IF(U126="Vencido",FechaCorte-J126,"")</f>
        <v/>
      </c>
      <c r="X126" s="11" t="str">
        <f aca="false">IF(AND(V126=1,U126&lt;&gt;"Vencido"),J126-FechaCorte,"")</f>
        <v/>
      </c>
      <c r="Y126" s="13" t="n">
        <f aca="false">IF(J126="","",DATE(YEAR(J126),MONTH(J126),1))</f>
        <v>46235</v>
      </c>
      <c r="Z126" s="13" t="n">
        <f aca="false">IF(AND(U126="Completado",I126&lt;&gt;""),IF(I126&lt;=FechaCorte,DATE(YEAR(I126),MONTH(I126),1),""),"")</f>
        <v>46235</v>
      </c>
      <c r="AA126" s="11" t="n">
        <f aca="false">IF(J126="","",IF(DAY(J126+1)=1,1,0))</f>
        <v>0</v>
      </c>
      <c r="AB126" s="11" t="n">
        <f aca="false">IF(AND(U126="Completado",I126&lt;&gt;"",I126=J126),1,0)</f>
        <v>1</v>
      </c>
      <c r="AC126" s="11" t="n">
        <f aca="false">IF(AND(K126&gt;=1,I126&lt;&gt;""),IF(I126&gt;FechaCorte,1,0),0)</f>
        <v>0</v>
      </c>
      <c r="AD126" s="11" t="n">
        <f aca="false">IF(AND(I126&lt;&gt;"",H126&lt;&gt;""),IF(I126&lt;H126,1,0),0)</f>
        <v>0</v>
      </c>
      <c r="AE126" s="11" t="n">
        <f aca="false">IF(OR(F126="Riesgos",F126="Obs. Auditoría"),1,0)</f>
        <v>0</v>
      </c>
      <c r="AF126" s="11" t="str">
        <f aca="false">IFERROR(MID(D126,FIND("PMC-",D126),8),"")</f>
        <v/>
      </c>
      <c r="AG126" s="11" t="n">
        <f aca="false">IF(AND(V126=1,J126&lt;&gt;""),IF(AND(J126&gt;=FechaCorte,J126&lt;=HorizonteExpuestos),1,0),0)</f>
        <v>0</v>
      </c>
    </row>
    <row r="127" customFormat="false" ht="15" hidden="false" customHeight="false" outlineLevel="0" collapsed="false">
      <c r="A127" s="7" t="n">
        <v>126</v>
      </c>
      <c r="B127" s="7" t="n">
        <v>2026</v>
      </c>
      <c r="C127" s="7" t="s">
        <v>377</v>
      </c>
      <c r="D127" s="7" t="s">
        <v>389</v>
      </c>
      <c r="E127" s="7"/>
      <c r="F127" s="7" t="s">
        <v>131</v>
      </c>
      <c r="G127" s="7" t="s">
        <v>276</v>
      </c>
      <c r="H127" s="8" t="n">
        <v>46234</v>
      </c>
      <c r="I127" s="8"/>
      <c r="J127" s="8" t="n">
        <v>46255</v>
      </c>
      <c r="K127" s="9" t="n">
        <v>0.8</v>
      </c>
      <c r="L127" s="7" t="s">
        <v>390</v>
      </c>
      <c r="M127" s="10" t="s">
        <v>178</v>
      </c>
      <c r="N127" s="11" t="str">
        <f aca="false">IFERROR(INDEX(dFrente!$B$2:$B$76,MATCH(C127,dFrente!$A$2:$A$76,0)),"Sin frente")</f>
        <v>Bases de datos y SFTP</v>
      </c>
      <c r="O127" s="11" t="str">
        <f aca="false">IFERROR(INDEX(dNIST!$B$2:$B$13,MATCH(M127,dNIST!$A$2:$A$13,0)),"")</f>
        <v>ID</v>
      </c>
      <c r="P127" s="11" t="str">
        <f aca="false">TRIM(IFERROR(LEFT(G127,FIND(CHAR(10),G127)-1),G127))</f>
        <v>Daniel Lescano</v>
      </c>
      <c r="Q127" s="11" t="n">
        <f aca="false">LEN(TRIM(G127))-LEN(SUBSTITUTE(TRIM(G127),CHAR(10),""))+1</f>
        <v>1</v>
      </c>
      <c r="R127" s="11" t="str">
        <f aca="false">IF(E127&lt;&gt;"","Sí","No")</f>
        <v>No</v>
      </c>
      <c r="S127" s="12" t="n">
        <f aca="false">IF(OR(J127="",H127=""),"",IF(J127&lt;=H127,IF(FechaCorte&gt;=J127,1,0),MAX(0,MIN(1,(FechaCorte-H127)/(J127-H127)))))</f>
        <v>1</v>
      </c>
      <c r="T127" s="12" t="n">
        <f aca="false">IF(S127="","",K127-S127)</f>
        <v>-0.2</v>
      </c>
      <c r="U127" s="11" t="str">
        <f aca="false">IF(R127="Sí","Recurrente",IF(K127&gt;=1,"Completado",IF(AND(J127&lt;&gt;"",J127&lt;FechaCorte),"Vencido",IF(AND(K127=0,OR(H127="",H127&gt;FechaCorte)),"Por iniciar",IF(AND(T127&lt;&gt;"",T127&lt;=UmbralRiesgo),"En riesgo","En plazo")))))</f>
        <v>Vencido</v>
      </c>
      <c r="V127" s="11" t="n">
        <f aca="false">IF(OR(U127="Vencido",U127="En riesgo",U127="En plazo",U127="Por iniciar"),1,0)</f>
        <v>1</v>
      </c>
      <c r="W127" s="11" t="n">
        <f aca="false">IF(U127="Vencido",FechaCorte-J127,"")</f>
        <v>34</v>
      </c>
      <c r="X127" s="11" t="str">
        <f aca="false">IF(AND(V127=1,U127&lt;&gt;"Vencido"),J127-FechaCorte,"")</f>
        <v/>
      </c>
      <c r="Y127" s="13" t="n">
        <f aca="false">IF(J127="","",DATE(YEAR(J127),MONTH(J127),1))</f>
        <v>46235</v>
      </c>
      <c r="Z127" s="13" t="str">
        <f aca="false">IF(AND(U127="Completado",I127&lt;&gt;""),IF(I127&lt;=FechaCorte,DATE(YEAR(I127),MONTH(I127),1),""),"")</f>
        <v/>
      </c>
      <c r="AA127" s="11" t="n">
        <f aca="false">IF(J127="","",IF(DAY(J127+1)=1,1,0))</f>
        <v>0</v>
      </c>
      <c r="AB127" s="11" t="n">
        <f aca="false">IF(AND(U127="Completado",I127&lt;&gt;"",I127=J127),1,0)</f>
        <v>0</v>
      </c>
      <c r="AC127" s="11" t="n">
        <f aca="false">IF(AND(K127&gt;=1,I127&lt;&gt;""),IF(I127&gt;FechaCorte,1,0),0)</f>
        <v>0</v>
      </c>
      <c r="AD127" s="11" t="n">
        <f aca="false">IF(AND(I127&lt;&gt;"",H127&lt;&gt;""),IF(I127&lt;H127,1,0),0)</f>
        <v>0</v>
      </c>
      <c r="AE127" s="11" t="n">
        <f aca="false">IF(OR(F127="Riesgos",F127="Obs. Auditoría"),1,0)</f>
        <v>0</v>
      </c>
      <c r="AF127" s="11" t="str">
        <f aca="false">IFERROR(MID(D127,FIND("PMC-",D127),8),"")</f>
        <v/>
      </c>
      <c r="AG127" s="11" t="n">
        <f aca="false">IF(AND(V127=1,J127&lt;&gt;""),IF(AND(J127&gt;=FechaCorte,J127&lt;=HorizonteExpuestos),1,0),0)</f>
        <v>0</v>
      </c>
    </row>
    <row r="128" customFormat="false" ht="15" hidden="false" customHeight="false" outlineLevel="0" collapsed="false">
      <c r="A128" s="7" t="n">
        <v>127</v>
      </c>
      <c r="B128" s="7" t="n">
        <v>2026</v>
      </c>
      <c r="C128" s="7" t="s">
        <v>391</v>
      </c>
      <c r="D128" s="7" t="s">
        <v>392</v>
      </c>
      <c r="E128" s="7"/>
      <c r="F128" s="7" t="s">
        <v>131</v>
      </c>
      <c r="G128" s="7" t="s">
        <v>276</v>
      </c>
      <c r="H128" s="8" t="n">
        <v>46210</v>
      </c>
      <c r="I128" s="8" t="n">
        <v>46272</v>
      </c>
      <c r="J128" s="8" t="n">
        <v>46272</v>
      </c>
      <c r="K128" s="9" t="n">
        <v>1</v>
      </c>
      <c r="L128" s="7" t="s">
        <v>393</v>
      </c>
      <c r="M128" s="10" t="s">
        <v>173</v>
      </c>
      <c r="N128" s="11" t="str">
        <f aca="false">IFERROR(INDEX(dFrente!$B$2:$B$76,MATCH(C128,dFrente!$A$2:$A$76,0)),"Sin frente")</f>
        <v>Bases de datos y SFTP</v>
      </c>
      <c r="O128" s="11" t="str">
        <f aca="false">IFERROR(INDEX(dNIST!$B$2:$B$13,MATCH(M128,dNIST!$A$2:$A$13,0)),"")</f>
        <v>PR</v>
      </c>
      <c r="P128" s="11" t="str">
        <f aca="false">TRIM(IFERROR(LEFT(G128,FIND(CHAR(10),G128)-1),G128))</f>
        <v>Daniel Lescano</v>
      </c>
      <c r="Q128" s="11" t="n">
        <f aca="false">LEN(TRIM(G128))-LEN(SUBSTITUTE(TRIM(G128),CHAR(10),""))+1</f>
        <v>1</v>
      </c>
      <c r="R128" s="11" t="str">
        <f aca="false">IF(E128&lt;&gt;"","Sí","No")</f>
        <v>No</v>
      </c>
      <c r="S128" s="12" t="n">
        <f aca="false">IF(OR(J128="",H128=""),"",IF(J128&lt;=H128,IF(FechaCorte&gt;=J128,1,0),MAX(0,MIN(1,(FechaCorte-H128)/(J128-H128)))))</f>
        <v>1</v>
      </c>
      <c r="T128" s="12" t="n">
        <f aca="false">IF(S128="","",K128-S128)</f>
        <v>0</v>
      </c>
      <c r="U128" s="11" t="str">
        <f aca="false">IF(R128="Sí","Recurrente",IF(K128&gt;=1,"Completado",IF(AND(J128&lt;&gt;"",J128&lt;FechaCorte),"Vencido",IF(AND(K128=0,OR(H128="",H128&gt;FechaCorte)),"Por iniciar",IF(AND(T128&lt;&gt;"",T128&lt;=UmbralRiesgo),"En riesgo","En plazo")))))</f>
        <v>Completado</v>
      </c>
      <c r="V128" s="11" t="n">
        <f aca="false">IF(OR(U128="Vencido",U128="En riesgo",U128="En plazo",U128="Por iniciar"),1,0)</f>
        <v>0</v>
      </c>
      <c r="W128" s="11" t="str">
        <f aca="false">IF(U128="Vencido",FechaCorte-J128,"")</f>
        <v/>
      </c>
      <c r="X128" s="11" t="str">
        <f aca="false">IF(AND(V128=1,U128&lt;&gt;"Vencido"),J128-FechaCorte,"")</f>
        <v/>
      </c>
      <c r="Y128" s="13" t="n">
        <f aca="false">IF(J128="","",DATE(YEAR(J128),MONTH(J128),1))</f>
        <v>46266</v>
      </c>
      <c r="Z128" s="13" t="n">
        <f aca="false">IF(AND(U128="Completado",I128&lt;&gt;""),IF(I128&lt;=FechaCorte,DATE(YEAR(I128),MONTH(I128),1),""),"")</f>
        <v>46266</v>
      </c>
      <c r="AA128" s="11" t="n">
        <f aca="false">IF(J128="","",IF(DAY(J128+1)=1,1,0))</f>
        <v>0</v>
      </c>
      <c r="AB128" s="11" t="n">
        <f aca="false">IF(AND(U128="Completado",I128&lt;&gt;"",I128=J128),1,0)</f>
        <v>1</v>
      </c>
      <c r="AC128" s="11" t="n">
        <f aca="false">IF(AND(K128&gt;=1,I128&lt;&gt;""),IF(I128&gt;FechaCorte,1,0),0)</f>
        <v>0</v>
      </c>
      <c r="AD128" s="11" t="n">
        <f aca="false">IF(AND(I128&lt;&gt;"",H128&lt;&gt;""),IF(I128&lt;H128,1,0),0)</f>
        <v>0</v>
      </c>
      <c r="AE128" s="11" t="n">
        <f aca="false">IF(OR(F128="Riesgos",F128="Obs. Auditoría"),1,0)</f>
        <v>0</v>
      </c>
      <c r="AF128" s="11" t="str">
        <f aca="false">IFERROR(MID(D128,FIND("PMC-",D128),8),"")</f>
        <v/>
      </c>
      <c r="AG128" s="11" t="n">
        <f aca="false">IF(AND(V128=1,J128&lt;&gt;""),IF(AND(J128&gt;=FechaCorte,J128&lt;=HorizonteExpuestos),1,0),0)</f>
        <v>0</v>
      </c>
    </row>
    <row r="129" customFormat="false" ht="15" hidden="false" customHeight="false" outlineLevel="0" collapsed="false">
      <c r="A129" s="7" t="n">
        <v>128</v>
      </c>
      <c r="B129" s="7" t="n">
        <v>2026</v>
      </c>
      <c r="C129" s="7" t="s">
        <v>394</v>
      </c>
      <c r="D129" s="7" t="s">
        <v>395</v>
      </c>
      <c r="E129" s="7"/>
      <c r="F129" s="7" t="s">
        <v>131</v>
      </c>
      <c r="G129" s="7" t="s">
        <v>276</v>
      </c>
      <c r="H129" s="8" t="n">
        <v>46203</v>
      </c>
      <c r="I129" s="8" t="n">
        <v>46211</v>
      </c>
      <c r="J129" s="8" t="n">
        <v>46211</v>
      </c>
      <c r="K129" s="9" t="n">
        <v>1</v>
      </c>
      <c r="L129" s="7" t="s">
        <v>396</v>
      </c>
      <c r="M129" s="10" t="s">
        <v>81</v>
      </c>
      <c r="N129" s="11" t="str">
        <f aca="false">IFERROR(INDEX(dFrente!$B$2:$B$76,MATCH(C129,dFrente!$A$2:$A$76,0)),"Sin frente")</f>
        <v>Bases de datos y SFTP</v>
      </c>
      <c r="O129" s="11" t="str">
        <f aca="false">IFERROR(INDEX(dNIST!$B$2:$B$13,MATCH(M129,dNIST!$A$2:$A$13,0)),"")</f>
        <v>PR</v>
      </c>
      <c r="P129" s="11" t="str">
        <f aca="false">TRIM(IFERROR(LEFT(G129,FIND(CHAR(10),G129)-1),G129))</f>
        <v>Daniel Lescano</v>
      </c>
      <c r="Q129" s="11" t="n">
        <f aca="false">LEN(TRIM(G129))-LEN(SUBSTITUTE(TRIM(G129),CHAR(10),""))+1</f>
        <v>1</v>
      </c>
      <c r="R129" s="11" t="str">
        <f aca="false">IF(E129&lt;&gt;"","Sí","No")</f>
        <v>No</v>
      </c>
      <c r="S129" s="12" t="n">
        <f aca="false">IF(OR(J129="",H129=""),"",IF(J129&lt;=H129,IF(FechaCorte&gt;=J129,1,0),MAX(0,MIN(1,(FechaCorte-H129)/(J129-H129)))))</f>
        <v>1</v>
      </c>
      <c r="T129" s="12" t="n">
        <f aca="false">IF(S129="","",K129-S129)</f>
        <v>0</v>
      </c>
      <c r="U129" s="11" t="str">
        <f aca="false">IF(R129="Sí","Recurrente",IF(K129&gt;=1,"Completado",IF(AND(J129&lt;&gt;"",J129&lt;FechaCorte),"Vencido",IF(AND(K129=0,OR(H129="",H129&gt;FechaCorte)),"Por iniciar",IF(AND(T129&lt;&gt;"",T129&lt;=UmbralRiesgo),"En riesgo","En plazo")))))</f>
        <v>Completado</v>
      </c>
      <c r="V129" s="11" t="n">
        <f aca="false">IF(OR(U129="Vencido",U129="En riesgo",U129="En plazo",U129="Por iniciar"),1,0)</f>
        <v>0</v>
      </c>
      <c r="W129" s="11" t="str">
        <f aca="false">IF(U129="Vencido",FechaCorte-J129,"")</f>
        <v/>
      </c>
      <c r="X129" s="11" t="str">
        <f aca="false">IF(AND(V129=1,U129&lt;&gt;"Vencido"),J129-FechaCorte,"")</f>
        <v/>
      </c>
      <c r="Y129" s="13" t="n">
        <f aca="false">IF(J129="","",DATE(YEAR(J129),MONTH(J129),1))</f>
        <v>46204</v>
      </c>
      <c r="Z129" s="13" t="n">
        <f aca="false">IF(AND(U129="Completado",I129&lt;&gt;""),IF(I129&lt;=FechaCorte,DATE(YEAR(I129),MONTH(I129),1),""),"")</f>
        <v>46204</v>
      </c>
      <c r="AA129" s="11" t="n">
        <f aca="false">IF(J129="","",IF(DAY(J129+1)=1,1,0))</f>
        <v>0</v>
      </c>
      <c r="AB129" s="11" t="n">
        <f aca="false">IF(AND(U129="Completado",I129&lt;&gt;"",I129=J129),1,0)</f>
        <v>1</v>
      </c>
      <c r="AC129" s="11" t="n">
        <f aca="false">IF(AND(K129&gt;=1,I129&lt;&gt;""),IF(I129&gt;FechaCorte,1,0),0)</f>
        <v>0</v>
      </c>
      <c r="AD129" s="11" t="n">
        <f aca="false">IF(AND(I129&lt;&gt;"",H129&lt;&gt;""),IF(I129&lt;H129,1,0),0)</f>
        <v>0</v>
      </c>
      <c r="AE129" s="11" t="n">
        <f aca="false">IF(OR(F129="Riesgos",F129="Obs. Auditoría"),1,0)</f>
        <v>0</v>
      </c>
      <c r="AF129" s="11" t="str">
        <f aca="false">IFERROR(MID(D129,FIND("PMC-",D129),8),"")</f>
        <v/>
      </c>
      <c r="AG129" s="11" t="n">
        <f aca="false">IF(AND(V129=1,J129&lt;&gt;""),IF(AND(J129&gt;=FechaCorte,J129&lt;=HorizonteExpuestos),1,0),0)</f>
        <v>0</v>
      </c>
    </row>
    <row r="130" customFormat="false" ht="15" hidden="false" customHeight="false" outlineLevel="0" collapsed="false">
      <c r="A130" s="7" t="n">
        <v>129</v>
      </c>
      <c r="B130" s="7" t="n">
        <v>2026</v>
      </c>
      <c r="C130" s="7" t="s">
        <v>397</v>
      </c>
      <c r="D130" s="7" t="s">
        <v>398</v>
      </c>
      <c r="E130" s="7"/>
      <c r="F130" s="7" t="s">
        <v>131</v>
      </c>
      <c r="G130" s="7" t="s">
        <v>91</v>
      </c>
      <c r="H130" s="8" t="n">
        <v>46153</v>
      </c>
      <c r="I130" s="8" t="n">
        <v>46197</v>
      </c>
      <c r="J130" s="8" t="n">
        <v>46199</v>
      </c>
      <c r="K130" s="9" t="n">
        <v>1</v>
      </c>
      <c r="L130" s="7" t="s">
        <v>399</v>
      </c>
      <c r="M130" s="10" t="s">
        <v>81</v>
      </c>
      <c r="N130" s="11" t="str">
        <f aca="false">IFERROR(INDEX(dFrente!$B$2:$B$76,MATCH(C130,dFrente!$A$2:$A$76,0)),"Sin frente")</f>
        <v>Controles, red y M365</v>
      </c>
      <c r="O130" s="11" t="str">
        <f aca="false">IFERROR(INDEX(dNIST!$B$2:$B$13,MATCH(M130,dNIST!$A$2:$A$13,0)),"")</f>
        <v>PR</v>
      </c>
      <c r="P130" s="11" t="str">
        <f aca="false">TRIM(IFERROR(LEFT(G130,FIND(CHAR(10),G130)-1),G130))</f>
        <v>Jhonny Barreiro</v>
      </c>
      <c r="Q130" s="11" t="n">
        <f aca="false">LEN(TRIM(G130))-LEN(SUBSTITUTE(TRIM(G130),CHAR(10),""))+1</f>
        <v>1</v>
      </c>
      <c r="R130" s="11" t="str">
        <f aca="false">IF(E130&lt;&gt;"","Sí","No")</f>
        <v>No</v>
      </c>
      <c r="S130" s="12" t="n">
        <f aca="false">IF(OR(J130="",H130=""),"",IF(J130&lt;=H130,IF(FechaCorte&gt;=J130,1,0),MAX(0,MIN(1,(FechaCorte-H130)/(J130-H130)))))</f>
        <v>1</v>
      </c>
      <c r="T130" s="12" t="n">
        <f aca="false">IF(S130="","",K130-S130)</f>
        <v>0</v>
      </c>
      <c r="U130" s="11" t="str">
        <f aca="false">IF(R130="Sí","Recurrente",IF(K130&gt;=1,"Completado",IF(AND(J130&lt;&gt;"",J130&lt;FechaCorte),"Vencido",IF(AND(K130=0,OR(H130="",H130&gt;FechaCorte)),"Por iniciar",IF(AND(T130&lt;&gt;"",T130&lt;=UmbralRiesgo),"En riesgo","En plazo")))))</f>
        <v>Completado</v>
      </c>
      <c r="V130" s="11" t="n">
        <f aca="false">IF(OR(U130="Vencido",U130="En riesgo",U130="En plazo",U130="Por iniciar"),1,0)</f>
        <v>0</v>
      </c>
      <c r="W130" s="11" t="str">
        <f aca="false">IF(U130="Vencido",FechaCorte-J130,"")</f>
        <v/>
      </c>
      <c r="X130" s="11" t="str">
        <f aca="false">IF(AND(V130=1,U130&lt;&gt;"Vencido"),J130-FechaCorte,"")</f>
        <v/>
      </c>
      <c r="Y130" s="13" t="n">
        <f aca="false">IF(J130="","",DATE(YEAR(J130),MONTH(J130),1))</f>
        <v>46174</v>
      </c>
      <c r="Z130" s="13" t="n">
        <f aca="false">IF(AND(U130="Completado",I130&lt;&gt;""),IF(I130&lt;=FechaCorte,DATE(YEAR(I130),MONTH(I130),1),""),"")</f>
        <v>46174</v>
      </c>
      <c r="AA130" s="11" t="n">
        <f aca="false">IF(J130="","",IF(DAY(J130+1)=1,1,0))</f>
        <v>0</v>
      </c>
      <c r="AB130" s="11" t="n">
        <f aca="false">IF(AND(U130="Completado",I130&lt;&gt;"",I130=J130),1,0)</f>
        <v>0</v>
      </c>
      <c r="AC130" s="11" t="n">
        <f aca="false">IF(AND(K130&gt;=1,I130&lt;&gt;""),IF(I130&gt;FechaCorte,1,0),0)</f>
        <v>0</v>
      </c>
      <c r="AD130" s="11" t="n">
        <f aca="false">IF(AND(I130&lt;&gt;"",H130&lt;&gt;""),IF(I130&lt;H130,1,0),0)</f>
        <v>0</v>
      </c>
      <c r="AE130" s="11" t="n">
        <f aca="false">IF(OR(F130="Riesgos",F130="Obs. Auditoría"),1,0)</f>
        <v>0</v>
      </c>
      <c r="AF130" s="11" t="str">
        <f aca="false">IFERROR(MID(D130,FIND("PMC-",D130),8),"")</f>
        <v/>
      </c>
      <c r="AG130" s="11" t="n">
        <f aca="false">IF(AND(V130=1,J130&lt;&gt;""),IF(AND(J130&gt;=FechaCorte,J130&lt;=HorizonteExpuestos),1,0),0)</f>
        <v>0</v>
      </c>
    </row>
    <row r="131" customFormat="false" ht="15" hidden="false" customHeight="false" outlineLevel="0" collapsed="false">
      <c r="A131" s="7" t="n">
        <v>130</v>
      </c>
      <c r="B131" s="7" t="n">
        <v>2026</v>
      </c>
      <c r="C131" s="7" t="s">
        <v>400</v>
      </c>
      <c r="D131" s="14" t="s">
        <v>401</v>
      </c>
      <c r="E131" s="7"/>
      <c r="F131" s="7" t="s">
        <v>74</v>
      </c>
      <c r="G131" s="7" t="s">
        <v>75</v>
      </c>
      <c r="H131" s="8" t="n">
        <v>46204</v>
      </c>
      <c r="I131" s="8"/>
      <c r="J131" s="8" t="n">
        <v>46326</v>
      </c>
      <c r="K131" s="9" t="n">
        <v>0.3</v>
      </c>
      <c r="L131" s="14" t="s">
        <v>402</v>
      </c>
      <c r="M131" s="10" t="s">
        <v>403</v>
      </c>
      <c r="N131" s="11" t="str">
        <f aca="false">IFERROR(INDEX(dFrente!$B$2:$B$76,MATCH(C131,dFrente!$A$2:$A$76,0)),"Sin frente")</f>
        <v>Controles, red y M365</v>
      </c>
      <c r="O131" s="11" t="str">
        <f aca="false">IFERROR(INDEX(dNIST!$B$2:$B$13,MATCH(M131,dNIST!$A$2:$A$13,0)),"")</f>
        <v>PR</v>
      </c>
      <c r="P131" s="11" t="str">
        <f aca="false">TRIM(IFERROR(LEFT(G131,FIND(CHAR(10),G131)-1),G131))</f>
        <v>Ana María Vergara</v>
      </c>
      <c r="Q131" s="11" t="n">
        <f aca="false">LEN(TRIM(G131))-LEN(SUBSTITUTE(TRIM(G131),CHAR(10),""))+1</f>
        <v>1</v>
      </c>
      <c r="R131" s="11" t="str">
        <f aca="false">IF(E131&lt;&gt;"","Sí","No")</f>
        <v>No</v>
      </c>
      <c r="S131" s="12" t="n">
        <f aca="false">IF(OR(J131="",H131=""),"",IF(J131&lt;=H131,IF(FechaCorte&gt;=J131,1,0),MAX(0,MIN(1,(FechaCorte-H131)/(J131-H131)))))</f>
        <v>0.69672131147541</v>
      </c>
      <c r="T131" s="12" t="n">
        <f aca="false">IF(S131="","",K131-S131)</f>
        <v>-0.39672131147541</v>
      </c>
      <c r="U131" s="11" t="str">
        <f aca="false">IF(R131="Sí","Recurrente",IF(K131&gt;=1,"Completado",IF(AND(J131&lt;&gt;"",J131&lt;FechaCorte),"Vencido",IF(AND(K131=0,OR(H131="",H131&gt;FechaCorte)),"Por iniciar",IF(AND(T131&lt;&gt;"",T131&lt;=UmbralRiesgo),"En riesgo","En plazo")))))</f>
        <v>En riesgo</v>
      </c>
      <c r="V131" s="11" t="n">
        <f aca="false">IF(OR(U131="Vencido",U131="En riesgo",U131="En plazo",U131="Por iniciar"),1,0)</f>
        <v>1</v>
      </c>
      <c r="W131" s="11" t="str">
        <f aca="false">IF(U131="Vencido",FechaCorte-J131,"")</f>
        <v/>
      </c>
      <c r="X131" s="11" t="n">
        <f aca="false">IF(AND(V131=1,U131&lt;&gt;"Vencido"),J131-FechaCorte,"")</f>
        <v>37</v>
      </c>
      <c r="Y131" s="13" t="n">
        <f aca="false">IF(J131="","",DATE(YEAR(J131),MONTH(J131),1))</f>
        <v>46296</v>
      </c>
      <c r="Z131" s="13" t="str">
        <f aca="false">IF(AND(U131="Completado",I131&lt;&gt;""),IF(I131&lt;=FechaCorte,DATE(YEAR(I131),MONTH(I131),1),""),"")</f>
        <v/>
      </c>
      <c r="AA131" s="11" t="n">
        <f aca="false">IF(J131="","",IF(DAY(J131+1)=1,1,0))</f>
        <v>1</v>
      </c>
      <c r="AB131" s="11" t="n">
        <f aca="false">IF(AND(U131="Completado",I131&lt;&gt;"",I131=J131),1,0)</f>
        <v>0</v>
      </c>
      <c r="AC131" s="11" t="n">
        <f aca="false">IF(AND(K131&gt;=1,I131&lt;&gt;""),IF(I131&gt;FechaCorte,1,0),0)</f>
        <v>0</v>
      </c>
      <c r="AD131" s="11" t="n">
        <f aca="false">IF(AND(I131&lt;&gt;"",H131&lt;&gt;""),IF(I131&lt;H131,1,0),0)</f>
        <v>0</v>
      </c>
      <c r="AE131" s="11" t="n">
        <f aca="false">IF(OR(F131="Riesgos",F131="Obs. Auditoría"),1,0)</f>
        <v>0</v>
      </c>
      <c r="AF131" s="11" t="str">
        <f aca="false">IFERROR(MID(D131,FIND("PMC-",D131),8),"")</f>
        <v/>
      </c>
      <c r="AG131" s="11" t="n">
        <f aca="false">IF(AND(V131=1,J131&lt;&gt;""),IF(AND(J131&gt;=FechaCorte,J131&lt;=HorizonteExpuestos),1,0),0)</f>
        <v>0</v>
      </c>
    </row>
    <row r="132" customFormat="false" ht="15" hidden="false" customHeight="false" outlineLevel="0" collapsed="false">
      <c r="A132" s="7" t="n">
        <v>131</v>
      </c>
      <c r="B132" s="7" t="n">
        <v>2026</v>
      </c>
      <c r="C132" s="7" t="s">
        <v>404</v>
      </c>
      <c r="D132" s="7" t="s">
        <v>405</v>
      </c>
      <c r="E132" s="7"/>
      <c r="F132" s="7" t="s">
        <v>74</v>
      </c>
      <c r="G132" s="14" t="s">
        <v>406</v>
      </c>
      <c r="H132" s="8" t="n">
        <v>46235</v>
      </c>
      <c r="I132" s="8"/>
      <c r="J132" s="8" t="n">
        <v>46325</v>
      </c>
      <c r="K132" s="9" t="n">
        <v>0.33</v>
      </c>
      <c r="L132" s="7"/>
      <c r="M132" s="10" t="s">
        <v>403</v>
      </c>
      <c r="N132" s="11" t="str">
        <f aca="false">IFERROR(INDEX(dFrente!$B$2:$B$76,MATCH(C132,dFrente!$A$2:$A$76,0)),"Sin frente")</f>
        <v>Controles, red y M365</v>
      </c>
      <c r="O132" s="11" t="str">
        <f aca="false">IFERROR(INDEX(dNIST!$B$2:$B$13,MATCH(M132,dNIST!$A$2:$A$13,0)),"")</f>
        <v>PR</v>
      </c>
      <c r="P132" s="11" t="str">
        <f aca="false">TRIM(IFERROR(LEFT(G132,FIND(CHAR(10),G132)-1),G132))</f>
        <v>Bryan Uyana</v>
      </c>
      <c r="Q132" s="11" t="n">
        <f aca="false">LEN(TRIM(G132))-LEN(SUBSTITUTE(TRIM(G132),CHAR(10),""))+1</f>
        <v>3</v>
      </c>
      <c r="R132" s="11" t="str">
        <f aca="false">IF(E132&lt;&gt;"","Sí","No")</f>
        <v>No</v>
      </c>
      <c r="S132" s="12" t="n">
        <f aca="false">IF(OR(J132="",H132=""),"",IF(J132&lt;=H132,IF(FechaCorte&gt;=J132,1,0),MAX(0,MIN(1,(FechaCorte-H132)/(J132-H132)))))</f>
        <v>0.6</v>
      </c>
      <c r="T132" s="12" t="n">
        <f aca="false">IF(S132="","",K132-S132)</f>
        <v>-0.27</v>
      </c>
      <c r="U132" s="11" t="str">
        <f aca="false">IF(R132="Sí","Recurrente",IF(K132&gt;=1,"Completado",IF(AND(J132&lt;&gt;"",J132&lt;FechaCorte),"Vencido",IF(AND(K132=0,OR(H132="",H132&gt;FechaCorte)),"Por iniciar",IF(AND(T132&lt;&gt;"",T132&lt;=UmbralRiesgo),"En riesgo","En plazo")))))</f>
        <v>En riesgo</v>
      </c>
      <c r="V132" s="11" t="n">
        <f aca="false">IF(OR(U132="Vencido",U132="En riesgo",U132="En plazo",U132="Por iniciar"),1,0)</f>
        <v>1</v>
      </c>
      <c r="W132" s="11" t="str">
        <f aca="false">IF(U132="Vencido",FechaCorte-J132,"")</f>
        <v/>
      </c>
      <c r="X132" s="11" t="n">
        <f aca="false">IF(AND(V132=1,U132&lt;&gt;"Vencido"),J132-FechaCorte,"")</f>
        <v>36</v>
      </c>
      <c r="Y132" s="13" t="n">
        <f aca="false">IF(J132="","",DATE(YEAR(J132),MONTH(J132),1))</f>
        <v>46296</v>
      </c>
      <c r="Z132" s="13" t="str">
        <f aca="false">IF(AND(U132="Completado",I132&lt;&gt;""),IF(I132&lt;=FechaCorte,DATE(YEAR(I132),MONTH(I132),1),""),"")</f>
        <v/>
      </c>
      <c r="AA132" s="11" t="n">
        <f aca="false">IF(J132="","",IF(DAY(J132+1)=1,1,0))</f>
        <v>0</v>
      </c>
      <c r="AB132" s="11" t="n">
        <f aca="false">IF(AND(U132="Completado",I132&lt;&gt;"",I132=J132),1,0)</f>
        <v>0</v>
      </c>
      <c r="AC132" s="11" t="n">
        <f aca="false">IF(AND(K132&gt;=1,I132&lt;&gt;""),IF(I132&gt;FechaCorte,1,0),0)</f>
        <v>0</v>
      </c>
      <c r="AD132" s="11" t="n">
        <f aca="false">IF(AND(I132&lt;&gt;"",H132&lt;&gt;""),IF(I132&lt;H132,1,0),0)</f>
        <v>0</v>
      </c>
      <c r="AE132" s="11" t="n">
        <f aca="false">IF(OR(F132="Riesgos",F132="Obs. Auditoría"),1,0)</f>
        <v>0</v>
      </c>
      <c r="AF132" s="11" t="str">
        <f aca="false">IFERROR(MID(D132,FIND("PMC-",D132),8),"")</f>
        <v/>
      </c>
      <c r="AG132" s="11" t="n">
        <f aca="false">IF(AND(V132=1,J132&lt;&gt;""),IF(AND(J132&gt;=FechaCorte,J132&lt;=HorizonteExpuestos),1,0),0)</f>
        <v>0</v>
      </c>
    </row>
    <row r="133" customFormat="false" ht="15" hidden="false" customHeight="false" outlineLevel="0" collapsed="false">
      <c r="A133" s="7" t="n">
        <v>132</v>
      </c>
      <c r="B133" s="7" t="n">
        <v>2026</v>
      </c>
      <c r="C133" s="7" t="s">
        <v>407</v>
      </c>
      <c r="D133" s="7" t="s">
        <v>408</v>
      </c>
      <c r="E133" s="7"/>
      <c r="F133" s="7" t="s">
        <v>74</v>
      </c>
      <c r="G133" s="14" t="s">
        <v>409</v>
      </c>
      <c r="H133" s="8" t="n">
        <v>46082</v>
      </c>
      <c r="I133" s="8" t="n">
        <v>46199</v>
      </c>
      <c r="J133" s="8" t="n">
        <v>46199</v>
      </c>
      <c r="K133" s="9" t="n">
        <v>1</v>
      </c>
      <c r="L133" s="7"/>
      <c r="M133" s="10" t="s">
        <v>81</v>
      </c>
      <c r="N133" s="11" t="str">
        <f aca="false">IFERROR(INDEX(dFrente!$B$2:$B$76,MATCH(C133,dFrente!$A$2:$A$76,0)),"Sin frente")</f>
        <v>Privilegiados y contraseñas</v>
      </c>
      <c r="O133" s="11" t="str">
        <f aca="false">IFERROR(INDEX(dNIST!$B$2:$B$13,MATCH(M133,dNIST!$A$2:$A$13,0)),"")</f>
        <v>PR</v>
      </c>
      <c r="P133" s="11" t="str">
        <f aca="false">TRIM(IFERROR(LEFT(G133,FIND(CHAR(10),G133)-1),G133))</f>
        <v>Ariel Villacis</v>
      </c>
      <c r="Q133" s="11" t="n">
        <f aca="false">LEN(TRIM(G133))-LEN(SUBSTITUTE(TRIM(G133),CHAR(10),""))+1</f>
        <v>2</v>
      </c>
      <c r="R133" s="11" t="str">
        <f aca="false">IF(E133&lt;&gt;"","Sí","No")</f>
        <v>No</v>
      </c>
      <c r="S133" s="12" t="n">
        <f aca="false">IF(OR(J133="",H133=""),"",IF(J133&lt;=H133,IF(FechaCorte&gt;=J133,1,0),MAX(0,MIN(1,(FechaCorte-H133)/(J133-H133)))))</f>
        <v>1</v>
      </c>
      <c r="T133" s="12" t="n">
        <f aca="false">IF(S133="","",K133-S133)</f>
        <v>0</v>
      </c>
      <c r="U133" s="11" t="str">
        <f aca="false">IF(R133="Sí","Recurrente",IF(K133&gt;=1,"Completado",IF(AND(J133&lt;&gt;"",J133&lt;FechaCorte),"Vencido",IF(AND(K133=0,OR(H133="",H133&gt;FechaCorte)),"Por iniciar",IF(AND(T133&lt;&gt;"",T133&lt;=UmbralRiesgo),"En riesgo","En plazo")))))</f>
        <v>Completado</v>
      </c>
      <c r="V133" s="11" t="n">
        <f aca="false">IF(OR(U133="Vencido",U133="En riesgo",U133="En plazo",U133="Por iniciar"),1,0)</f>
        <v>0</v>
      </c>
      <c r="W133" s="11" t="str">
        <f aca="false">IF(U133="Vencido",FechaCorte-J133,"")</f>
        <v/>
      </c>
      <c r="X133" s="11" t="str">
        <f aca="false">IF(AND(V133=1,U133&lt;&gt;"Vencido"),J133-FechaCorte,"")</f>
        <v/>
      </c>
      <c r="Y133" s="13" t="n">
        <f aca="false">IF(J133="","",DATE(YEAR(J133),MONTH(J133),1))</f>
        <v>46174</v>
      </c>
      <c r="Z133" s="13" t="n">
        <f aca="false">IF(AND(U133="Completado",I133&lt;&gt;""),IF(I133&lt;=FechaCorte,DATE(YEAR(I133),MONTH(I133),1),""),"")</f>
        <v>46174</v>
      </c>
      <c r="AA133" s="11" t="n">
        <f aca="false">IF(J133="","",IF(DAY(J133+1)=1,1,0))</f>
        <v>0</v>
      </c>
      <c r="AB133" s="11" t="n">
        <f aca="false">IF(AND(U133="Completado",I133&lt;&gt;"",I133=J133),1,0)</f>
        <v>1</v>
      </c>
      <c r="AC133" s="11" t="n">
        <f aca="false">IF(AND(K133&gt;=1,I133&lt;&gt;""),IF(I133&gt;FechaCorte,1,0),0)</f>
        <v>0</v>
      </c>
      <c r="AD133" s="11" t="n">
        <f aca="false">IF(AND(I133&lt;&gt;"",H133&lt;&gt;""),IF(I133&lt;H133,1,0),0)</f>
        <v>0</v>
      </c>
      <c r="AE133" s="11" t="n">
        <f aca="false">IF(OR(F133="Riesgos",F133="Obs. Auditoría"),1,0)</f>
        <v>0</v>
      </c>
      <c r="AF133" s="11" t="str">
        <f aca="false">IFERROR(MID(D133,FIND("PMC-",D133),8),"")</f>
        <v/>
      </c>
      <c r="AG133" s="11" t="n">
        <f aca="false">IF(AND(V133=1,J133&lt;&gt;""),IF(AND(J133&gt;=FechaCorte,J133&lt;=HorizonteExpuestos),1,0),0)</f>
        <v>0</v>
      </c>
    </row>
    <row r="134" customFormat="false" ht="15" hidden="false" customHeight="false" outlineLevel="0" collapsed="false">
      <c r="A134" s="7" t="n">
        <v>133</v>
      </c>
      <c r="B134" s="7" t="n">
        <v>2026</v>
      </c>
      <c r="C134" s="7" t="s">
        <v>407</v>
      </c>
      <c r="D134" s="14" t="s">
        <v>410</v>
      </c>
      <c r="E134" s="7"/>
      <c r="F134" s="7" t="s">
        <v>74</v>
      </c>
      <c r="G134" s="7" t="s">
        <v>411</v>
      </c>
      <c r="H134" s="8" t="n">
        <v>46185</v>
      </c>
      <c r="I134" s="8"/>
      <c r="J134" s="8" t="n">
        <v>46326</v>
      </c>
      <c r="K134" s="9" t="n">
        <v>0</v>
      </c>
      <c r="L134" s="14" t="s">
        <v>412</v>
      </c>
      <c r="M134" s="10" t="s">
        <v>81</v>
      </c>
      <c r="N134" s="11" t="str">
        <f aca="false">IFERROR(INDEX(dFrente!$B$2:$B$76,MATCH(C134,dFrente!$A$2:$A$76,0)),"Sin frente")</f>
        <v>Privilegiados y contraseñas</v>
      </c>
      <c r="O134" s="11" t="str">
        <f aca="false">IFERROR(INDEX(dNIST!$B$2:$B$13,MATCH(M134,dNIST!$A$2:$A$13,0)),"")</f>
        <v>PR</v>
      </c>
      <c r="P134" s="11" t="str">
        <f aca="false">TRIM(IFERROR(LEFT(G134,FIND(CHAR(10),G134)-1),G134))</f>
        <v>Vinicio Samaniego</v>
      </c>
      <c r="Q134" s="11" t="n">
        <f aca="false">LEN(TRIM(G134))-LEN(SUBSTITUTE(TRIM(G134),CHAR(10),""))+1</f>
        <v>1</v>
      </c>
      <c r="R134" s="11" t="str">
        <f aca="false">IF(E134&lt;&gt;"","Sí","No")</f>
        <v>No</v>
      </c>
      <c r="S134" s="12" t="n">
        <f aca="false">IF(OR(J134="",H134=""),"",IF(J134&lt;=H134,IF(FechaCorte&gt;=J134,1,0),MAX(0,MIN(1,(FechaCorte-H134)/(J134-H134)))))</f>
        <v>0.73758865248227</v>
      </c>
      <c r="T134" s="12" t="n">
        <f aca="false">IF(S134="","",K134-S134)</f>
        <v>-0.73758865248227</v>
      </c>
      <c r="U134" s="11" t="str">
        <f aca="false">IF(R134="Sí","Recurrente",IF(K134&gt;=1,"Completado",IF(AND(J134&lt;&gt;"",J134&lt;FechaCorte),"Vencido",IF(AND(K134=0,OR(H134="",H134&gt;FechaCorte)),"Por iniciar",IF(AND(T134&lt;&gt;"",T134&lt;=UmbralRiesgo),"En riesgo","En plazo")))))</f>
        <v>En riesgo</v>
      </c>
      <c r="V134" s="11" t="n">
        <f aca="false">IF(OR(U134="Vencido",U134="En riesgo",U134="En plazo",U134="Por iniciar"),1,0)</f>
        <v>1</v>
      </c>
      <c r="W134" s="11" t="str">
        <f aca="false">IF(U134="Vencido",FechaCorte-J134,"")</f>
        <v/>
      </c>
      <c r="X134" s="11" t="n">
        <f aca="false">IF(AND(V134=1,U134&lt;&gt;"Vencido"),J134-FechaCorte,"")</f>
        <v>37</v>
      </c>
      <c r="Y134" s="13" t="n">
        <f aca="false">IF(J134="","",DATE(YEAR(J134),MONTH(J134),1))</f>
        <v>46296</v>
      </c>
      <c r="Z134" s="13" t="str">
        <f aca="false">IF(AND(U134="Completado",I134&lt;&gt;""),IF(I134&lt;=FechaCorte,DATE(YEAR(I134),MONTH(I134),1),""),"")</f>
        <v/>
      </c>
      <c r="AA134" s="11" t="n">
        <f aca="false">IF(J134="","",IF(DAY(J134+1)=1,1,0))</f>
        <v>1</v>
      </c>
      <c r="AB134" s="11" t="n">
        <f aca="false">IF(AND(U134="Completado",I134&lt;&gt;"",I134=J134),1,0)</f>
        <v>0</v>
      </c>
      <c r="AC134" s="11" t="n">
        <f aca="false">IF(AND(K134&gt;=1,I134&lt;&gt;""),IF(I134&gt;FechaCorte,1,0),0)</f>
        <v>0</v>
      </c>
      <c r="AD134" s="11" t="n">
        <f aca="false">IF(AND(I134&lt;&gt;"",H134&lt;&gt;""),IF(I134&lt;H134,1,0),0)</f>
        <v>0</v>
      </c>
      <c r="AE134" s="11" t="n">
        <f aca="false">IF(OR(F134="Riesgos",F134="Obs. Auditoría"),1,0)</f>
        <v>0</v>
      </c>
      <c r="AF134" s="11" t="str">
        <f aca="false">IFERROR(MID(D134,FIND("PMC-",D134),8),"")</f>
        <v/>
      </c>
      <c r="AG134" s="11" t="n">
        <f aca="false">IF(AND(V134=1,J134&lt;&gt;""),IF(AND(J134&gt;=FechaCorte,J134&lt;=HorizonteExpuestos),1,0),0)</f>
        <v>0</v>
      </c>
    </row>
    <row r="135" customFormat="false" ht="15" hidden="false" customHeight="false" outlineLevel="0" collapsed="false">
      <c r="A135" s="7" t="n">
        <v>134</v>
      </c>
      <c r="B135" s="7" t="n">
        <v>2026</v>
      </c>
      <c r="C135" s="7" t="s">
        <v>413</v>
      </c>
      <c r="D135" s="7" t="s">
        <v>414</v>
      </c>
      <c r="E135" s="7"/>
      <c r="F135" s="7" t="s">
        <v>106</v>
      </c>
      <c r="G135" s="14" t="s">
        <v>415</v>
      </c>
      <c r="H135" s="8" t="n">
        <v>46163</v>
      </c>
      <c r="I135" s="8" t="n">
        <v>46224</v>
      </c>
      <c r="J135" s="8" t="n">
        <v>46224</v>
      </c>
      <c r="K135" s="9" t="n">
        <v>1</v>
      </c>
      <c r="L135" s="7"/>
      <c r="M135" s="10" t="s">
        <v>351</v>
      </c>
      <c r="N135" s="11" t="str">
        <f aca="false">IFERROR(INDEX(dFrente!$B$2:$B$76,MATCH(C135,dFrente!$A$2:$A$76,0)),"Sin frente")</f>
        <v>Controles, red y M365</v>
      </c>
      <c r="O135" s="11" t="str">
        <f aca="false">IFERROR(INDEX(dNIST!$B$2:$B$13,MATCH(M135,dNIST!$A$2:$A$13,0)),"")</f>
        <v>PR</v>
      </c>
      <c r="P135" s="11" t="str">
        <f aca="false">TRIM(IFERROR(LEFT(G135,FIND(CHAR(10),G135)-1),G135))</f>
        <v>Bryan Uyana</v>
      </c>
      <c r="Q135" s="11" t="n">
        <f aca="false">LEN(TRIM(G135))-LEN(SUBSTITUTE(TRIM(G135),CHAR(10),""))+1</f>
        <v>2</v>
      </c>
      <c r="R135" s="11" t="str">
        <f aca="false">IF(E135&lt;&gt;"","Sí","No")</f>
        <v>No</v>
      </c>
      <c r="S135" s="12" t="n">
        <f aca="false">IF(OR(J135="",H135=""),"",IF(J135&lt;=H135,IF(FechaCorte&gt;=J135,1,0),MAX(0,MIN(1,(FechaCorte-H135)/(J135-H135)))))</f>
        <v>1</v>
      </c>
      <c r="T135" s="12" t="n">
        <f aca="false">IF(S135="","",K135-S135)</f>
        <v>0</v>
      </c>
      <c r="U135" s="11" t="str">
        <f aca="false">IF(R135="Sí","Recurrente",IF(K135&gt;=1,"Completado",IF(AND(J135&lt;&gt;"",J135&lt;FechaCorte),"Vencido",IF(AND(K135=0,OR(H135="",H135&gt;FechaCorte)),"Por iniciar",IF(AND(T135&lt;&gt;"",T135&lt;=UmbralRiesgo),"En riesgo","En plazo")))))</f>
        <v>Completado</v>
      </c>
      <c r="V135" s="11" t="n">
        <f aca="false">IF(OR(U135="Vencido",U135="En riesgo",U135="En plazo",U135="Por iniciar"),1,0)</f>
        <v>0</v>
      </c>
      <c r="W135" s="11" t="str">
        <f aca="false">IF(U135="Vencido",FechaCorte-J135,"")</f>
        <v/>
      </c>
      <c r="X135" s="11" t="str">
        <f aca="false">IF(AND(V135=1,U135&lt;&gt;"Vencido"),J135-FechaCorte,"")</f>
        <v/>
      </c>
      <c r="Y135" s="13" t="n">
        <f aca="false">IF(J135="","",DATE(YEAR(J135),MONTH(J135),1))</f>
        <v>46204</v>
      </c>
      <c r="Z135" s="13" t="n">
        <f aca="false">IF(AND(U135="Completado",I135&lt;&gt;""),IF(I135&lt;=FechaCorte,DATE(YEAR(I135),MONTH(I135),1),""),"")</f>
        <v>46204</v>
      </c>
      <c r="AA135" s="11" t="n">
        <f aca="false">IF(J135="","",IF(DAY(J135+1)=1,1,0))</f>
        <v>0</v>
      </c>
      <c r="AB135" s="11" t="n">
        <f aca="false">IF(AND(U135="Completado",I135&lt;&gt;"",I135=J135),1,0)</f>
        <v>1</v>
      </c>
      <c r="AC135" s="11" t="n">
        <f aca="false">IF(AND(K135&gt;=1,I135&lt;&gt;""),IF(I135&gt;FechaCorte,1,0),0)</f>
        <v>0</v>
      </c>
      <c r="AD135" s="11" t="n">
        <f aca="false">IF(AND(I135&lt;&gt;"",H135&lt;&gt;""),IF(I135&lt;H135,1,0),0)</f>
        <v>0</v>
      </c>
      <c r="AE135" s="11" t="n">
        <f aca="false">IF(OR(F135="Riesgos",F135="Obs. Auditoría"),1,0)</f>
        <v>0</v>
      </c>
      <c r="AF135" s="11" t="str">
        <f aca="false">IFERROR(MID(D135,FIND("PMC-",D135),8),"")</f>
        <v/>
      </c>
      <c r="AG135" s="11" t="n">
        <f aca="false">IF(AND(V135=1,J135&lt;&gt;""),IF(AND(J135&gt;=FechaCorte,J135&lt;=HorizonteExpuestos),1,0),0)</f>
        <v>0</v>
      </c>
    </row>
    <row r="136" customFormat="false" ht="15" hidden="false" customHeight="false" outlineLevel="0" collapsed="false">
      <c r="A136" s="7" t="n">
        <v>135</v>
      </c>
      <c r="B136" s="7" t="n">
        <v>2026</v>
      </c>
      <c r="C136" s="7" t="s">
        <v>413</v>
      </c>
      <c r="D136" s="7" t="s">
        <v>416</v>
      </c>
      <c r="E136" s="7"/>
      <c r="F136" s="7" t="s">
        <v>106</v>
      </c>
      <c r="G136" s="14" t="s">
        <v>415</v>
      </c>
      <c r="H136" s="8" t="n">
        <v>46163</v>
      </c>
      <c r="I136" s="8" t="n">
        <v>46196</v>
      </c>
      <c r="J136" s="8" t="n">
        <v>46196</v>
      </c>
      <c r="K136" s="9" t="n">
        <v>1</v>
      </c>
      <c r="L136" s="7" t="s">
        <v>417</v>
      </c>
      <c r="M136" s="10" t="s">
        <v>351</v>
      </c>
      <c r="N136" s="11" t="str">
        <f aca="false">IFERROR(INDEX(dFrente!$B$2:$B$76,MATCH(C136,dFrente!$A$2:$A$76,0)),"Sin frente")</f>
        <v>Controles, red y M365</v>
      </c>
      <c r="O136" s="11" t="str">
        <f aca="false">IFERROR(INDEX(dNIST!$B$2:$B$13,MATCH(M136,dNIST!$A$2:$A$13,0)),"")</f>
        <v>PR</v>
      </c>
      <c r="P136" s="11" t="str">
        <f aca="false">TRIM(IFERROR(LEFT(G136,FIND(CHAR(10),G136)-1),G136))</f>
        <v>Bryan Uyana</v>
      </c>
      <c r="Q136" s="11" t="n">
        <f aca="false">LEN(TRIM(G136))-LEN(SUBSTITUTE(TRIM(G136),CHAR(10),""))+1</f>
        <v>2</v>
      </c>
      <c r="R136" s="11" t="str">
        <f aca="false">IF(E136&lt;&gt;"","Sí","No")</f>
        <v>No</v>
      </c>
      <c r="S136" s="12" t="n">
        <f aca="false">IF(OR(J136="",H136=""),"",IF(J136&lt;=H136,IF(FechaCorte&gt;=J136,1,0),MAX(0,MIN(1,(FechaCorte-H136)/(J136-H136)))))</f>
        <v>1</v>
      </c>
      <c r="T136" s="12" t="n">
        <f aca="false">IF(S136="","",K136-S136)</f>
        <v>0</v>
      </c>
      <c r="U136" s="11" t="str">
        <f aca="false">IF(R136="Sí","Recurrente",IF(K136&gt;=1,"Completado",IF(AND(J136&lt;&gt;"",J136&lt;FechaCorte),"Vencido",IF(AND(K136=0,OR(H136="",H136&gt;FechaCorte)),"Por iniciar",IF(AND(T136&lt;&gt;"",T136&lt;=UmbralRiesgo),"En riesgo","En plazo")))))</f>
        <v>Completado</v>
      </c>
      <c r="V136" s="11" t="n">
        <f aca="false">IF(OR(U136="Vencido",U136="En riesgo",U136="En plazo",U136="Por iniciar"),1,0)</f>
        <v>0</v>
      </c>
      <c r="W136" s="11" t="str">
        <f aca="false">IF(U136="Vencido",FechaCorte-J136,"")</f>
        <v/>
      </c>
      <c r="X136" s="11" t="str">
        <f aca="false">IF(AND(V136=1,U136&lt;&gt;"Vencido"),J136-FechaCorte,"")</f>
        <v/>
      </c>
      <c r="Y136" s="13" t="n">
        <f aca="false">IF(J136="","",DATE(YEAR(J136),MONTH(J136),1))</f>
        <v>46174</v>
      </c>
      <c r="Z136" s="13" t="n">
        <f aca="false">IF(AND(U136="Completado",I136&lt;&gt;""),IF(I136&lt;=FechaCorte,DATE(YEAR(I136),MONTH(I136),1),""),"")</f>
        <v>46174</v>
      </c>
      <c r="AA136" s="11" t="n">
        <f aca="false">IF(J136="","",IF(DAY(J136+1)=1,1,0))</f>
        <v>0</v>
      </c>
      <c r="AB136" s="11" t="n">
        <f aca="false">IF(AND(U136="Completado",I136&lt;&gt;"",I136=J136),1,0)</f>
        <v>1</v>
      </c>
      <c r="AC136" s="11" t="n">
        <f aca="false">IF(AND(K136&gt;=1,I136&lt;&gt;""),IF(I136&gt;FechaCorte,1,0),0)</f>
        <v>0</v>
      </c>
      <c r="AD136" s="11" t="n">
        <f aca="false">IF(AND(I136&lt;&gt;"",H136&lt;&gt;""),IF(I136&lt;H136,1,0),0)</f>
        <v>0</v>
      </c>
      <c r="AE136" s="11" t="n">
        <f aca="false">IF(OR(F136="Riesgos",F136="Obs. Auditoría"),1,0)</f>
        <v>0</v>
      </c>
      <c r="AF136" s="11" t="str">
        <f aca="false">IFERROR(MID(D136,FIND("PMC-",D136),8),"")</f>
        <v/>
      </c>
      <c r="AG136" s="11" t="n">
        <f aca="false">IF(AND(V136=1,J136&lt;&gt;""),IF(AND(J136&gt;=FechaCorte,J136&lt;=HorizonteExpuestos),1,0),0)</f>
        <v>0</v>
      </c>
    </row>
    <row r="137" customFormat="false" ht="15" hidden="false" customHeight="false" outlineLevel="0" collapsed="false">
      <c r="A137" s="7" t="n">
        <v>136</v>
      </c>
      <c r="B137" s="7" t="n">
        <v>2026</v>
      </c>
      <c r="C137" s="7" t="s">
        <v>418</v>
      </c>
      <c r="D137" s="7" t="s">
        <v>419</v>
      </c>
      <c r="E137" s="7"/>
      <c r="F137" s="7" t="s">
        <v>114</v>
      </c>
      <c r="G137" s="7" t="s">
        <v>75</v>
      </c>
      <c r="H137" s="8" t="n">
        <v>46188</v>
      </c>
      <c r="I137" s="8"/>
      <c r="J137" s="8" t="n">
        <v>46295</v>
      </c>
      <c r="K137" s="9" t="n">
        <v>0.8</v>
      </c>
      <c r="L137" s="14" t="s">
        <v>420</v>
      </c>
      <c r="M137" s="10" t="s">
        <v>421</v>
      </c>
      <c r="N137" s="11" t="str">
        <f aca="false">IFERROR(INDEX(dFrente!$B$2:$B$76,MATCH(C137,dFrente!$A$2:$A$76,0)),"Sin frente")</f>
        <v>Gobierno y reportería</v>
      </c>
      <c r="O137" s="11" t="str">
        <f aca="false">IFERROR(INDEX(dNIST!$B$2:$B$13,MATCH(M137,dNIST!$A$2:$A$13,0)),"")</f>
        <v>RC</v>
      </c>
      <c r="P137" s="11" t="str">
        <f aca="false">TRIM(IFERROR(LEFT(G137,FIND(CHAR(10),G137)-1),G137))</f>
        <v>Ana María Vergara</v>
      </c>
      <c r="Q137" s="11" t="n">
        <f aca="false">LEN(TRIM(G137))-LEN(SUBSTITUTE(TRIM(G137),CHAR(10),""))+1</f>
        <v>1</v>
      </c>
      <c r="R137" s="11" t="str">
        <f aca="false">IF(E137&lt;&gt;"","Sí","No")</f>
        <v>No</v>
      </c>
      <c r="S137" s="12" t="n">
        <f aca="false">IF(OR(J137="",H137=""),"",IF(J137&lt;=H137,IF(FechaCorte&gt;=J137,1,0),MAX(0,MIN(1,(FechaCorte-H137)/(J137-H137)))))</f>
        <v>0.94392523364486</v>
      </c>
      <c r="T137" s="12" t="n">
        <f aca="false">IF(S137="","",K137-S137)</f>
        <v>-0.14392523364486</v>
      </c>
      <c r="U137" s="11" t="str">
        <f aca="false">IF(R137="Sí","Recurrente",IF(K137&gt;=1,"Completado",IF(AND(J137&lt;&gt;"",J137&lt;FechaCorte),"Vencido",IF(AND(K137=0,OR(H137="",H137&gt;FechaCorte)),"Por iniciar",IF(AND(T137&lt;&gt;"",T137&lt;=UmbralRiesgo),"En riesgo","En plazo")))))</f>
        <v>En plazo</v>
      </c>
      <c r="V137" s="11" t="n">
        <f aca="false">IF(OR(U137="Vencido",U137="En riesgo",U137="En plazo",U137="Por iniciar"),1,0)</f>
        <v>1</v>
      </c>
      <c r="W137" s="11" t="str">
        <f aca="false">IF(U137="Vencido",FechaCorte-J137,"")</f>
        <v/>
      </c>
      <c r="X137" s="11" t="n">
        <f aca="false">IF(AND(V137=1,U137&lt;&gt;"Vencido"),J137-FechaCorte,"")</f>
        <v>6</v>
      </c>
      <c r="Y137" s="13" t="n">
        <f aca="false">IF(J137="","",DATE(YEAR(J137),MONTH(J137),1))</f>
        <v>46266</v>
      </c>
      <c r="Z137" s="13" t="str">
        <f aca="false">IF(AND(U137="Completado",I137&lt;&gt;""),IF(I137&lt;=FechaCorte,DATE(YEAR(I137),MONTH(I137),1),""),"")</f>
        <v/>
      </c>
      <c r="AA137" s="11" t="n">
        <f aca="false">IF(J137="","",IF(DAY(J137+1)=1,1,0))</f>
        <v>1</v>
      </c>
      <c r="AB137" s="11" t="n">
        <f aca="false">IF(AND(U137="Completado",I137&lt;&gt;"",I137=J137),1,0)</f>
        <v>0</v>
      </c>
      <c r="AC137" s="11" t="n">
        <f aca="false">IF(AND(K137&gt;=1,I137&lt;&gt;""),IF(I137&gt;FechaCorte,1,0),0)</f>
        <v>0</v>
      </c>
      <c r="AD137" s="11" t="n">
        <f aca="false">IF(AND(I137&lt;&gt;"",H137&lt;&gt;""),IF(I137&lt;H137,1,0),0)</f>
        <v>0</v>
      </c>
      <c r="AE137" s="11" t="n">
        <f aca="false">IF(OR(F137="Riesgos",F137="Obs. Auditoría"),1,0)</f>
        <v>0</v>
      </c>
      <c r="AF137" s="11" t="str">
        <f aca="false">IFERROR(MID(D137,FIND("PMC-",D137),8),"")</f>
        <v/>
      </c>
      <c r="AG137" s="11" t="n">
        <f aca="false">IF(AND(V137=1,J137&lt;&gt;""),IF(AND(J137&gt;=FechaCorte,J137&lt;=HorizonteExpuestos),1,0),0)</f>
        <v>1</v>
      </c>
    </row>
    <row r="138" customFormat="false" ht="15" hidden="false" customHeight="false" outlineLevel="0" collapsed="false">
      <c r="A138" s="7" t="n">
        <v>137</v>
      </c>
      <c r="B138" s="7" t="n">
        <v>2026</v>
      </c>
      <c r="C138" s="7" t="s">
        <v>422</v>
      </c>
      <c r="D138" s="7" t="s">
        <v>423</v>
      </c>
      <c r="E138" s="7"/>
      <c r="F138" s="7" t="s">
        <v>114</v>
      </c>
      <c r="G138" s="7" t="s">
        <v>75</v>
      </c>
      <c r="H138" s="8" t="n">
        <v>46204</v>
      </c>
      <c r="I138" s="8" t="n">
        <v>46244</v>
      </c>
      <c r="J138" s="8" t="n">
        <v>46254</v>
      </c>
      <c r="K138" s="9" t="n">
        <v>1</v>
      </c>
      <c r="L138" s="14" t="s">
        <v>424</v>
      </c>
      <c r="M138" s="10" t="s">
        <v>425</v>
      </c>
      <c r="N138" s="11" t="str">
        <f aca="false">IFERROR(INDEX(dFrente!$B$2:$B$76,MATCH(C138,dFrente!$A$2:$A$76,0)),"Sin frente")</f>
        <v>Gobierno y reportería</v>
      </c>
      <c r="O138" s="11" t="str">
        <f aca="false">IFERROR(INDEX(dNIST!$B$2:$B$13,MATCH(M138,dNIST!$A$2:$A$13,0)),"")</f>
        <v>ID</v>
      </c>
      <c r="P138" s="11" t="str">
        <f aca="false">TRIM(IFERROR(LEFT(G138,FIND(CHAR(10),G138)-1),G138))</f>
        <v>Ana María Vergara</v>
      </c>
      <c r="Q138" s="11" t="n">
        <f aca="false">LEN(TRIM(G138))-LEN(SUBSTITUTE(TRIM(G138),CHAR(10),""))+1</f>
        <v>1</v>
      </c>
      <c r="R138" s="11" t="str">
        <f aca="false">IF(E138&lt;&gt;"","Sí","No")</f>
        <v>No</v>
      </c>
      <c r="S138" s="12" t="n">
        <f aca="false">IF(OR(J138="",H138=""),"",IF(J138&lt;=H138,IF(FechaCorte&gt;=J138,1,0),MAX(0,MIN(1,(FechaCorte-H138)/(J138-H138)))))</f>
        <v>1</v>
      </c>
      <c r="T138" s="12" t="n">
        <f aca="false">IF(S138="","",K138-S138)</f>
        <v>0</v>
      </c>
      <c r="U138" s="11" t="str">
        <f aca="false">IF(R138="Sí","Recurrente",IF(K138&gt;=1,"Completado",IF(AND(J138&lt;&gt;"",J138&lt;FechaCorte),"Vencido",IF(AND(K138=0,OR(H138="",H138&gt;FechaCorte)),"Por iniciar",IF(AND(T138&lt;&gt;"",T138&lt;=UmbralRiesgo),"En riesgo","En plazo")))))</f>
        <v>Completado</v>
      </c>
      <c r="V138" s="11" t="n">
        <f aca="false">IF(OR(U138="Vencido",U138="En riesgo",U138="En plazo",U138="Por iniciar"),1,0)</f>
        <v>0</v>
      </c>
      <c r="W138" s="11" t="str">
        <f aca="false">IF(U138="Vencido",FechaCorte-J138,"")</f>
        <v/>
      </c>
      <c r="X138" s="11" t="str">
        <f aca="false">IF(AND(V138=1,U138&lt;&gt;"Vencido"),J138-FechaCorte,"")</f>
        <v/>
      </c>
      <c r="Y138" s="13" t="n">
        <f aca="false">IF(J138="","",DATE(YEAR(J138),MONTH(J138),1))</f>
        <v>46235</v>
      </c>
      <c r="Z138" s="13" t="n">
        <f aca="false">IF(AND(U138="Completado",I138&lt;&gt;""),IF(I138&lt;=FechaCorte,DATE(YEAR(I138),MONTH(I138),1),""),"")</f>
        <v>46235</v>
      </c>
      <c r="AA138" s="11" t="n">
        <f aca="false">IF(J138="","",IF(DAY(J138+1)=1,1,0))</f>
        <v>0</v>
      </c>
      <c r="AB138" s="11" t="n">
        <f aca="false">IF(AND(U138="Completado",I138&lt;&gt;"",I138=J138),1,0)</f>
        <v>0</v>
      </c>
      <c r="AC138" s="11" t="n">
        <f aca="false">IF(AND(K138&gt;=1,I138&lt;&gt;""),IF(I138&gt;FechaCorte,1,0),0)</f>
        <v>0</v>
      </c>
      <c r="AD138" s="11" t="n">
        <f aca="false">IF(AND(I138&lt;&gt;"",H138&lt;&gt;""),IF(I138&lt;H138,1,0),0)</f>
        <v>0</v>
      </c>
      <c r="AE138" s="11" t="n">
        <f aca="false">IF(OR(F138="Riesgos",F138="Obs. Auditoría"),1,0)</f>
        <v>0</v>
      </c>
      <c r="AF138" s="11" t="str">
        <f aca="false">IFERROR(MID(D138,FIND("PMC-",D138),8),"")</f>
        <v/>
      </c>
      <c r="AG138" s="11" t="n">
        <f aca="false">IF(AND(V138=1,J138&lt;&gt;""),IF(AND(J138&gt;=FechaCorte,J138&lt;=HorizonteExpuestos),1,0),0)</f>
        <v>0</v>
      </c>
    </row>
    <row r="139" customFormat="false" ht="15" hidden="false" customHeight="false" outlineLevel="0" collapsed="false">
      <c r="A139" s="7" t="n">
        <v>138</v>
      </c>
      <c r="B139" s="7" t="n">
        <v>2026</v>
      </c>
      <c r="C139" s="7" t="s">
        <v>426</v>
      </c>
      <c r="D139" s="14" t="s">
        <v>427</v>
      </c>
      <c r="E139" s="7" t="s">
        <v>130</v>
      </c>
      <c r="F139" s="7" t="s">
        <v>131</v>
      </c>
      <c r="G139" s="7" t="s">
        <v>411</v>
      </c>
      <c r="H139" s="8" t="n">
        <v>46181</v>
      </c>
      <c r="I139" s="8"/>
      <c r="J139" s="8"/>
      <c r="K139" s="9" t="n">
        <v>1</v>
      </c>
      <c r="L139" s="7" t="s">
        <v>428</v>
      </c>
      <c r="M139" s="10" t="s">
        <v>178</v>
      </c>
      <c r="N139" s="11" t="str">
        <f aca="false">IFERROR(INDEX(dFrente!$B$2:$B$76,MATCH(C139,dFrente!$A$2:$A$76,0)),"Sin frente")</f>
        <v>Privilegiados y contraseñas</v>
      </c>
      <c r="O139" s="11" t="str">
        <f aca="false">IFERROR(INDEX(dNIST!$B$2:$B$13,MATCH(M139,dNIST!$A$2:$A$13,0)),"")</f>
        <v>ID</v>
      </c>
      <c r="P139" s="11" t="str">
        <f aca="false">TRIM(IFERROR(LEFT(G139,FIND(CHAR(10),G139)-1),G139))</f>
        <v>Vinicio Samaniego</v>
      </c>
      <c r="Q139" s="11" t="n">
        <f aca="false">LEN(TRIM(G139))-LEN(SUBSTITUTE(TRIM(G139),CHAR(10),""))+1</f>
        <v>1</v>
      </c>
      <c r="R139" s="11" t="str">
        <f aca="false">IF(E139&lt;&gt;"","Sí","No")</f>
        <v>Sí</v>
      </c>
      <c r="S139" s="12" t="str">
        <f aca="false">IF(OR(J139="",H139=""),"",IF(J139&lt;=H139,IF(FechaCorte&gt;=J139,1,0),MAX(0,MIN(1,(FechaCorte-H139)/(J139-H139)))))</f>
        <v/>
      </c>
      <c r="T139" s="12" t="str">
        <f aca="false">IF(S139="","",K139-S139)</f>
        <v/>
      </c>
      <c r="U139" s="11" t="str">
        <f aca="false">IF(R139="Sí","Recurrente",IF(K139&gt;=1,"Completado",IF(AND(J139&lt;&gt;"",J139&lt;FechaCorte),"Vencido",IF(AND(K139=0,OR(H139="",H139&gt;FechaCorte)),"Por iniciar",IF(AND(T139&lt;&gt;"",T139&lt;=UmbralRiesgo),"En riesgo","En plazo")))))</f>
        <v>Recurrente</v>
      </c>
      <c r="V139" s="11" t="n">
        <f aca="false">IF(OR(U139="Vencido",U139="En riesgo",U139="En plazo",U139="Por iniciar"),1,0)</f>
        <v>0</v>
      </c>
      <c r="W139" s="11" t="str">
        <f aca="false">IF(U139="Vencido",FechaCorte-J139,"")</f>
        <v/>
      </c>
      <c r="X139" s="11" t="str">
        <f aca="false">IF(AND(V139=1,U139&lt;&gt;"Vencido"),J139-FechaCorte,"")</f>
        <v/>
      </c>
      <c r="Y139" s="13" t="str">
        <f aca="false">IF(J139="","",DATE(YEAR(J139),MONTH(J139),1))</f>
        <v/>
      </c>
      <c r="Z139" s="13" t="str">
        <f aca="false">IF(AND(U139="Completado",I139&lt;&gt;""),IF(I139&lt;=FechaCorte,DATE(YEAR(I139),MONTH(I139),1),""),"")</f>
        <v/>
      </c>
      <c r="AA139" s="11" t="str">
        <f aca="false">IF(J139="","",IF(DAY(J139+1)=1,1,0))</f>
        <v/>
      </c>
      <c r="AB139" s="11" t="n">
        <f aca="false">IF(AND(U139="Completado",I139&lt;&gt;"",I139=J139),1,0)</f>
        <v>0</v>
      </c>
      <c r="AC139" s="11" t="n">
        <f aca="false">IF(AND(K139&gt;=1,I139&lt;&gt;""),IF(I139&gt;FechaCorte,1,0),0)</f>
        <v>0</v>
      </c>
      <c r="AD139" s="11" t="n">
        <f aca="false">IF(AND(I139&lt;&gt;"",H139&lt;&gt;""),IF(I139&lt;H139,1,0),0)</f>
        <v>0</v>
      </c>
      <c r="AE139" s="11" t="n">
        <f aca="false">IF(OR(F139="Riesgos",F139="Obs. Auditoría"),1,0)</f>
        <v>0</v>
      </c>
      <c r="AF139" s="11" t="str">
        <f aca="false">IFERROR(MID(D139,FIND("PMC-",D139),8),"")</f>
        <v/>
      </c>
      <c r="AG139" s="11" t="n">
        <f aca="false">IF(AND(V139=1,J139&lt;&gt;""),IF(AND(J139&gt;=FechaCorte,J139&lt;=HorizonteExpuestos),1,0),0)</f>
        <v>0</v>
      </c>
    </row>
    <row r="140" customFormat="false" ht="15" hidden="false" customHeight="false" outlineLevel="0" collapsed="false">
      <c r="A140" s="7" t="n">
        <v>139</v>
      </c>
      <c r="B140" s="7" t="n">
        <v>2026</v>
      </c>
      <c r="C140" s="7" t="s">
        <v>429</v>
      </c>
      <c r="D140" s="14" t="s">
        <v>430</v>
      </c>
      <c r="E140" s="7" t="s">
        <v>130</v>
      </c>
      <c r="F140" s="7" t="s">
        <v>131</v>
      </c>
      <c r="G140" s="7" t="s">
        <v>411</v>
      </c>
      <c r="H140" s="8" t="n">
        <v>46181</v>
      </c>
      <c r="I140" s="8"/>
      <c r="J140" s="8"/>
      <c r="K140" s="9" t="n">
        <v>1</v>
      </c>
      <c r="L140" s="7" t="s">
        <v>428</v>
      </c>
      <c r="M140" s="10" t="s">
        <v>178</v>
      </c>
      <c r="N140" s="11" t="str">
        <f aca="false">IFERROR(INDEX(dFrente!$B$2:$B$76,MATCH(C140,dFrente!$A$2:$A$76,0)),"Sin frente")</f>
        <v>Privilegiados y contraseñas</v>
      </c>
      <c r="O140" s="11" t="str">
        <f aca="false">IFERROR(INDEX(dNIST!$B$2:$B$13,MATCH(M140,dNIST!$A$2:$A$13,0)),"")</f>
        <v>ID</v>
      </c>
      <c r="P140" s="11" t="str">
        <f aca="false">TRIM(IFERROR(LEFT(G140,FIND(CHAR(10),G140)-1),G140))</f>
        <v>Vinicio Samaniego</v>
      </c>
      <c r="Q140" s="11" t="n">
        <f aca="false">LEN(TRIM(G140))-LEN(SUBSTITUTE(TRIM(G140),CHAR(10),""))+1</f>
        <v>1</v>
      </c>
      <c r="R140" s="11" t="str">
        <f aca="false">IF(E140&lt;&gt;"","Sí","No")</f>
        <v>Sí</v>
      </c>
      <c r="S140" s="12" t="str">
        <f aca="false">IF(OR(J140="",H140=""),"",IF(J140&lt;=H140,IF(FechaCorte&gt;=J140,1,0),MAX(0,MIN(1,(FechaCorte-H140)/(J140-H140)))))</f>
        <v/>
      </c>
      <c r="T140" s="12" t="str">
        <f aca="false">IF(S140="","",K140-S140)</f>
        <v/>
      </c>
      <c r="U140" s="11" t="str">
        <f aca="false">IF(R140="Sí","Recurrente",IF(K140&gt;=1,"Completado",IF(AND(J140&lt;&gt;"",J140&lt;FechaCorte),"Vencido",IF(AND(K140=0,OR(H140="",H140&gt;FechaCorte)),"Por iniciar",IF(AND(T140&lt;&gt;"",T140&lt;=UmbralRiesgo),"En riesgo","En plazo")))))</f>
        <v>Recurrente</v>
      </c>
      <c r="V140" s="11" t="n">
        <f aca="false">IF(OR(U140="Vencido",U140="En riesgo",U140="En plazo",U140="Por iniciar"),1,0)</f>
        <v>0</v>
      </c>
      <c r="W140" s="11" t="str">
        <f aca="false">IF(U140="Vencido",FechaCorte-J140,"")</f>
        <v/>
      </c>
      <c r="X140" s="11" t="str">
        <f aca="false">IF(AND(V140=1,U140&lt;&gt;"Vencido"),J140-FechaCorte,"")</f>
        <v/>
      </c>
      <c r="Y140" s="13" t="str">
        <f aca="false">IF(J140="","",DATE(YEAR(J140),MONTH(J140),1))</f>
        <v/>
      </c>
      <c r="Z140" s="13" t="str">
        <f aca="false">IF(AND(U140="Completado",I140&lt;&gt;""),IF(I140&lt;=FechaCorte,DATE(YEAR(I140),MONTH(I140),1),""),"")</f>
        <v/>
      </c>
      <c r="AA140" s="11" t="str">
        <f aca="false">IF(J140="","",IF(DAY(J140+1)=1,1,0))</f>
        <v/>
      </c>
      <c r="AB140" s="11" t="n">
        <f aca="false">IF(AND(U140="Completado",I140&lt;&gt;"",I140=J140),1,0)</f>
        <v>0</v>
      </c>
      <c r="AC140" s="11" t="n">
        <f aca="false">IF(AND(K140&gt;=1,I140&lt;&gt;""),IF(I140&gt;FechaCorte,1,0),0)</f>
        <v>0</v>
      </c>
      <c r="AD140" s="11" t="n">
        <f aca="false">IF(AND(I140&lt;&gt;"",H140&lt;&gt;""),IF(I140&lt;H140,1,0),0)</f>
        <v>0</v>
      </c>
      <c r="AE140" s="11" t="n">
        <f aca="false">IF(OR(F140="Riesgos",F140="Obs. Auditoría"),1,0)</f>
        <v>0</v>
      </c>
      <c r="AF140" s="11" t="str">
        <f aca="false">IFERROR(MID(D140,FIND("PMC-",D140),8),"")</f>
        <v/>
      </c>
      <c r="AG140" s="11" t="n">
        <f aca="false">IF(AND(V140=1,J140&lt;&gt;""),IF(AND(J140&gt;=FechaCorte,J140&lt;=HorizonteExpuestos),1,0),0)</f>
        <v>0</v>
      </c>
    </row>
    <row r="141" customFormat="false" ht="15" hidden="false" customHeight="false" outlineLevel="0" collapsed="false">
      <c r="A141" s="7" t="n">
        <v>140</v>
      </c>
      <c r="B141" s="7" t="n">
        <v>2026</v>
      </c>
      <c r="C141" s="7" t="s">
        <v>431</v>
      </c>
      <c r="D141" s="14" t="s">
        <v>432</v>
      </c>
      <c r="E141" s="7" t="s">
        <v>379</v>
      </c>
      <c r="F141" s="7" t="s">
        <v>131</v>
      </c>
      <c r="G141" s="7" t="s">
        <v>411</v>
      </c>
      <c r="H141" s="8" t="n">
        <v>46113</v>
      </c>
      <c r="I141" s="8"/>
      <c r="J141" s="8"/>
      <c r="K141" s="9" t="n">
        <v>1</v>
      </c>
      <c r="L141" s="14" t="s">
        <v>433</v>
      </c>
      <c r="M141" s="10" t="s">
        <v>76</v>
      </c>
      <c r="N141" s="11" t="str">
        <f aca="false">IFERROR(INDEX(dFrente!$B$2:$B$76,MATCH(C141,dFrente!$A$2:$A$76,0)),"Sin frente")</f>
        <v>Privilegiados y contraseñas</v>
      </c>
      <c r="O141" s="11" t="str">
        <f aca="false">IFERROR(INDEX(dNIST!$B$2:$B$13,MATCH(M141,dNIST!$A$2:$A$13,0)),"")</f>
        <v>PR</v>
      </c>
      <c r="P141" s="11" t="str">
        <f aca="false">TRIM(IFERROR(LEFT(G141,FIND(CHAR(10),G141)-1),G141))</f>
        <v>Vinicio Samaniego</v>
      </c>
      <c r="Q141" s="11" t="n">
        <f aca="false">LEN(TRIM(G141))-LEN(SUBSTITUTE(TRIM(G141),CHAR(10),""))+1</f>
        <v>1</v>
      </c>
      <c r="R141" s="11" t="str">
        <f aca="false">IF(E141&lt;&gt;"","Sí","No")</f>
        <v>Sí</v>
      </c>
      <c r="S141" s="12" t="str">
        <f aca="false">IF(OR(J141="",H141=""),"",IF(J141&lt;=H141,IF(FechaCorte&gt;=J141,1,0),MAX(0,MIN(1,(FechaCorte-H141)/(J141-H141)))))</f>
        <v/>
      </c>
      <c r="T141" s="12" t="str">
        <f aca="false">IF(S141="","",K141-S141)</f>
        <v/>
      </c>
      <c r="U141" s="11" t="str">
        <f aca="false">IF(R141="Sí","Recurrente",IF(K141&gt;=1,"Completado",IF(AND(J141&lt;&gt;"",J141&lt;FechaCorte),"Vencido",IF(AND(K141=0,OR(H141="",H141&gt;FechaCorte)),"Por iniciar",IF(AND(T141&lt;&gt;"",T141&lt;=UmbralRiesgo),"En riesgo","En plazo")))))</f>
        <v>Recurrente</v>
      </c>
      <c r="V141" s="11" t="n">
        <f aca="false">IF(OR(U141="Vencido",U141="En riesgo",U141="En plazo",U141="Por iniciar"),1,0)</f>
        <v>0</v>
      </c>
      <c r="W141" s="11" t="str">
        <f aca="false">IF(U141="Vencido",FechaCorte-J141,"")</f>
        <v/>
      </c>
      <c r="X141" s="11" t="str">
        <f aca="false">IF(AND(V141=1,U141&lt;&gt;"Vencido"),J141-FechaCorte,"")</f>
        <v/>
      </c>
      <c r="Y141" s="13" t="str">
        <f aca="false">IF(J141="","",DATE(YEAR(J141),MONTH(J141),1))</f>
        <v/>
      </c>
      <c r="Z141" s="13" t="str">
        <f aca="false">IF(AND(U141="Completado",I141&lt;&gt;""),IF(I141&lt;=FechaCorte,DATE(YEAR(I141),MONTH(I141),1),""),"")</f>
        <v/>
      </c>
      <c r="AA141" s="11" t="str">
        <f aca="false">IF(J141="","",IF(DAY(J141+1)=1,1,0))</f>
        <v/>
      </c>
      <c r="AB141" s="11" t="n">
        <f aca="false">IF(AND(U141="Completado",I141&lt;&gt;"",I141=J141),1,0)</f>
        <v>0</v>
      </c>
      <c r="AC141" s="11" t="n">
        <f aca="false">IF(AND(K141&gt;=1,I141&lt;&gt;""),IF(I141&gt;FechaCorte,1,0),0)</f>
        <v>0</v>
      </c>
      <c r="AD141" s="11" t="n">
        <f aca="false">IF(AND(I141&lt;&gt;"",H141&lt;&gt;""),IF(I141&lt;H141,1,0),0)</f>
        <v>0</v>
      </c>
      <c r="AE141" s="11" t="n">
        <f aca="false">IF(OR(F141="Riesgos",F141="Obs. Auditoría"),1,0)</f>
        <v>0</v>
      </c>
      <c r="AF141" s="11" t="str">
        <f aca="false">IFERROR(MID(D141,FIND("PMC-",D141),8),"")</f>
        <v/>
      </c>
      <c r="AG141" s="11" t="n">
        <f aca="false">IF(AND(V141=1,J141&lt;&gt;""),IF(AND(J141&gt;=FechaCorte,J141&lt;=HorizonteExpuestos),1,0),0)</f>
        <v>0</v>
      </c>
    </row>
    <row r="142" customFormat="false" ht="15" hidden="false" customHeight="false" outlineLevel="0" collapsed="false">
      <c r="A142" s="7" t="n">
        <v>141</v>
      </c>
      <c r="B142" s="7" t="n">
        <v>2026</v>
      </c>
      <c r="C142" s="7" t="s">
        <v>431</v>
      </c>
      <c r="D142" s="7" t="s">
        <v>434</v>
      </c>
      <c r="E142" s="7"/>
      <c r="F142" s="7" t="s">
        <v>131</v>
      </c>
      <c r="G142" s="7" t="s">
        <v>411</v>
      </c>
      <c r="H142" s="8" t="n">
        <v>46178</v>
      </c>
      <c r="I142" s="8"/>
      <c r="J142" s="8" t="n">
        <v>46245</v>
      </c>
      <c r="K142" s="9" t="n">
        <v>0.25</v>
      </c>
      <c r="L142" s="7" t="s">
        <v>435</v>
      </c>
      <c r="M142" s="10" t="s">
        <v>81</v>
      </c>
      <c r="N142" s="11" t="str">
        <f aca="false">IFERROR(INDEX(dFrente!$B$2:$B$76,MATCH(C142,dFrente!$A$2:$A$76,0)),"Sin frente")</f>
        <v>Privilegiados y contraseñas</v>
      </c>
      <c r="O142" s="11" t="str">
        <f aca="false">IFERROR(INDEX(dNIST!$B$2:$B$13,MATCH(M142,dNIST!$A$2:$A$13,0)),"")</f>
        <v>PR</v>
      </c>
      <c r="P142" s="11" t="str">
        <f aca="false">TRIM(IFERROR(LEFT(G142,FIND(CHAR(10),G142)-1),G142))</f>
        <v>Vinicio Samaniego</v>
      </c>
      <c r="Q142" s="11" t="n">
        <f aca="false">LEN(TRIM(G142))-LEN(SUBSTITUTE(TRIM(G142),CHAR(10),""))+1</f>
        <v>1</v>
      </c>
      <c r="R142" s="11" t="str">
        <f aca="false">IF(E142&lt;&gt;"","Sí","No")</f>
        <v>No</v>
      </c>
      <c r="S142" s="12" t="n">
        <f aca="false">IF(OR(J142="",H142=""),"",IF(J142&lt;=H142,IF(FechaCorte&gt;=J142,1,0),MAX(0,MIN(1,(FechaCorte-H142)/(J142-H142)))))</f>
        <v>1</v>
      </c>
      <c r="T142" s="12" t="n">
        <f aca="false">IF(S142="","",K142-S142)</f>
        <v>-0.75</v>
      </c>
      <c r="U142" s="11" t="str">
        <f aca="false">IF(R142="Sí","Recurrente",IF(K142&gt;=1,"Completado",IF(AND(J142&lt;&gt;"",J142&lt;FechaCorte),"Vencido",IF(AND(K142=0,OR(H142="",H142&gt;FechaCorte)),"Por iniciar",IF(AND(T142&lt;&gt;"",T142&lt;=UmbralRiesgo),"En riesgo","En plazo")))))</f>
        <v>Vencido</v>
      </c>
      <c r="V142" s="11" t="n">
        <f aca="false">IF(OR(U142="Vencido",U142="En riesgo",U142="En plazo",U142="Por iniciar"),1,0)</f>
        <v>1</v>
      </c>
      <c r="W142" s="11" t="n">
        <f aca="false">IF(U142="Vencido",FechaCorte-J142,"")</f>
        <v>44</v>
      </c>
      <c r="X142" s="11" t="str">
        <f aca="false">IF(AND(V142=1,U142&lt;&gt;"Vencido"),J142-FechaCorte,"")</f>
        <v/>
      </c>
      <c r="Y142" s="13" t="n">
        <f aca="false">IF(J142="","",DATE(YEAR(J142),MONTH(J142),1))</f>
        <v>46235</v>
      </c>
      <c r="Z142" s="13" t="str">
        <f aca="false">IF(AND(U142="Completado",I142&lt;&gt;""),IF(I142&lt;=FechaCorte,DATE(YEAR(I142),MONTH(I142),1),""),"")</f>
        <v/>
      </c>
      <c r="AA142" s="11" t="n">
        <f aca="false">IF(J142="","",IF(DAY(J142+1)=1,1,0))</f>
        <v>0</v>
      </c>
      <c r="AB142" s="11" t="n">
        <f aca="false">IF(AND(U142="Completado",I142&lt;&gt;"",I142=J142),1,0)</f>
        <v>0</v>
      </c>
      <c r="AC142" s="11" t="n">
        <f aca="false">IF(AND(K142&gt;=1,I142&lt;&gt;""),IF(I142&gt;FechaCorte,1,0),0)</f>
        <v>0</v>
      </c>
      <c r="AD142" s="11" t="n">
        <f aca="false">IF(AND(I142&lt;&gt;"",H142&lt;&gt;""),IF(I142&lt;H142,1,0),0)</f>
        <v>0</v>
      </c>
      <c r="AE142" s="11" t="n">
        <f aca="false">IF(OR(F142="Riesgos",F142="Obs. Auditoría"),1,0)</f>
        <v>0</v>
      </c>
      <c r="AF142" s="11" t="str">
        <f aca="false">IFERROR(MID(D142,FIND("PMC-",D142),8),"")</f>
        <v/>
      </c>
      <c r="AG142" s="11" t="n">
        <f aca="false">IF(AND(V142=1,J142&lt;&gt;""),IF(AND(J142&gt;=FechaCorte,J142&lt;=HorizonteExpuestos),1,0),0)</f>
        <v>0</v>
      </c>
    </row>
    <row r="143" customFormat="false" ht="15" hidden="false" customHeight="false" outlineLevel="0" collapsed="false">
      <c r="A143" s="7" t="n">
        <v>142</v>
      </c>
      <c r="B143" s="7" t="n">
        <v>2026</v>
      </c>
      <c r="C143" s="7" t="s">
        <v>436</v>
      </c>
      <c r="D143" s="7" t="s">
        <v>437</v>
      </c>
      <c r="E143" s="7" t="s">
        <v>379</v>
      </c>
      <c r="F143" s="7" t="s">
        <v>131</v>
      </c>
      <c r="G143" s="7" t="s">
        <v>411</v>
      </c>
      <c r="H143" s="8" t="n">
        <v>46023</v>
      </c>
      <c r="I143" s="8"/>
      <c r="J143" s="8"/>
      <c r="K143" s="9" t="n">
        <v>1</v>
      </c>
      <c r="L143" s="7" t="s">
        <v>438</v>
      </c>
      <c r="M143" s="10" t="s">
        <v>76</v>
      </c>
      <c r="N143" s="11" t="str">
        <f aca="false">IFERROR(INDEX(dFrente!$B$2:$B$76,MATCH(C143,dFrente!$A$2:$A$76,0)),"Sin frente")</f>
        <v>Privilegiados y contraseñas</v>
      </c>
      <c r="O143" s="11" t="str">
        <f aca="false">IFERROR(INDEX(dNIST!$B$2:$B$13,MATCH(M143,dNIST!$A$2:$A$13,0)),"")</f>
        <v>PR</v>
      </c>
      <c r="P143" s="11" t="str">
        <f aca="false">TRIM(IFERROR(LEFT(G143,FIND(CHAR(10),G143)-1),G143))</f>
        <v>Vinicio Samaniego</v>
      </c>
      <c r="Q143" s="11" t="n">
        <f aca="false">LEN(TRIM(G143))-LEN(SUBSTITUTE(TRIM(G143),CHAR(10),""))+1</f>
        <v>1</v>
      </c>
      <c r="R143" s="11" t="str">
        <f aca="false">IF(E143&lt;&gt;"","Sí","No")</f>
        <v>Sí</v>
      </c>
      <c r="S143" s="12" t="str">
        <f aca="false">IF(OR(J143="",H143=""),"",IF(J143&lt;=H143,IF(FechaCorte&gt;=J143,1,0),MAX(0,MIN(1,(FechaCorte-H143)/(J143-H143)))))</f>
        <v/>
      </c>
      <c r="T143" s="12" t="str">
        <f aca="false">IF(S143="","",K143-S143)</f>
        <v/>
      </c>
      <c r="U143" s="11" t="str">
        <f aca="false">IF(R143="Sí","Recurrente",IF(K143&gt;=1,"Completado",IF(AND(J143&lt;&gt;"",J143&lt;FechaCorte),"Vencido",IF(AND(K143=0,OR(H143="",H143&gt;FechaCorte)),"Por iniciar",IF(AND(T143&lt;&gt;"",T143&lt;=UmbralRiesgo),"En riesgo","En plazo")))))</f>
        <v>Recurrente</v>
      </c>
      <c r="V143" s="11" t="n">
        <f aca="false">IF(OR(U143="Vencido",U143="En riesgo",U143="En plazo",U143="Por iniciar"),1,0)</f>
        <v>0</v>
      </c>
      <c r="W143" s="11" t="str">
        <f aca="false">IF(U143="Vencido",FechaCorte-J143,"")</f>
        <v/>
      </c>
      <c r="X143" s="11" t="str">
        <f aca="false">IF(AND(V143=1,U143&lt;&gt;"Vencido"),J143-FechaCorte,"")</f>
        <v/>
      </c>
      <c r="Y143" s="13" t="str">
        <f aca="false">IF(J143="","",DATE(YEAR(J143),MONTH(J143),1))</f>
        <v/>
      </c>
      <c r="Z143" s="13" t="str">
        <f aca="false">IF(AND(U143="Completado",I143&lt;&gt;""),IF(I143&lt;=FechaCorte,DATE(YEAR(I143),MONTH(I143),1),""),"")</f>
        <v/>
      </c>
      <c r="AA143" s="11" t="str">
        <f aca="false">IF(J143="","",IF(DAY(J143+1)=1,1,0))</f>
        <v/>
      </c>
      <c r="AB143" s="11" t="n">
        <f aca="false">IF(AND(U143="Completado",I143&lt;&gt;"",I143=J143),1,0)</f>
        <v>0</v>
      </c>
      <c r="AC143" s="11" t="n">
        <f aca="false">IF(AND(K143&gt;=1,I143&lt;&gt;""),IF(I143&gt;FechaCorte,1,0),0)</f>
        <v>0</v>
      </c>
      <c r="AD143" s="11" t="n">
        <f aca="false">IF(AND(I143&lt;&gt;"",H143&lt;&gt;""),IF(I143&lt;H143,1,0),0)</f>
        <v>0</v>
      </c>
      <c r="AE143" s="11" t="n">
        <f aca="false">IF(OR(F143="Riesgos",F143="Obs. Auditoría"),1,0)</f>
        <v>0</v>
      </c>
      <c r="AF143" s="11" t="str">
        <f aca="false">IFERROR(MID(D143,FIND("PMC-",D143),8),"")</f>
        <v/>
      </c>
      <c r="AG143" s="11" t="n">
        <f aca="false">IF(AND(V143=1,J143&lt;&gt;""),IF(AND(J143&gt;=FechaCorte,J143&lt;=HorizonteExpuestos),1,0),0)</f>
        <v>0</v>
      </c>
    </row>
    <row r="144" customFormat="false" ht="15" hidden="false" customHeight="false" outlineLevel="0" collapsed="false">
      <c r="A144" s="7" t="n">
        <v>143</v>
      </c>
      <c r="B144" s="7" t="n">
        <v>2026</v>
      </c>
      <c r="C144" s="7" t="s">
        <v>439</v>
      </c>
      <c r="D144" s="7" t="s">
        <v>440</v>
      </c>
      <c r="E144" s="7" t="s">
        <v>379</v>
      </c>
      <c r="F144" s="7" t="s">
        <v>131</v>
      </c>
      <c r="G144" s="7" t="s">
        <v>411</v>
      </c>
      <c r="H144" s="8" t="n">
        <v>46023</v>
      </c>
      <c r="I144" s="8"/>
      <c r="J144" s="8"/>
      <c r="K144" s="9" t="n">
        <v>1</v>
      </c>
      <c r="L144" s="14" t="s">
        <v>441</v>
      </c>
      <c r="M144" s="10" t="s">
        <v>76</v>
      </c>
      <c r="N144" s="11" t="str">
        <f aca="false">IFERROR(INDEX(dFrente!$B$2:$B$76,MATCH(C144,dFrente!$A$2:$A$76,0)),"Sin frente")</f>
        <v>Privilegiados y contraseñas</v>
      </c>
      <c r="O144" s="11" t="str">
        <f aca="false">IFERROR(INDEX(dNIST!$B$2:$B$13,MATCH(M144,dNIST!$A$2:$A$13,0)),"")</f>
        <v>PR</v>
      </c>
      <c r="P144" s="11" t="str">
        <f aca="false">TRIM(IFERROR(LEFT(G144,FIND(CHAR(10),G144)-1),G144))</f>
        <v>Vinicio Samaniego</v>
      </c>
      <c r="Q144" s="11" t="n">
        <f aca="false">LEN(TRIM(G144))-LEN(SUBSTITUTE(TRIM(G144),CHAR(10),""))+1</f>
        <v>1</v>
      </c>
      <c r="R144" s="11" t="str">
        <f aca="false">IF(E144&lt;&gt;"","Sí","No")</f>
        <v>Sí</v>
      </c>
      <c r="S144" s="12" t="str">
        <f aca="false">IF(OR(J144="",H144=""),"",IF(J144&lt;=H144,IF(FechaCorte&gt;=J144,1,0),MAX(0,MIN(1,(FechaCorte-H144)/(J144-H144)))))</f>
        <v/>
      </c>
      <c r="T144" s="12" t="str">
        <f aca="false">IF(S144="","",K144-S144)</f>
        <v/>
      </c>
      <c r="U144" s="11" t="str">
        <f aca="false">IF(R144="Sí","Recurrente",IF(K144&gt;=1,"Completado",IF(AND(J144&lt;&gt;"",J144&lt;FechaCorte),"Vencido",IF(AND(K144=0,OR(H144="",H144&gt;FechaCorte)),"Por iniciar",IF(AND(T144&lt;&gt;"",T144&lt;=UmbralRiesgo),"En riesgo","En plazo")))))</f>
        <v>Recurrente</v>
      </c>
      <c r="V144" s="11" t="n">
        <f aca="false">IF(OR(U144="Vencido",U144="En riesgo",U144="En plazo",U144="Por iniciar"),1,0)</f>
        <v>0</v>
      </c>
      <c r="W144" s="11" t="str">
        <f aca="false">IF(U144="Vencido",FechaCorte-J144,"")</f>
        <v/>
      </c>
      <c r="X144" s="11" t="str">
        <f aca="false">IF(AND(V144=1,U144&lt;&gt;"Vencido"),J144-FechaCorte,"")</f>
        <v/>
      </c>
      <c r="Y144" s="13" t="str">
        <f aca="false">IF(J144="","",DATE(YEAR(J144),MONTH(J144),1))</f>
        <v/>
      </c>
      <c r="Z144" s="13" t="str">
        <f aca="false">IF(AND(U144="Completado",I144&lt;&gt;""),IF(I144&lt;=FechaCorte,DATE(YEAR(I144),MONTH(I144),1),""),"")</f>
        <v/>
      </c>
      <c r="AA144" s="11" t="str">
        <f aca="false">IF(J144="","",IF(DAY(J144+1)=1,1,0))</f>
        <v/>
      </c>
      <c r="AB144" s="11" t="n">
        <f aca="false">IF(AND(U144="Completado",I144&lt;&gt;"",I144=J144),1,0)</f>
        <v>0</v>
      </c>
      <c r="AC144" s="11" t="n">
        <f aca="false">IF(AND(K144&gt;=1,I144&lt;&gt;""),IF(I144&gt;FechaCorte,1,0),0)</f>
        <v>0</v>
      </c>
      <c r="AD144" s="11" t="n">
        <f aca="false">IF(AND(I144&lt;&gt;"",H144&lt;&gt;""),IF(I144&lt;H144,1,0),0)</f>
        <v>0</v>
      </c>
      <c r="AE144" s="11" t="n">
        <f aca="false">IF(OR(F144="Riesgos",F144="Obs. Auditoría"),1,0)</f>
        <v>0</v>
      </c>
      <c r="AF144" s="11" t="str">
        <f aca="false">IFERROR(MID(D144,FIND("PMC-",D144),8),"")</f>
        <v/>
      </c>
      <c r="AG144" s="11" t="n">
        <f aca="false">IF(AND(V144=1,J144&lt;&gt;""),IF(AND(J144&gt;=FechaCorte,J144&lt;=HorizonteExpuestos),1,0),0)</f>
        <v>0</v>
      </c>
    </row>
    <row r="145" customFormat="false" ht="15" hidden="false" customHeight="false" outlineLevel="0" collapsed="false">
      <c r="A145" s="7" t="n">
        <v>144</v>
      </c>
      <c r="B145" s="7" t="n">
        <v>2026</v>
      </c>
      <c r="C145" s="7" t="s">
        <v>442</v>
      </c>
      <c r="D145" s="7" t="s">
        <v>443</v>
      </c>
      <c r="E145" s="7" t="s">
        <v>379</v>
      </c>
      <c r="F145" s="7" t="s">
        <v>131</v>
      </c>
      <c r="G145" s="7" t="s">
        <v>411</v>
      </c>
      <c r="H145" s="8" t="n">
        <v>46023</v>
      </c>
      <c r="I145" s="8"/>
      <c r="J145" s="8"/>
      <c r="K145" s="9" t="n">
        <v>1</v>
      </c>
      <c r="L145" s="7" t="s">
        <v>444</v>
      </c>
      <c r="M145" s="10" t="s">
        <v>76</v>
      </c>
      <c r="N145" s="11" t="str">
        <f aca="false">IFERROR(INDEX(dFrente!$B$2:$B$76,MATCH(C145,dFrente!$A$2:$A$76,0)),"Sin frente")</f>
        <v>Privilegiados y contraseñas</v>
      </c>
      <c r="O145" s="11" t="str">
        <f aca="false">IFERROR(INDEX(dNIST!$B$2:$B$13,MATCH(M145,dNIST!$A$2:$A$13,0)),"")</f>
        <v>PR</v>
      </c>
      <c r="P145" s="11" t="str">
        <f aca="false">TRIM(IFERROR(LEFT(G145,FIND(CHAR(10),G145)-1),G145))</f>
        <v>Vinicio Samaniego</v>
      </c>
      <c r="Q145" s="11" t="n">
        <f aca="false">LEN(TRIM(G145))-LEN(SUBSTITUTE(TRIM(G145),CHAR(10),""))+1</f>
        <v>1</v>
      </c>
      <c r="R145" s="11" t="str">
        <f aca="false">IF(E145&lt;&gt;"","Sí","No")</f>
        <v>Sí</v>
      </c>
      <c r="S145" s="12" t="str">
        <f aca="false">IF(OR(J145="",H145=""),"",IF(J145&lt;=H145,IF(FechaCorte&gt;=J145,1,0),MAX(0,MIN(1,(FechaCorte-H145)/(J145-H145)))))</f>
        <v/>
      </c>
      <c r="T145" s="12" t="str">
        <f aca="false">IF(S145="","",K145-S145)</f>
        <v/>
      </c>
      <c r="U145" s="11" t="str">
        <f aca="false">IF(R145="Sí","Recurrente",IF(K145&gt;=1,"Completado",IF(AND(J145&lt;&gt;"",J145&lt;FechaCorte),"Vencido",IF(AND(K145=0,OR(H145="",H145&gt;FechaCorte)),"Por iniciar",IF(AND(T145&lt;&gt;"",T145&lt;=UmbralRiesgo),"En riesgo","En plazo")))))</f>
        <v>Recurrente</v>
      </c>
      <c r="V145" s="11" t="n">
        <f aca="false">IF(OR(U145="Vencido",U145="En riesgo",U145="En plazo",U145="Por iniciar"),1,0)</f>
        <v>0</v>
      </c>
      <c r="W145" s="11" t="str">
        <f aca="false">IF(U145="Vencido",FechaCorte-J145,"")</f>
        <v/>
      </c>
      <c r="X145" s="11" t="str">
        <f aca="false">IF(AND(V145=1,U145&lt;&gt;"Vencido"),J145-FechaCorte,"")</f>
        <v/>
      </c>
      <c r="Y145" s="13" t="str">
        <f aca="false">IF(J145="","",DATE(YEAR(J145),MONTH(J145),1))</f>
        <v/>
      </c>
      <c r="Z145" s="13" t="str">
        <f aca="false">IF(AND(U145="Completado",I145&lt;&gt;""),IF(I145&lt;=FechaCorte,DATE(YEAR(I145),MONTH(I145),1),""),"")</f>
        <v/>
      </c>
      <c r="AA145" s="11" t="str">
        <f aca="false">IF(J145="","",IF(DAY(J145+1)=1,1,0))</f>
        <v/>
      </c>
      <c r="AB145" s="11" t="n">
        <f aca="false">IF(AND(U145="Completado",I145&lt;&gt;"",I145=J145),1,0)</f>
        <v>0</v>
      </c>
      <c r="AC145" s="11" t="n">
        <f aca="false">IF(AND(K145&gt;=1,I145&lt;&gt;""),IF(I145&gt;FechaCorte,1,0),0)</f>
        <v>0</v>
      </c>
      <c r="AD145" s="11" t="n">
        <f aca="false">IF(AND(I145&lt;&gt;"",H145&lt;&gt;""),IF(I145&lt;H145,1,0),0)</f>
        <v>0</v>
      </c>
      <c r="AE145" s="11" t="n">
        <f aca="false">IF(OR(F145="Riesgos",F145="Obs. Auditoría"),1,0)</f>
        <v>0</v>
      </c>
      <c r="AF145" s="11" t="str">
        <f aca="false">IFERROR(MID(D145,FIND("PMC-",D145),8),"")</f>
        <v/>
      </c>
      <c r="AG145" s="11" t="n">
        <f aca="false">IF(AND(V145=1,J145&lt;&gt;""),IF(AND(J145&gt;=FechaCorte,J145&lt;=HorizonteExpuestos),1,0),0)</f>
        <v>0</v>
      </c>
    </row>
    <row r="146" customFormat="false" ht="15" hidden="false" customHeight="false" outlineLevel="0" collapsed="false">
      <c r="A146" s="7" t="n">
        <v>145</v>
      </c>
      <c r="B146" s="7" t="n">
        <v>2026</v>
      </c>
      <c r="C146" s="7" t="s">
        <v>445</v>
      </c>
      <c r="D146" s="7" t="s">
        <v>446</v>
      </c>
      <c r="E146" s="7" t="s">
        <v>379</v>
      </c>
      <c r="F146" s="7" t="s">
        <v>131</v>
      </c>
      <c r="G146" s="7" t="s">
        <v>411</v>
      </c>
      <c r="H146" s="8" t="n">
        <v>46023</v>
      </c>
      <c r="I146" s="8"/>
      <c r="J146" s="8"/>
      <c r="K146" s="9" t="n">
        <v>1</v>
      </c>
      <c r="L146" s="14" t="s">
        <v>447</v>
      </c>
      <c r="M146" s="10" t="s">
        <v>76</v>
      </c>
      <c r="N146" s="11" t="str">
        <f aca="false">IFERROR(INDEX(dFrente!$B$2:$B$76,MATCH(C146,dFrente!$A$2:$A$76,0)),"Sin frente")</f>
        <v>Privilegiados y contraseñas</v>
      </c>
      <c r="O146" s="11" t="str">
        <f aca="false">IFERROR(INDEX(dNIST!$B$2:$B$13,MATCH(M146,dNIST!$A$2:$A$13,0)),"")</f>
        <v>PR</v>
      </c>
      <c r="P146" s="11" t="str">
        <f aca="false">TRIM(IFERROR(LEFT(G146,FIND(CHAR(10),G146)-1),G146))</f>
        <v>Vinicio Samaniego</v>
      </c>
      <c r="Q146" s="11" t="n">
        <f aca="false">LEN(TRIM(G146))-LEN(SUBSTITUTE(TRIM(G146),CHAR(10),""))+1</f>
        <v>1</v>
      </c>
      <c r="R146" s="11" t="str">
        <f aca="false">IF(E146&lt;&gt;"","Sí","No")</f>
        <v>Sí</v>
      </c>
      <c r="S146" s="12" t="str">
        <f aca="false">IF(OR(J146="",H146=""),"",IF(J146&lt;=H146,IF(FechaCorte&gt;=J146,1,0),MAX(0,MIN(1,(FechaCorte-H146)/(J146-H146)))))</f>
        <v/>
      </c>
      <c r="T146" s="12" t="str">
        <f aca="false">IF(S146="","",K146-S146)</f>
        <v/>
      </c>
      <c r="U146" s="11" t="str">
        <f aca="false">IF(R146="Sí","Recurrente",IF(K146&gt;=1,"Completado",IF(AND(J146&lt;&gt;"",J146&lt;FechaCorte),"Vencido",IF(AND(K146=0,OR(H146="",H146&gt;FechaCorte)),"Por iniciar",IF(AND(T146&lt;&gt;"",T146&lt;=UmbralRiesgo),"En riesgo","En plazo")))))</f>
        <v>Recurrente</v>
      </c>
      <c r="V146" s="11" t="n">
        <f aca="false">IF(OR(U146="Vencido",U146="En riesgo",U146="En plazo",U146="Por iniciar"),1,0)</f>
        <v>0</v>
      </c>
      <c r="W146" s="11" t="str">
        <f aca="false">IF(U146="Vencido",FechaCorte-J146,"")</f>
        <v/>
      </c>
      <c r="X146" s="11" t="str">
        <f aca="false">IF(AND(V146=1,U146&lt;&gt;"Vencido"),J146-FechaCorte,"")</f>
        <v/>
      </c>
      <c r="Y146" s="13" t="str">
        <f aca="false">IF(J146="","",DATE(YEAR(J146),MONTH(J146),1))</f>
        <v/>
      </c>
      <c r="Z146" s="13" t="str">
        <f aca="false">IF(AND(U146="Completado",I146&lt;&gt;""),IF(I146&lt;=FechaCorte,DATE(YEAR(I146),MONTH(I146),1),""),"")</f>
        <v/>
      </c>
      <c r="AA146" s="11" t="str">
        <f aca="false">IF(J146="","",IF(DAY(J146+1)=1,1,0))</f>
        <v/>
      </c>
      <c r="AB146" s="11" t="n">
        <f aca="false">IF(AND(U146="Completado",I146&lt;&gt;"",I146=J146),1,0)</f>
        <v>0</v>
      </c>
      <c r="AC146" s="11" t="n">
        <f aca="false">IF(AND(K146&gt;=1,I146&lt;&gt;""),IF(I146&gt;FechaCorte,1,0),0)</f>
        <v>0</v>
      </c>
      <c r="AD146" s="11" t="n">
        <f aca="false">IF(AND(I146&lt;&gt;"",H146&lt;&gt;""),IF(I146&lt;H146,1,0),0)</f>
        <v>0</v>
      </c>
      <c r="AE146" s="11" t="n">
        <f aca="false">IF(OR(F146="Riesgos",F146="Obs. Auditoría"),1,0)</f>
        <v>0</v>
      </c>
      <c r="AF146" s="11" t="str">
        <f aca="false">IFERROR(MID(D146,FIND("PMC-",D146),8),"")</f>
        <v/>
      </c>
      <c r="AG146" s="11" t="n">
        <f aca="false">IF(AND(V146=1,J146&lt;&gt;""),IF(AND(J146&gt;=FechaCorte,J146&lt;=HorizonteExpuestos),1,0),0)</f>
        <v>0</v>
      </c>
    </row>
    <row r="147" customFormat="false" ht="15" hidden="false" customHeight="false" outlineLevel="0" collapsed="false">
      <c r="A147" s="7" t="n">
        <v>146</v>
      </c>
      <c r="B147" s="7" t="n">
        <v>2026</v>
      </c>
      <c r="C147" s="7" t="s">
        <v>448</v>
      </c>
      <c r="D147" s="7" t="s">
        <v>449</v>
      </c>
      <c r="E147" s="7" t="s">
        <v>379</v>
      </c>
      <c r="F147" s="7" t="s">
        <v>131</v>
      </c>
      <c r="G147" s="7" t="s">
        <v>411</v>
      </c>
      <c r="H147" s="8" t="n">
        <v>46023</v>
      </c>
      <c r="I147" s="8"/>
      <c r="J147" s="8"/>
      <c r="K147" s="9" t="n">
        <v>1</v>
      </c>
      <c r="L147" s="7" t="s">
        <v>450</v>
      </c>
      <c r="M147" s="10" t="s">
        <v>76</v>
      </c>
      <c r="N147" s="11" t="str">
        <f aca="false">IFERROR(INDEX(dFrente!$B$2:$B$76,MATCH(C147,dFrente!$A$2:$A$76,0)),"Sin frente")</f>
        <v>Privilegiados y contraseñas</v>
      </c>
      <c r="O147" s="11" t="str">
        <f aca="false">IFERROR(INDEX(dNIST!$B$2:$B$13,MATCH(M147,dNIST!$A$2:$A$13,0)),"")</f>
        <v>PR</v>
      </c>
      <c r="P147" s="11" t="str">
        <f aca="false">TRIM(IFERROR(LEFT(G147,FIND(CHAR(10),G147)-1),G147))</f>
        <v>Vinicio Samaniego</v>
      </c>
      <c r="Q147" s="11" t="n">
        <f aca="false">LEN(TRIM(G147))-LEN(SUBSTITUTE(TRIM(G147),CHAR(10),""))+1</f>
        <v>1</v>
      </c>
      <c r="R147" s="11" t="str">
        <f aca="false">IF(E147&lt;&gt;"","Sí","No")</f>
        <v>Sí</v>
      </c>
      <c r="S147" s="12" t="str">
        <f aca="false">IF(OR(J147="",H147=""),"",IF(J147&lt;=H147,IF(FechaCorte&gt;=J147,1,0),MAX(0,MIN(1,(FechaCorte-H147)/(J147-H147)))))</f>
        <v/>
      </c>
      <c r="T147" s="12" t="str">
        <f aca="false">IF(S147="","",K147-S147)</f>
        <v/>
      </c>
      <c r="U147" s="11" t="str">
        <f aca="false">IF(R147="Sí","Recurrente",IF(K147&gt;=1,"Completado",IF(AND(J147&lt;&gt;"",J147&lt;FechaCorte),"Vencido",IF(AND(K147=0,OR(H147="",H147&gt;FechaCorte)),"Por iniciar",IF(AND(T147&lt;&gt;"",T147&lt;=UmbralRiesgo),"En riesgo","En plazo")))))</f>
        <v>Recurrente</v>
      </c>
      <c r="V147" s="11" t="n">
        <f aca="false">IF(OR(U147="Vencido",U147="En riesgo",U147="En plazo",U147="Por iniciar"),1,0)</f>
        <v>0</v>
      </c>
      <c r="W147" s="11" t="str">
        <f aca="false">IF(U147="Vencido",FechaCorte-J147,"")</f>
        <v/>
      </c>
      <c r="X147" s="11" t="str">
        <f aca="false">IF(AND(V147=1,U147&lt;&gt;"Vencido"),J147-FechaCorte,"")</f>
        <v/>
      </c>
      <c r="Y147" s="13" t="str">
        <f aca="false">IF(J147="","",DATE(YEAR(J147),MONTH(J147),1))</f>
        <v/>
      </c>
      <c r="Z147" s="13" t="str">
        <f aca="false">IF(AND(U147="Completado",I147&lt;&gt;""),IF(I147&lt;=FechaCorte,DATE(YEAR(I147),MONTH(I147),1),""),"")</f>
        <v/>
      </c>
      <c r="AA147" s="11" t="str">
        <f aca="false">IF(J147="","",IF(DAY(J147+1)=1,1,0))</f>
        <v/>
      </c>
      <c r="AB147" s="11" t="n">
        <f aca="false">IF(AND(U147="Completado",I147&lt;&gt;"",I147=J147),1,0)</f>
        <v>0</v>
      </c>
      <c r="AC147" s="11" t="n">
        <f aca="false">IF(AND(K147&gt;=1,I147&lt;&gt;""),IF(I147&gt;FechaCorte,1,0),0)</f>
        <v>0</v>
      </c>
      <c r="AD147" s="11" t="n">
        <f aca="false">IF(AND(I147&lt;&gt;"",H147&lt;&gt;""),IF(I147&lt;H147,1,0),0)</f>
        <v>0</v>
      </c>
      <c r="AE147" s="11" t="n">
        <f aca="false">IF(OR(F147="Riesgos",F147="Obs. Auditoría"),1,0)</f>
        <v>0</v>
      </c>
      <c r="AF147" s="11" t="str">
        <f aca="false">IFERROR(MID(D147,FIND("PMC-",D147),8),"")</f>
        <v/>
      </c>
      <c r="AG147" s="11" t="n">
        <f aca="false">IF(AND(V147=1,J147&lt;&gt;""),IF(AND(J147&gt;=FechaCorte,J147&lt;=HorizonteExpuestos),1,0),0)</f>
        <v>0</v>
      </c>
    </row>
    <row r="148" customFormat="false" ht="15" hidden="false" customHeight="false" outlineLevel="0" collapsed="false">
      <c r="A148" s="7" t="n">
        <v>147</v>
      </c>
      <c r="B148" s="7" t="n">
        <v>2026</v>
      </c>
      <c r="C148" s="7" t="s">
        <v>451</v>
      </c>
      <c r="D148" s="7" t="s">
        <v>452</v>
      </c>
      <c r="E148" s="7" t="s">
        <v>379</v>
      </c>
      <c r="F148" s="7" t="s">
        <v>131</v>
      </c>
      <c r="G148" s="7" t="s">
        <v>411</v>
      </c>
      <c r="H148" s="8" t="n">
        <v>46023</v>
      </c>
      <c r="I148" s="8"/>
      <c r="J148" s="8"/>
      <c r="K148" s="9" t="n">
        <v>1</v>
      </c>
      <c r="L148" s="7" t="s">
        <v>453</v>
      </c>
      <c r="M148" s="10" t="s">
        <v>76</v>
      </c>
      <c r="N148" s="11" t="str">
        <f aca="false">IFERROR(INDEX(dFrente!$B$2:$B$76,MATCH(C148,dFrente!$A$2:$A$76,0)),"Sin frente")</f>
        <v>Privilegiados y contraseñas</v>
      </c>
      <c r="O148" s="11" t="str">
        <f aca="false">IFERROR(INDEX(dNIST!$B$2:$B$13,MATCH(M148,dNIST!$A$2:$A$13,0)),"")</f>
        <v>PR</v>
      </c>
      <c r="P148" s="11" t="str">
        <f aca="false">TRIM(IFERROR(LEFT(G148,FIND(CHAR(10),G148)-1),G148))</f>
        <v>Vinicio Samaniego</v>
      </c>
      <c r="Q148" s="11" t="n">
        <f aca="false">LEN(TRIM(G148))-LEN(SUBSTITUTE(TRIM(G148),CHAR(10),""))+1</f>
        <v>1</v>
      </c>
      <c r="R148" s="11" t="str">
        <f aca="false">IF(E148&lt;&gt;"","Sí","No")</f>
        <v>Sí</v>
      </c>
      <c r="S148" s="12" t="str">
        <f aca="false">IF(OR(J148="",H148=""),"",IF(J148&lt;=H148,IF(FechaCorte&gt;=J148,1,0),MAX(0,MIN(1,(FechaCorte-H148)/(J148-H148)))))</f>
        <v/>
      </c>
      <c r="T148" s="12" t="str">
        <f aca="false">IF(S148="","",K148-S148)</f>
        <v/>
      </c>
      <c r="U148" s="11" t="str">
        <f aca="false">IF(R148="Sí","Recurrente",IF(K148&gt;=1,"Completado",IF(AND(J148&lt;&gt;"",J148&lt;FechaCorte),"Vencido",IF(AND(K148=0,OR(H148="",H148&gt;FechaCorte)),"Por iniciar",IF(AND(T148&lt;&gt;"",T148&lt;=UmbralRiesgo),"En riesgo","En plazo")))))</f>
        <v>Recurrente</v>
      </c>
      <c r="V148" s="11" t="n">
        <f aca="false">IF(OR(U148="Vencido",U148="En riesgo",U148="En plazo",U148="Por iniciar"),1,0)</f>
        <v>0</v>
      </c>
      <c r="W148" s="11" t="str">
        <f aca="false">IF(U148="Vencido",FechaCorte-J148,"")</f>
        <v/>
      </c>
      <c r="X148" s="11" t="str">
        <f aca="false">IF(AND(V148=1,U148&lt;&gt;"Vencido"),J148-FechaCorte,"")</f>
        <v/>
      </c>
      <c r="Y148" s="13" t="str">
        <f aca="false">IF(J148="","",DATE(YEAR(J148),MONTH(J148),1))</f>
        <v/>
      </c>
      <c r="Z148" s="13" t="str">
        <f aca="false">IF(AND(U148="Completado",I148&lt;&gt;""),IF(I148&lt;=FechaCorte,DATE(YEAR(I148),MONTH(I148),1),""),"")</f>
        <v/>
      </c>
      <c r="AA148" s="11" t="str">
        <f aca="false">IF(J148="","",IF(DAY(J148+1)=1,1,0))</f>
        <v/>
      </c>
      <c r="AB148" s="11" t="n">
        <f aca="false">IF(AND(U148="Completado",I148&lt;&gt;"",I148=J148),1,0)</f>
        <v>0</v>
      </c>
      <c r="AC148" s="11" t="n">
        <f aca="false">IF(AND(K148&gt;=1,I148&lt;&gt;""),IF(I148&gt;FechaCorte,1,0),0)</f>
        <v>0</v>
      </c>
      <c r="AD148" s="11" t="n">
        <f aca="false">IF(AND(I148&lt;&gt;"",H148&lt;&gt;""),IF(I148&lt;H148,1,0),0)</f>
        <v>0</v>
      </c>
      <c r="AE148" s="11" t="n">
        <f aca="false">IF(OR(F148="Riesgos",F148="Obs. Auditoría"),1,0)</f>
        <v>0</v>
      </c>
      <c r="AF148" s="11" t="str">
        <f aca="false">IFERROR(MID(D148,FIND("PMC-",D148),8),"")</f>
        <v/>
      </c>
      <c r="AG148" s="11" t="n">
        <f aca="false">IF(AND(V148=1,J148&lt;&gt;""),IF(AND(J148&gt;=FechaCorte,J148&lt;=HorizonteExpuestos),1,0),0)</f>
        <v>0</v>
      </c>
    </row>
    <row r="149" customFormat="false" ht="15" hidden="false" customHeight="false" outlineLevel="0" collapsed="false">
      <c r="A149" s="7" t="n">
        <v>148</v>
      </c>
      <c r="B149" s="7" t="n">
        <v>2026</v>
      </c>
      <c r="C149" s="7" t="s">
        <v>454</v>
      </c>
      <c r="D149" s="7" t="s">
        <v>455</v>
      </c>
      <c r="E149" s="7" t="s">
        <v>379</v>
      </c>
      <c r="F149" s="7" t="s">
        <v>131</v>
      </c>
      <c r="G149" s="7" t="s">
        <v>411</v>
      </c>
      <c r="H149" s="8" t="n">
        <v>46023</v>
      </c>
      <c r="I149" s="8"/>
      <c r="J149" s="8"/>
      <c r="K149" s="9" t="n">
        <v>1</v>
      </c>
      <c r="L149" s="7" t="s">
        <v>456</v>
      </c>
      <c r="M149" s="10" t="s">
        <v>76</v>
      </c>
      <c r="N149" s="11" t="str">
        <f aca="false">IFERROR(INDEX(dFrente!$B$2:$B$76,MATCH(C149,dFrente!$A$2:$A$76,0)),"Sin frente")</f>
        <v>Privilegiados y contraseñas</v>
      </c>
      <c r="O149" s="11" t="str">
        <f aca="false">IFERROR(INDEX(dNIST!$B$2:$B$13,MATCH(M149,dNIST!$A$2:$A$13,0)),"")</f>
        <v>PR</v>
      </c>
      <c r="P149" s="11" t="str">
        <f aca="false">TRIM(IFERROR(LEFT(G149,FIND(CHAR(10),G149)-1),G149))</f>
        <v>Vinicio Samaniego</v>
      </c>
      <c r="Q149" s="11" t="n">
        <f aca="false">LEN(TRIM(G149))-LEN(SUBSTITUTE(TRIM(G149),CHAR(10),""))+1</f>
        <v>1</v>
      </c>
      <c r="R149" s="11" t="str">
        <f aca="false">IF(E149&lt;&gt;"","Sí","No")</f>
        <v>Sí</v>
      </c>
      <c r="S149" s="12" t="str">
        <f aca="false">IF(OR(J149="",H149=""),"",IF(J149&lt;=H149,IF(FechaCorte&gt;=J149,1,0),MAX(0,MIN(1,(FechaCorte-H149)/(J149-H149)))))</f>
        <v/>
      </c>
      <c r="T149" s="12" t="str">
        <f aca="false">IF(S149="","",K149-S149)</f>
        <v/>
      </c>
      <c r="U149" s="11" t="str">
        <f aca="false">IF(R149="Sí","Recurrente",IF(K149&gt;=1,"Completado",IF(AND(J149&lt;&gt;"",J149&lt;FechaCorte),"Vencido",IF(AND(K149=0,OR(H149="",H149&gt;FechaCorte)),"Por iniciar",IF(AND(T149&lt;&gt;"",T149&lt;=UmbralRiesgo),"En riesgo","En plazo")))))</f>
        <v>Recurrente</v>
      </c>
      <c r="V149" s="11" t="n">
        <f aca="false">IF(OR(U149="Vencido",U149="En riesgo",U149="En plazo",U149="Por iniciar"),1,0)</f>
        <v>0</v>
      </c>
      <c r="W149" s="11" t="str">
        <f aca="false">IF(U149="Vencido",FechaCorte-J149,"")</f>
        <v/>
      </c>
      <c r="X149" s="11" t="str">
        <f aca="false">IF(AND(V149=1,U149&lt;&gt;"Vencido"),J149-FechaCorte,"")</f>
        <v/>
      </c>
      <c r="Y149" s="13" t="str">
        <f aca="false">IF(J149="","",DATE(YEAR(J149),MONTH(J149),1))</f>
        <v/>
      </c>
      <c r="Z149" s="13" t="str">
        <f aca="false">IF(AND(U149="Completado",I149&lt;&gt;""),IF(I149&lt;=FechaCorte,DATE(YEAR(I149),MONTH(I149),1),""),"")</f>
        <v/>
      </c>
      <c r="AA149" s="11" t="str">
        <f aca="false">IF(J149="","",IF(DAY(J149+1)=1,1,0))</f>
        <v/>
      </c>
      <c r="AB149" s="11" t="n">
        <f aca="false">IF(AND(U149="Completado",I149&lt;&gt;"",I149=J149),1,0)</f>
        <v>0</v>
      </c>
      <c r="AC149" s="11" t="n">
        <f aca="false">IF(AND(K149&gt;=1,I149&lt;&gt;""),IF(I149&gt;FechaCorte,1,0),0)</f>
        <v>0</v>
      </c>
      <c r="AD149" s="11" t="n">
        <f aca="false">IF(AND(I149&lt;&gt;"",H149&lt;&gt;""),IF(I149&lt;H149,1,0),0)</f>
        <v>0</v>
      </c>
      <c r="AE149" s="11" t="n">
        <f aca="false">IF(OR(F149="Riesgos",F149="Obs. Auditoría"),1,0)</f>
        <v>0</v>
      </c>
      <c r="AF149" s="11" t="str">
        <f aca="false">IFERROR(MID(D149,FIND("PMC-",D149),8),"")</f>
        <v/>
      </c>
      <c r="AG149" s="11" t="n">
        <f aca="false">IF(AND(V149=1,J149&lt;&gt;""),IF(AND(J149&gt;=FechaCorte,J149&lt;=HorizonteExpuestos),1,0),0)</f>
        <v>0</v>
      </c>
    </row>
    <row r="150" customFormat="false" ht="15" hidden="false" customHeight="false" outlineLevel="0" collapsed="false">
      <c r="A150" s="7" t="n">
        <v>149</v>
      </c>
      <c r="B150" s="7" t="n">
        <v>2026</v>
      </c>
      <c r="C150" s="7" t="s">
        <v>457</v>
      </c>
      <c r="D150" s="7" t="s">
        <v>458</v>
      </c>
      <c r="E150" s="7"/>
      <c r="F150" s="7" t="s">
        <v>319</v>
      </c>
      <c r="G150" s="7" t="s">
        <v>411</v>
      </c>
      <c r="H150" s="8" t="n">
        <v>46023</v>
      </c>
      <c r="I150" s="8"/>
      <c r="J150" s="8" t="n">
        <v>46295</v>
      </c>
      <c r="K150" s="9" t="n">
        <v>0.95</v>
      </c>
      <c r="L150" s="7" t="s">
        <v>459</v>
      </c>
      <c r="M150" s="10" t="s">
        <v>93</v>
      </c>
      <c r="N150" s="11" t="str">
        <f aca="false">IFERROR(INDEX(dFrente!$B$2:$B$76,MATCH(C150,dFrente!$A$2:$A$76,0)),"Sin frente")</f>
        <v>Privilegiados y contraseñas</v>
      </c>
      <c r="O150" s="11" t="str">
        <f aca="false">IFERROR(INDEX(dNIST!$B$2:$B$13,MATCH(M150,dNIST!$A$2:$A$13,0)),"")</f>
        <v>DE</v>
      </c>
      <c r="P150" s="11" t="str">
        <f aca="false">TRIM(IFERROR(LEFT(G150,FIND(CHAR(10),G150)-1),G150))</f>
        <v>Vinicio Samaniego</v>
      </c>
      <c r="Q150" s="11" t="n">
        <f aca="false">LEN(TRIM(G150))-LEN(SUBSTITUTE(TRIM(G150),CHAR(10),""))+1</f>
        <v>1</v>
      </c>
      <c r="R150" s="11" t="str">
        <f aca="false">IF(E150&lt;&gt;"","Sí","No")</f>
        <v>No</v>
      </c>
      <c r="S150" s="12" t="n">
        <f aca="false">IF(OR(J150="",H150=""),"",IF(J150&lt;=H150,IF(FechaCorte&gt;=J150,1,0),MAX(0,MIN(1,(FechaCorte-H150)/(J150-H150)))))</f>
        <v>0.977941176470588</v>
      </c>
      <c r="T150" s="12" t="n">
        <f aca="false">IF(S150="","",K150-S150)</f>
        <v>-0.0279411764705882</v>
      </c>
      <c r="U150" s="11" t="str">
        <f aca="false">IF(R150="Sí","Recurrente",IF(K150&gt;=1,"Completado",IF(AND(J150&lt;&gt;"",J150&lt;FechaCorte),"Vencido",IF(AND(K150=0,OR(H150="",H150&gt;FechaCorte)),"Por iniciar",IF(AND(T150&lt;&gt;"",T150&lt;=UmbralRiesgo),"En riesgo","En plazo")))))</f>
        <v>En plazo</v>
      </c>
      <c r="V150" s="11" t="n">
        <f aca="false">IF(OR(U150="Vencido",U150="En riesgo",U150="En plazo",U150="Por iniciar"),1,0)</f>
        <v>1</v>
      </c>
      <c r="W150" s="11" t="str">
        <f aca="false">IF(U150="Vencido",FechaCorte-J150,"")</f>
        <v/>
      </c>
      <c r="X150" s="11" t="n">
        <f aca="false">IF(AND(V150=1,U150&lt;&gt;"Vencido"),J150-FechaCorte,"")</f>
        <v>6</v>
      </c>
      <c r="Y150" s="13" t="n">
        <f aca="false">IF(J150="","",DATE(YEAR(J150),MONTH(J150),1))</f>
        <v>46266</v>
      </c>
      <c r="Z150" s="13" t="str">
        <f aca="false">IF(AND(U150="Completado",I150&lt;&gt;""),IF(I150&lt;=FechaCorte,DATE(YEAR(I150),MONTH(I150),1),""),"")</f>
        <v/>
      </c>
      <c r="AA150" s="11" t="n">
        <f aca="false">IF(J150="","",IF(DAY(J150+1)=1,1,0))</f>
        <v>1</v>
      </c>
      <c r="AB150" s="11" t="n">
        <f aca="false">IF(AND(U150="Completado",I150&lt;&gt;"",I150=J150),1,0)</f>
        <v>0</v>
      </c>
      <c r="AC150" s="11" t="n">
        <f aca="false">IF(AND(K150&gt;=1,I150&lt;&gt;""),IF(I150&gt;FechaCorte,1,0),0)</f>
        <v>0</v>
      </c>
      <c r="AD150" s="11" t="n">
        <f aca="false">IF(AND(I150&lt;&gt;"",H150&lt;&gt;""),IF(I150&lt;H150,1,0),0)</f>
        <v>0</v>
      </c>
      <c r="AE150" s="11" t="n">
        <f aca="false">IF(OR(F150="Riesgos",F150="Obs. Auditoría"),1,0)</f>
        <v>1</v>
      </c>
      <c r="AF150" s="11" t="str">
        <f aca="false">IFERROR(MID(D150,FIND("PMC-",D150),8),"")</f>
        <v/>
      </c>
      <c r="AG150" s="11" t="n">
        <f aca="false">IF(AND(V150=1,J150&lt;&gt;""),IF(AND(J150&gt;=FechaCorte,J150&lt;=HorizonteExpuestos),1,0),0)</f>
        <v>1</v>
      </c>
    </row>
    <row r="151" customFormat="false" ht="15" hidden="false" customHeight="false" outlineLevel="0" collapsed="false">
      <c r="A151" s="7" t="n">
        <v>150</v>
      </c>
      <c r="B151" s="7" t="n">
        <v>2026</v>
      </c>
      <c r="C151" s="7" t="s">
        <v>460</v>
      </c>
      <c r="D151" s="7" t="s">
        <v>461</v>
      </c>
      <c r="E151" s="7"/>
      <c r="F151" s="7" t="s">
        <v>319</v>
      </c>
      <c r="G151" s="7" t="s">
        <v>411</v>
      </c>
      <c r="H151" s="8" t="n">
        <v>46023</v>
      </c>
      <c r="I151" s="8"/>
      <c r="J151" s="8" t="n">
        <v>46356</v>
      </c>
      <c r="K151" s="9" t="n">
        <v>0.5</v>
      </c>
      <c r="L151" s="7" t="s">
        <v>462</v>
      </c>
      <c r="M151" s="10" t="s">
        <v>93</v>
      </c>
      <c r="N151" s="11" t="str">
        <f aca="false">IFERROR(INDEX(dFrente!$B$2:$B$76,MATCH(C151,dFrente!$A$2:$A$76,0)),"Sin frente")</f>
        <v>Privilegiados y contraseñas</v>
      </c>
      <c r="O151" s="11" t="str">
        <f aca="false">IFERROR(INDEX(dNIST!$B$2:$B$13,MATCH(M151,dNIST!$A$2:$A$13,0)),"")</f>
        <v>DE</v>
      </c>
      <c r="P151" s="11" t="str">
        <f aca="false">TRIM(IFERROR(LEFT(G151,FIND(CHAR(10),G151)-1),G151))</f>
        <v>Vinicio Samaniego</v>
      </c>
      <c r="Q151" s="11" t="n">
        <f aca="false">LEN(TRIM(G151))-LEN(SUBSTITUTE(TRIM(G151),CHAR(10),""))+1</f>
        <v>1</v>
      </c>
      <c r="R151" s="11" t="str">
        <f aca="false">IF(E151&lt;&gt;"","Sí","No")</f>
        <v>No</v>
      </c>
      <c r="S151" s="12" t="n">
        <f aca="false">IF(OR(J151="",H151=""),"",IF(J151&lt;=H151,IF(FechaCorte&gt;=J151,1,0),MAX(0,MIN(1,(FechaCorte-H151)/(J151-H151)))))</f>
        <v>0.798798798798799</v>
      </c>
      <c r="T151" s="12" t="n">
        <f aca="false">IF(S151="","",K151-S151)</f>
        <v>-0.298798798798799</v>
      </c>
      <c r="U151" s="11" t="str">
        <f aca="false">IF(R151="Sí","Recurrente",IF(K151&gt;=1,"Completado",IF(AND(J151&lt;&gt;"",J151&lt;FechaCorte),"Vencido",IF(AND(K151=0,OR(H151="",H151&gt;FechaCorte)),"Por iniciar",IF(AND(T151&lt;&gt;"",T151&lt;=UmbralRiesgo),"En riesgo","En plazo")))))</f>
        <v>En riesgo</v>
      </c>
      <c r="V151" s="11" t="n">
        <f aca="false">IF(OR(U151="Vencido",U151="En riesgo",U151="En plazo",U151="Por iniciar"),1,0)</f>
        <v>1</v>
      </c>
      <c r="W151" s="11" t="str">
        <f aca="false">IF(U151="Vencido",FechaCorte-J151,"")</f>
        <v/>
      </c>
      <c r="X151" s="11" t="n">
        <f aca="false">IF(AND(V151=1,U151&lt;&gt;"Vencido"),J151-FechaCorte,"")</f>
        <v>67</v>
      </c>
      <c r="Y151" s="13" t="n">
        <f aca="false">IF(J151="","",DATE(YEAR(J151),MONTH(J151),1))</f>
        <v>46327</v>
      </c>
      <c r="Z151" s="13" t="str">
        <f aca="false">IF(AND(U151="Completado",I151&lt;&gt;""),IF(I151&lt;=FechaCorte,DATE(YEAR(I151),MONTH(I151),1),""),"")</f>
        <v/>
      </c>
      <c r="AA151" s="11" t="n">
        <f aca="false">IF(J151="","",IF(DAY(J151+1)=1,1,0))</f>
        <v>1</v>
      </c>
      <c r="AB151" s="11" t="n">
        <f aca="false">IF(AND(U151="Completado",I151&lt;&gt;"",I151=J151),1,0)</f>
        <v>0</v>
      </c>
      <c r="AC151" s="11" t="n">
        <f aca="false">IF(AND(K151&gt;=1,I151&lt;&gt;""),IF(I151&gt;FechaCorte,1,0),0)</f>
        <v>0</v>
      </c>
      <c r="AD151" s="11" t="n">
        <f aca="false">IF(AND(I151&lt;&gt;"",H151&lt;&gt;""),IF(I151&lt;H151,1,0),0)</f>
        <v>0</v>
      </c>
      <c r="AE151" s="11" t="n">
        <f aca="false">IF(OR(F151="Riesgos",F151="Obs. Auditoría"),1,0)</f>
        <v>1</v>
      </c>
      <c r="AF151" s="11" t="str">
        <f aca="false">IFERROR(MID(D151,FIND("PMC-",D151),8),"")</f>
        <v/>
      </c>
      <c r="AG151" s="11" t="n">
        <f aca="false">IF(AND(V151=1,J151&lt;&gt;""),IF(AND(J151&gt;=FechaCorte,J151&lt;=HorizonteExpuestos),1,0),0)</f>
        <v>0</v>
      </c>
    </row>
    <row r="152" customFormat="false" ht="15" hidden="false" customHeight="false" outlineLevel="0" collapsed="false">
      <c r="A152" s="7" t="n">
        <v>151</v>
      </c>
      <c r="B152" s="7" t="n">
        <v>2026</v>
      </c>
      <c r="C152" s="7" t="s">
        <v>463</v>
      </c>
      <c r="D152" s="14" t="s">
        <v>464</v>
      </c>
      <c r="E152" s="7"/>
      <c r="F152" s="7" t="s">
        <v>106</v>
      </c>
      <c r="G152" s="7" t="s">
        <v>411</v>
      </c>
      <c r="H152" s="8" t="n">
        <v>46204</v>
      </c>
      <c r="I152" s="8"/>
      <c r="J152" s="8" t="n">
        <v>46387</v>
      </c>
      <c r="K152" s="9" t="n">
        <v>0.25</v>
      </c>
      <c r="L152" s="7" t="s">
        <v>465</v>
      </c>
      <c r="M152" s="10" t="s">
        <v>76</v>
      </c>
      <c r="N152" s="11" t="str">
        <f aca="false">IFERROR(INDEX(dFrente!$B$2:$B$76,MATCH(C152,dFrente!$A$2:$A$76,0)),"Sin frente")</f>
        <v>Privilegiados y contraseñas</v>
      </c>
      <c r="O152" s="11" t="str">
        <f aca="false">IFERROR(INDEX(dNIST!$B$2:$B$13,MATCH(M152,dNIST!$A$2:$A$13,0)),"")</f>
        <v>PR</v>
      </c>
      <c r="P152" s="11" t="str">
        <f aca="false">TRIM(IFERROR(LEFT(G152,FIND(CHAR(10),G152)-1),G152))</f>
        <v>Vinicio Samaniego</v>
      </c>
      <c r="Q152" s="11" t="n">
        <f aca="false">LEN(TRIM(G152))-LEN(SUBSTITUTE(TRIM(G152),CHAR(10),""))+1</f>
        <v>1</v>
      </c>
      <c r="R152" s="11" t="str">
        <f aca="false">IF(E152&lt;&gt;"","Sí","No")</f>
        <v>No</v>
      </c>
      <c r="S152" s="12" t="n">
        <f aca="false">IF(OR(J152="",H152=""),"",IF(J152&lt;=H152,IF(FechaCorte&gt;=J152,1,0),MAX(0,MIN(1,(FechaCorte-H152)/(J152-H152)))))</f>
        <v>0.46448087431694</v>
      </c>
      <c r="T152" s="12" t="n">
        <f aca="false">IF(S152="","",K152-S152)</f>
        <v>-0.21448087431694</v>
      </c>
      <c r="U152" s="11" t="str">
        <f aca="false">IF(R152="Sí","Recurrente",IF(K152&gt;=1,"Completado",IF(AND(J152&lt;&gt;"",J152&lt;FechaCorte),"Vencido",IF(AND(K152=0,OR(H152="",H152&gt;FechaCorte)),"Por iniciar",IF(AND(T152&lt;&gt;"",T152&lt;=UmbralRiesgo),"En riesgo","En plazo")))))</f>
        <v>En plazo</v>
      </c>
      <c r="V152" s="11" t="n">
        <f aca="false">IF(OR(U152="Vencido",U152="En riesgo",U152="En plazo",U152="Por iniciar"),1,0)</f>
        <v>1</v>
      </c>
      <c r="W152" s="11" t="str">
        <f aca="false">IF(U152="Vencido",FechaCorte-J152,"")</f>
        <v/>
      </c>
      <c r="X152" s="11" t="n">
        <f aca="false">IF(AND(V152=1,U152&lt;&gt;"Vencido"),J152-FechaCorte,"")</f>
        <v>98</v>
      </c>
      <c r="Y152" s="13" t="n">
        <f aca="false">IF(J152="","",DATE(YEAR(J152),MONTH(J152),1))</f>
        <v>46357</v>
      </c>
      <c r="Z152" s="13" t="str">
        <f aca="false">IF(AND(U152="Completado",I152&lt;&gt;""),IF(I152&lt;=FechaCorte,DATE(YEAR(I152),MONTH(I152),1),""),"")</f>
        <v/>
      </c>
      <c r="AA152" s="11" t="n">
        <f aca="false">IF(J152="","",IF(DAY(J152+1)=1,1,0))</f>
        <v>1</v>
      </c>
      <c r="AB152" s="11" t="n">
        <f aca="false">IF(AND(U152="Completado",I152&lt;&gt;"",I152=J152),1,0)</f>
        <v>0</v>
      </c>
      <c r="AC152" s="11" t="n">
        <f aca="false">IF(AND(K152&gt;=1,I152&lt;&gt;""),IF(I152&gt;FechaCorte,1,0),0)</f>
        <v>0</v>
      </c>
      <c r="AD152" s="11" t="n">
        <f aca="false">IF(AND(I152&lt;&gt;"",H152&lt;&gt;""),IF(I152&lt;H152,1,0),0)</f>
        <v>0</v>
      </c>
      <c r="AE152" s="11" t="n">
        <f aca="false">IF(OR(F152="Riesgos",F152="Obs. Auditoría"),1,0)</f>
        <v>0</v>
      </c>
      <c r="AF152" s="11" t="str">
        <f aca="false">IFERROR(MID(D152,FIND("PMC-",D152),8),"")</f>
        <v/>
      </c>
      <c r="AG152" s="11" t="n">
        <f aca="false">IF(AND(V152=1,J152&lt;&gt;""),IF(AND(J152&gt;=FechaCorte,J152&lt;=HorizonteExpuestos),1,0),0)</f>
        <v>0</v>
      </c>
    </row>
    <row r="153" customFormat="false" ht="15" hidden="false" customHeight="false" outlineLevel="0" collapsed="false">
      <c r="A153" s="7" t="n">
        <v>152</v>
      </c>
      <c r="B153" s="7" t="n">
        <v>2026</v>
      </c>
      <c r="C153" s="7" t="s">
        <v>466</v>
      </c>
      <c r="D153" s="7" t="s">
        <v>467</v>
      </c>
      <c r="E153" s="7"/>
      <c r="F153" s="7" t="s">
        <v>74</v>
      </c>
      <c r="G153" s="7" t="s">
        <v>411</v>
      </c>
      <c r="H153" s="8" t="n">
        <v>46204</v>
      </c>
      <c r="I153" s="8"/>
      <c r="J153" s="8" t="n">
        <v>46247</v>
      </c>
      <c r="K153" s="9" t="n">
        <v>0.2</v>
      </c>
      <c r="L153" s="7"/>
      <c r="M153" s="10" t="s">
        <v>182</v>
      </c>
      <c r="N153" s="11" t="str">
        <f aca="false">IFERROR(INDEX(dFrente!$B$2:$B$76,MATCH(C153,dFrente!$A$2:$A$76,0)),"Sin frente")</f>
        <v>Gobierno y reportería</v>
      </c>
      <c r="O153" s="11" t="str">
        <f aca="false">IFERROR(INDEX(dNIST!$B$2:$B$13,MATCH(M153,dNIST!$A$2:$A$13,0)),"")</f>
        <v>GV</v>
      </c>
      <c r="P153" s="11" t="str">
        <f aca="false">TRIM(IFERROR(LEFT(G153,FIND(CHAR(10),G153)-1),G153))</f>
        <v>Vinicio Samaniego</v>
      </c>
      <c r="Q153" s="11" t="n">
        <f aca="false">LEN(TRIM(G153))-LEN(SUBSTITUTE(TRIM(G153),CHAR(10),""))+1</f>
        <v>1</v>
      </c>
      <c r="R153" s="11" t="str">
        <f aca="false">IF(E153&lt;&gt;"","Sí","No")</f>
        <v>No</v>
      </c>
      <c r="S153" s="12" t="n">
        <f aca="false">IF(OR(J153="",H153=""),"",IF(J153&lt;=H153,IF(FechaCorte&gt;=J153,1,0),MAX(0,MIN(1,(FechaCorte-H153)/(J153-H153)))))</f>
        <v>1</v>
      </c>
      <c r="T153" s="12" t="n">
        <f aca="false">IF(S153="","",K153-S153)</f>
        <v>-0.8</v>
      </c>
      <c r="U153" s="11" t="str">
        <f aca="false">IF(R153="Sí","Recurrente",IF(K153&gt;=1,"Completado",IF(AND(J153&lt;&gt;"",J153&lt;FechaCorte),"Vencido",IF(AND(K153=0,OR(H153="",H153&gt;FechaCorte)),"Por iniciar",IF(AND(T153&lt;&gt;"",T153&lt;=UmbralRiesgo),"En riesgo","En plazo")))))</f>
        <v>Vencido</v>
      </c>
      <c r="V153" s="11" t="n">
        <f aca="false">IF(OR(U153="Vencido",U153="En riesgo",U153="En plazo",U153="Por iniciar"),1,0)</f>
        <v>1</v>
      </c>
      <c r="W153" s="11" t="n">
        <f aca="false">IF(U153="Vencido",FechaCorte-J153,"")</f>
        <v>42</v>
      </c>
      <c r="X153" s="11" t="str">
        <f aca="false">IF(AND(V153=1,U153&lt;&gt;"Vencido"),J153-FechaCorte,"")</f>
        <v/>
      </c>
      <c r="Y153" s="13" t="n">
        <f aca="false">IF(J153="","",DATE(YEAR(J153),MONTH(J153),1))</f>
        <v>46235</v>
      </c>
      <c r="Z153" s="13" t="str">
        <f aca="false">IF(AND(U153="Completado",I153&lt;&gt;""),IF(I153&lt;=FechaCorte,DATE(YEAR(I153),MONTH(I153),1),""),"")</f>
        <v/>
      </c>
      <c r="AA153" s="11" t="n">
        <f aca="false">IF(J153="","",IF(DAY(J153+1)=1,1,0))</f>
        <v>0</v>
      </c>
      <c r="AB153" s="11" t="n">
        <f aca="false">IF(AND(U153="Completado",I153&lt;&gt;"",I153=J153),1,0)</f>
        <v>0</v>
      </c>
      <c r="AC153" s="11" t="n">
        <f aca="false">IF(AND(K153&gt;=1,I153&lt;&gt;""),IF(I153&gt;FechaCorte,1,0),0)</f>
        <v>0</v>
      </c>
      <c r="AD153" s="11" t="n">
        <f aca="false">IF(AND(I153&lt;&gt;"",H153&lt;&gt;""),IF(I153&lt;H153,1,0),0)</f>
        <v>0</v>
      </c>
      <c r="AE153" s="11" t="n">
        <f aca="false">IF(OR(F153="Riesgos",F153="Obs. Auditoría"),1,0)</f>
        <v>0</v>
      </c>
      <c r="AF153" s="11" t="str">
        <f aca="false">IFERROR(MID(D153,FIND("PMC-",D153),8),"")</f>
        <v/>
      </c>
      <c r="AG153" s="11" t="n">
        <f aca="false">IF(AND(V153=1,J153&lt;&gt;""),IF(AND(J153&gt;=FechaCorte,J153&lt;=HorizonteExpuestos),1,0),0)</f>
        <v>0</v>
      </c>
    </row>
    <row r="154" customFormat="false" ht="15" hidden="false" customHeight="false" outlineLevel="0" collapsed="false">
      <c r="A154" s="7" t="n">
        <v>153</v>
      </c>
      <c r="B154" s="7" t="n">
        <v>2026</v>
      </c>
      <c r="C154" s="7" t="s">
        <v>468</v>
      </c>
      <c r="D154" s="7" t="s">
        <v>469</v>
      </c>
      <c r="E154" s="7"/>
      <c r="F154" s="7" t="s">
        <v>74</v>
      </c>
      <c r="G154" s="7" t="s">
        <v>231</v>
      </c>
      <c r="H154" s="8" t="n">
        <v>46244</v>
      </c>
      <c r="I154" s="8" t="n">
        <v>46265</v>
      </c>
      <c r="J154" s="8" t="n">
        <v>46265</v>
      </c>
      <c r="K154" s="9" t="n">
        <v>1</v>
      </c>
      <c r="L154" s="7" t="s">
        <v>470</v>
      </c>
      <c r="M154" s="10" t="s">
        <v>186</v>
      </c>
      <c r="N154" s="11" t="str">
        <f aca="false">IFERROR(INDEX(dFrente!$B$2:$B$76,MATCH(C154,dFrente!$A$2:$A$76,0)),"Sin frente")</f>
        <v>Gobierno y reportería</v>
      </c>
      <c r="O154" s="11" t="str">
        <f aca="false">IFERROR(INDEX(dNIST!$B$2:$B$13,MATCH(M154,dNIST!$A$2:$A$13,0)),"")</f>
        <v>GV</v>
      </c>
      <c r="P154" s="11" t="str">
        <f aca="false">TRIM(IFERROR(LEFT(G154,FIND(CHAR(10),G154)-1),G154))</f>
        <v>Bryan Uyana</v>
      </c>
      <c r="Q154" s="11" t="n">
        <f aca="false">LEN(TRIM(G154))-LEN(SUBSTITUTE(TRIM(G154),CHAR(10),""))+1</f>
        <v>1</v>
      </c>
      <c r="R154" s="11" t="str">
        <f aca="false">IF(E154&lt;&gt;"","Sí","No")</f>
        <v>No</v>
      </c>
      <c r="S154" s="12" t="n">
        <f aca="false">IF(OR(J154="",H154=""),"",IF(J154&lt;=H154,IF(FechaCorte&gt;=J154,1,0),MAX(0,MIN(1,(FechaCorte-H154)/(J154-H154)))))</f>
        <v>1</v>
      </c>
      <c r="T154" s="12" t="n">
        <f aca="false">IF(S154="","",K154-S154)</f>
        <v>0</v>
      </c>
      <c r="U154" s="11" t="str">
        <f aca="false">IF(R154="Sí","Recurrente",IF(K154&gt;=1,"Completado",IF(AND(J154&lt;&gt;"",J154&lt;FechaCorte),"Vencido",IF(AND(K154=0,OR(H154="",H154&gt;FechaCorte)),"Por iniciar",IF(AND(T154&lt;&gt;"",T154&lt;=UmbralRiesgo),"En riesgo","En plazo")))))</f>
        <v>Completado</v>
      </c>
      <c r="V154" s="11" t="n">
        <f aca="false">IF(OR(U154="Vencido",U154="En riesgo",U154="En plazo",U154="Por iniciar"),1,0)</f>
        <v>0</v>
      </c>
      <c r="W154" s="11" t="str">
        <f aca="false">IF(U154="Vencido",FechaCorte-J154,"")</f>
        <v/>
      </c>
      <c r="X154" s="11" t="str">
        <f aca="false">IF(AND(V154=1,U154&lt;&gt;"Vencido"),J154-FechaCorte,"")</f>
        <v/>
      </c>
      <c r="Y154" s="13" t="n">
        <f aca="false">IF(J154="","",DATE(YEAR(J154),MONTH(J154),1))</f>
        <v>46235</v>
      </c>
      <c r="Z154" s="13" t="n">
        <f aca="false">IF(AND(U154="Completado",I154&lt;&gt;""),IF(I154&lt;=FechaCorte,DATE(YEAR(I154),MONTH(I154),1),""),"")</f>
        <v>46235</v>
      </c>
      <c r="AA154" s="11" t="n">
        <f aca="false">IF(J154="","",IF(DAY(J154+1)=1,1,0))</f>
        <v>1</v>
      </c>
      <c r="AB154" s="11" t="n">
        <f aca="false">IF(AND(U154="Completado",I154&lt;&gt;"",I154=J154),1,0)</f>
        <v>1</v>
      </c>
      <c r="AC154" s="11" t="n">
        <f aca="false">IF(AND(K154&gt;=1,I154&lt;&gt;""),IF(I154&gt;FechaCorte,1,0),0)</f>
        <v>0</v>
      </c>
      <c r="AD154" s="11" t="n">
        <f aca="false">IF(AND(I154&lt;&gt;"",H154&lt;&gt;""),IF(I154&lt;H154,1,0),0)</f>
        <v>0</v>
      </c>
      <c r="AE154" s="11" t="n">
        <f aca="false">IF(OR(F154="Riesgos",F154="Obs. Auditoría"),1,0)</f>
        <v>0</v>
      </c>
      <c r="AF154" s="11" t="str">
        <f aca="false">IFERROR(MID(D154,FIND("PMC-",D154),8),"")</f>
        <v/>
      </c>
      <c r="AG154" s="11" t="n">
        <f aca="false">IF(AND(V154=1,J154&lt;&gt;""),IF(AND(J154&gt;=FechaCorte,J154&lt;=HorizonteExpuestos),1,0),0)</f>
        <v>0</v>
      </c>
    </row>
    <row r="155" customFormat="false" ht="15" hidden="false" customHeight="false" outlineLevel="0" collapsed="false">
      <c r="A155" s="7" t="n">
        <v>154</v>
      </c>
      <c r="B155" s="7" t="n">
        <v>2026</v>
      </c>
      <c r="C155" s="7" t="s">
        <v>202</v>
      </c>
      <c r="D155" s="7" t="s">
        <v>471</v>
      </c>
      <c r="E155" s="7"/>
      <c r="F155" s="7" t="s">
        <v>74</v>
      </c>
      <c r="G155" s="7" t="s">
        <v>231</v>
      </c>
      <c r="H155" s="8" t="n">
        <v>46266</v>
      </c>
      <c r="I155" s="8"/>
      <c r="J155" s="8" t="n">
        <v>46295</v>
      </c>
      <c r="K155" s="9" t="n">
        <v>0.4</v>
      </c>
      <c r="L155" s="7" t="s">
        <v>472</v>
      </c>
      <c r="M155" s="10" t="s">
        <v>76</v>
      </c>
      <c r="N155" s="11" t="str">
        <f aca="false">IFERROR(INDEX(dFrente!$B$2:$B$76,MATCH(C155,dFrente!$A$2:$A$76,0)),"Sin frente")</f>
        <v>Terceros y genéricos</v>
      </c>
      <c r="O155" s="11" t="str">
        <f aca="false">IFERROR(INDEX(dNIST!$B$2:$B$13,MATCH(M155,dNIST!$A$2:$A$13,0)),"")</f>
        <v>PR</v>
      </c>
      <c r="P155" s="11" t="str">
        <f aca="false">TRIM(IFERROR(LEFT(G155,FIND(CHAR(10),G155)-1),G155))</f>
        <v>Bryan Uyana</v>
      </c>
      <c r="Q155" s="11" t="n">
        <f aca="false">LEN(TRIM(G155))-LEN(SUBSTITUTE(TRIM(G155),CHAR(10),""))+1</f>
        <v>1</v>
      </c>
      <c r="R155" s="11" t="str">
        <f aca="false">IF(E155&lt;&gt;"","Sí","No")</f>
        <v>No</v>
      </c>
      <c r="S155" s="12" t="n">
        <f aca="false">IF(OR(J155="",H155=""),"",IF(J155&lt;=H155,IF(FechaCorte&gt;=J155,1,0),MAX(0,MIN(1,(FechaCorte-H155)/(J155-H155)))))</f>
        <v>0.793103448275862</v>
      </c>
      <c r="T155" s="12" t="n">
        <f aca="false">IF(S155="","",K155-S155)</f>
        <v>-0.393103448275862</v>
      </c>
      <c r="U155" s="11" t="str">
        <f aca="false">IF(R155="Sí","Recurrente",IF(K155&gt;=1,"Completado",IF(AND(J155&lt;&gt;"",J155&lt;FechaCorte),"Vencido",IF(AND(K155=0,OR(H155="",H155&gt;FechaCorte)),"Por iniciar",IF(AND(T155&lt;&gt;"",T155&lt;=UmbralRiesgo),"En riesgo","En plazo")))))</f>
        <v>En riesgo</v>
      </c>
      <c r="V155" s="11" t="n">
        <f aca="false">IF(OR(U155="Vencido",U155="En riesgo",U155="En plazo",U155="Por iniciar"),1,0)</f>
        <v>1</v>
      </c>
      <c r="W155" s="11" t="str">
        <f aca="false">IF(U155="Vencido",FechaCorte-J155,"")</f>
        <v/>
      </c>
      <c r="X155" s="11" t="n">
        <f aca="false">IF(AND(V155=1,U155&lt;&gt;"Vencido"),J155-FechaCorte,"")</f>
        <v>6</v>
      </c>
      <c r="Y155" s="13" t="n">
        <f aca="false">IF(J155="","",DATE(YEAR(J155),MONTH(J155),1))</f>
        <v>46266</v>
      </c>
      <c r="Z155" s="13" t="str">
        <f aca="false">IF(AND(U155="Completado",I155&lt;&gt;""),IF(I155&lt;=FechaCorte,DATE(YEAR(I155),MONTH(I155),1),""),"")</f>
        <v/>
      </c>
      <c r="AA155" s="11" t="n">
        <f aca="false">IF(J155="","",IF(DAY(J155+1)=1,1,0))</f>
        <v>1</v>
      </c>
      <c r="AB155" s="11" t="n">
        <f aca="false">IF(AND(U155="Completado",I155&lt;&gt;"",I155=J155),1,0)</f>
        <v>0</v>
      </c>
      <c r="AC155" s="11" t="n">
        <f aca="false">IF(AND(K155&gt;=1,I155&lt;&gt;""),IF(I155&gt;FechaCorte,1,0),0)</f>
        <v>0</v>
      </c>
      <c r="AD155" s="11" t="n">
        <f aca="false">IF(AND(I155&lt;&gt;"",H155&lt;&gt;""),IF(I155&lt;H155,1,0),0)</f>
        <v>0</v>
      </c>
      <c r="AE155" s="11" t="n">
        <f aca="false">IF(OR(F155="Riesgos",F155="Obs. Auditoría"),1,0)</f>
        <v>0</v>
      </c>
      <c r="AF155" s="11" t="str">
        <f aca="false">IFERROR(MID(D155,FIND("PMC-",D155),8),"")</f>
        <v/>
      </c>
      <c r="AG155" s="11" t="n">
        <f aca="false">IF(AND(V155=1,J155&lt;&gt;""),IF(AND(J155&gt;=FechaCorte,J155&lt;=HorizonteExpuestos),1,0),0)</f>
        <v>1</v>
      </c>
    </row>
    <row r="156" customFormat="false" ht="15" hidden="false" customHeight="false" outlineLevel="0" collapsed="false">
      <c r="A156" s="7" t="n">
        <v>155</v>
      </c>
      <c r="B156" s="7" t="n">
        <v>2026</v>
      </c>
      <c r="C156" s="7" t="s">
        <v>466</v>
      </c>
      <c r="D156" s="7" t="s">
        <v>473</v>
      </c>
      <c r="E156" s="7"/>
      <c r="F156" s="7" t="s">
        <v>74</v>
      </c>
      <c r="G156" s="14" t="s">
        <v>415</v>
      </c>
      <c r="H156" s="8" t="n">
        <v>46157</v>
      </c>
      <c r="I156" s="8" t="n">
        <v>46249</v>
      </c>
      <c r="J156" s="8" t="n">
        <v>46249</v>
      </c>
      <c r="K156" s="9" t="n">
        <v>1</v>
      </c>
      <c r="L156" s="7"/>
      <c r="M156" s="10" t="s">
        <v>182</v>
      </c>
      <c r="N156" s="11" t="str">
        <f aca="false">IFERROR(INDEX(dFrente!$B$2:$B$76,MATCH(C156,dFrente!$A$2:$A$76,0)),"Sin frente")</f>
        <v>Gobierno y reportería</v>
      </c>
      <c r="O156" s="11" t="str">
        <f aca="false">IFERROR(INDEX(dNIST!$B$2:$B$13,MATCH(M156,dNIST!$A$2:$A$13,0)),"")</f>
        <v>GV</v>
      </c>
      <c r="P156" s="11" t="str">
        <f aca="false">TRIM(IFERROR(LEFT(G156,FIND(CHAR(10),G156)-1),G156))</f>
        <v>Bryan Uyana</v>
      </c>
      <c r="Q156" s="11" t="n">
        <f aca="false">LEN(TRIM(G156))-LEN(SUBSTITUTE(TRIM(G156),CHAR(10),""))+1</f>
        <v>2</v>
      </c>
      <c r="R156" s="11" t="str">
        <f aca="false">IF(E156&lt;&gt;"","Sí","No")</f>
        <v>No</v>
      </c>
      <c r="S156" s="12" t="n">
        <f aca="false">IF(OR(J156="",H156=""),"",IF(J156&lt;=H156,IF(FechaCorte&gt;=J156,1,0),MAX(0,MIN(1,(FechaCorte-H156)/(J156-H156)))))</f>
        <v>1</v>
      </c>
      <c r="T156" s="12" t="n">
        <f aca="false">IF(S156="","",K156-S156)</f>
        <v>0</v>
      </c>
      <c r="U156" s="11" t="str">
        <f aca="false">IF(R156="Sí","Recurrente",IF(K156&gt;=1,"Completado",IF(AND(J156&lt;&gt;"",J156&lt;FechaCorte),"Vencido",IF(AND(K156=0,OR(H156="",H156&gt;FechaCorte)),"Por iniciar",IF(AND(T156&lt;&gt;"",T156&lt;=UmbralRiesgo),"En riesgo","En plazo")))))</f>
        <v>Completado</v>
      </c>
      <c r="V156" s="11" t="n">
        <f aca="false">IF(OR(U156="Vencido",U156="En riesgo",U156="En plazo",U156="Por iniciar"),1,0)</f>
        <v>0</v>
      </c>
      <c r="W156" s="11" t="str">
        <f aca="false">IF(U156="Vencido",FechaCorte-J156,"")</f>
        <v/>
      </c>
      <c r="X156" s="11" t="str">
        <f aca="false">IF(AND(V156=1,U156&lt;&gt;"Vencido"),J156-FechaCorte,"")</f>
        <v/>
      </c>
      <c r="Y156" s="13" t="n">
        <f aca="false">IF(J156="","",DATE(YEAR(J156),MONTH(J156),1))</f>
        <v>46235</v>
      </c>
      <c r="Z156" s="13" t="n">
        <f aca="false">IF(AND(U156="Completado",I156&lt;&gt;""),IF(I156&lt;=FechaCorte,DATE(YEAR(I156),MONTH(I156),1),""),"")</f>
        <v>46235</v>
      </c>
      <c r="AA156" s="11" t="n">
        <f aca="false">IF(J156="","",IF(DAY(J156+1)=1,1,0))</f>
        <v>0</v>
      </c>
      <c r="AB156" s="11" t="n">
        <f aca="false">IF(AND(U156="Completado",I156&lt;&gt;"",I156=J156),1,0)</f>
        <v>1</v>
      </c>
      <c r="AC156" s="11" t="n">
        <f aca="false">IF(AND(K156&gt;=1,I156&lt;&gt;""),IF(I156&gt;FechaCorte,1,0),0)</f>
        <v>0</v>
      </c>
      <c r="AD156" s="11" t="n">
        <f aca="false">IF(AND(I156&lt;&gt;"",H156&lt;&gt;""),IF(I156&lt;H156,1,0),0)</f>
        <v>0</v>
      </c>
      <c r="AE156" s="11" t="n">
        <f aca="false">IF(OR(F156="Riesgos",F156="Obs. Auditoría"),1,0)</f>
        <v>0</v>
      </c>
      <c r="AF156" s="11" t="str">
        <f aca="false">IFERROR(MID(D156,FIND("PMC-",D156),8),"")</f>
        <v/>
      </c>
      <c r="AG156" s="11" t="n">
        <f aca="false">IF(AND(V156=1,J156&lt;&gt;""),IF(AND(J156&gt;=FechaCorte,J156&lt;=HorizonteExpuestos),1,0),0)</f>
        <v>0</v>
      </c>
    </row>
    <row r="157" customFormat="false" ht="15" hidden="false" customHeight="false" outlineLevel="0" collapsed="false">
      <c r="A157" s="7" t="n">
        <v>156</v>
      </c>
      <c r="B157" s="7" t="n">
        <v>2026</v>
      </c>
      <c r="C157" s="7" t="s">
        <v>466</v>
      </c>
      <c r="D157" s="7" t="s">
        <v>474</v>
      </c>
      <c r="E157" s="7" t="s">
        <v>130</v>
      </c>
      <c r="F157" s="7" t="s">
        <v>74</v>
      </c>
      <c r="G157" s="7" t="s">
        <v>91</v>
      </c>
      <c r="H157" s="8" t="n">
        <v>45901</v>
      </c>
      <c r="I157" s="8"/>
      <c r="J157" s="8"/>
      <c r="K157" s="9" t="n">
        <v>1</v>
      </c>
      <c r="L157" s="7"/>
      <c r="M157" s="10" t="s">
        <v>182</v>
      </c>
      <c r="N157" s="11" t="str">
        <f aca="false">IFERROR(INDEX(dFrente!$B$2:$B$76,MATCH(C157,dFrente!$A$2:$A$76,0)),"Sin frente")</f>
        <v>Gobierno y reportería</v>
      </c>
      <c r="O157" s="11" t="str">
        <f aca="false">IFERROR(INDEX(dNIST!$B$2:$B$13,MATCH(M157,dNIST!$A$2:$A$13,0)),"")</f>
        <v>GV</v>
      </c>
      <c r="P157" s="11" t="str">
        <f aca="false">TRIM(IFERROR(LEFT(G157,FIND(CHAR(10),G157)-1),G157))</f>
        <v>Jhonny Barreiro</v>
      </c>
      <c r="Q157" s="11" t="n">
        <f aca="false">LEN(TRIM(G157))-LEN(SUBSTITUTE(TRIM(G157),CHAR(10),""))+1</f>
        <v>1</v>
      </c>
      <c r="R157" s="11" t="str">
        <f aca="false">IF(E157&lt;&gt;"","Sí","No")</f>
        <v>Sí</v>
      </c>
      <c r="S157" s="12" t="str">
        <f aca="false">IF(OR(J157="",H157=""),"",IF(J157&lt;=H157,IF(FechaCorte&gt;=J157,1,0),MAX(0,MIN(1,(FechaCorte-H157)/(J157-H157)))))</f>
        <v/>
      </c>
      <c r="T157" s="12" t="str">
        <f aca="false">IF(S157="","",K157-S157)</f>
        <v/>
      </c>
      <c r="U157" s="11" t="str">
        <f aca="false">IF(R157="Sí","Recurrente",IF(K157&gt;=1,"Completado",IF(AND(J157&lt;&gt;"",J157&lt;FechaCorte),"Vencido",IF(AND(K157=0,OR(H157="",H157&gt;FechaCorte)),"Por iniciar",IF(AND(T157&lt;&gt;"",T157&lt;=UmbralRiesgo),"En riesgo","En plazo")))))</f>
        <v>Recurrente</v>
      </c>
      <c r="V157" s="11" t="n">
        <f aca="false">IF(OR(U157="Vencido",U157="En riesgo",U157="En plazo",U157="Por iniciar"),1,0)</f>
        <v>0</v>
      </c>
      <c r="W157" s="11" t="str">
        <f aca="false">IF(U157="Vencido",FechaCorte-J157,"")</f>
        <v/>
      </c>
      <c r="X157" s="11" t="str">
        <f aca="false">IF(AND(V157=1,U157&lt;&gt;"Vencido"),J157-FechaCorte,"")</f>
        <v/>
      </c>
      <c r="Y157" s="13" t="str">
        <f aca="false">IF(J157="","",DATE(YEAR(J157),MONTH(J157),1))</f>
        <v/>
      </c>
      <c r="Z157" s="13" t="str">
        <f aca="false">IF(AND(U157="Completado",I157&lt;&gt;""),IF(I157&lt;=FechaCorte,DATE(YEAR(I157),MONTH(I157),1),""),"")</f>
        <v/>
      </c>
      <c r="AA157" s="11" t="str">
        <f aca="false">IF(J157="","",IF(DAY(J157+1)=1,1,0))</f>
        <v/>
      </c>
      <c r="AB157" s="11" t="n">
        <f aca="false">IF(AND(U157="Completado",I157&lt;&gt;"",I157=J157),1,0)</f>
        <v>0</v>
      </c>
      <c r="AC157" s="11" t="n">
        <f aca="false">IF(AND(K157&gt;=1,I157&lt;&gt;""),IF(I157&gt;FechaCorte,1,0),0)</f>
        <v>0</v>
      </c>
      <c r="AD157" s="11" t="n">
        <f aca="false">IF(AND(I157&lt;&gt;"",H157&lt;&gt;""),IF(I157&lt;H157,1,0),0)</f>
        <v>0</v>
      </c>
      <c r="AE157" s="11" t="n">
        <f aca="false">IF(OR(F157="Riesgos",F157="Obs. Auditoría"),1,0)</f>
        <v>0</v>
      </c>
      <c r="AF157" s="11" t="str">
        <f aca="false">IFERROR(MID(D157,FIND("PMC-",D157),8),"")</f>
        <v/>
      </c>
      <c r="AG157" s="11" t="n">
        <f aca="false">IF(AND(V157=1,J157&lt;&gt;""),IF(AND(J157&gt;=FechaCorte,J157&lt;=HorizonteExpuestos),1,0),0)</f>
        <v>0</v>
      </c>
    </row>
    <row r="158" customFormat="false" ht="15" hidden="false" customHeight="false" outlineLevel="0" collapsed="false">
      <c r="A158" s="7" t="n">
        <v>157</v>
      </c>
      <c r="B158" s="7" t="n">
        <v>2026</v>
      </c>
      <c r="C158" s="7" t="s">
        <v>475</v>
      </c>
      <c r="D158" s="7" t="s">
        <v>476</v>
      </c>
      <c r="E158" s="7"/>
      <c r="F158" s="7" t="s">
        <v>74</v>
      </c>
      <c r="G158" s="14" t="s">
        <v>368</v>
      </c>
      <c r="H158" s="8" t="n">
        <v>46171</v>
      </c>
      <c r="I158" s="8"/>
      <c r="J158" s="8" t="n">
        <v>46295</v>
      </c>
      <c r="K158" s="9" t="n">
        <v>0.25</v>
      </c>
      <c r="L158" s="7" t="s">
        <v>477</v>
      </c>
      <c r="M158" s="10" t="s">
        <v>403</v>
      </c>
      <c r="N158" s="11" t="str">
        <f aca="false">IFERROR(INDEX(dFrente!$B$2:$B$76,MATCH(C158,dFrente!$A$2:$A$76,0)),"Sin frente")</f>
        <v>Terceros y genéricos</v>
      </c>
      <c r="O158" s="11" t="str">
        <f aca="false">IFERROR(INDEX(dNIST!$B$2:$B$13,MATCH(M158,dNIST!$A$2:$A$13,0)),"")</f>
        <v>PR</v>
      </c>
      <c r="P158" s="11" t="str">
        <f aca="false">TRIM(IFERROR(LEFT(G158,FIND(CHAR(10),G158)-1),G158))</f>
        <v>Daniel Lescano</v>
      </c>
      <c r="Q158" s="11" t="n">
        <f aca="false">LEN(TRIM(G158))-LEN(SUBSTITUTE(TRIM(G158),CHAR(10),""))+1</f>
        <v>2</v>
      </c>
      <c r="R158" s="11" t="str">
        <f aca="false">IF(E158&lt;&gt;"","Sí","No")</f>
        <v>No</v>
      </c>
      <c r="S158" s="12" t="n">
        <f aca="false">IF(OR(J158="",H158=""),"",IF(J158&lt;=H158,IF(FechaCorte&gt;=J158,1,0),MAX(0,MIN(1,(FechaCorte-H158)/(J158-H158)))))</f>
        <v>0.951612903225807</v>
      </c>
      <c r="T158" s="12" t="n">
        <f aca="false">IF(S158="","",K158-S158)</f>
        <v>-0.701612903225807</v>
      </c>
      <c r="U158" s="11" t="str">
        <f aca="false">IF(R158="Sí","Recurrente",IF(K158&gt;=1,"Completado",IF(AND(J158&lt;&gt;"",J158&lt;FechaCorte),"Vencido",IF(AND(K158=0,OR(H158="",H158&gt;FechaCorte)),"Por iniciar",IF(AND(T158&lt;&gt;"",T158&lt;=UmbralRiesgo),"En riesgo","En plazo")))))</f>
        <v>En riesgo</v>
      </c>
      <c r="V158" s="11" t="n">
        <f aca="false">IF(OR(U158="Vencido",U158="En riesgo",U158="En plazo",U158="Por iniciar"),1,0)</f>
        <v>1</v>
      </c>
      <c r="W158" s="11" t="str">
        <f aca="false">IF(U158="Vencido",FechaCorte-J158,"")</f>
        <v/>
      </c>
      <c r="X158" s="11" t="n">
        <f aca="false">IF(AND(V158=1,U158&lt;&gt;"Vencido"),J158-FechaCorte,"")</f>
        <v>6</v>
      </c>
      <c r="Y158" s="13" t="n">
        <f aca="false">IF(J158="","",DATE(YEAR(J158),MONTH(J158),1))</f>
        <v>46266</v>
      </c>
      <c r="Z158" s="13" t="str">
        <f aca="false">IF(AND(U158="Completado",I158&lt;&gt;""),IF(I158&lt;=FechaCorte,DATE(YEAR(I158),MONTH(I158),1),""),"")</f>
        <v/>
      </c>
      <c r="AA158" s="11" t="n">
        <f aca="false">IF(J158="","",IF(DAY(J158+1)=1,1,0))</f>
        <v>1</v>
      </c>
      <c r="AB158" s="11" t="n">
        <f aca="false">IF(AND(U158="Completado",I158&lt;&gt;"",I158=J158),1,0)</f>
        <v>0</v>
      </c>
      <c r="AC158" s="11" t="n">
        <f aca="false">IF(AND(K158&gt;=1,I158&lt;&gt;""),IF(I158&gt;FechaCorte,1,0),0)</f>
        <v>0</v>
      </c>
      <c r="AD158" s="11" t="n">
        <f aca="false">IF(AND(I158&lt;&gt;"",H158&lt;&gt;""),IF(I158&lt;H158,1,0),0)</f>
        <v>0</v>
      </c>
      <c r="AE158" s="11" t="n">
        <f aca="false">IF(OR(F158="Riesgos",F158="Obs. Auditoría"),1,0)</f>
        <v>0</v>
      </c>
      <c r="AF158" s="11" t="str">
        <f aca="false">IFERROR(MID(D158,FIND("PMC-",D158),8),"")</f>
        <v/>
      </c>
      <c r="AG158" s="11" t="n">
        <f aca="false">IF(AND(V158=1,J158&lt;&gt;""),IF(AND(J158&gt;=FechaCorte,J158&lt;=HorizonteExpuestos),1,0),0)</f>
        <v>1</v>
      </c>
    </row>
    <row r="159" customFormat="false" ht="15" hidden="false" customHeight="false" outlineLevel="0" collapsed="false">
      <c r="A159" s="7" t="n">
        <v>158</v>
      </c>
      <c r="B159" s="7" t="n">
        <v>2026</v>
      </c>
      <c r="C159" s="7" t="s">
        <v>478</v>
      </c>
      <c r="D159" s="7" t="s">
        <v>479</v>
      </c>
      <c r="E159" s="7" t="s">
        <v>130</v>
      </c>
      <c r="F159" s="7" t="s">
        <v>131</v>
      </c>
      <c r="G159" s="7" t="s">
        <v>91</v>
      </c>
      <c r="H159" s="8" t="n">
        <v>45867</v>
      </c>
      <c r="I159" s="8"/>
      <c r="J159" s="8"/>
      <c r="K159" s="9" t="n">
        <v>1</v>
      </c>
      <c r="L159" s="7"/>
      <c r="M159" s="10" t="s">
        <v>81</v>
      </c>
      <c r="N159" s="11" t="str">
        <f aca="false">IFERROR(INDEX(dFrente!$B$2:$B$76,MATCH(C159,dFrente!$A$2:$A$76,0)),"Sin frente")</f>
        <v>Aplicaciones y roles</v>
      </c>
      <c r="O159" s="11" t="str">
        <f aca="false">IFERROR(INDEX(dNIST!$B$2:$B$13,MATCH(M159,dNIST!$A$2:$A$13,0)),"")</f>
        <v>PR</v>
      </c>
      <c r="P159" s="11" t="str">
        <f aca="false">TRIM(IFERROR(LEFT(G159,FIND(CHAR(10),G159)-1),G159))</f>
        <v>Jhonny Barreiro</v>
      </c>
      <c r="Q159" s="11" t="n">
        <f aca="false">LEN(TRIM(G159))-LEN(SUBSTITUTE(TRIM(G159),CHAR(10),""))+1</f>
        <v>1</v>
      </c>
      <c r="R159" s="11" t="str">
        <f aca="false">IF(E159&lt;&gt;"","Sí","No")</f>
        <v>Sí</v>
      </c>
      <c r="S159" s="12" t="str">
        <f aca="false">IF(OR(J159="",H159=""),"",IF(J159&lt;=H159,IF(FechaCorte&gt;=J159,1,0),MAX(0,MIN(1,(FechaCorte-H159)/(J159-H159)))))</f>
        <v/>
      </c>
      <c r="T159" s="12" t="str">
        <f aca="false">IF(S159="","",K159-S159)</f>
        <v/>
      </c>
      <c r="U159" s="11" t="str">
        <f aca="false">IF(R159="Sí","Recurrente",IF(K159&gt;=1,"Completado",IF(AND(J159&lt;&gt;"",J159&lt;FechaCorte),"Vencido",IF(AND(K159=0,OR(H159="",H159&gt;FechaCorte)),"Por iniciar",IF(AND(T159&lt;&gt;"",T159&lt;=UmbralRiesgo),"En riesgo","En plazo")))))</f>
        <v>Recurrente</v>
      </c>
      <c r="V159" s="11" t="n">
        <f aca="false">IF(OR(U159="Vencido",U159="En riesgo",U159="En plazo",U159="Por iniciar"),1,0)</f>
        <v>0</v>
      </c>
      <c r="W159" s="11" t="str">
        <f aca="false">IF(U159="Vencido",FechaCorte-J159,"")</f>
        <v/>
      </c>
      <c r="X159" s="11" t="str">
        <f aca="false">IF(AND(V159=1,U159&lt;&gt;"Vencido"),J159-FechaCorte,"")</f>
        <v/>
      </c>
      <c r="Y159" s="13" t="str">
        <f aca="false">IF(J159="","",DATE(YEAR(J159),MONTH(J159),1))</f>
        <v/>
      </c>
      <c r="Z159" s="13" t="str">
        <f aca="false">IF(AND(U159="Completado",I159&lt;&gt;""),IF(I159&lt;=FechaCorte,DATE(YEAR(I159),MONTH(I159),1),""),"")</f>
        <v/>
      </c>
      <c r="AA159" s="11" t="str">
        <f aca="false">IF(J159="","",IF(DAY(J159+1)=1,1,0))</f>
        <v/>
      </c>
      <c r="AB159" s="11" t="n">
        <f aca="false">IF(AND(U159="Completado",I159&lt;&gt;"",I159=J159),1,0)</f>
        <v>0</v>
      </c>
      <c r="AC159" s="11" t="n">
        <f aca="false">IF(AND(K159&gt;=1,I159&lt;&gt;""),IF(I159&gt;FechaCorte,1,0),0)</f>
        <v>0</v>
      </c>
      <c r="AD159" s="11" t="n">
        <f aca="false">IF(AND(I159&lt;&gt;"",H159&lt;&gt;""),IF(I159&lt;H159,1,0),0)</f>
        <v>0</v>
      </c>
      <c r="AE159" s="11" t="n">
        <f aca="false">IF(OR(F159="Riesgos",F159="Obs. Auditoría"),1,0)</f>
        <v>0</v>
      </c>
      <c r="AF159" s="11" t="str">
        <f aca="false">IFERROR(MID(D159,FIND("PMC-",D159),8),"")</f>
        <v/>
      </c>
      <c r="AG159" s="11" t="n">
        <f aca="false">IF(AND(V159=1,J159&lt;&gt;""),IF(AND(J159&gt;=FechaCorte,J159&lt;=HorizonteExpuestos),1,0),0)</f>
        <v>0</v>
      </c>
    </row>
    <row r="160" customFormat="false" ht="15" hidden="false" customHeight="false" outlineLevel="0" collapsed="false">
      <c r="A160" s="7" t="n">
        <v>159</v>
      </c>
      <c r="B160" s="7" t="n">
        <v>2026</v>
      </c>
      <c r="C160" s="7" t="s">
        <v>319</v>
      </c>
      <c r="D160" s="7" t="s">
        <v>480</v>
      </c>
      <c r="E160" s="7"/>
      <c r="F160" s="7" t="s">
        <v>131</v>
      </c>
      <c r="G160" s="7" t="s">
        <v>91</v>
      </c>
      <c r="H160" s="8" t="n">
        <v>46204</v>
      </c>
      <c r="I160" s="8"/>
      <c r="J160" s="8" t="n">
        <v>46264</v>
      </c>
      <c r="K160" s="9" t="n">
        <v>0.5</v>
      </c>
      <c r="L160" s="7"/>
      <c r="M160" s="10" t="s">
        <v>186</v>
      </c>
      <c r="N160" s="11" t="str">
        <f aca="false">IFERROR(INDEX(dFrente!$B$2:$B$76,MATCH(C160,dFrente!$A$2:$A$76,0)),"Sin frente")</f>
        <v>Planes de riesgo (PMC)</v>
      </c>
      <c r="O160" s="11" t="str">
        <f aca="false">IFERROR(INDEX(dNIST!$B$2:$B$13,MATCH(M160,dNIST!$A$2:$A$13,0)),"")</f>
        <v>GV</v>
      </c>
      <c r="P160" s="11" t="str">
        <f aca="false">TRIM(IFERROR(LEFT(G160,FIND(CHAR(10),G160)-1),G160))</f>
        <v>Jhonny Barreiro</v>
      </c>
      <c r="Q160" s="11" t="n">
        <f aca="false">LEN(TRIM(G160))-LEN(SUBSTITUTE(TRIM(G160),CHAR(10),""))+1</f>
        <v>1</v>
      </c>
      <c r="R160" s="11" t="str">
        <f aca="false">IF(E160&lt;&gt;"","Sí","No")</f>
        <v>No</v>
      </c>
      <c r="S160" s="12" t="n">
        <f aca="false">IF(OR(J160="",H160=""),"",IF(J160&lt;=H160,IF(FechaCorte&gt;=J160,1,0),MAX(0,MIN(1,(FechaCorte-H160)/(J160-H160)))))</f>
        <v>1</v>
      </c>
      <c r="T160" s="12" t="n">
        <f aca="false">IF(S160="","",K160-S160)</f>
        <v>-0.5</v>
      </c>
      <c r="U160" s="11" t="str">
        <f aca="false">IF(R160="Sí","Recurrente",IF(K160&gt;=1,"Completado",IF(AND(J160&lt;&gt;"",J160&lt;FechaCorte),"Vencido",IF(AND(K160=0,OR(H160="",H160&gt;FechaCorte)),"Por iniciar",IF(AND(T160&lt;&gt;"",T160&lt;=UmbralRiesgo),"En riesgo","En plazo")))))</f>
        <v>Vencido</v>
      </c>
      <c r="V160" s="11" t="n">
        <f aca="false">IF(OR(U160="Vencido",U160="En riesgo",U160="En plazo",U160="Por iniciar"),1,0)</f>
        <v>1</v>
      </c>
      <c r="W160" s="11" t="n">
        <f aca="false">IF(U160="Vencido",FechaCorte-J160,"")</f>
        <v>25</v>
      </c>
      <c r="X160" s="11" t="str">
        <f aca="false">IF(AND(V160=1,U160&lt;&gt;"Vencido"),J160-FechaCorte,"")</f>
        <v/>
      </c>
      <c r="Y160" s="13" t="n">
        <f aca="false">IF(J160="","",DATE(YEAR(J160),MONTH(J160),1))</f>
        <v>46235</v>
      </c>
      <c r="Z160" s="13" t="str">
        <f aca="false">IF(AND(U160="Completado",I160&lt;&gt;""),IF(I160&lt;=FechaCorte,DATE(YEAR(I160),MONTH(I160),1),""),"")</f>
        <v/>
      </c>
      <c r="AA160" s="11" t="n">
        <f aca="false">IF(J160="","",IF(DAY(J160+1)=1,1,0))</f>
        <v>0</v>
      </c>
      <c r="AB160" s="11" t="n">
        <f aca="false">IF(AND(U160="Completado",I160&lt;&gt;"",I160=J160),1,0)</f>
        <v>0</v>
      </c>
      <c r="AC160" s="11" t="n">
        <f aca="false">IF(AND(K160&gt;=1,I160&lt;&gt;""),IF(I160&gt;FechaCorte,1,0),0)</f>
        <v>0</v>
      </c>
      <c r="AD160" s="11" t="n">
        <f aca="false">IF(AND(I160&lt;&gt;"",H160&lt;&gt;""),IF(I160&lt;H160,1,0),0)</f>
        <v>0</v>
      </c>
      <c r="AE160" s="11" t="n">
        <f aca="false">IF(OR(F160="Riesgos",F160="Obs. Auditoría"),1,0)</f>
        <v>0</v>
      </c>
      <c r="AF160" s="11" t="str">
        <f aca="false">IFERROR(MID(D160,FIND("PMC-",D160),8),"")</f>
        <v/>
      </c>
      <c r="AG160" s="11" t="n">
        <f aca="false">IF(AND(V160=1,J160&lt;&gt;""),IF(AND(J160&gt;=FechaCorte,J160&lt;=HorizonteExpuestos),1,0),0)</f>
        <v>0</v>
      </c>
    </row>
    <row r="161" customFormat="false" ht="15" hidden="false" customHeight="false" outlineLevel="0" collapsed="false">
      <c r="A161" s="7" t="n">
        <v>160</v>
      </c>
      <c r="B161" s="7" t="n">
        <v>2026</v>
      </c>
      <c r="C161" s="7" t="s">
        <v>319</v>
      </c>
      <c r="D161" s="7" t="s">
        <v>481</v>
      </c>
      <c r="E161" s="7"/>
      <c r="F161" s="7" t="s">
        <v>131</v>
      </c>
      <c r="G161" s="7" t="s">
        <v>91</v>
      </c>
      <c r="H161" s="8" t="n">
        <v>46204</v>
      </c>
      <c r="I161" s="8"/>
      <c r="J161" s="8" t="n">
        <v>46264</v>
      </c>
      <c r="K161" s="9" t="n">
        <v>0.5</v>
      </c>
      <c r="L161" s="7"/>
      <c r="M161" s="10" t="s">
        <v>186</v>
      </c>
      <c r="N161" s="11" t="str">
        <f aca="false">IFERROR(INDEX(dFrente!$B$2:$B$76,MATCH(C161,dFrente!$A$2:$A$76,0)),"Sin frente")</f>
        <v>Planes de riesgo (PMC)</v>
      </c>
      <c r="O161" s="11" t="str">
        <f aca="false">IFERROR(INDEX(dNIST!$B$2:$B$13,MATCH(M161,dNIST!$A$2:$A$13,0)),"")</f>
        <v>GV</v>
      </c>
      <c r="P161" s="11" t="str">
        <f aca="false">TRIM(IFERROR(LEFT(G161,FIND(CHAR(10),G161)-1),G161))</f>
        <v>Jhonny Barreiro</v>
      </c>
      <c r="Q161" s="11" t="n">
        <f aca="false">LEN(TRIM(G161))-LEN(SUBSTITUTE(TRIM(G161),CHAR(10),""))+1</f>
        <v>1</v>
      </c>
      <c r="R161" s="11" t="str">
        <f aca="false">IF(E161&lt;&gt;"","Sí","No")</f>
        <v>No</v>
      </c>
      <c r="S161" s="12" t="n">
        <f aca="false">IF(OR(J161="",H161=""),"",IF(J161&lt;=H161,IF(FechaCorte&gt;=J161,1,0),MAX(0,MIN(1,(FechaCorte-H161)/(J161-H161)))))</f>
        <v>1</v>
      </c>
      <c r="T161" s="12" t="n">
        <f aca="false">IF(S161="","",K161-S161)</f>
        <v>-0.5</v>
      </c>
      <c r="U161" s="11" t="str">
        <f aca="false">IF(R161="Sí","Recurrente",IF(K161&gt;=1,"Completado",IF(AND(J161&lt;&gt;"",J161&lt;FechaCorte),"Vencido",IF(AND(K161=0,OR(H161="",H161&gt;FechaCorte)),"Por iniciar",IF(AND(T161&lt;&gt;"",T161&lt;=UmbralRiesgo),"En riesgo","En plazo")))))</f>
        <v>Vencido</v>
      </c>
      <c r="V161" s="11" t="n">
        <f aca="false">IF(OR(U161="Vencido",U161="En riesgo",U161="En plazo",U161="Por iniciar"),1,0)</f>
        <v>1</v>
      </c>
      <c r="W161" s="11" t="n">
        <f aca="false">IF(U161="Vencido",FechaCorte-J161,"")</f>
        <v>25</v>
      </c>
      <c r="X161" s="11" t="str">
        <f aca="false">IF(AND(V161=1,U161&lt;&gt;"Vencido"),J161-FechaCorte,"")</f>
        <v/>
      </c>
      <c r="Y161" s="13" t="n">
        <f aca="false">IF(J161="","",DATE(YEAR(J161),MONTH(J161),1))</f>
        <v>46235</v>
      </c>
      <c r="Z161" s="13" t="str">
        <f aca="false">IF(AND(U161="Completado",I161&lt;&gt;""),IF(I161&lt;=FechaCorte,DATE(YEAR(I161),MONTH(I161),1),""),"")</f>
        <v/>
      </c>
      <c r="AA161" s="11" t="n">
        <f aca="false">IF(J161="","",IF(DAY(J161+1)=1,1,0))</f>
        <v>0</v>
      </c>
      <c r="AB161" s="11" t="n">
        <f aca="false">IF(AND(U161="Completado",I161&lt;&gt;"",I161=J161),1,0)</f>
        <v>0</v>
      </c>
      <c r="AC161" s="11" t="n">
        <f aca="false">IF(AND(K161&gt;=1,I161&lt;&gt;""),IF(I161&gt;FechaCorte,1,0),0)</f>
        <v>0</v>
      </c>
      <c r="AD161" s="11" t="n">
        <f aca="false">IF(AND(I161&lt;&gt;"",H161&lt;&gt;""),IF(I161&lt;H161,1,0),0)</f>
        <v>0</v>
      </c>
      <c r="AE161" s="11" t="n">
        <f aca="false">IF(OR(F161="Riesgos",F161="Obs. Auditoría"),1,0)</f>
        <v>0</v>
      </c>
      <c r="AF161" s="11" t="str">
        <f aca="false">IFERROR(MID(D161,FIND("PMC-",D161),8),"")</f>
        <v/>
      </c>
      <c r="AG161" s="11" t="n">
        <f aca="false">IF(AND(V161=1,J161&lt;&gt;""),IF(AND(J161&gt;=FechaCorte,J161&lt;=HorizonteExpuestos),1,0),0)</f>
        <v>0</v>
      </c>
    </row>
    <row r="162" customFormat="false" ht="15" hidden="false" customHeight="false" outlineLevel="0" collapsed="false">
      <c r="A162" s="7" t="n">
        <v>161</v>
      </c>
      <c r="B162" s="7" t="n">
        <v>2026</v>
      </c>
      <c r="C162" s="7" t="s">
        <v>482</v>
      </c>
      <c r="D162" s="7" t="s">
        <v>483</v>
      </c>
      <c r="E162" s="7"/>
      <c r="F162" s="7" t="s">
        <v>74</v>
      </c>
      <c r="G162" s="7" t="s">
        <v>91</v>
      </c>
      <c r="H162" s="8" t="n">
        <v>46204</v>
      </c>
      <c r="I162" s="8"/>
      <c r="J162" s="8" t="n">
        <v>46290</v>
      </c>
      <c r="K162" s="9" t="n">
        <v>0.15</v>
      </c>
      <c r="L162" s="7"/>
      <c r="M162" s="10" t="s">
        <v>81</v>
      </c>
      <c r="N162" s="11" t="str">
        <f aca="false">IFERROR(INDEX(dFrente!$B$2:$B$76,MATCH(C162,dFrente!$A$2:$A$76,0)),"Sin frente")</f>
        <v>Certificación de accesos</v>
      </c>
      <c r="O162" s="11" t="str">
        <f aca="false">IFERROR(INDEX(dNIST!$B$2:$B$13,MATCH(M162,dNIST!$A$2:$A$13,0)),"")</f>
        <v>PR</v>
      </c>
      <c r="P162" s="11" t="str">
        <f aca="false">TRIM(IFERROR(LEFT(G162,FIND(CHAR(10),G162)-1),G162))</f>
        <v>Jhonny Barreiro</v>
      </c>
      <c r="Q162" s="11" t="n">
        <f aca="false">LEN(TRIM(G162))-LEN(SUBSTITUTE(TRIM(G162),CHAR(10),""))+1</f>
        <v>1</v>
      </c>
      <c r="R162" s="11" t="str">
        <f aca="false">IF(E162&lt;&gt;"","Sí","No")</f>
        <v>No</v>
      </c>
      <c r="S162" s="12" t="n">
        <f aca="false">IF(OR(J162="",H162=""),"",IF(J162&lt;=H162,IF(FechaCorte&gt;=J162,1,0),MAX(0,MIN(1,(FechaCorte-H162)/(J162-H162)))))</f>
        <v>0.988372093023256</v>
      </c>
      <c r="T162" s="12" t="n">
        <f aca="false">IF(S162="","",K162-S162)</f>
        <v>-0.838372093023256</v>
      </c>
      <c r="U162" s="11" t="str">
        <f aca="false">IF(R162="Sí","Recurrente",IF(K162&gt;=1,"Completado",IF(AND(J162&lt;&gt;"",J162&lt;FechaCorte),"Vencido",IF(AND(K162=0,OR(H162="",H162&gt;FechaCorte)),"Por iniciar",IF(AND(T162&lt;&gt;"",T162&lt;=UmbralRiesgo),"En riesgo","En plazo")))))</f>
        <v>En riesgo</v>
      </c>
      <c r="V162" s="11" t="n">
        <f aca="false">IF(OR(U162="Vencido",U162="En riesgo",U162="En plazo",U162="Por iniciar"),1,0)</f>
        <v>1</v>
      </c>
      <c r="W162" s="11" t="str">
        <f aca="false">IF(U162="Vencido",FechaCorte-J162,"")</f>
        <v/>
      </c>
      <c r="X162" s="11" t="n">
        <f aca="false">IF(AND(V162=1,U162&lt;&gt;"Vencido"),J162-FechaCorte,"")</f>
        <v>1</v>
      </c>
      <c r="Y162" s="13" t="n">
        <f aca="false">IF(J162="","",DATE(YEAR(J162),MONTH(J162),1))</f>
        <v>46266</v>
      </c>
      <c r="Z162" s="13" t="str">
        <f aca="false">IF(AND(U162="Completado",I162&lt;&gt;""),IF(I162&lt;=FechaCorte,DATE(YEAR(I162),MONTH(I162),1),""),"")</f>
        <v/>
      </c>
      <c r="AA162" s="11" t="n">
        <f aca="false">IF(J162="","",IF(DAY(J162+1)=1,1,0))</f>
        <v>0</v>
      </c>
      <c r="AB162" s="11" t="n">
        <f aca="false">IF(AND(U162="Completado",I162&lt;&gt;"",I162=J162),1,0)</f>
        <v>0</v>
      </c>
      <c r="AC162" s="11" t="n">
        <f aca="false">IF(AND(K162&gt;=1,I162&lt;&gt;""),IF(I162&gt;FechaCorte,1,0),0)</f>
        <v>0</v>
      </c>
      <c r="AD162" s="11" t="n">
        <f aca="false">IF(AND(I162&lt;&gt;"",H162&lt;&gt;""),IF(I162&lt;H162,1,0),0)</f>
        <v>0</v>
      </c>
      <c r="AE162" s="11" t="n">
        <f aca="false">IF(OR(F162="Riesgos",F162="Obs. Auditoría"),1,0)</f>
        <v>0</v>
      </c>
      <c r="AF162" s="11" t="str">
        <f aca="false">IFERROR(MID(D162,FIND("PMC-",D162),8),"")</f>
        <v/>
      </c>
      <c r="AG162" s="11" t="n">
        <f aca="false">IF(AND(V162=1,J162&lt;&gt;""),IF(AND(J162&gt;=FechaCorte,J162&lt;=HorizonteExpuestos),1,0),0)</f>
        <v>1</v>
      </c>
    </row>
    <row r="163" customFormat="false" ht="15" hidden="false" customHeight="false" outlineLevel="0" collapsed="false">
      <c r="A163" s="7" t="n">
        <v>162</v>
      </c>
      <c r="B163" s="7" t="n">
        <v>2026</v>
      </c>
      <c r="C163" s="7" t="s">
        <v>484</v>
      </c>
      <c r="D163" s="7" t="s">
        <v>485</v>
      </c>
      <c r="E163" s="7" t="s">
        <v>130</v>
      </c>
      <c r="F163" s="7" t="s">
        <v>74</v>
      </c>
      <c r="G163" s="7" t="s">
        <v>91</v>
      </c>
      <c r="H163" s="8" t="n">
        <v>45867</v>
      </c>
      <c r="I163" s="8"/>
      <c r="J163" s="8"/>
      <c r="K163" s="9" t="n">
        <v>1</v>
      </c>
      <c r="L163" s="7"/>
      <c r="M163" s="10" t="s">
        <v>81</v>
      </c>
      <c r="N163" s="11" t="str">
        <f aca="false">IFERROR(INDEX(dFrente!$B$2:$B$76,MATCH(C163,dFrente!$A$2:$A$76,0)),"Sin frente")</f>
        <v>Controles, red y M365</v>
      </c>
      <c r="O163" s="11" t="str">
        <f aca="false">IFERROR(INDEX(dNIST!$B$2:$B$13,MATCH(M163,dNIST!$A$2:$A$13,0)),"")</f>
        <v>PR</v>
      </c>
      <c r="P163" s="11" t="str">
        <f aca="false">TRIM(IFERROR(LEFT(G163,FIND(CHAR(10),G163)-1),G163))</f>
        <v>Jhonny Barreiro</v>
      </c>
      <c r="Q163" s="11" t="n">
        <f aca="false">LEN(TRIM(G163))-LEN(SUBSTITUTE(TRIM(G163),CHAR(10),""))+1</f>
        <v>1</v>
      </c>
      <c r="R163" s="11" t="str">
        <f aca="false">IF(E163&lt;&gt;"","Sí","No")</f>
        <v>Sí</v>
      </c>
      <c r="S163" s="12" t="str">
        <f aca="false">IF(OR(J163="",H163=""),"",IF(J163&lt;=H163,IF(FechaCorte&gt;=J163,1,0),MAX(0,MIN(1,(FechaCorte-H163)/(J163-H163)))))</f>
        <v/>
      </c>
      <c r="T163" s="12" t="str">
        <f aca="false">IF(S163="","",K163-S163)</f>
        <v/>
      </c>
      <c r="U163" s="11" t="str">
        <f aca="false">IF(R163="Sí","Recurrente",IF(K163&gt;=1,"Completado",IF(AND(J163&lt;&gt;"",J163&lt;FechaCorte),"Vencido",IF(AND(K163=0,OR(H163="",H163&gt;FechaCorte)),"Por iniciar",IF(AND(T163&lt;&gt;"",T163&lt;=UmbralRiesgo),"En riesgo","En plazo")))))</f>
        <v>Recurrente</v>
      </c>
      <c r="V163" s="11" t="n">
        <f aca="false">IF(OR(U163="Vencido",U163="En riesgo",U163="En plazo",U163="Por iniciar"),1,0)</f>
        <v>0</v>
      </c>
      <c r="W163" s="11" t="str">
        <f aca="false">IF(U163="Vencido",FechaCorte-J163,"")</f>
        <v/>
      </c>
      <c r="X163" s="11" t="str">
        <f aca="false">IF(AND(V163=1,U163&lt;&gt;"Vencido"),J163-FechaCorte,"")</f>
        <v/>
      </c>
      <c r="Y163" s="13" t="str">
        <f aca="false">IF(J163="","",DATE(YEAR(J163),MONTH(J163),1))</f>
        <v/>
      </c>
      <c r="Z163" s="13" t="str">
        <f aca="false">IF(AND(U163="Completado",I163&lt;&gt;""),IF(I163&lt;=FechaCorte,DATE(YEAR(I163),MONTH(I163),1),""),"")</f>
        <v/>
      </c>
      <c r="AA163" s="11" t="str">
        <f aca="false">IF(J163="","",IF(DAY(J163+1)=1,1,0))</f>
        <v/>
      </c>
      <c r="AB163" s="11" t="n">
        <f aca="false">IF(AND(U163="Completado",I163&lt;&gt;"",I163=J163),1,0)</f>
        <v>0</v>
      </c>
      <c r="AC163" s="11" t="n">
        <f aca="false">IF(AND(K163&gt;=1,I163&lt;&gt;""),IF(I163&gt;FechaCorte,1,0),0)</f>
        <v>0</v>
      </c>
      <c r="AD163" s="11" t="n">
        <f aca="false">IF(AND(I163&lt;&gt;"",H163&lt;&gt;""),IF(I163&lt;H163,1,0),0)</f>
        <v>0</v>
      </c>
      <c r="AE163" s="11" t="n">
        <f aca="false">IF(OR(F163="Riesgos",F163="Obs. Auditoría"),1,0)</f>
        <v>0</v>
      </c>
      <c r="AF163" s="11" t="str">
        <f aca="false">IFERROR(MID(D163,FIND("PMC-",D163),8),"")</f>
        <v/>
      </c>
      <c r="AG163" s="11" t="n">
        <f aca="false">IF(AND(V163=1,J163&lt;&gt;""),IF(AND(J163&gt;=FechaCorte,J163&lt;=HorizonteExpuestos),1,0),0)</f>
        <v>0</v>
      </c>
    </row>
    <row r="164" customFormat="false" ht="15" hidden="false" customHeight="false" outlineLevel="0" collapsed="false">
      <c r="A164" s="7" t="n">
        <v>163</v>
      </c>
      <c r="B164" s="7" t="n">
        <v>2026</v>
      </c>
      <c r="C164" s="7" t="s">
        <v>486</v>
      </c>
      <c r="D164" s="7" t="s">
        <v>487</v>
      </c>
      <c r="E164" s="7" t="s">
        <v>130</v>
      </c>
      <c r="F164" s="7" t="s">
        <v>74</v>
      </c>
      <c r="G164" s="7" t="s">
        <v>91</v>
      </c>
      <c r="H164" s="8" t="n">
        <v>45867</v>
      </c>
      <c r="I164" s="8"/>
      <c r="J164" s="8"/>
      <c r="K164" s="9" t="n">
        <v>1</v>
      </c>
      <c r="L164" s="7"/>
      <c r="M164" s="10" t="s">
        <v>81</v>
      </c>
      <c r="N164" s="11" t="str">
        <f aca="false">IFERROR(INDEX(dFrente!$B$2:$B$76,MATCH(C164,dFrente!$A$2:$A$76,0)),"Sin frente")</f>
        <v>Controles, red y M365</v>
      </c>
      <c r="O164" s="11" t="str">
        <f aca="false">IFERROR(INDEX(dNIST!$B$2:$B$13,MATCH(M164,dNIST!$A$2:$A$13,0)),"")</f>
        <v>PR</v>
      </c>
      <c r="P164" s="11" t="str">
        <f aca="false">TRIM(IFERROR(LEFT(G164,FIND(CHAR(10),G164)-1),G164))</f>
        <v>Jhonny Barreiro</v>
      </c>
      <c r="Q164" s="11" t="n">
        <f aca="false">LEN(TRIM(G164))-LEN(SUBSTITUTE(TRIM(G164),CHAR(10),""))+1</f>
        <v>1</v>
      </c>
      <c r="R164" s="11" t="str">
        <f aca="false">IF(E164&lt;&gt;"","Sí","No")</f>
        <v>Sí</v>
      </c>
      <c r="S164" s="12" t="str">
        <f aca="false">IF(OR(J164="",H164=""),"",IF(J164&lt;=H164,IF(FechaCorte&gt;=J164,1,0),MAX(0,MIN(1,(FechaCorte-H164)/(J164-H164)))))</f>
        <v/>
      </c>
      <c r="T164" s="12" t="str">
        <f aca="false">IF(S164="","",K164-S164)</f>
        <v/>
      </c>
      <c r="U164" s="11" t="str">
        <f aca="false">IF(R164="Sí","Recurrente",IF(K164&gt;=1,"Completado",IF(AND(J164&lt;&gt;"",J164&lt;FechaCorte),"Vencido",IF(AND(K164=0,OR(H164="",H164&gt;FechaCorte)),"Por iniciar",IF(AND(T164&lt;&gt;"",T164&lt;=UmbralRiesgo),"En riesgo","En plazo")))))</f>
        <v>Recurrente</v>
      </c>
      <c r="V164" s="11" t="n">
        <f aca="false">IF(OR(U164="Vencido",U164="En riesgo",U164="En plazo",U164="Por iniciar"),1,0)</f>
        <v>0</v>
      </c>
      <c r="W164" s="11" t="str">
        <f aca="false">IF(U164="Vencido",FechaCorte-J164,"")</f>
        <v/>
      </c>
      <c r="X164" s="11" t="str">
        <f aca="false">IF(AND(V164=1,U164&lt;&gt;"Vencido"),J164-FechaCorte,"")</f>
        <v/>
      </c>
      <c r="Y164" s="13" t="str">
        <f aca="false">IF(J164="","",DATE(YEAR(J164),MONTH(J164),1))</f>
        <v/>
      </c>
      <c r="Z164" s="13" t="str">
        <f aca="false">IF(AND(U164="Completado",I164&lt;&gt;""),IF(I164&lt;=FechaCorte,DATE(YEAR(I164),MONTH(I164),1),""),"")</f>
        <v/>
      </c>
      <c r="AA164" s="11" t="str">
        <f aca="false">IF(J164="","",IF(DAY(J164+1)=1,1,0))</f>
        <v/>
      </c>
      <c r="AB164" s="11" t="n">
        <f aca="false">IF(AND(U164="Completado",I164&lt;&gt;"",I164=J164),1,0)</f>
        <v>0</v>
      </c>
      <c r="AC164" s="11" t="n">
        <f aca="false">IF(AND(K164&gt;=1,I164&lt;&gt;""),IF(I164&gt;FechaCorte,1,0),0)</f>
        <v>0</v>
      </c>
      <c r="AD164" s="11" t="n">
        <f aca="false">IF(AND(I164&lt;&gt;"",H164&lt;&gt;""),IF(I164&lt;H164,1,0),0)</f>
        <v>0</v>
      </c>
      <c r="AE164" s="11" t="n">
        <f aca="false">IF(OR(F164="Riesgos",F164="Obs. Auditoría"),1,0)</f>
        <v>0</v>
      </c>
      <c r="AF164" s="11" t="str">
        <f aca="false">IFERROR(MID(D164,FIND("PMC-",D164),8),"")</f>
        <v/>
      </c>
      <c r="AG164" s="11" t="n">
        <f aca="false">IF(AND(V164=1,J164&lt;&gt;""),IF(AND(J164&gt;=FechaCorte,J164&lt;=HorizonteExpuestos),1,0),0)</f>
        <v>0</v>
      </c>
    </row>
    <row r="165" customFormat="false" ht="15" hidden="false" customHeight="false" outlineLevel="0" collapsed="false">
      <c r="A165" s="7" t="n">
        <v>164</v>
      </c>
      <c r="B165" s="7" t="n">
        <v>2026</v>
      </c>
      <c r="C165" s="7" t="s">
        <v>488</v>
      </c>
      <c r="D165" s="7" t="s">
        <v>489</v>
      </c>
      <c r="E165" s="7"/>
      <c r="F165" s="7" t="s">
        <v>131</v>
      </c>
      <c r="G165" s="7" t="s">
        <v>276</v>
      </c>
      <c r="H165" s="8" t="n">
        <v>46237</v>
      </c>
      <c r="I165" s="8" t="n">
        <v>46237</v>
      </c>
      <c r="J165" s="8" t="n">
        <v>46237</v>
      </c>
      <c r="K165" s="9" t="n">
        <v>1</v>
      </c>
      <c r="L165" s="7" t="s">
        <v>490</v>
      </c>
      <c r="M165" s="10" t="s">
        <v>81</v>
      </c>
      <c r="N165" s="11" t="str">
        <f aca="false">IFERROR(INDEX(dFrente!$B$2:$B$76,MATCH(C165,dFrente!$A$2:$A$76,0)),"Sin frente")</f>
        <v>Bases de datos y SFTP</v>
      </c>
      <c r="O165" s="11" t="str">
        <f aca="false">IFERROR(INDEX(dNIST!$B$2:$B$13,MATCH(M165,dNIST!$A$2:$A$13,0)),"")</f>
        <v>PR</v>
      </c>
      <c r="P165" s="11" t="str">
        <f aca="false">TRIM(IFERROR(LEFT(G165,FIND(CHAR(10),G165)-1),G165))</f>
        <v>Daniel Lescano</v>
      </c>
      <c r="Q165" s="11" t="n">
        <f aca="false">LEN(TRIM(G165))-LEN(SUBSTITUTE(TRIM(G165),CHAR(10),""))+1</f>
        <v>1</v>
      </c>
      <c r="R165" s="11" t="str">
        <f aca="false">IF(E165&lt;&gt;"","Sí","No")</f>
        <v>No</v>
      </c>
      <c r="S165" s="12" t="n">
        <f aca="false">IF(OR(J165="",H165=""),"",IF(J165&lt;=H165,IF(FechaCorte&gt;=J165,1,0),MAX(0,MIN(1,(FechaCorte-H165)/(J165-H165)))))</f>
        <v>1</v>
      </c>
      <c r="T165" s="12" t="n">
        <f aca="false">IF(S165="","",K165-S165)</f>
        <v>0</v>
      </c>
      <c r="U165" s="11" t="str">
        <f aca="false">IF(R165="Sí","Recurrente",IF(K165&gt;=1,"Completado",IF(AND(J165&lt;&gt;"",J165&lt;FechaCorte),"Vencido",IF(AND(K165=0,OR(H165="",H165&gt;FechaCorte)),"Por iniciar",IF(AND(T165&lt;&gt;"",T165&lt;=UmbralRiesgo),"En riesgo","En plazo")))))</f>
        <v>Completado</v>
      </c>
      <c r="V165" s="11" t="n">
        <f aca="false">IF(OR(U165="Vencido",U165="En riesgo",U165="En plazo",U165="Por iniciar"),1,0)</f>
        <v>0</v>
      </c>
      <c r="W165" s="11" t="str">
        <f aca="false">IF(U165="Vencido",FechaCorte-J165,"")</f>
        <v/>
      </c>
      <c r="X165" s="11" t="str">
        <f aca="false">IF(AND(V165=1,U165&lt;&gt;"Vencido"),J165-FechaCorte,"")</f>
        <v/>
      </c>
      <c r="Y165" s="13" t="n">
        <f aca="false">IF(J165="","",DATE(YEAR(J165),MONTH(J165),1))</f>
        <v>46235</v>
      </c>
      <c r="Z165" s="13" t="n">
        <f aca="false">IF(AND(U165="Completado",I165&lt;&gt;""),IF(I165&lt;=FechaCorte,DATE(YEAR(I165),MONTH(I165),1),""),"")</f>
        <v>46235</v>
      </c>
      <c r="AA165" s="11" t="n">
        <f aca="false">IF(J165="","",IF(DAY(J165+1)=1,1,0))</f>
        <v>0</v>
      </c>
      <c r="AB165" s="11" t="n">
        <f aca="false">IF(AND(U165="Completado",I165&lt;&gt;"",I165=J165),1,0)</f>
        <v>1</v>
      </c>
      <c r="AC165" s="11" t="n">
        <f aca="false">IF(AND(K165&gt;=1,I165&lt;&gt;""),IF(I165&gt;FechaCorte,1,0),0)</f>
        <v>0</v>
      </c>
      <c r="AD165" s="11" t="n">
        <f aca="false">IF(AND(I165&lt;&gt;"",H165&lt;&gt;""),IF(I165&lt;H165,1,0),0)</f>
        <v>0</v>
      </c>
      <c r="AE165" s="11" t="n">
        <f aca="false">IF(OR(F165="Riesgos",F165="Obs. Auditoría"),1,0)</f>
        <v>0</v>
      </c>
      <c r="AF165" s="11" t="str">
        <f aca="false">IFERROR(MID(D165,FIND("PMC-",D165),8),"")</f>
        <v/>
      </c>
      <c r="AG165" s="11" t="n">
        <f aca="false">IF(AND(V165=1,J165&lt;&gt;""),IF(AND(J165&gt;=FechaCorte,J165&lt;=HorizonteExpuestos),1,0),0)</f>
        <v>0</v>
      </c>
    </row>
    <row r="166" customFormat="false" ht="15" hidden="false" customHeight="false" outlineLevel="0" collapsed="false">
      <c r="A166" s="7" t="n">
        <v>165</v>
      </c>
      <c r="B166" s="7" t="n">
        <v>2026</v>
      </c>
      <c r="C166" s="7" t="s">
        <v>491</v>
      </c>
      <c r="D166" s="7" t="s">
        <v>492</v>
      </c>
      <c r="E166" s="7" t="s">
        <v>379</v>
      </c>
      <c r="F166" s="7" t="s">
        <v>131</v>
      </c>
      <c r="G166" s="7" t="s">
        <v>276</v>
      </c>
      <c r="H166" s="8" t="n">
        <v>46240</v>
      </c>
      <c r="I166" s="8"/>
      <c r="J166" s="8"/>
      <c r="K166" s="9" t="n">
        <v>1</v>
      </c>
      <c r="L166" s="14" t="s">
        <v>493</v>
      </c>
      <c r="M166" s="10" t="s">
        <v>81</v>
      </c>
      <c r="N166" s="11" t="str">
        <f aca="false">IFERROR(INDEX(dFrente!$B$2:$B$76,MATCH(C166,dFrente!$A$2:$A$76,0)),"Sin frente")</f>
        <v>Bases de datos y SFTP</v>
      </c>
      <c r="O166" s="11" t="str">
        <f aca="false">IFERROR(INDEX(dNIST!$B$2:$B$13,MATCH(M166,dNIST!$A$2:$A$13,0)),"")</f>
        <v>PR</v>
      </c>
      <c r="P166" s="11" t="str">
        <f aca="false">TRIM(IFERROR(LEFT(G166,FIND(CHAR(10),G166)-1),G166))</f>
        <v>Daniel Lescano</v>
      </c>
      <c r="Q166" s="11" t="n">
        <f aca="false">LEN(TRIM(G166))-LEN(SUBSTITUTE(TRIM(G166),CHAR(10),""))+1</f>
        <v>1</v>
      </c>
      <c r="R166" s="11" t="str">
        <f aca="false">IF(E166&lt;&gt;"","Sí","No")</f>
        <v>Sí</v>
      </c>
      <c r="S166" s="12" t="str">
        <f aca="false">IF(OR(J166="",H166=""),"",IF(J166&lt;=H166,IF(FechaCorte&gt;=J166,1,0),MAX(0,MIN(1,(FechaCorte-H166)/(J166-H166)))))</f>
        <v/>
      </c>
      <c r="T166" s="12" t="str">
        <f aca="false">IF(S166="","",K166-S166)</f>
        <v/>
      </c>
      <c r="U166" s="11" t="str">
        <f aca="false">IF(R166="Sí","Recurrente",IF(K166&gt;=1,"Completado",IF(AND(J166&lt;&gt;"",J166&lt;FechaCorte),"Vencido",IF(AND(K166=0,OR(H166="",H166&gt;FechaCorte)),"Por iniciar",IF(AND(T166&lt;&gt;"",T166&lt;=UmbralRiesgo),"En riesgo","En plazo")))))</f>
        <v>Recurrente</v>
      </c>
      <c r="V166" s="11" t="n">
        <f aca="false">IF(OR(U166="Vencido",U166="En riesgo",U166="En plazo",U166="Por iniciar"),1,0)</f>
        <v>0</v>
      </c>
      <c r="W166" s="11" t="str">
        <f aca="false">IF(U166="Vencido",FechaCorte-J166,"")</f>
        <v/>
      </c>
      <c r="X166" s="11" t="str">
        <f aca="false">IF(AND(V166=1,U166&lt;&gt;"Vencido"),J166-FechaCorte,"")</f>
        <v/>
      </c>
      <c r="Y166" s="13" t="str">
        <f aca="false">IF(J166="","",DATE(YEAR(J166),MONTH(J166),1))</f>
        <v/>
      </c>
      <c r="Z166" s="13" t="str">
        <f aca="false">IF(AND(U166="Completado",I166&lt;&gt;""),IF(I166&lt;=FechaCorte,DATE(YEAR(I166),MONTH(I166),1),""),"")</f>
        <v/>
      </c>
      <c r="AA166" s="11" t="str">
        <f aca="false">IF(J166="","",IF(DAY(J166+1)=1,1,0))</f>
        <v/>
      </c>
      <c r="AB166" s="11" t="n">
        <f aca="false">IF(AND(U166="Completado",I166&lt;&gt;"",I166=J166),1,0)</f>
        <v>0</v>
      </c>
      <c r="AC166" s="11" t="n">
        <f aca="false">IF(AND(K166&gt;=1,I166&lt;&gt;""),IF(I166&gt;FechaCorte,1,0),0)</f>
        <v>0</v>
      </c>
      <c r="AD166" s="11" t="n">
        <f aca="false">IF(AND(I166&lt;&gt;"",H166&lt;&gt;""),IF(I166&lt;H166,1,0),0)</f>
        <v>0</v>
      </c>
      <c r="AE166" s="11" t="n">
        <f aca="false">IF(OR(F166="Riesgos",F166="Obs. Auditoría"),1,0)</f>
        <v>0</v>
      </c>
      <c r="AF166" s="11" t="str">
        <f aca="false">IFERROR(MID(D166,FIND("PMC-",D166),8),"")</f>
        <v/>
      </c>
      <c r="AG166" s="11" t="n">
        <f aca="false">IF(AND(V166=1,J166&lt;&gt;""),IF(AND(J166&gt;=FechaCorte,J166&lt;=HorizonteExpuestos),1,0),0)</f>
        <v>0</v>
      </c>
    </row>
    <row r="167" customFormat="false" ht="15" hidden="false" customHeight="false" outlineLevel="0" collapsed="false">
      <c r="A167" s="7" t="n">
        <v>166</v>
      </c>
      <c r="B167" s="7" t="n">
        <v>2026</v>
      </c>
      <c r="C167" s="7" t="s">
        <v>494</v>
      </c>
      <c r="D167" s="7" t="s">
        <v>495</v>
      </c>
      <c r="E167" s="7" t="s">
        <v>379</v>
      </c>
      <c r="F167" s="7" t="s">
        <v>131</v>
      </c>
      <c r="G167" s="7" t="s">
        <v>276</v>
      </c>
      <c r="H167" s="8" t="n">
        <v>46244</v>
      </c>
      <c r="I167" s="8"/>
      <c r="J167" s="8"/>
      <c r="K167" s="9" t="n">
        <v>1</v>
      </c>
      <c r="L167" s="7" t="s">
        <v>496</v>
      </c>
      <c r="M167" s="10" t="s">
        <v>81</v>
      </c>
      <c r="N167" s="11" t="str">
        <f aca="false">IFERROR(INDEX(dFrente!$B$2:$B$76,MATCH(C167,dFrente!$A$2:$A$76,0)),"Sin frente")</f>
        <v>Bases de datos y SFTP</v>
      </c>
      <c r="O167" s="11" t="str">
        <f aca="false">IFERROR(INDEX(dNIST!$B$2:$B$13,MATCH(M167,dNIST!$A$2:$A$13,0)),"")</f>
        <v>PR</v>
      </c>
      <c r="P167" s="11" t="str">
        <f aca="false">TRIM(IFERROR(LEFT(G167,FIND(CHAR(10),G167)-1),G167))</f>
        <v>Daniel Lescano</v>
      </c>
      <c r="Q167" s="11" t="n">
        <f aca="false">LEN(TRIM(G167))-LEN(SUBSTITUTE(TRIM(G167),CHAR(10),""))+1</f>
        <v>1</v>
      </c>
      <c r="R167" s="11" t="str">
        <f aca="false">IF(E167&lt;&gt;"","Sí","No")</f>
        <v>Sí</v>
      </c>
      <c r="S167" s="12" t="str">
        <f aca="false">IF(OR(J167="",H167=""),"",IF(J167&lt;=H167,IF(FechaCorte&gt;=J167,1,0),MAX(0,MIN(1,(FechaCorte-H167)/(J167-H167)))))</f>
        <v/>
      </c>
      <c r="T167" s="12" t="str">
        <f aca="false">IF(S167="","",K167-S167)</f>
        <v/>
      </c>
      <c r="U167" s="11" t="str">
        <f aca="false">IF(R167="Sí","Recurrente",IF(K167&gt;=1,"Completado",IF(AND(J167&lt;&gt;"",J167&lt;FechaCorte),"Vencido",IF(AND(K167=0,OR(H167="",H167&gt;FechaCorte)),"Por iniciar",IF(AND(T167&lt;&gt;"",T167&lt;=UmbralRiesgo),"En riesgo","En plazo")))))</f>
        <v>Recurrente</v>
      </c>
      <c r="V167" s="11" t="n">
        <f aca="false">IF(OR(U167="Vencido",U167="En riesgo",U167="En plazo",U167="Por iniciar"),1,0)</f>
        <v>0</v>
      </c>
      <c r="W167" s="11" t="str">
        <f aca="false">IF(U167="Vencido",FechaCorte-J167,"")</f>
        <v/>
      </c>
      <c r="X167" s="11" t="str">
        <f aca="false">IF(AND(V167=1,U167&lt;&gt;"Vencido"),J167-FechaCorte,"")</f>
        <v/>
      </c>
      <c r="Y167" s="13" t="str">
        <f aca="false">IF(J167="","",DATE(YEAR(J167),MONTH(J167),1))</f>
        <v/>
      </c>
      <c r="Z167" s="13" t="str">
        <f aca="false">IF(AND(U167="Completado",I167&lt;&gt;""),IF(I167&lt;=FechaCorte,DATE(YEAR(I167),MONTH(I167),1),""),"")</f>
        <v/>
      </c>
      <c r="AA167" s="11" t="str">
        <f aca="false">IF(J167="","",IF(DAY(J167+1)=1,1,0))</f>
        <v/>
      </c>
      <c r="AB167" s="11" t="n">
        <f aca="false">IF(AND(U167="Completado",I167&lt;&gt;"",I167=J167),1,0)</f>
        <v>0</v>
      </c>
      <c r="AC167" s="11" t="n">
        <f aca="false">IF(AND(K167&gt;=1,I167&lt;&gt;""),IF(I167&gt;FechaCorte,1,0),0)</f>
        <v>0</v>
      </c>
      <c r="AD167" s="11" t="n">
        <f aca="false">IF(AND(I167&lt;&gt;"",H167&lt;&gt;""),IF(I167&lt;H167,1,0),0)</f>
        <v>0</v>
      </c>
      <c r="AE167" s="11" t="n">
        <f aca="false">IF(OR(F167="Riesgos",F167="Obs. Auditoría"),1,0)</f>
        <v>0</v>
      </c>
      <c r="AF167" s="11" t="str">
        <f aca="false">IFERROR(MID(D167,FIND("PMC-",D167),8),"")</f>
        <v/>
      </c>
      <c r="AG167" s="11" t="n">
        <f aca="false">IF(AND(V167=1,J167&lt;&gt;""),IF(AND(J167&gt;=FechaCorte,J167&lt;=HorizonteExpuestos),1,0),0)</f>
        <v>0</v>
      </c>
    </row>
    <row r="168" customFormat="false" ht="15" hidden="false" customHeight="false" outlineLevel="0" collapsed="false">
      <c r="A168" s="7" t="n">
        <v>167</v>
      </c>
      <c r="B168" s="7" t="n">
        <v>2026</v>
      </c>
      <c r="C168" s="7" t="s">
        <v>291</v>
      </c>
      <c r="D168" s="7" t="s">
        <v>497</v>
      </c>
      <c r="E168" s="7"/>
      <c r="F168" s="7" t="s">
        <v>74</v>
      </c>
      <c r="G168" s="7" t="s">
        <v>80</v>
      </c>
      <c r="H168" s="8" t="n">
        <v>46235</v>
      </c>
      <c r="I168" s="8"/>
      <c r="J168" s="8" t="n">
        <v>46356</v>
      </c>
      <c r="K168" s="9" t="n">
        <v>0.9</v>
      </c>
      <c r="L168" s="7" t="s">
        <v>498</v>
      </c>
      <c r="M168" s="10" t="s">
        <v>81</v>
      </c>
      <c r="N168" s="11" t="str">
        <f aca="false">IFERROR(INDEX(dFrente!$B$2:$B$76,MATCH(C168,dFrente!$A$2:$A$76,0)),"Sin frente")</f>
        <v>Certificación de accesos</v>
      </c>
      <c r="O168" s="11" t="str">
        <f aca="false">IFERROR(INDEX(dNIST!$B$2:$B$13,MATCH(M168,dNIST!$A$2:$A$13,0)),"")</f>
        <v>PR</v>
      </c>
      <c r="P168" s="11" t="str">
        <f aca="false">TRIM(IFERROR(LEFT(G168,FIND(CHAR(10),G168)-1),G168))</f>
        <v>Ana María Fierro</v>
      </c>
      <c r="Q168" s="11" t="n">
        <f aca="false">LEN(TRIM(G168))-LEN(SUBSTITUTE(TRIM(G168),CHAR(10),""))+1</f>
        <v>1</v>
      </c>
      <c r="R168" s="11" t="str">
        <f aca="false">IF(E168&lt;&gt;"","Sí","No")</f>
        <v>No</v>
      </c>
      <c r="S168" s="12" t="n">
        <f aca="false">IF(OR(J168="",H168=""),"",IF(J168&lt;=H168,IF(FechaCorte&gt;=J168,1,0),MAX(0,MIN(1,(FechaCorte-H168)/(J168-H168)))))</f>
        <v>0.446280991735537</v>
      </c>
      <c r="T168" s="12" t="n">
        <f aca="false">IF(S168="","",K168-S168)</f>
        <v>0.453719008264463</v>
      </c>
      <c r="U168" s="11" t="str">
        <f aca="false">IF(R168="Sí","Recurrente",IF(K168&gt;=1,"Completado",IF(AND(J168&lt;&gt;"",J168&lt;FechaCorte),"Vencido",IF(AND(K168=0,OR(H168="",H168&gt;FechaCorte)),"Por iniciar",IF(AND(T168&lt;&gt;"",T168&lt;=UmbralRiesgo),"En riesgo","En plazo")))))</f>
        <v>En plazo</v>
      </c>
      <c r="V168" s="11" t="n">
        <f aca="false">IF(OR(U168="Vencido",U168="En riesgo",U168="En plazo",U168="Por iniciar"),1,0)</f>
        <v>1</v>
      </c>
      <c r="W168" s="11" t="str">
        <f aca="false">IF(U168="Vencido",FechaCorte-J168,"")</f>
        <v/>
      </c>
      <c r="X168" s="11" t="n">
        <f aca="false">IF(AND(V168=1,U168&lt;&gt;"Vencido"),J168-FechaCorte,"")</f>
        <v>67</v>
      </c>
      <c r="Y168" s="13" t="n">
        <f aca="false">IF(J168="","",DATE(YEAR(J168),MONTH(J168),1))</f>
        <v>46327</v>
      </c>
      <c r="Z168" s="13" t="str">
        <f aca="false">IF(AND(U168="Completado",I168&lt;&gt;""),IF(I168&lt;=FechaCorte,DATE(YEAR(I168),MONTH(I168),1),""),"")</f>
        <v/>
      </c>
      <c r="AA168" s="11" t="n">
        <f aca="false">IF(J168="","",IF(DAY(J168+1)=1,1,0))</f>
        <v>1</v>
      </c>
      <c r="AB168" s="11" t="n">
        <f aca="false">IF(AND(U168="Completado",I168&lt;&gt;"",I168=J168),1,0)</f>
        <v>0</v>
      </c>
      <c r="AC168" s="11" t="n">
        <f aca="false">IF(AND(K168&gt;=1,I168&lt;&gt;""),IF(I168&gt;FechaCorte,1,0),0)</f>
        <v>0</v>
      </c>
      <c r="AD168" s="11" t="n">
        <f aca="false">IF(AND(I168&lt;&gt;"",H168&lt;&gt;""),IF(I168&lt;H168,1,0),0)</f>
        <v>0</v>
      </c>
      <c r="AE168" s="11" t="n">
        <f aca="false">IF(OR(F168="Riesgos",F168="Obs. Auditoría"),1,0)</f>
        <v>0</v>
      </c>
      <c r="AF168" s="11" t="str">
        <f aca="false">IFERROR(MID(D168,FIND("PMC-",D168),8),"")</f>
        <v/>
      </c>
      <c r="AG168" s="11" t="n">
        <f aca="false">IF(AND(V168=1,J168&lt;&gt;""),IF(AND(J168&gt;=FechaCorte,J168&lt;=HorizonteExpuestos),1,0),0)</f>
        <v>0</v>
      </c>
    </row>
    <row r="169" customFormat="false" ht="15" hidden="false" customHeight="false" outlineLevel="0" collapsed="false">
      <c r="A169" s="7" t="n">
        <v>168</v>
      </c>
      <c r="B169" s="7" t="n">
        <v>2026</v>
      </c>
      <c r="C169" s="7" t="s">
        <v>247</v>
      </c>
      <c r="D169" s="7" t="s">
        <v>499</v>
      </c>
      <c r="E169" s="7" t="s">
        <v>500</v>
      </c>
      <c r="F169" s="7" t="s">
        <v>131</v>
      </c>
      <c r="G169" s="14" t="s">
        <v>501</v>
      </c>
      <c r="H169" s="8" t="n">
        <v>46204</v>
      </c>
      <c r="I169" s="8"/>
      <c r="J169" s="8"/>
      <c r="K169" s="9" t="n">
        <v>1</v>
      </c>
      <c r="L169" s="7"/>
      <c r="M169" s="10" t="s">
        <v>76</v>
      </c>
      <c r="N169" s="11" t="str">
        <f aca="false">IFERROR(INDEX(dFrente!$B$2:$B$76,MATCH(C169,dFrente!$A$2:$A$76,0)),"Sin frente")</f>
        <v>Ciclo de vida JML</v>
      </c>
      <c r="O169" s="11" t="str">
        <f aca="false">IFERROR(INDEX(dNIST!$B$2:$B$13,MATCH(M169,dNIST!$A$2:$A$13,0)),"")</f>
        <v>PR</v>
      </c>
      <c r="P169" s="11" t="str">
        <f aca="false">TRIM(IFERROR(LEFT(G169,FIND(CHAR(10),G169)-1),G169))</f>
        <v>Jhonny Barreiro</v>
      </c>
      <c r="Q169" s="11" t="n">
        <f aca="false">LEN(TRIM(G169))-LEN(SUBSTITUTE(TRIM(G169),CHAR(10),""))+1</f>
        <v>3</v>
      </c>
      <c r="R169" s="11" t="str">
        <f aca="false">IF(E169&lt;&gt;"","Sí","No")</f>
        <v>Sí</v>
      </c>
      <c r="S169" s="12" t="str">
        <f aca="false">IF(OR(J169="",H169=""),"",IF(J169&lt;=H169,IF(FechaCorte&gt;=J169,1,0),MAX(0,MIN(1,(FechaCorte-H169)/(J169-H169)))))</f>
        <v/>
      </c>
      <c r="T169" s="12" t="str">
        <f aca="false">IF(S169="","",K169-S169)</f>
        <v/>
      </c>
      <c r="U169" s="11" t="str">
        <f aca="false">IF(R169="Sí","Recurrente",IF(K169&gt;=1,"Completado",IF(AND(J169&lt;&gt;"",J169&lt;FechaCorte),"Vencido",IF(AND(K169=0,OR(H169="",H169&gt;FechaCorte)),"Por iniciar",IF(AND(T169&lt;&gt;"",T169&lt;=UmbralRiesgo),"En riesgo","En plazo")))))</f>
        <v>Recurrente</v>
      </c>
      <c r="V169" s="11" t="n">
        <f aca="false">IF(OR(U169="Vencido",U169="En riesgo",U169="En plazo",U169="Por iniciar"),1,0)</f>
        <v>0</v>
      </c>
      <c r="W169" s="11" t="str">
        <f aca="false">IF(U169="Vencido",FechaCorte-J169,"")</f>
        <v/>
      </c>
      <c r="X169" s="11" t="str">
        <f aca="false">IF(AND(V169=1,U169&lt;&gt;"Vencido"),J169-FechaCorte,"")</f>
        <v/>
      </c>
      <c r="Y169" s="13" t="str">
        <f aca="false">IF(J169="","",DATE(YEAR(J169),MONTH(J169),1))</f>
        <v/>
      </c>
      <c r="Z169" s="13" t="str">
        <f aca="false">IF(AND(U169="Completado",I169&lt;&gt;""),IF(I169&lt;=FechaCorte,DATE(YEAR(I169),MONTH(I169),1),""),"")</f>
        <v/>
      </c>
      <c r="AA169" s="11" t="str">
        <f aca="false">IF(J169="","",IF(DAY(J169+1)=1,1,0))</f>
        <v/>
      </c>
      <c r="AB169" s="11" t="n">
        <f aca="false">IF(AND(U169="Completado",I169&lt;&gt;"",I169=J169),1,0)</f>
        <v>0</v>
      </c>
      <c r="AC169" s="11" t="n">
        <f aca="false">IF(AND(K169&gt;=1,I169&lt;&gt;""),IF(I169&gt;FechaCorte,1,0),0)</f>
        <v>0</v>
      </c>
      <c r="AD169" s="11" t="n">
        <f aca="false">IF(AND(I169&lt;&gt;"",H169&lt;&gt;""),IF(I169&lt;H169,1,0),0)</f>
        <v>0</v>
      </c>
      <c r="AE169" s="11" t="n">
        <f aca="false">IF(OR(F169="Riesgos",F169="Obs. Auditoría"),1,0)</f>
        <v>0</v>
      </c>
      <c r="AF169" s="11" t="str">
        <f aca="false">IFERROR(MID(D169,FIND("PMC-",D169),8),"")</f>
        <v/>
      </c>
      <c r="AG169" s="11" t="n">
        <f aca="false">IF(AND(V169=1,J169&lt;&gt;""),IF(AND(J169&gt;=FechaCorte,J169&lt;=HorizonteExpuestos),1,0),0)</f>
        <v>0</v>
      </c>
    </row>
    <row r="170" customFormat="false" ht="15" hidden="false" customHeight="false" outlineLevel="0" collapsed="false">
      <c r="A170" s="7" t="n">
        <v>169</v>
      </c>
      <c r="B170" s="7" t="n">
        <v>2026</v>
      </c>
      <c r="C170" s="7" t="s">
        <v>297</v>
      </c>
      <c r="D170" s="7" t="s">
        <v>502</v>
      </c>
      <c r="E170" s="7"/>
      <c r="F170" s="7" t="s">
        <v>131</v>
      </c>
      <c r="G170" s="7" t="s">
        <v>80</v>
      </c>
      <c r="H170" s="8" t="n">
        <v>46235</v>
      </c>
      <c r="I170" s="8" t="n">
        <v>46262</v>
      </c>
      <c r="J170" s="8" t="n">
        <v>46262</v>
      </c>
      <c r="K170" s="9" t="n">
        <v>1</v>
      </c>
      <c r="L170" s="7"/>
      <c r="M170" s="10" t="s">
        <v>81</v>
      </c>
      <c r="N170" s="11" t="str">
        <f aca="false">IFERROR(INDEX(dFrente!$B$2:$B$76,MATCH(C170,dFrente!$A$2:$A$76,0)),"Sin frente")</f>
        <v>Certificación de accesos</v>
      </c>
      <c r="O170" s="11" t="str">
        <f aca="false">IFERROR(INDEX(dNIST!$B$2:$B$13,MATCH(M170,dNIST!$A$2:$A$13,0)),"")</f>
        <v>PR</v>
      </c>
      <c r="P170" s="11" t="str">
        <f aca="false">TRIM(IFERROR(LEFT(G170,FIND(CHAR(10),G170)-1),G170))</f>
        <v>Ana María Fierro</v>
      </c>
      <c r="Q170" s="11" t="n">
        <f aca="false">LEN(TRIM(G170))-LEN(SUBSTITUTE(TRIM(G170),CHAR(10),""))+1</f>
        <v>1</v>
      </c>
      <c r="R170" s="11" t="str">
        <f aca="false">IF(E170&lt;&gt;"","Sí","No")</f>
        <v>No</v>
      </c>
      <c r="S170" s="12" t="n">
        <f aca="false">IF(OR(J170="",H170=""),"",IF(J170&lt;=H170,IF(FechaCorte&gt;=J170,1,0),MAX(0,MIN(1,(FechaCorte-H170)/(J170-H170)))))</f>
        <v>1</v>
      </c>
      <c r="T170" s="12" t="n">
        <f aca="false">IF(S170="","",K170-S170)</f>
        <v>0</v>
      </c>
      <c r="U170" s="11" t="str">
        <f aca="false">IF(R170="Sí","Recurrente",IF(K170&gt;=1,"Completado",IF(AND(J170&lt;&gt;"",J170&lt;FechaCorte),"Vencido",IF(AND(K170=0,OR(H170="",H170&gt;FechaCorte)),"Por iniciar",IF(AND(T170&lt;&gt;"",T170&lt;=UmbralRiesgo),"En riesgo","En plazo")))))</f>
        <v>Completado</v>
      </c>
      <c r="V170" s="11" t="n">
        <f aca="false">IF(OR(U170="Vencido",U170="En riesgo",U170="En plazo",U170="Por iniciar"),1,0)</f>
        <v>0</v>
      </c>
      <c r="W170" s="11" t="str">
        <f aca="false">IF(U170="Vencido",FechaCorte-J170,"")</f>
        <v/>
      </c>
      <c r="X170" s="11" t="str">
        <f aca="false">IF(AND(V170=1,U170&lt;&gt;"Vencido"),J170-FechaCorte,"")</f>
        <v/>
      </c>
      <c r="Y170" s="13" t="n">
        <f aca="false">IF(J170="","",DATE(YEAR(J170),MONTH(J170),1))</f>
        <v>46235</v>
      </c>
      <c r="Z170" s="13" t="n">
        <f aca="false">IF(AND(U170="Completado",I170&lt;&gt;""),IF(I170&lt;=FechaCorte,DATE(YEAR(I170),MONTH(I170),1),""),"")</f>
        <v>46235</v>
      </c>
      <c r="AA170" s="11" t="n">
        <f aca="false">IF(J170="","",IF(DAY(J170+1)=1,1,0))</f>
        <v>0</v>
      </c>
      <c r="AB170" s="11" t="n">
        <f aca="false">IF(AND(U170="Completado",I170&lt;&gt;"",I170=J170),1,0)</f>
        <v>1</v>
      </c>
      <c r="AC170" s="11" t="n">
        <f aca="false">IF(AND(K170&gt;=1,I170&lt;&gt;""),IF(I170&gt;FechaCorte,1,0),0)</f>
        <v>0</v>
      </c>
      <c r="AD170" s="11" t="n">
        <f aca="false">IF(AND(I170&lt;&gt;"",H170&lt;&gt;""),IF(I170&lt;H170,1,0),0)</f>
        <v>0</v>
      </c>
      <c r="AE170" s="11" t="n">
        <f aca="false">IF(OR(F170="Riesgos",F170="Obs. Auditoría"),1,0)</f>
        <v>0</v>
      </c>
      <c r="AF170" s="11" t="str">
        <f aca="false">IFERROR(MID(D170,FIND("PMC-",D170),8),"")</f>
        <v/>
      </c>
      <c r="AG170" s="11" t="n">
        <f aca="false">IF(AND(V170=1,J170&lt;&gt;""),IF(AND(J170&gt;=FechaCorte,J170&lt;=HorizonteExpuestos),1,0),0)</f>
        <v>0</v>
      </c>
    </row>
    <row r="171" customFormat="false" ht="15" hidden="false" customHeight="false" outlineLevel="0" collapsed="false">
      <c r="A171" s="7" t="n">
        <v>170</v>
      </c>
      <c r="B171" s="7" t="n">
        <v>2026</v>
      </c>
      <c r="C171" s="7" t="s">
        <v>297</v>
      </c>
      <c r="D171" s="7" t="s">
        <v>503</v>
      </c>
      <c r="E171" s="7"/>
      <c r="F171" s="7" t="s">
        <v>131</v>
      </c>
      <c r="G171" s="7" t="s">
        <v>80</v>
      </c>
      <c r="H171" s="8" t="n">
        <v>46258</v>
      </c>
      <c r="I171" s="8"/>
      <c r="J171" s="8" t="n">
        <v>46289</v>
      </c>
      <c r="K171" s="9" t="n">
        <v>0.1</v>
      </c>
      <c r="L171" s="7"/>
      <c r="M171" s="10" t="s">
        <v>81</v>
      </c>
      <c r="N171" s="11" t="str">
        <f aca="false">IFERROR(INDEX(dFrente!$B$2:$B$76,MATCH(C171,dFrente!$A$2:$A$76,0)),"Sin frente")</f>
        <v>Certificación de accesos</v>
      </c>
      <c r="O171" s="11" t="str">
        <f aca="false">IFERROR(INDEX(dNIST!$B$2:$B$13,MATCH(M171,dNIST!$A$2:$A$13,0)),"")</f>
        <v>PR</v>
      </c>
      <c r="P171" s="11" t="str">
        <f aca="false">TRIM(IFERROR(LEFT(G171,FIND(CHAR(10),G171)-1),G171))</f>
        <v>Ana María Fierro</v>
      </c>
      <c r="Q171" s="11" t="n">
        <f aca="false">LEN(TRIM(G171))-LEN(SUBSTITUTE(TRIM(G171),CHAR(10),""))+1</f>
        <v>1</v>
      </c>
      <c r="R171" s="11" t="str">
        <f aca="false">IF(E171&lt;&gt;"","Sí","No")</f>
        <v>No</v>
      </c>
      <c r="S171" s="12" t="n">
        <f aca="false">IF(OR(J171="",H171=""),"",IF(J171&lt;=H171,IF(FechaCorte&gt;=J171,1,0),MAX(0,MIN(1,(FechaCorte-H171)/(J171-H171)))))</f>
        <v>1</v>
      </c>
      <c r="T171" s="12" t="n">
        <f aca="false">IF(S171="","",K171-S171)</f>
        <v>-0.9</v>
      </c>
      <c r="U171" s="11" t="str">
        <f aca="false">IF(R171="Sí","Recurrente",IF(K171&gt;=1,"Completado",IF(AND(J171&lt;&gt;"",J171&lt;FechaCorte),"Vencido",IF(AND(K171=0,OR(H171="",H171&gt;FechaCorte)),"Por iniciar",IF(AND(T171&lt;&gt;"",T171&lt;=UmbralRiesgo),"En riesgo","En plazo")))))</f>
        <v>En riesgo</v>
      </c>
      <c r="V171" s="11" t="n">
        <f aca="false">IF(OR(U171="Vencido",U171="En riesgo",U171="En plazo",U171="Por iniciar"),1,0)</f>
        <v>1</v>
      </c>
      <c r="W171" s="11" t="str">
        <f aca="false">IF(U171="Vencido",FechaCorte-J171,"")</f>
        <v/>
      </c>
      <c r="X171" s="11" t="n">
        <f aca="false">IF(AND(V171=1,U171&lt;&gt;"Vencido"),J171-FechaCorte,"")</f>
        <v>0</v>
      </c>
      <c r="Y171" s="13" t="n">
        <f aca="false">IF(J171="","",DATE(YEAR(J171),MONTH(J171),1))</f>
        <v>46266</v>
      </c>
      <c r="Z171" s="13" t="str">
        <f aca="false">IF(AND(U171="Completado",I171&lt;&gt;""),IF(I171&lt;=FechaCorte,DATE(YEAR(I171),MONTH(I171),1),""),"")</f>
        <v/>
      </c>
      <c r="AA171" s="11" t="n">
        <f aca="false">IF(J171="","",IF(DAY(J171+1)=1,1,0))</f>
        <v>0</v>
      </c>
      <c r="AB171" s="11" t="n">
        <f aca="false">IF(AND(U171="Completado",I171&lt;&gt;"",I171=J171),1,0)</f>
        <v>0</v>
      </c>
      <c r="AC171" s="11" t="n">
        <f aca="false">IF(AND(K171&gt;=1,I171&lt;&gt;""),IF(I171&gt;FechaCorte,1,0),0)</f>
        <v>0</v>
      </c>
      <c r="AD171" s="11" t="n">
        <f aca="false">IF(AND(I171&lt;&gt;"",H171&lt;&gt;""),IF(I171&lt;H171,1,0),0)</f>
        <v>0</v>
      </c>
      <c r="AE171" s="11" t="n">
        <f aca="false">IF(OR(F171="Riesgos",F171="Obs. Auditoría"),1,0)</f>
        <v>0</v>
      </c>
      <c r="AF171" s="11" t="str">
        <f aca="false">IFERROR(MID(D171,FIND("PMC-",D171),8),"")</f>
        <v/>
      </c>
      <c r="AG171" s="11" t="n">
        <f aca="false">IF(AND(V171=1,J171&lt;&gt;""),IF(AND(J171&gt;=FechaCorte,J171&lt;=HorizonteExpuestos),1,0),0)</f>
        <v>1</v>
      </c>
    </row>
    <row r="172" customFormat="false" ht="15" hidden="false" customHeight="false" outlineLevel="0" collapsed="false">
      <c r="A172" s="7" t="n">
        <v>171</v>
      </c>
      <c r="B172" s="7" t="n">
        <v>2026</v>
      </c>
      <c r="C172" s="7" t="s">
        <v>297</v>
      </c>
      <c r="D172" s="7" t="s">
        <v>504</v>
      </c>
      <c r="E172" s="7"/>
      <c r="F172" s="7" t="s">
        <v>131</v>
      </c>
      <c r="G172" s="7" t="s">
        <v>80</v>
      </c>
      <c r="H172" s="8" t="n">
        <v>46266</v>
      </c>
      <c r="I172" s="8"/>
      <c r="J172" s="8" t="n">
        <v>46289</v>
      </c>
      <c r="K172" s="9" t="n">
        <v>0.1</v>
      </c>
      <c r="L172" s="7"/>
      <c r="M172" s="10" t="s">
        <v>81</v>
      </c>
      <c r="N172" s="11" t="str">
        <f aca="false">IFERROR(INDEX(dFrente!$B$2:$B$76,MATCH(C172,dFrente!$A$2:$A$76,0)),"Sin frente")</f>
        <v>Certificación de accesos</v>
      </c>
      <c r="O172" s="11" t="str">
        <f aca="false">IFERROR(INDEX(dNIST!$B$2:$B$13,MATCH(M172,dNIST!$A$2:$A$13,0)),"")</f>
        <v>PR</v>
      </c>
      <c r="P172" s="11" t="str">
        <f aca="false">TRIM(IFERROR(LEFT(G172,FIND(CHAR(10),G172)-1),G172))</f>
        <v>Ana María Fierro</v>
      </c>
      <c r="Q172" s="11" t="n">
        <f aca="false">LEN(TRIM(G172))-LEN(SUBSTITUTE(TRIM(G172),CHAR(10),""))+1</f>
        <v>1</v>
      </c>
      <c r="R172" s="11" t="str">
        <f aca="false">IF(E172&lt;&gt;"","Sí","No")</f>
        <v>No</v>
      </c>
      <c r="S172" s="12" t="n">
        <f aca="false">IF(OR(J172="",H172=""),"",IF(J172&lt;=H172,IF(FechaCorte&gt;=J172,1,0),MAX(0,MIN(1,(FechaCorte-H172)/(J172-H172)))))</f>
        <v>1</v>
      </c>
      <c r="T172" s="12" t="n">
        <f aca="false">IF(S172="","",K172-S172)</f>
        <v>-0.9</v>
      </c>
      <c r="U172" s="11" t="str">
        <f aca="false">IF(R172="Sí","Recurrente",IF(K172&gt;=1,"Completado",IF(AND(J172&lt;&gt;"",J172&lt;FechaCorte),"Vencido",IF(AND(K172=0,OR(H172="",H172&gt;FechaCorte)),"Por iniciar",IF(AND(T172&lt;&gt;"",T172&lt;=UmbralRiesgo),"En riesgo","En plazo")))))</f>
        <v>En riesgo</v>
      </c>
      <c r="V172" s="11" t="n">
        <f aca="false">IF(OR(U172="Vencido",U172="En riesgo",U172="En plazo",U172="Por iniciar"),1,0)</f>
        <v>1</v>
      </c>
      <c r="W172" s="11" t="str">
        <f aca="false">IF(U172="Vencido",FechaCorte-J172,"")</f>
        <v/>
      </c>
      <c r="X172" s="11" t="n">
        <f aca="false">IF(AND(V172=1,U172&lt;&gt;"Vencido"),J172-FechaCorte,"")</f>
        <v>0</v>
      </c>
      <c r="Y172" s="13" t="n">
        <f aca="false">IF(J172="","",DATE(YEAR(J172),MONTH(J172),1))</f>
        <v>46266</v>
      </c>
      <c r="Z172" s="13" t="str">
        <f aca="false">IF(AND(U172="Completado",I172&lt;&gt;""),IF(I172&lt;=FechaCorte,DATE(YEAR(I172),MONTH(I172),1),""),"")</f>
        <v/>
      </c>
      <c r="AA172" s="11" t="n">
        <f aca="false">IF(J172="","",IF(DAY(J172+1)=1,1,0))</f>
        <v>0</v>
      </c>
      <c r="AB172" s="11" t="n">
        <f aca="false">IF(AND(U172="Completado",I172&lt;&gt;"",I172=J172),1,0)</f>
        <v>0</v>
      </c>
      <c r="AC172" s="11" t="n">
        <f aca="false">IF(AND(K172&gt;=1,I172&lt;&gt;""),IF(I172&gt;FechaCorte,1,0),0)</f>
        <v>0</v>
      </c>
      <c r="AD172" s="11" t="n">
        <f aca="false">IF(AND(I172&lt;&gt;"",H172&lt;&gt;""),IF(I172&lt;H172,1,0),0)</f>
        <v>0</v>
      </c>
      <c r="AE172" s="11" t="n">
        <f aca="false">IF(OR(F172="Riesgos",F172="Obs. Auditoría"),1,0)</f>
        <v>0</v>
      </c>
      <c r="AF172" s="11" t="str">
        <f aca="false">IFERROR(MID(D172,FIND("PMC-",D172),8),"")</f>
        <v/>
      </c>
      <c r="AG172" s="11" t="n">
        <f aca="false">IF(AND(V172=1,J172&lt;&gt;""),IF(AND(J172&gt;=FechaCorte,J172&lt;=HorizonteExpuestos),1,0),0)</f>
        <v>1</v>
      </c>
    </row>
    <row r="173" customFormat="false" ht="15" hidden="false" customHeight="false" outlineLevel="0" collapsed="false">
      <c r="A173" s="7" t="n">
        <v>172</v>
      </c>
      <c r="B173" s="7" t="n">
        <v>2026</v>
      </c>
      <c r="C173" s="7" t="s">
        <v>505</v>
      </c>
      <c r="D173" s="14" t="s">
        <v>506</v>
      </c>
      <c r="E173" s="7"/>
      <c r="F173" s="7" t="s">
        <v>106</v>
      </c>
      <c r="G173" s="7" t="s">
        <v>80</v>
      </c>
      <c r="H173" s="8" t="n">
        <v>46266</v>
      </c>
      <c r="I173" s="8"/>
      <c r="J173" s="8" t="n">
        <v>46295</v>
      </c>
      <c r="K173" s="9" t="n">
        <v>0.25</v>
      </c>
      <c r="L173" s="7"/>
      <c r="M173" s="10" t="s">
        <v>507</v>
      </c>
      <c r="N173" s="11" t="str">
        <f aca="false">IFERROR(INDEX(dFrente!$B$2:$B$76,MATCH(C173,dFrente!$A$2:$A$76,0)),"Sin frente")</f>
        <v>Controles, red y M365</v>
      </c>
      <c r="O173" s="11" t="str">
        <f aca="false">IFERROR(INDEX(dNIST!$B$2:$B$13,MATCH(M173,dNIST!$A$2:$A$13,0)),"")</f>
        <v>RS</v>
      </c>
      <c r="P173" s="11" t="str">
        <f aca="false">TRIM(IFERROR(LEFT(G173,FIND(CHAR(10),G173)-1),G173))</f>
        <v>Ana María Fierro</v>
      </c>
      <c r="Q173" s="11" t="n">
        <f aca="false">LEN(TRIM(G173))-LEN(SUBSTITUTE(TRIM(G173),CHAR(10),""))+1</f>
        <v>1</v>
      </c>
      <c r="R173" s="11" t="str">
        <f aca="false">IF(E173&lt;&gt;"","Sí","No")</f>
        <v>No</v>
      </c>
      <c r="S173" s="12" t="n">
        <f aca="false">IF(OR(J173="",H173=""),"",IF(J173&lt;=H173,IF(FechaCorte&gt;=J173,1,0),MAX(0,MIN(1,(FechaCorte-H173)/(J173-H173)))))</f>
        <v>0.793103448275862</v>
      </c>
      <c r="T173" s="12" t="n">
        <f aca="false">IF(S173="","",K173-S173)</f>
        <v>-0.543103448275862</v>
      </c>
      <c r="U173" s="11" t="str">
        <f aca="false">IF(R173="Sí","Recurrente",IF(K173&gt;=1,"Completado",IF(AND(J173&lt;&gt;"",J173&lt;FechaCorte),"Vencido",IF(AND(K173=0,OR(H173="",H173&gt;FechaCorte)),"Por iniciar",IF(AND(T173&lt;&gt;"",T173&lt;=UmbralRiesgo),"En riesgo","En plazo")))))</f>
        <v>En riesgo</v>
      </c>
      <c r="V173" s="11" t="n">
        <f aca="false">IF(OR(U173="Vencido",U173="En riesgo",U173="En plazo",U173="Por iniciar"),1,0)</f>
        <v>1</v>
      </c>
      <c r="W173" s="11" t="str">
        <f aca="false">IF(U173="Vencido",FechaCorte-J173,"")</f>
        <v/>
      </c>
      <c r="X173" s="11" t="n">
        <f aca="false">IF(AND(V173=1,U173&lt;&gt;"Vencido"),J173-FechaCorte,"")</f>
        <v>6</v>
      </c>
      <c r="Y173" s="13" t="n">
        <f aca="false">IF(J173="","",DATE(YEAR(J173),MONTH(J173),1))</f>
        <v>46266</v>
      </c>
      <c r="Z173" s="13" t="str">
        <f aca="false">IF(AND(U173="Completado",I173&lt;&gt;""),IF(I173&lt;=FechaCorte,DATE(YEAR(I173),MONTH(I173),1),""),"")</f>
        <v/>
      </c>
      <c r="AA173" s="11" t="n">
        <f aca="false">IF(J173="","",IF(DAY(J173+1)=1,1,0))</f>
        <v>1</v>
      </c>
      <c r="AB173" s="11" t="n">
        <f aca="false">IF(AND(U173="Completado",I173&lt;&gt;"",I173=J173),1,0)</f>
        <v>0</v>
      </c>
      <c r="AC173" s="11" t="n">
        <f aca="false">IF(AND(K173&gt;=1,I173&lt;&gt;""),IF(I173&gt;FechaCorte,1,0),0)</f>
        <v>0</v>
      </c>
      <c r="AD173" s="11" t="n">
        <f aca="false">IF(AND(I173&lt;&gt;"",H173&lt;&gt;""),IF(I173&lt;H173,1,0),0)</f>
        <v>0</v>
      </c>
      <c r="AE173" s="11" t="n">
        <f aca="false">IF(OR(F173="Riesgos",F173="Obs. Auditoría"),1,0)</f>
        <v>0</v>
      </c>
      <c r="AF173" s="11" t="str">
        <f aca="false">IFERROR(MID(D173,FIND("PMC-",D173),8),"")</f>
        <v/>
      </c>
      <c r="AG173" s="11" t="n">
        <f aca="false">IF(AND(V173=1,J173&lt;&gt;""),IF(AND(J173&gt;=FechaCorte,J173&lt;=HorizonteExpuestos),1,0),0)</f>
        <v>1</v>
      </c>
    </row>
    <row r="174" customFormat="false" ht="15" hidden="false" customHeight="false" outlineLevel="0" collapsed="false">
      <c r="A174" s="7" t="n">
        <v>173</v>
      </c>
      <c r="B174" s="7" t="n">
        <v>2026</v>
      </c>
      <c r="C174" s="7" t="s">
        <v>174</v>
      </c>
      <c r="D174" s="7" t="s">
        <v>508</v>
      </c>
      <c r="E174" s="7"/>
      <c r="F174" s="7" t="s">
        <v>131</v>
      </c>
      <c r="G174" s="7" t="s">
        <v>80</v>
      </c>
      <c r="H174" s="8" t="n">
        <v>46275</v>
      </c>
      <c r="I174" s="8"/>
      <c r="J174" s="8" t="n">
        <v>46386</v>
      </c>
      <c r="K174" s="9" t="n">
        <v>0.05</v>
      </c>
      <c r="L174" s="7"/>
      <c r="M174" s="10" t="s">
        <v>178</v>
      </c>
      <c r="N174" s="11" t="str">
        <f aca="false">IFERROR(INDEX(dFrente!$B$2:$B$76,MATCH(C174,dFrente!$A$2:$A$76,0)),"Sin frente")</f>
        <v>Aplicaciones y roles</v>
      </c>
      <c r="O174" s="11" t="str">
        <f aca="false">IFERROR(INDEX(dNIST!$B$2:$B$13,MATCH(M174,dNIST!$A$2:$A$13,0)),"")</f>
        <v>ID</v>
      </c>
      <c r="P174" s="11" t="str">
        <f aca="false">TRIM(IFERROR(LEFT(G174,FIND(CHAR(10),G174)-1),G174))</f>
        <v>Ana María Fierro</v>
      </c>
      <c r="Q174" s="11" t="n">
        <f aca="false">LEN(TRIM(G174))-LEN(SUBSTITUTE(TRIM(G174),CHAR(10),""))+1</f>
        <v>1</v>
      </c>
      <c r="R174" s="11" t="str">
        <f aca="false">IF(E174&lt;&gt;"","Sí","No")</f>
        <v>No</v>
      </c>
      <c r="S174" s="12" t="n">
        <f aca="false">IF(OR(J174="",H174=""),"",IF(J174&lt;=H174,IF(FechaCorte&gt;=J174,1,0),MAX(0,MIN(1,(FechaCorte-H174)/(J174-H174)))))</f>
        <v>0.126126126126126</v>
      </c>
      <c r="T174" s="12" t="n">
        <f aca="false">IF(S174="","",K174-S174)</f>
        <v>-0.0761261261261261</v>
      </c>
      <c r="U174" s="11" t="str">
        <f aca="false">IF(R174="Sí","Recurrente",IF(K174&gt;=1,"Completado",IF(AND(J174&lt;&gt;"",J174&lt;FechaCorte),"Vencido",IF(AND(K174=0,OR(H174="",H174&gt;FechaCorte)),"Por iniciar",IF(AND(T174&lt;&gt;"",T174&lt;=UmbralRiesgo),"En riesgo","En plazo")))))</f>
        <v>En plazo</v>
      </c>
      <c r="V174" s="11" t="n">
        <f aca="false">IF(OR(U174="Vencido",U174="En riesgo",U174="En plazo",U174="Por iniciar"),1,0)</f>
        <v>1</v>
      </c>
      <c r="W174" s="11" t="str">
        <f aca="false">IF(U174="Vencido",FechaCorte-J174,"")</f>
        <v/>
      </c>
      <c r="X174" s="11" t="n">
        <f aca="false">IF(AND(V174=1,U174&lt;&gt;"Vencido"),J174-FechaCorte,"")</f>
        <v>97</v>
      </c>
      <c r="Y174" s="13" t="n">
        <f aca="false">IF(J174="","",DATE(YEAR(J174),MONTH(J174),1))</f>
        <v>46357</v>
      </c>
      <c r="Z174" s="13" t="str">
        <f aca="false">IF(AND(U174="Completado",I174&lt;&gt;""),IF(I174&lt;=FechaCorte,DATE(YEAR(I174),MONTH(I174),1),""),"")</f>
        <v/>
      </c>
      <c r="AA174" s="11" t="n">
        <f aca="false">IF(J174="","",IF(DAY(J174+1)=1,1,0))</f>
        <v>0</v>
      </c>
      <c r="AB174" s="11" t="n">
        <f aca="false">IF(AND(U174="Completado",I174&lt;&gt;"",I174=J174),1,0)</f>
        <v>0</v>
      </c>
      <c r="AC174" s="11" t="n">
        <f aca="false">IF(AND(K174&gt;=1,I174&lt;&gt;""),IF(I174&gt;FechaCorte,1,0),0)</f>
        <v>0</v>
      </c>
      <c r="AD174" s="11" t="n">
        <f aca="false">IF(AND(I174&lt;&gt;"",H174&lt;&gt;""),IF(I174&lt;H174,1,0),0)</f>
        <v>0</v>
      </c>
      <c r="AE174" s="11" t="n">
        <f aca="false">IF(OR(F174="Riesgos",F174="Obs. Auditoría"),1,0)</f>
        <v>0</v>
      </c>
      <c r="AF174" s="11" t="str">
        <f aca="false">IFERROR(MID(D174,FIND("PMC-",D174),8),"")</f>
        <v/>
      </c>
      <c r="AG174" s="11" t="n">
        <f aca="false">IF(AND(V174=1,J174&lt;&gt;""),IF(AND(J174&gt;=FechaCorte,J174&lt;=HorizonteExpuestos),1,0),0)</f>
        <v>0</v>
      </c>
    </row>
    <row r="175" customFormat="false" ht="15" hidden="false" customHeight="false" outlineLevel="0" collapsed="false">
      <c r="A175" s="7" t="n">
        <v>174</v>
      </c>
      <c r="B175" s="7" t="n">
        <v>2026</v>
      </c>
      <c r="C175" s="7" t="s">
        <v>174</v>
      </c>
      <c r="D175" s="7" t="s">
        <v>509</v>
      </c>
      <c r="E175" s="7"/>
      <c r="F175" s="7" t="s">
        <v>131</v>
      </c>
      <c r="G175" s="7" t="s">
        <v>80</v>
      </c>
      <c r="H175" s="8" t="n">
        <v>46280</v>
      </c>
      <c r="I175" s="8"/>
      <c r="J175" s="8" t="n">
        <v>46386</v>
      </c>
      <c r="K175" s="9" t="n">
        <v>0.05</v>
      </c>
      <c r="L175" s="7"/>
      <c r="M175" s="10" t="s">
        <v>178</v>
      </c>
      <c r="N175" s="11" t="str">
        <f aca="false">IFERROR(INDEX(dFrente!$B$2:$B$76,MATCH(C175,dFrente!$A$2:$A$76,0)),"Sin frente")</f>
        <v>Aplicaciones y roles</v>
      </c>
      <c r="O175" s="11" t="str">
        <f aca="false">IFERROR(INDEX(dNIST!$B$2:$B$13,MATCH(M175,dNIST!$A$2:$A$13,0)),"")</f>
        <v>ID</v>
      </c>
      <c r="P175" s="11" t="str">
        <f aca="false">TRIM(IFERROR(LEFT(G175,FIND(CHAR(10),G175)-1),G175))</f>
        <v>Ana María Fierro</v>
      </c>
      <c r="Q175" s="11" t="n">
        <f aca="false">LEN(TRIM(G175))-LEN(SUBSTITUTE(TRIM(G175),CHAR(10),""))+1</f>
        <v>1</v>
      </c>
      <c r="R175" s="11" t="str">
        <f aca="false">IF(E175&lt;&gt;"","Sí","No")</f>
        <v>No</v>
      </c>
      <c r="S175" s="12" t="n">
        <f aca="false">IF(OR(J175="",H175=""),"",IF(J175&lt;=H175,IF(FechaCorte&gt;=J175,1,0),MAX(0,MIN(1,(FechaCorte-H175)/(J175-H175)))))</f>
        <v>0.0849056603773585</v>
      </c>
      <c r="T175" s="12" t="n">
        <f aca="false">IF(S175="","",K175-S175)</f>
        <v>-0.0349056603773585</v>
      </c>
      <c r="U175" s="11" t="str">
        <f aca="false">IF(R175="Sí","Recurrente",IF(K175&gt;=1,"Completado",IF(AND(J175&lt;&gt;"",J175&lt;FechaCorte),"Vencido",IF(AND(K175=0,OR(H175="",H175&gt;FechaCorte)),"Por iniciar",IF(AND(T175&lt;&gt;"",T175&lt;=UmbralRiesgo),"En riesgo","En plazo")))))</f>
        <v>En plazo</v>
      </c>
      <c r="V175" s="11" t="n">
        <f aca="false">IF(OR(U175="Vencido",U175="En riesgo",U175="En plazo",U175="Por iniciar"),1,0)</f>
        <v>1</v>
      </c>
      <c r="W175" s="11" t="str">
        <f aca="false">IF(U175="Vencido",FechaCorte-J175,"")</f>
        <v/>
      </c>
      <c r="X175" s="11" t="n">
        <f aca="false">IF(AND(V175=1,U175&lt;&gt;"Vencido"),J175-FechaCorte,"")</f>
        <v>97</v>
      </c>
      <c r="Y175" s="13" t="n">
        <f aca="false">IF(J175="","",DATE(YEAR(J175),MONTH(J175),1))</f>
        <v>46357</v>
      </c>
      <c r="Z175" s="13" t="str">
        <f aca="false">IF(AND(U175="Completado",I175&lt;&gt;""),IF(I175&lt;=FechaCorte,DATE(YEAR(I175),MONTH(I175),1),""),"")</f>
        <v/>
      </c>
      <c r="AA175" s="11" t="n">
        <f aca="false">IF(J175="","",IF(DAY(J175+1)=1,1,0))</f>
        <v>0</v>
      </c>
      <c r="AB175" s="11" t="n">
        <f aca="false">IF(AND(U175="Completado",I175&lt;&gt;"",I175=J175),1,0)</f>
        <v>0</v>
      </c>
      <c r="AC175" s="11" t="n">
        <f aca="false">IF(AND(K175&gt;=1,I175&lt;&gt;""),IF(I175&gt;FechaCorte,1,0),0)</f>
        <v>0</v>
      </c>
      <c r="AD175" s="11" t="n">
        <f aca="false">IF(AND(I175&lt;&gt;"",H175&lt;&gt;""),IF(I175&lt;H175,1,0),0)</f>
        <v>0</v>
      </c>
      <c r="AE175" s="11" t="n">
        <f aca="false">IF(OR(F175="Riesgos",F175="Obs. Auditoría"),1,0)</f>
        <v>0</v>
      </c>
      <c r="AF175" s="11" t="str">
        <f aca="false">IFERROR(MID(D175,FIND("PMC-",D175),8),"")</f>
        <v/>
      </c>
      <c r="AG175" s="11" t="n">
        <f aca="false">IF(AND(V175=1,J175&lt;&gt;""),IF(AND(J175&gt;=FechaCorte,J175&lt;=HorizonteExpuestos),1,0),0)</f>
        <v>0</v>
      </c>
    </row>
    <row r="176" customFormat="false" ht="15" hidden="false" customHeight="false" outlineLevel="0" collapsed="false">
      <c r="A176" s="7" t="n">
        <v>175</v>
      </c>
      <c r="B176" s="7" t="n">
        <v>2026</v>
      </c>
      <c r="C176" s="7" t="s">
        <v>174</v>
      </c>
      <c r="D176" s="7" t="s">
        <v>510</v>
      </c>
      <c r="E176" s="7"/>
      <c r="F176" s="7" t="s">
        <v>131</v>
      </c>
      <c r="G176" s="7" t="s">
        <v>80</v>
      </c>
      <c r="H176" s="8" t="n">
        <v>46279</v>
      </c>
      <c r="I176" s="8"/>
      <c r="J176" s="8" t="n">
        <v>46325</v>
      </c>
      <c r="K176" s="9" t="n">
        <v>0.05</v>
      </c>
      <c r="L176" s="7"/>
      <c r="M176" s="10" t="s">
        <v>178</v>
      </c>
      <c r="N176" s="11" t="str">
        <f aca="false">IFERROR(INDEX(dFrente!$B$2:$B$76,MATCH(C176,dFrente!$A$2:$A$76,0)),"Sin frente")</f>
        <v>Aplicaciones y roles</v>
      </c>
      <c r="O176" s="11" t="str">
        <f aca="false">IFERROR(INDEX(dNIST!$B$2:$B$13,MATCH(M176,dNIST!$A$2:$A$13,0)),"")</f>
        <v>ID</v>
      </c>
      <c r="P176" s="11" t="str">
        <f aca="false">TRIM(IFERROR(LEFT(G176,FIND(CHAR(10),G176)-1),G176))</f>
        <v>Ana María Fierro</v>
      </c>
      <c r="Q176" s="11" t="n">
        <f aca="false">LEN(TRIM(G176))-LEN(SUBSTITUTE(TRIM(G176),CHAR(10),""))+1</f>
        <v>1</v>
      </c>
      <c r="R176" s="11" t="str">
        <f aca="false">IF(E176&lt;&gt;"","Sí","No")</f>
        <v>No</v>
      </c>
      <c r="S176" s="12" t="n">
        <f aca="false">IF(OR(J176="",H176=""),"",IF(J176&lt;=H176,IF(FechaCorte&gt;=J176,1,0),MAX(0,MIN(1,(FechaCorte-H176)/(J176-H176)))))</f>
        <v>0.217391304347826</v>
      </c>
      <c r="T176" s="12" t="n">
        <f aca="false">IF(S176="","",K176-S176)</f>
        <v>-0.167391304347826</v>
      </c>
      <c r="U176" s="11" t="str">
        <f aca="false">IF(R176="Sí","Recurrente",IF(K176&gt;=1,"Completado",IF(AND(J176&lt;&gt;"",J176&lt;FechaCorte),"Vencido",IF(AND(K176=0,OR(H176="",H176&gt;FechaCorte)),"Por iniciar",IF(AND(T176&lt;&gt;"",T176&lt;=UmbralRiesgo),"En riesgo","En plazo")))))</f>
        <v>En plazo</v>
      </c>
      <c r="V176" s="11" t="n">
        <f aca="false">IF(OR(U176="Vencido",U176="En riesgo",U176="En plazo",U176="Por iniciar"),1,0)</f>
        <v>1</v>
      </c>
      <c r="W176" s="11" t="str">
        <f aca="false">IF(U176="Vencido",FechaCorte-J176,"")</f>
        <v/>
      </c>
      <c r="X176" s="11" t="n">
        <f aca="false">IF(AND(V176=1,U176&lt;&gt;"Vencido"),J176-FechaCorte,"")</f>
        <v>36</v>
      </c>
      <c r="Y176" s="13" t="n">
        <f aca="false">IF(J176="","",DATE(YEAR(J176),MONTH(J176),1))</f>
        <v>46296</v>
      </c>
      <c r="Z176" s="13" t="str">
        <f aca="false">IF(AND(U176="Completado",I176&lt;&gt;""),IF(I176&lt;=FechaCorte,DATE(YEAR(I176),MONTH(I176),1),""),"")</f>
        <v/>
      </c>
      <c r="AA176" s="11" t="n">
        <f aca="false">IF(J176="","",IF(DAY(J176+1)=1,1,0))</f>
        <v>0</v>
      </c>
      <c r="AB176" s="11" t="n">
        <f aca="false">IF(AND(U176="Completado",I176&lt;&gt;"",I176=J176),1,0)</f>
        <v>0</v>
      </c>
      <c r="AC176" s="11" t="n">
        <f aca="false">IF(AND(K176&gt;=1,I176&lt;&gt;""),IF(I176&gt;FechaCorte,1,0),0)</f>
        <v>0</v>
      </c>
      <c r="AD176" s="11" t="n">
        <f aca="false">IF(AND(I176&lt;&gt;"",H176&lt;&gt;""),IF(I176&lt;H176,1,0),0)</f>
        <v>0</v>
      </c>
      <c r="AE176" s="11" t="n">
        <f aca="false">IF(OR(F176="Riesgos",F176="Obs. Auditoría"),1,0)</f>
        <v>0</v>
      </c>
      <c r="AF176" s="11" t="str">
        <f aca="false">IFERROR(MID(D176,FIND("PMC-",D176),8),"")</f>
        <v/>
      </c>
      <c r="AG176" s="11" t="n">
        <f aca="false">IF(AND(V176=1,J176&lt;&gt;""),IF(AND(J176&gt;=FechaCorte,J176&lt;=HorizonteExpuestos),1,0),0)</f>
        <v>0</v>
      </c>
    </row>
    <row r="177" customFormat="false" ht="15" hidden="false" customHeight="false" outlineLevel="0" collapsed="false">
      <c r="A177" s="7" t="n">
        <v>176</v>
      </c>
      <c r="B177" s="7" t="n">
        <v>2026</v>
      </c>
      <c r="C177" s="7" t="s">
        <v>511</v>
      </c>
      <c r="D177" s="7" t="s">
        <v>512</v>
      </c>
      <c r="E177" s="7"/>
      <c r="F177" s="7" t="s">
        <v>106</v>
      </c>
      <c r="G177" s="14" t="s">
        <v>356</v>
      </c>
      <c r="H177" s="8" t="n">
        <v>46279</v>
      </c>
      <c r="I177" s="8"/>
      <c r="J177" s="8" t="n">
        <v>46325</v>
      </c>
      <c r="K177" s="9" t="n">
        <v>0.05</v>
      </c>
      <c r="L177" s="7"/>
      <c r="M177" s="10" t="s">
        <v>178</v>
      </c>
      <c r="N177" s="11" t="str">
        <f aca="false">IFERROR(INDEX(dFrente!$B$2:$B$76,MATCH(C177,dFrente!$A$2:$A$76,0)),"Sin frente")</f>
        <v>Privilegiados y contraseñas</v>
      </c>
      <c r="O177" s="11" t="str">
        <f aca="false">IFERROR(INDEX(dNIST!$B$2:$B$13,MATCH(M177,dNIST!$A$2:$A$13,0)),"")</f>
        <v>ID</v>
      </c>
      <c r="P177" s="11" t="str">
        <f aca="false">TRIM(IFERROR(LEFT(G177,FIND(CHAR(10),G177)-1),G177))</f>
        <v>Bryan Uyana</v>
      </c>
      <c r="Q177" s="11" t="n">
        <f aca="false">LEN(TRIM(G177))-LEN(SUBSTITUTE(TRIM(G177),CHAR(10),""))+1</f>
        <v>2</v>
      </c>
      <c r="R177" s="11" t="str">
        <f aca="false">IF(E177&lt;&gt;"","Sí","No")</f>
        <v>No</v>
      </c>
      <c r="S177" s="12" t="n">
        <f aca="false">IF(OR(J177="",H177=""),"",IF(J177&lt;=H177,IF(FechaCorte&gt;=J177,1,0),MAX(0,MIN(1,(FechaCorte-H177)/(J177-H177)))))</f>
        <v>0.217391304347826</v>
      </c>
      <c r="T177" s="12" t="n">
        <f aca="false">IF(S177="","",K177-S177)</f>
        <v>-0.167391304347826</v>
      </c>
      <c r="U177" s="11" t="str">
        <f aca="false">IF(R177="Sí","Recurrente",IF(K177&gt;=1,"Completado",IF(AND(J177&lt;&gt;"",J177&lt;FechaCorte),"Vencido",IF(AND(K177=0,OR(H177="",H177&gt;FechaCorte)),"Por iniciar",IF(AND(T177&lt;&gt;"",T177&lt;=UmbralRiesgo),"En riesgo","En plazo")))))</f>
        <v>En plazo</v>
      </c>
      <c r="V177" s="11" t="n">
        <f aca="false">IF(OR(U177="Vencido",U177="En riesgo",U177="En plazo",U177="Por iniciar"),1,0)</f>
        <v>1</v>
      </c>
      <c r="W177" s="11" t="str">
        <f aca="false">IF(U177="Vencido",FechaCorte-J177,"")</f>
        <v/>
      </c>
      <c r="X177" s="11" t="n">
        <f aca="false">IF(AND(V177=1,U177&lt;&gt;"Vencido"),J177-FechaCorte,"")</f>
        <v>36</v>
      </c>
      <c r="Y177" s="13" t="n">
        <f aca="false">IF(J177="","",DATE(YEAR(J177),MONTH(J177),1))</f>
        <v>46296</v>
      </c>
      <c r="Z177" s="13" t="str">
        <f aca="false">IF(AND(U177="Completado",I177&lt;&gt;""),IF(I177&lt;=FechaCorte,DATE(YEAR(I177),MONTH(I177),1),""),"")</f>
        <v/>
      </c>
      <c r="AA177" s="11" t="n">
        <f aca="false">IF(J177="","",IF(DAY(J177+1)=1,1,0))</f>
        <v>0</v>
      </c>
      <c r="AB177" s="11" t="n">
        <f aca="false">IF(AND(U177="Completado",I177&lt;&gt;"",I177=J177),1,0)</f>
        <v>0</v>
      </c>
      <c r="AC177" s="11" t="n">
        <f aca="false">IF(AND(K177&gt;=1,I177&lt;&gt;""),IF(I177&gt;FechaCorte,1,0),0)</f>
        <v>0</v>
      </c>
      <c r="AD177" s="11" t="n">
        <f aca="false">IF(AND(I177&lt;&gt;"",H177&lt;&gt;""),IF(I177&lt;H177,1,0),0)</f>
        <v>0</v>
      </c>
      <c r="AE177" s="11" t="n">
        <f aca="false">IF(OR(F177="Riesgos",F177="Obs. Auditoría"),1,0)</f>
        <v>0</v>
      </c>
      <c r="AF177" s="11" t="str">
        <f aca="false">IFERROR(MID(D177,FIND("PMC-",D177),8),"")</f>
        <v/>
      </c>
      <c r="AG177" s="11" t="n">
        <f aca="false">IF(AND(V177=1,J177&lt;&gt;""),IF(AND(J177&gt;=FechaCorte,J177&lt;=HorizonteExpuestos),1,0),0)</f>
        <v>0</v>
      </c>
    </row>
    <row r="178" customFormat="false" ht="15" hidden="false" customHeight="false" outlineLevel="0" collapsed="false">
      <c r="A178" s="7" t="n">
        <v>177</v>
      </c>
      <c r="B178" s="7" t="n">
        <v>2026</v>
      </c>
      <c r="C178" s="7" t="s">
        <v>513</v>
      </c>
      <c r="D178" s="7" t="s">
        <v>514</v>
      </c>
      <c r="E178" s="7"/>
      <c r="F178" s="7" t="s">
        <v>131</v>
      </c>
      <c r="G178" s="7" t="s">
        <v>231</v>
      </c>
      <c r="H178" s="8" t="n">
        <v>46279</v>
      </c>
      <c r="I178" s="8"/>
      <c r="J178" s="8" t="n">
        <v>46387</v>
      </c>
      <c r="K178" s="9" t="n">
        <v>0.25</v>
      </c>
      <c r="L178" s="7"/>
      <c r="M178" s="10" t="s">
        <v>178</v>
      </c>
      <c r="N178" s="11" t="str">
        <f aca="false">IFERROR(INDEX(dFrente!$B$2:$B$76,MATCH(C178,dFrente!$A$2:$A$76,0)),"Sin frente")</f>
        <v>Gobierno y reportería</v>
      </c>
      <c r="O178" s="11" t="str">
        <f aca="false">IFERROR(INDEX(dNIST!$B$2:$B$13,MATCH(M178,dNIST!$A$2:$A$13,0)),"")</f>
        <v>ID</v>
      </c>
      <c r="P178" s="11" t="str">
        <f aca="false">TRIM(IFERROR(LEFT(G178,FIND(CHAR(10),G178)-1),G178))</f>
        <v>Bryan Uyana</v>
      </c>
      <c r="Q178" s="11" t="n">
        <f aca="false">LEN(TRIM(G178))-LEN(SUBSTITUTE(TRIM(G178),CHAR(10),""))+1</f>
        <v>1</v>
      </c>
      <c r="R178" s="11" t="str">
        <f aca="false">IF(E178&lt;&gt;"","Sí","No")</f>
        <v>No</v>
      </c>
      <c r="S178" s="12" t="n">
        <f aca="false">IF(OR(J178="",H178=""),"",IF(J178&lt;=H178,IF(FechaCorte&gt;=J178,1,0),MAX(0,MIN(1,(FechaCorte-H178)/(J178-H178)))))</f>
        <v>0.0925925925925926</v>
      </c>
      <c r="T178" s="12" t="n">
        <f aca="false">IF(S178="","",K178-S178)</f>
        <v>0.157407407407407</v>
      </c>
      <c r="U178" s="11" t="str">
        <f aca="false">IF(R178="Sí","Recurrente",IF(K178&gt;=1,"Completado",IF(AND(J178&lt;&gt;"",J178&lt;FechaCorte),"Vencido",IF(AND(K178=0,OR(H178="",H178&gt;FechaCorte)),"Por iniciar",IF(AND(T178&lt;&gt;"",T178&lt;=UmbralRiesgo),"En riesgo","En plazo")))))</f>
        <v>En plazo</v>
      </c>
      <c r="V178" s="11" t="n">
        <f aca="false">IF(OR(U178="Vencido",U178="En riesgo",U178="En plazo",U178="Por iniciar"),1,0)</f>
        <v>1</v>
      </c>
      <c r="W178" s="11" t="str">
        <f aca="false">IF(U178="Vencido",FechaCorte-J178,"")</f>
        <v/>
      </c>
      <c r="X178" s="11" t="n">
        <f aca="false">IF(AND(V178=1,U178&lt;&gt;"Vencido"),J178-FechaCorte,"")</f>
        <v>98</v>
      </c>
      <c r="Y178" s="13" t="n">
        <f aca="false">IF(J178="","",DATE(YEAR(J178),MONTH(J178),1))</f>
        <v>46357</v>
      </c>
      <c r="Z178" s="13" t="str">
        <f aca="false">IF(AND(U178="Completado",I178&lt;&gt;""),IF(I178&lt;=FechaCorte,DATE(YEAR(I178),MONTH(I178),1),""),"")</f>
        <v/>
      </c>
      <c r="AA178" s="11" t="n">
        <f aca="false">IF(J178="","",IF(DAY(J178+1)=1,1,0))</f>
        <v>1</v>
      </c>
      <c r="AB178" s="11" t="n">
        <f aca="false">IF(AND(U178="Completado",I178&lt;&gt;"",I178=J178),1,0)</f>
        <v>0</v>
      </c>
      <c r="AC178" s="11" t="n">
        <f aca="false">IF(AND(K178&gt;=1,I178&lt;&gt;""),IF(I178&gt;FechaCorte,1,0),0)</f>
        <v>0</v>
      </c>
      <c r="AD178" s="11" t="n">
        <f aca="false">IF(AND(I178&lt;&gt;"",H178&lt;&gt;""),IF(I178&lt;H178,1,0),0)</f>
        <v>0</v>
      </c>
      <c r="AE178" s="11" t="n">
        <f aca="false">IF(OR(F178="Riesgos",F178="Obs. Auditoría"),1,0)</f>
        <v>0</v>
      </c>
      <c r="AF178" s="11" t="str">
        <f aca="false">IFERROR(MID(D178,FIND("PMC-",D178),8),"")</f>
        <v/>
      </c>
      <c r="AG178" s="11" t="n">
        <f aca="false">IF(AND(V178=1,J178&lt;&gt;""),IF(AND(J178&gt;=FechaCorte,J178&lt;=HorizonteExpuestos),1,0),0)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3" style="0" width="12"/>
    <col collapsed="false" customWidth="true" hidden="false" outlineLevel="0" max="5" min="5" style="0" width="34"/>
    <col collapsed="false" customWidth="true" hidden="false" outlineLevel="0" max="6" min="6" style="0" width="12"/>
  </cols>
  <sheetData>
    <row r="1" customFormat="false" ht="19.7" hidden="false" customHeight="false" outlineLevel="0" collapsed="false">
      <c r="A1" s="1" t="s">
        <v>515</v>
      </c>
    </row>
    <row r="2" customFormat="false" ht="15" hidden="false" customHeight="false" outlineLevel="0" collapsed="false">
      <c r="A2" s="15" t="s">
        <v>516</v>
      </c>
    </row>
    <row r="4" customFormat="false" ht="30" hidden="false" customHeight="true" outlineLevel="0" collapsed="false">
      <c r="A4" s="6" t="s">
        <v>517</v>
      </c>
      <c r="B4" s="6" t="s">
        <v>518</v>
      </c>
      <c r="C4" s="6" t="s">
        <v>519</v>
      </c>
      <c r="D4" s="6" t="s">
        <v>520</v>
      </c>
      <c r="E4" s="6" t="s">
        <v>521</v>
      </c>
      <c r="F4" s="6" t="s">
        <v>522</v>
      </c>
    </row>
    <row r="5" customFormat="false" ht="15" hidden="false" customHeight="false" outlineLevel="0" collapsed="false">
      <c r="A5" s="7" t="s">
        <v>523</v>
      </c>
      <c r="B5" s="16" t="n">
        <f aca="false">COUNTA(fHitos!$A$2:$A$178)</f>
        <v>177</v>
      </c>
      <c r="C5" s="17" t="n">
        <v>177</v>
      </c>
      <c r="D5" s="7" t="str">
        <f aca="false">IF(ABS(ROUND(B5,4)-C5)&lt;=0.5,"OK",B5-C5)</f>
        <v>OK</v>
      </c>
      <c r="E5" s="7" t="s">
        <v>524</v>
      </c>
      <c r="F5" s="7" t="n">
        <v>1</v>
      </c>
    </row>
    <row r="6" customFormat="false" ht="15" hidden="false" customHeight="false" outlineLevel="0" collapsed="false">
      <c r="A6" s="7" t="s">
        <v>525</v>
      </c>
      <c r="B6" s="16" t="n">
        <f aca="false">COUNTIF(fHitos!$R$2:$R$178,"No")</f>
        <v>155</v>
      </c>
      <c r="C6" s="17" t="n">
        <v>155</v>
      </c>
      <c r="D6" s="7" t="str">
        <f aca="false">IF(ABS(ROUND(B6,4)-C6)&lt;=0.5,"OK",B6-C6)</f>
        <v>OK</v>
      </c>
      <c r="E6" s="7" t="s">
        <v>526</v>
      </c>
      <c r="F6" s="7" t="n">
        <v>1</v>
      </c>
    </row>
    <row r="7" customFormat="false" ht="15" hidden="false" customHeight="false" outlineLevel="0" collapsed="false">
      <c r="A7" s="7" t="s">
        <v>527</v>
      </c>
      <c r="B7" s="16" t="n">
        <f aca="false">COUNTIF(fHitos!$R$2:$R$178,"Sí")</f>
        <v>22</v>
      </c>
      <c r="C7" s="17" t="n">
        <v>22</v>
      </c>
      <c r="D7" s="7" t="str">
        <f aca="false">IF(ABS(ROUND(B7,4)-C7)&lt;=0.5,"OK",B7-C7)</f>
        <v>OK</v>
      </c>
      <c r="E7" s="7" t="s">
        <v>528</v>
      </c>
      <c r="F7" s="7" t="n">
        <v>1</v>
      </c>
    </row>
    <row r="8" customFormat="false" ht="15" hidden="false" customHeight="false" outlineLevel="0" collapsed="false">
      <c r="A8" s="7" t="s">
        <v>529</v>
      </c>
      <c r="B8" s="16" t="n">
        <f aca="false">COUNTIF(fHitos!$U$2:$U$178,"Completado")</f>
        <v>70</v>
      </c>
      <c r="C8" s="17" t="n">
        <v>70</v>
      </c>
      <c r="D8" s="7" t="str">
        <f aca="false">IF(ABS(ROUND(B8,4)-C8)&lt;=0.5,"OK",B8-C8)</f>
        <v>OK</v>
      </c>
      <c r="E8" s="7" t="s">
        <v>530</v>
      </c>
      <c r="F8" s="7" t="n">
        <v>1</v>
      </c>
    </row>
    <row r="9" customFormat="false" ht="15" hidden="false" customHeight="false" outlineLevel="0" collapsed="false">
      <c r="A9" s="7" t="s">
        <v>531</v>
      </c>
      <c r="B9" s="16" t="n">
        <f aca="false">COUNTIF(fHitos!$U$2:$U$178,"En plazo")</f>
        <v>28</v>
      </c>
      <c r="C9" s="17" t="n">
        <v>28</v>
      </c>
      <c r="D9" s="7" t="str">
        <f aca="false">IF(ABS(ROUND(B9,4)-C9)&lt;=0.5,"OK",B9-C9)</f>
        <v>OK</v>
      </c>
      <c r="E9" s="7" t="s">
        <v>532</v>
      </c>
      <c r="F9" s="7" t="n">
        <v>1</v>
      </c>
    </row>
    <row r="10" customFormat="false" ht="15" hidden="false" customHeight="false" outlineLevel="0" collapsed="false">
      <c r="A10" s="7" t="s">
        <v>533</v>
      </c>
      <c r="B10" s="16" t="n">
        <f aca="false">COUNTIF(fHitos!$U$2:$U$178,"En riesgo")</f>
        <v>31</v>
      </c>
      <c r="C10" s="17" t="n">
        <v>31</v>
      </c>
      <c r="D10" s="7" t="str">
        <f aca="false">IF(ABS(ROUND(B10,4)-C10)&lt;=0.5,"OK",B10-C10)</f>
        <v>OK</v>
      </c>
      <c r="E10" s="7" t="s">
        <v>534</v>
      </c>
      <c r="F10" s="7" t="n">
        <v>1</v>
      </c>
    </row>
    <row r="11" customFormat="false" ht="15" hidden="false" customHeight="false" outlineLevel="0" collapsed="false">
      <c r="A11" s="7" t="s">
        <v>535</v>
      </c>
      <c r="B11" s="16" t="n">
        <f aca="false">COUNTIF(fHitos!$U$2:$U$178,"Vencido")</f>
        <v>25</v>
      </c>
      <c r="C11" s="17" t="n">
        <v>25</v>
      </c>
      <c r="D11" s="7" t="str">
        <f aca="false">IF(ABS(ROUND(B11,4)-C11)&lt;=0.5,"OK",B11-C11)</f>
        <v>OK</v>
      </c>
      <c r="E11" s="7" t="s">
        <v>536</v>
      </c>
      <c r="F11" s="7" t="n">
        <v>1</v>
      </c>
    </row>
    <row r="12" customFormat="false" ht="15" hidden="false" customHeight="false" outlineLevel="0" collapsed="false">
      <c r="A12" s="7" t="s">
        <v>537</v>
      </c>
      <c r="B12" s="16" t="n">
        <f aca="false">COUNTIF(fHitos!$U$2:$U$178,"Por iniciar")</f>
        <v>1</v>
      </c>
      <c r="C12" s="17" t="n">
        <v>1</v>
      </c>
      <c r="D12" s="7" t="str">
        <f aca="false">IF(ABS(ROUND(B12,4)-C12)&lt;=0.5,"OK",B12-C12)</f>
        <v>OK</v>
      </c>
      <c r="E12" s="7" t="s">
        <v>538</v>
      </c>
      <c r="F12" s="7" t="n">
        <v>1</v>
      </c>
    </row>
    <row r="13" customFormat="false" ht="15" hidden="false" customHeight="false" outlineLevel="0" collapsed="false">
      <c r="A13" s="7" t="s">
        <v>539</v>
      </c>
      <c r="B13" s="18" t="n">
        <f aca="false">B8/B6</f>
        <v>0.451612903225806</v>
      </c>
      <c r="C13" s="19" t="n">
        <v>0.45</v>
      </c>
      <c r="D13" s="7" t="str">
        <f aca="false">IF(ABS(ROUND(B13,4)-C13)&lt;=0.005,"OK",B13-C13)</f>
        <v>OK</v>
      </c>
      <c r="E13" s="7" t="s">
        <v>540</v>
      </c>
      <c r="F13" s="7" t="n">
        <v>1</v>
      </c>
    </row>
    <row r="14" customFormat="false" ht="15" hidden="false" customHeight="false" outlineLevel="0" collapsed="false">
      <c r="A14" s="7" t="s">
        <v>541</v>
      </c>
      <c r="B14" s="18" t="n">
        <f aca="false">AVERAGEIF(fHitos!$R$2:$R$178,"No",fHitos!$K$2:$K$178)</f>
        <v>0.676903225806452</v>
      </c>
      <c r="C14" s="19" t="n">
        <v>0.68</v>
      </c>
      <c r="D14" s="7" t="str">
        <f aca="false">IF(ABS(ROUND(B14,4)-C14)&lt;=0.005,"OK",B14-C14)</f>
        <v>OK</v>
      </c>
      <c r="E14" s="7" t="s">
        <v>542</v>
      </c>
      <c r="F14" s="7" t="n">
        <v>1</v>
      </c>
    </row>
    <row r="15" customFormat="false" ht="15" hidden="false" customHeight="false" outlineLevel="0" collapsed="false">
      <c r="A15" s="7" t="s">
        <v>543</v>
      </c>
      <c r="B15" s="18" t="n">
        <f aca="false">AVERAGEIF(fHitos!$R$2:$R$178,"No",fHitos!$S$2:$S$178)</f>
        <v>0.864874893597962</v>
      </c>
      <c r="C15" s="19" t="n">
        <v>0.86</v>
      </c>
      <c r="D15" s="7" t="str">
        <f aca="false">IF(ABS(ROUND(B15,4)-C15)&lt;=0.005,"OK",B15-C15)</f>
        <v>OK</v>
      </c>
      <c r="E15" s="7" t="s">
        <v>544</v>
      </c>
      <c r="F15" s="7" t="n">
        <v>1</v>
      </c>
    </row>
    <row r="16" customFormat="false" ht="15" hidden="false" customHeight="false" outlineLevel="0" collapsed="false">
      <c r="A16" s="7" t="s">
        <v>35</v>
      </c>
      <c r="B16" s="20" t="n">
        <f aca="false">B14/B15</f>
        <v>0.782660279327187</v>
      </c>
      <c r="C16" s="21" t="n">
        <v>0.78</v>
      </c>
      <c r="D16" s="7" t="str">
        <f aca="false">IF(ABS(ROUND(B16,4)-C16)&lt;=0.05,"OK",B16-C16)</f>
        <v>OK</v>
      </c>
      <c r="E16" s="7" t="s">
        <v>545</v>
      </c>
      <c r="F16" s="7" t="n">
        <v>1</v>
      </c>
    </row>
    <row r="17" customFormat="false" ht="15" hidden="false" customHeight="false" outlineLevel="0" collapsed="false">
      <c r="A17" s="7" t="s">
        <v>546</v>
      </c>
      <c r="B17" s="16" t="n">
        <f aca="false">AVERAGEIF(fHitos!$U$2:$U$178,"Vencido",fHitos!$W$2:$W$178)</f>
        <v>37.36</v>
      </c>
      <c r="C17" s="17" t="n">
        <v>37</v>
      </c>
      <c r="D17" s="7" t="str">
        <f aca="false">IF(ABS(ROUND(B17,4)-C17)&lt;=0.5,"OK",B17-C17)</f>
        <v>OK</v>
      </c>
      <c r="E17" s="7" t="s">
        <v>547</v>
      </c>
      <c r="F17" s="7" t="n">
        <v>1</v>
      </c>
    </row>
    <row r="18" customFormat="false" ht="15" hidden="false" customHeight="false" outlineLevel="0" collapsed="false">
      <c r="A18" s="7" t="s">
        <v>548</v>
      </c>
      <c r="B18" s="16" t="n">
        <f aca="false">SUM(fHitos!$V$2:$V$178)</f>
        <v>85</v>
      </c>
      <c r="C18" s="17" t="n">
        <v>85</v>
      </c>
      <c r="D18" s="7" t="str">
        <f aca="false">IF(ABS(ROUND(B18,4)-C18)&lt;=0.5,"OK",B18-C18)</f>
        <v>OK</v>
      </c>
      <c r="E18" s="7" t="s">
        <v>549</v>
      </c>
      <c r="F18" s="7" t="n">
        <v>2</v>
      </c>
    </row>
    <row r="19" customFormat="false" ht="15" hidden="false" customHeight="false" outlineLevel="0" collapsed="false">
      <c r="A19" s="7" t="s">
        <v>550</v>
      </c>
      <c r="B19" s="16" t="n">
        <f aca="false">COUNTIFS(fHitos!$Z$2:$Z$178,"&gt;="&amp;InicioRitmo,fHitos!$Z$2:$Z$178,"&lt;="&amp;FechaCorte)</f>
        <v>60</v>
      </c>
      <c r="C19" s="17" t="n">
        <v>60</v>
      </c>
      <c r="D19" s="7" t="str">
        <f aca="false">IF(ABS(ROUND(B19,4)-C19)&lt;=0.5,"OK",B19-C19)</f>
        <v>OK</v>
      </c>
      <c r="E19" s="7" t="s">
        <v>551</v>
      </c>
      <c r="F19" s="7" t="n">
        <v>2</v>
      </c>
    </row>
    <row r="20" customFormat="false" ht="15" hidden="false" customHeight="false" outlineLevel="0" collapsed="false">
      <c r="A20" s="7" t="s">
        <v>552</v>
      </c>
      <c r="B20" s="16" t="n">
        <f aca="false">(YEAR(FechaCorte)-YEAR(InicioRitmo))*12+MONTH(FechaCorte)-MONTH(InicioRitmo)+1</f>
        <v>5</v>
      </c>
      <c r="C20" s="17" t="n">
        <v>5</v>
      </c>
      <c r="D20" s="7" t="str">
        <f aca="false">IF(ABS(ROUND(B20,4)-C20)&lt;=0.5,"OK",B20-C20)</f>
        <v>OK</v>
      </c>
      <c r="E20" s="7" t="s">
        <v>551</v>
      </c>
      <c r="F20" s="7" t="n">
        <v>2</v>
      </c>
    </row>
    <row r="21" customFormat="false" ht="15" hidden="false" customHeight="false" outlineLevel="0" collapsed="false">
      <c r="A21" s="7" t="s">
        <v>553</v>
      </c>
      <c r="B21" s="22" t="n">
        <f aca="false">B19/B20</f>
        <v>12</v>
      </c>
      <c r="C21" s="23" t="n">
        <v>12</v>
      </c>
      <c r="D21" s="7" t="str">
        <f aca="false">IF(ABS(ROUND(B21,4)-C21)&lt;=0.05,"OK",B21-C21)</f>
        <v>OK</v>
      </c>
      <c r="E21" s="7" t="s">
        <v>554</v>
      </c>
      <c r="F21" s="7" t="n">
        <v>2</v>
      </c>
    </row>
    <row r="22" customFormat="false" ht="15" hidden="false" customHeight="false" outlineLevel="0" collapsed="false">
      <c r="A22" s="7" t="s">
        <v>555</v>
      </c>
      <c r="B22" s="22" t="n">
        <f aca="false">(FinAnio-FechaCorte)/DiasMes</f>
        <v>3.22368421052632</v>
      </c>
      <c r="C22" s="23" t="n">
        <v>3.2</v>
      </c>
      <c r="D22" s="7" t="str">
        <f aca="false">IF(ABS(ROUND(B22,4)-C22)&lt;=0.05,"OK",B22-C22)</f>
        <v>OK</v>
      </c>
      <c r="E22" s="7" t="s">
        <v>556</v>
      </c>
      <c r="F22" s="7" t="n">
        <v>2</v>
      </c>
    </row>
    <row r="23" customFormat="false" ht="15" hidden="false" customHeight="false" outlineLevel="0" collapsed="false">
      <c r="A23" s="7" t="s">
        <v>557</v>
      </c>
      <c r="B23" s="16" t="n">
        <f aca="false">B18/B22</f>
        <v>26.3673469387755</v>
      </c>
      <c r="C23" s="17" t="n">
        <v>26</v>
      </c>
      <c r="D23" s="7" t="str">
        <f aca="false">IF(ABS(ROUND(B23,4)-C23)&lt;=0.5,"OK",B23-C23)</f>
        <v>OK</v>
      </c>
      <c r="E23" s="7" t="s">
        <v>558</v>
      </c>
      <c r="F23" s="7" t="n">
        <v>2</v>
      </c>
    </row>
    <row r="24" customFormat="false" ht="15" hidden="false" customHeight="false" outlineLevel="0" collapsed="false">
      <c r="A24" s="7" t="s">
        <v>559</v>
      </c>
      <c r="B24" s="22" t="n">
        <f aca="false">B23/B21</f>
        <v>2.19727891156463</v>
      </c>
      <c r="C24" s="23" t="n">
        <v>2.2</v>
      </c>
      <c r="D24" s="7" t="str">
        <f aca="false">IF(ABS(ROUND(B24,4)-C24)&lt;=0.05,"OK",B24-C24)</f>
        <v>OK</v>
      </c>
      <c r="E24" s="7" t="s">
        <v>560</v>
      </c>
      <c r="F24" s="7" t="n">
        <v>2</v>
      </c>
    </row>
    <row r="25" customFormat="false" ht="15" hidden="false" customHeight="false" outlineLevel="0" collapsed="false">
      <c r="A25" s="7" t="s">
        <v>561</v>
      </c>
      <c r="B25" s="16" t="n">
        <f aca="false">COUNTIFS(fHitos!$V$2:$V$178,1,fHitos!$J$2:$J$178,EOMONTH(FechaCorte,0))</f>
        <v>17</v>
      </c>
      <c r="C25" s="17" t="n">
        <v>17</v>
      </c>
      <c r="D25" s="7" t="str">
        <f aca="false">IF(ABS(ROUND(B25,4)-C25)&lt;=0.5,"OK",B25-C25)</f>
        <v>OK</v>
      </c>
      <c r="E25" s="7" t="s">
        <v>562</v>
      </c>
      <c r="F25" s="7" t="n">
        <v>2</v>
      </c>
    </row>
    <row r="26" customFormat="false" ht="15" hidden="false" customHeight="false" outlineLevel="0" collapsed="false">
      <c r="A26" s="7" t="s">
        <v>563</v>
      </c>
      <c r="B26" s="18" t="n">
        <f aca="false">AVERAGEIFS(fHitos!$K$2:$K$178,fHitos!$V$2:$V$178,1,fHitos!$J$2:$J$178,EOMONTH(FechaCorte,0))</f>
        <v>0.550588235294118</v>
      </c>
      <c r="C26" s="19" t="n">
        <v>0.55</v>
      </c>
      <c r="D26" s="7" t="str">
        <f aca="false">IF(ABS(ROUND(B26,4)-C26)&lt;=0.005,"OK",B26-C26)</f>
        <v>OK</v>
      </c>
      <c r="E26" s="7" t="s">
        <v>564</v>
      </c>
      <c r="F26" s="7" t="n">
        <v>2</v>
      </c>
    </row>
    <row r="27" customFormat="false" ht="15" hidden="false" customHeight="false" outlineLevel="0" collapsed="false">
      <c r="A27" s="7" t="s">
        <v>565</v>
      </c>
      <c r="B27" s="16" t="n">
        <f aca="false">COUNTIFS(fHitos!$V$2:$V$178,1,fHitos!$J$2:$J$178,"&gt;="&amp;FechaCorte,fHitos!$AA$2:$AA$178,1)</f>
        <v>47</v>
      </c>
      <c r="C27" s="17" t="n">
        <v>47</v>
      </c>
      <c r="D27" s="7" t="str">
        <f aca="false">IF(ABS(ROUND(B27,4)-C27)&lt;=0.5,"OK",B27-C27)</f>
        <v>OK</v>
      </c>
      <c r="E27" s="7" t="s">
        <v>566</v>
      </c>
      <c r="F27" s="7" t="n">
        <v>2</v>
      </c>
    </row>
    <row r="28" customFormat="false" ht="15" hidden="false" customHeight="false" outlineLevel="0" collapsed="false">
      <c r="A28" s="7" t="s">
        <v>567</v>
      </c>
      <c r="B28" s="16" t="n">
        <f aca="false">COUNTIFS(fHitos!$V$2:$V$178,1,fHitos!$J$2:$J$178,"&gt;="&amp;FechaCorte)</f>
        <v>60</v>
      </c>
      <c r="C28" s="17" t="n">
        <v>60</v>
      </c>
      <c r="D28" s="7" t="str">
        <f aca="false">IF(ABS(ROUND(B28,4)-C28)&lt;=0.5,"OK",B28-C28)</f>
        <v>OK</v>
      </c>
      <c r="E28" s="7" t="s">
        <v>568</v>
      </c>
      <c r="F28" s="7" t="n">
        <v>2</v>
      </c>
    </row>
    <row r="29" customFormat="false" ht="15" hidden="false" customHeight="false" outlineLevel="0" collapsed="false">
      <c r="A29" s="7" t="s">
        <v>569</v>
      </c>
      <c r="B29" s="16" t="n">
        <f aca="false">SUM(fHitos!$AB$2:$AB$178)</f>
        <v>65</v>
      </c>
      <c r="C29" s="17" t="n">
        <v>65</v>
      </c>
      <c r="D29" s="7" t="str">
        <f aca="false">IF(ABS(ROUND(B29,4)-C29)&lt;=0.5,"OK",B29-C29)</f>
        <v>OK</v>
      </c>
      <c r="E29" s="7" t="s">
        <v>570</v>
      </c>
      <c r="F29" s="7" t="n">
        <v>4</v>
      </c>
    </row>
    <row r="30" customFormat="false" ht="15" hidden="false" customHeight="false" outlineLevel="0" collapsed="false">
      <c r="A30" s="7" t="s">
        <v>571</v>
      </c>
      <c r="B30" s="16" t="n">
        <f aca="false">SUM(fHitos!$AE$2:$AE$178)</f>
        <v>17</v>
      </c>
      <c r="C30" s="17" t="n">
        <v>17</v>
      </c>
      <c r="D30" s="7" t="str">
        <f aca="false">IF(ABS(ROUND(B30,4)-C30)&lt;=0.5,"OK",B30-C30)</f>
        <v>OK</v>
      </c>
      <c r="E30" s="7" t="s">
        <v>572</v>
      </c>
      <c r="F30" s="7" t="n">
        <v>4</v>
      </c>
    </row>
    <row r="31" customFormat="false" ht="15" hidden="false" customHeight="false" outlineLevel="0" collapsed="false">
      <c r="A31" s="7" t="s">
        <v>573</v>
      </c>
      <c r="B31" s="18" t="n">
        <f aca="false">COUNTIF(fHitos!$O$2:$O$178,"PR")/B5</f>
        <v>0.80225988700565</v>
      </c>
      <c r="C31" s="19" t="n">
        <v>0.8</v>
      </c>
      <c r="D31" s="7" t="str">
        <f aca="false">IF(ABS(ROUND(B31,4)-C31)&lt;=0.005,"OK",B31-C31)</f>
        <v>OK</v>
      </c>
      <c r="E31" s="7" t="s">
        <v>574</v>
      </c>
      <c r="F31" s="7" t="n">
        <v>3</v>
      </c>
    </row>
    <row r="32" customFormat="false" ht="15" hidden="false" customHeight="false" outlineLevel="0" collapsed="false">
      <c r="A32" s="7" t="s">
        <v>575</v>
      </c>
      <c r="B32" s="16" t="n">
        <f aca="false">COUNTIF(fHitos!$O$2:$O$178,"DE")+COUNTIF(fHitos!$O$2:$O$178,"RS")+COUNTIF(fHitos!$O$2:$O$178,"RC")</f>
        <v>9</v>
      </c>
      <c r="C32" s="17" t="n">
        <v>9</v>
      </c>
      <c r="D32" s="7" t="str">
        <f aca="false">IF(ABS(ROUND(B32,4)-C32)&lt;=0.5,"OK",B32-C32)</f>
        <v>OK</v>
      </c>
      <c r="E32" s="7" t="s">
        <v>576</v>
      </c>
      <c r="F32" s="7" t="n">
        <v>3</v>
      </c>
    </row>
    <row r="34" customFormat="false" ht="15" hidden="false" customHeight="false" outlineLevel="0" collapsed="false">
      <c r="A34" s="3" t="s">
        <v>577</v>
      </c>
    </row>
    <row r="35" customFormat="false" ht="15" hidden="false" customHeight="false" outlineLevel="0" collapsed="false">
      <c r="A35" s="24" t="s">
        <v>37</v>
      </c>
      <c r="B35" s="24" t="s">
        <v>578</v>
      </c>
      <c r="C35" s="24" t="s">
        <v>529</v>
      </c>
      <c r="D35" s="24" t="s">
        <v>579</v>
      </c>
      <c r="E35" s="24" t="s">
        <v>31</v>
      </c>
      <c r="F35" s="24" t="s">
        <v>35</v>
      </c>
      <c r="G35" s="24" t="s">
        <v>533</v>
      </c>
      <c r="H35" s="24" t="s">
        <v>535</v>
      </c>
    </row>
    <row r="36" customFormat="false" ht="15" hidden="false" customHeight="false" outlineLevel="0" collapsed="false">
      <c r="A36" s="7" t="s">
        <v>580</v>
      </c>
      <c r="B36" s="25" t="n">
        <f aca="false">COUNTIFS(fHitos!$N$2:$N$178,A36,fHitos!$R$2:$R$178,"No")</f>
        <v>34</v>
      </c>
      <c r="C36" s="25" t="n">
        <f aca="false">COUNTIFS(fHitos!$N$2:$N$178,A36,fHitos!$R$2:$R$178,"No",fHitos!$U$2:$U$178,"Completado")</f>
        <v>16</v>
      </c>
      <c r="D36" s="26" t="n">
        <f aca="false">AVERAGEIFS(fHitos!$K$2:$K$178,fHitos!$N$2:$N$178,A36,fHitos!$R$2:$R$178,"No")</f>
        <v>0.720588235294118</v>
      </c>
      <c r="E36" s="26" t="n">
        <f aca="false">AVERAGEIFS(fHitos!$S$2:$S$178,fHitos!$N$2:$N$178,A36,fHitos!$R$2:$R$178,"No")</f>
        <v>0.884952506594827</v>
      </c>
      <c r="F36" s="27" t="n">
        <f aca="false">IFERROR(D36/E36,0)</f>
        <v>0.814267692248074</v>
      </c>
      <c r="G36" s="25" t="n">
        <f aca="false">COUNTIFS(fHitos!$N$2:$N$178,A36,fHitos!$R$2:$R$178,"No",fHitos!$U$2:$U$178,"En riesgo")</f>
        <v>5</v>
      </c>
      <c r="H36" s="25" t="n">
        <f aca="false">COUNTIFS(fHitos!$N$2:$N$178,A36,fHitos!$R$2:$R$178,"No",fHitos!$U$2:$U$178,"Vencido")</f>
        <v>6</v>
      </c>
    </row>
    <row r="37" customFormat="false" ht="15" hidden="false" customHeight="false" outlineLevel="0" collapsed="false">
      <c r="A37" s="7" t="s">
        <v>581</v>
      </c>
      <c r="B37" s="25" t="n">
        <f aca="false">COUNTIFS(fHitos!$N$2:$N$178,A37,fHitos!$R$2:$R$178,"No")</f>
        <v>25</v>
      </c>
      <c r="C37" s="25" t="n">
        <f aca="false">COUNTIFS(fHitos!$N$2:$N$178,A37,fHitos!$R$2:$R$178,"No",fHitos!$U$2:$U$178,"Completado")</f>
        <v>7</v>
      </c>
      <c r="D37" s="26" t="n">
        <f aca="false">AVERAGEIFS(fHitos!$K$2:$K$178,fHitos!$N$2:$N$178,A37,fHitos!$R$2:$R$178,"No")</f>
        <v>0.554</v>
      </c>
      <c r="E37" s="26" t="n">
        <f aca="false">AVERAGEIFS(fHitos!$S$2:$S$178,fHitos!$N$2:$N$178,A37,fHitos!$R$2:$R$178,"No")</f>
        <v>0.852293309070873</v>
      </c>
      <c r="F37" s="27" t="n">
        <f aca="false">IFERROR(D37/E37,0)</f>
        <v>0.650010969350378</v>
      </c>
      <c r="G37" s="25" t="n">
        <f aca="false">COUNTIFS(fHitos!$N$2:$N$178,A37,fHitos!$R$2:$R$178,"No",fHitos!$U$2:$U$178,"En riesgo")</f>
        <v>9</v>
      </c>
      <c r="H37" s="25" t="n">
        <f aca="false">COUNTIFS(fHitos!$N$2:$N$178,A37,fHitos!$R$2:$R$178,"No",fHitos!$U$2:$U$178,"Vencido")</f>
        <v>3</v>
      </c>
    </row>
    <row r="38" customFormat="false" ht="15" hidden="false" customHeight="false" outlineLevel="0" collapsed="false">
      <c r="A38" s="7" t="s">
        <v>582</v>
      </c>
      <c r="B38" s="25" t="n">
        <f aca="false">COUNTIFS(fHitos!$N$2:$N$178,A38,fHitos!$R$2:$R$178,"No")</f>
        <v>20</v>
      </c>
      <c r="C38" s="25" t="n">
        <f aca="false">COUNTIFS(fHitos!$N$2:$N$178,A38,fHitos!$R$2:$R$178,"No",fHitos!$U$2:$U$178,"Completado")</f>
        <v>13</v>
      </c>
      <c r="D38" s="26" t="n">
        <f aca="false">AVERAGEIFS(fHitos!$K$2:$K$178,fHitos!$N$2:$N$178,A38,fHitos!$R$2:$R$178,"No")</f>
        <v>0.8225</v>
      </c>
      <c r="E38" s="26" t="n">
        <f aca="false">AVERAGEIFS(fHitos!$S$2:$S$178,fHitos!$N$2:$N$178,A38,fHitos!$R$2:$R$178,"No")</f>
        <v>0.886743300272845</v>
      </c>
      <c r="F38" s="27" t="n">
        <f aca="false">IFERROR(D38/E38,0)</f>
        <v>0.927551411718501</v>
      </c>
      <c r="G38" s="25" t="n">
        <f aca="false">COUNTIFS(fHitos!$N$2:$N$178,A38,fHitos!$R$2:$R$178,"No",fHitos!$U$2:$U$178,"En riesgo")</f>
        <v>3</v>
      </c>
      <c r="H38" s="25" t="n">
        <f aca="false">COUNTIFS(fHitos!$N$2:$N$178,A38,fHitos!$R$2:$R$178,"No",fHitos!$U$2:$U$178,"Vencido")</f>
        <v>1</v>
      </c>
    </row>
    <row r="39" customFormat="false" ht="15" hidden="false" customHeight="false" outlineLevel="0" collapsed="false">
      <c r="A39" s="7" t="s">
        <v>583</v>
      </c>
      <c r="B39" s="25" t="n">
        <f aca="false">COUNTIFS(fHitos!$N$2:$N$178,A39,fHitos!$R$2:$R$178,"No")</f>
        <v>8</v>
      </c>
      <c r="C39" s="25" t="n">
        <f aca="false">COUNTIFS(fHitos!$N$2:$N$178,A39,fHitos!$R$2:$R$178,"No",fHitos!$U$2:$U$178,"Completado")</f>
        <v>1</v>
      </c>
      <c r="D39" s="26" t="n">
        <f aca="false">AVERAGEIFS(fHitos!$K$2:$K$178,fHitos!$N$2:$N$178,A39,fHitos!$R$2:$R$178,"No")</f>
        <v>0.375</v>
      </c>
      <c r="E39" s="26" t="n">
        <f aca="false">AVERAGEIFS(fHitos!$S$2:$S$178,fHitos!$N$2:$N$178,A39,fHitos!$R$2:$R$178,"No")</f>
        <v>0.661099174876127</v>
      </c>
      <c r="F39" s="27" t="n">
        <f aca="false">IFERROR(D39/E39,0)</f>
        <v>0.567237132114505</v>
      </c>
      <c r="G39" s="25" t="n">
        <f aca="false">COUNTIFS(fHitos!$N$2:$N$178,A39,fHitos!$R$2:$R$178,"No",fHitos!$U$2:$U$178,"En riesgo")</f>
        <v>2</v>
      </c>
      <c r="H39" s="25" t="n">
        <f aca="false">COUNTIFS(fHitos!$N$2:$N$178,A39,fHitos!$R$2:$R$178,"No",fHitos!$U$2:$U$178,"Vencido")</f>
        <v>1</v>
      </c>
    </row>
    <row r="40" customFormat="false" ht="15" hidden="false" customHeight="false" outlineLevel="0" collapsed="false">
      <c r="A40" s="7" t="s">
        <v>584</v>
      </c>
      <c r="B40" s="25" t="n">
        <f aca="false">COUNTIFS(fHitos!$N$2:$N$178,A40,fHitos!$R$2:$R$178,"No")</f>
        <v>15</v>
      </c>
      <c r="C40" s="25" t="n">
        <f aca="false">COUNTIFS(fHitos!$N$2:$N$178,A40,fHitos!$R$2:$R$178,"No",fHitos!$U$2:$U$178,"Completado")</f>
        <v>5</v>
      </c>
      <c r="D40" s="26" t="n">
        <f aca="false">AVERAGEIFS(fHitos!$K$2:$K$178,fHitos!$N$2:$N$178,A40,fHitos!$R$2:$R$178,"No")</f>
        <v>0.59</v>
      </c>
      <c r="E40" s="26" t="n">
        <f aca="false">AVERAGEIFS(fHitos!$S$2:$S$178,fHitos!$N$2:$N$178,A40,fHitos!$R$2:$R$178,"No")</f>
        <v>0.835292185556452</v>
      </c>
      <c r="F40" s="27" t="n">
        <f aca="false">IFERROR(D40/E40,0)</f>
        <v>0.706339661979425</v>
      </c>
      <c r="G40" s="25" t="n">
        <f aca="false">COUNTIFS(fHitos!$N$2:$N$178,A40,fHitos!$R$2:$R$178,"No",fHitos!$U$2:$U$178,"En riesgo")</f>
        <v>6</v>
      </c>
      <c r="H40" s="25" t="n">
        <f aca="false">COUNTIFS(fHitos!$N$2:$N$178,A40,fHitos!$R$2:$R$178,"No",fHitos!$U$2:$U$178,"Vencido")</f>
        <v>2</v>
      </c>
    </row>
    <row r="41" customFormat="false" ht="15" hidden="false" customHeight="false" outlineLevel="0" collapsed="false">
      <c r="A41" s="7" t="s">
        <v>585</v>
      </c>
      <c r="B41" s="25" t="n">
        <f aca="false">COUNTIFS(fHitos!$N$2:$N$178,A41,fHitos!$R$2:$R$178,"No")</f>
        <v>12</v>
      </c>
      <c r="C41" s="25" t="n">
        <f aca="false">COUNTIFS(fHitos!$N$2:$N$178,A41,fHitos!$R$2:$R$178,"No",fHitos!$U$2:$U$178,"Completado")</f>
        <v>7</v>
      </c>
      <c r="D41" s="26" t="n">
        <f aca="false">AVERAGEIFS(fHitos!$K$2:$K$178,fHitos!$N$2:$N$178,A41,fHitos!$R$2:$R$178,"No")</f>
        <v>0.7525</v>
      </c>
      <c r="E41" s="26" t="n">
        <f aca="false">AVERAGEIFS(fHitos!$S$2:$S$178,fHitos!$N$2:$N$178,A41,fHitos!$R$2:$R$178,"No")</f>
        <v>0.891982448730077</v>
      </c>
      <c r="F41" s="27" t="n">
        <f aca="false">IFERROR(D41/E41,0)</f>
        <v>0.843626464928027</v>
      </c>
      <c r="G41" s="25" t="n">
        <f aca="false">COUNTIFS(fHitos!$N$2:$N$178,A41,fHitos!$R$2:$R$178,"No",fHitos!$U$2:$U$178,"En riesgo")</f>
        <v>4</v>
      </c>
      <c r="H41" s="25" t="n">
        <f aca="false">COUNTIFS(fHitos!$N$2:$N$178,A41,fHitos!$R$2:$R$178,"No",fHitos!$U$2:$U$178,"Vencido")</f>
        <v>0</v>
      </c>
    </row>
    <row r="42" customFormat="false" ht="15" hidden="false" customHeight="false" outlineLevel="0" collapsed="false">
      <c r="A42" s="7" t="s">
        <v>586</v>
      </c>
      <c r="B42" s="25" t="n">
        <f aca="false">COUNTIFS(fHitos!$N$2:$N$178,A42,fHitos!$R$2:$R$178,"No")</f>
        <v>12</v>
      </c>
      <c r="C42" s="25" t="n">
        <f aca="false">COUNTIFS(fHitos!$N$2:$N$178,A42,fHitos!$R$2:$R$178,"No",fHitos!$U$2:$U$178,"Completado")</f>
        <v>4</v>
      </c>
      <c r="D42" s="26" t="n">
        <f aca="false">AVERAGEIFS(fHitos!$K$2:$K$178,fHitos!$N$2:$N$178,A42,fHitos!$R$2:$R$178,"No")</f>
        <v>0.613333333333333</v>
      </c>
      <c r="E42" s="26" t="n">
        <f aca="false">AVERAGEIFS(fHitos!$S$2:$S$178,fHitos!$N$2:$N$178,A42,fHitos!$R$2:$R$178,"No")</f>
        <v>0.763266026801712</v>
      </c>
      <c r="F42" s="27" t="n">
        <f aca="false">IFERROR(D42/E42,0)</f>
        <v>0.803564303658796</v>
      </c>
      <c r="G42" s="25" t="n">
        <f aca="false">COUNTIFS(fHitos!$N$2:$N$178,A42,fHitos!$R$2:$R$178,"No",fHitos!$U$2:$U$178,"En riesgo")</f>
        <v>0</v>
      </c>
      <c r="H42" s="25" t="n">
        <f aca="false">COUNTIFS(fHitos!$N$2:$N$178,A42,fHitos!$R$2:$R$178,"No",fHitos!$U$2:$U$178,"Vencido")</f>
        <v>4</v>
      </c>
    </row>
    <row r="43" customFormat="false" ht="15" hidden="false" customHeight="false" outlineLevel="0" collapsed="false">
      <c r="A43" s="7" t="s">
        <v>587</v>
      </c>
      <c r="B43" s="25" t="n">
        <f aca="false">COUNTIFS(fHitos!$N$2:$N$178,A43,fHitos!$R$2:$R$178,"No")</f>
        <v>10</v>
      </c>
      <c r="C43" s="25" t="n">
        <f aca="false">COUNTIFS(fHitos!$N$2:$N$178,A43,fHitos!$R$2:$R$178,"No",fHitos!$U$2:$U$178,"Completado")</f>
        <v>8</v>
      </c>
      <c r="D43" s="26" t="n">
        <f aca="false">AVERAGEIFS(fHitos!$K$2:$K$178,fHitos!$N$2:$N$178,A43,fHitos!$R$2:$R$178,"No")</f>
        <v>0.87</v>
      </c>
      <c r="E43" s="26" t="n">
        <f aca="false">AVERAGEIFS(fHitos!$S$2:$S$178,fHitos!$N$2:$N$178,A43,fHitos!$R$2:$R$178,"No")</f>
        <v>0.965740740740741</v>
      </c>
      <c r="F43" s="27" t="n">
        <f aca="false">IFERROR(D43/E43,0)</f>
        <v>0.900862895493768</v>
      </c>
      <c r="G43" s="25" t="n">
        <f aca="false">COUNTIFS(fHitos!$N$2:$N$178,A43,fHitos!$R$2:$R$178,"No",fHitos!$U$2:$U$178,"En riesgo")</f>
        <v>1</v>
      </c>
      <c r="H43" s="25" t="n">
        <f aca="false">COUNTIFS(fHitos!$N$2:$N$178,A43,fHitos!$R$2:$R$178,"No",fHitos!$U$2:$U$178,"Vencido")</f>
        <v>1</v>
      </c>
    </row>
    <row r="44" customFormat="false" ht="15" hidden="false" customHeight="false" outlineLevel="0" collapsed="false">
      <c r="A44" s="7" t="s">
        <v>588</v>
      </c>
      <c r="B44" s="25" t="n">
        <f aca="false">COUNTIFS(fHitos!$N$2:$N$178,A44,fHitos!$R$2:$R$178,"No")</f>
        <v>10</v>
      </c>
      <c r="C44" s="25" t="n">
        <f aca="false">COUNTIFS(fHitos!$N$2:$N$178,A44,fHitos!$R$2:$R$178,"No",fHitos!$U$2:$U$178,"Completado")</f>
        <v>6</v>
      </c>
      <c r="D44" s="26" t="n">
        <f aca="false">AVERAGEIFS(fHitos!$K$2:$K$178,fHitos!$N$2:$N$178,A44,fHitos!$R$2:$R$178,"No")</f>
        <v>0.818</v>
      </c>
      <c r="E44" s="26" t="n">
        <f aca="false">AVERAGEIFS(fHitos!$S$2:$S$178,fHitos!$N$2:$N$178,A44,fHitos!$R$2:$R$178,"No")</f>
        <v>0.903651782623745</v>
      </c>
      <c r="F44" s="27" t="n">
        <f aca="false">IFERROR(D44/E44,0)</f>
        <v>0.905215942389826</v>
      </c>
      <c r="G44" s="25" t="n">
        <f aca="false">COUNTIFS(fHitos!$N$2:$N$178,A44,fHitos!$R$2:$R$178,"No",fHitos!$U$2:$U$178,"En riesgo")</f>
        <v>0</v>
      </c>
      <c r="H44" s="25" t="n">
        <f aca="false">COUNTIFS(fHitos!$N$2:$N$178,A44,fHitos!$R$2:$R$178,"No",fHitos!$U$2:$U$178,"Vencido")</f>
        <v>2</v>
      </c>
    </row>
    <row r="45" customFormat="false" ht="15" hidden="false" customHeight="false" outlineLevel="0" collapsed="false">
      <c r="A45" s="7" t="s">
        <v>589</v>
      </c>
      <c r="B45" s="25" t="n">
        <f aca="false">COUNTIFS(fHitos!$N$2:$N$178,A45,fHitos!$R$2:$R$178,"No")</f>
        <v>9</v>
      </c>
      <c r="C45" s="25" t="n">
        <f aca="false">COUNTIFS(fHitos!$N$2:$N$178,A45,fHitos!$R$2:$R$178,"No",fHitos!$U$2:$U$178,"Completado")</f>
        <v>3</v>
      </c>
      <c r="D45" s="26" t="n">
        <f aca="false">AVERAGEIFS(fHitos!$K$2:$K$178,fHitos!$N$2:$N$178,A45,fHitos!$R$2:$R$178,"No")</f>
        <v>0.555555555555556</v>
      </c>
      <c r="E45" s="26" t="n">
        <f aca="false">AVERAGEIFS(fHitos!$S$2:$S$178,fHitos!$N$2:$N$178,A45,fHitos!$R$2:$R$178,"No")</f>
        <v>0.974313091664743</v>
      </c>
      <c r="F45" s="27" t="n">
        <f aca="false">IFERROR(D45/E45,0)</f>
        <v>0.570202289498456</v>
      </c>
      <c r="G45" s="25" t="n">
        <f aca="false">COUNTIFS(fHitos!$N$2:$N$178,A45,fHitos!$R$2:$R$178,"No",fHitos!$U$2:$U$178,"En riesgo")</f>
        <v>1</v>
      </c>
      <c r="H45" s="25" t="n">
        <f aca="false">COUNTIFS(fHitos!$N$2:$N$178,A45,fHitos!$R$2:$R$178,"No",fHitos!$U$2:$U$178,"Vencido")</f>
        <v>5</v>
      </c>
    </row>
    <row r="48" customFormat="false" ht="15" hidden="false" customHeight="false" outlineLevel="0" collapsed="false">
      <c r="A48" s="3" t="s">
        <v>590</v>
      </c>
    </row>
    <row r="49" customFormat="false" ht="15" hidden="false" customHeight="false" outlineLevel="0" collapsed="false">
      <c r="A49" s="24" t="s">
        <v>591</v>
      </c>
      <c r="B49" s="24" t="s">
        <v>592</v>
      </c>
      <c r="C49" s="24" t="s">
        <v>578</v>
      </c>
      <c r="D49" s="24" t="s">
        <v>579</v>
      </c>
      <c r="E49" s="24" t="s">
        <v>31</v>
      </c>
      <c r="F49" s="24" t="s">
        <v>35</v>
      </c>
      <c r="G49" s="24" t="s">
        <v>535</v>
      </c>
      <c r="H49" s="24" t="s">
        <v>533</v>
      </c>
    </row>
    <row r="50" customFormat="false" ht="15" hidden="false" customHeight="false" outlineLevel="0" collapsed="false">
      <c r="A50" s="7" t="s">
        <v>182</v>
      </c>
      <c r="B50" s="25" t="n">
        <f aca="false">COUNTIF(fHitos!$M$2:$M$178,A50)</f>
        <v>8</v>
      </c>
      <c r="C50" s="25" t="n">
        <f aca="false">COUNTIFS(fHitos!$M$2:$M$178,A50,fHitos!$R$2:$R$178,"No")</f>
        <v>6</v>
      </c>
      <c r="D50" s="26" t="n">
        <f aca="false">IFERROR(AVERAGEIFS(fHitos!$K$2:$K$178,fHitos!$M$2:$M$178,A50,fHitos!$R$2:$R$178,"No"),0)</f>
        <v>0.855</v>
      </c>
      <c r="E50" s="26" t="n">
        <f aca="false">IFERROR(AVERAGEIFS(fHitos!$S$2:$S$178,fHitos!$M$2:$M$178,A50,fHitos!$R$2:$R$178,"No"),0)</f>
        <v>1</v>
      </c>
      <c r="F50" s="27" t="n">
        <f aca="false">IFERROR(D50/E50,0)</f>
        <v>0.855</v>
      </c>
      <c r="G50" s="25" t="n">
        <f aca="false">COUNTIFS(fHitos!$M$2:$M$178,A50,fHitos!$R$2:$R$178,"No",fHitos!$U$2:$U$178,"Vencido")</f>
        <v>2</v>
      </c>
      <c r="H50" s="25" t="n">
        <f aca="false">COUNTIFS(fHitos!$M$2:$M$178,A50,fHitos!$R$2:$R$178,"No",fHitos!$U$2:$U$178,"En riesgo")</f>
        <v>0</v>
      </c>
    </row>
    <row r="51" customFormat="false" ht="15" hidden="false" customHeight="false" outlineLevel="0" collapsed="false">
      <c r="A51" s="7" t="s">
        <v>186</v>
      </c>
      <c r="B51" s="25" t="n">
        <f aca="false">COUNTIF(fHitos!$M$2:$M$178,A51)</f>
        <v>8</v>
      </c>
      <c r="C51" s="25" t="n">
        <f aca="false">COUNTIFS(fHitos!$M$2:$M$178,A51,fHitos!$R$2:$R$178,"No")</f>
        <v>8</v>
      </c>
      <c r="D51" s="26" t="n">
        <f aca="false">IFERROR(AVERAGEIFS(fHitos!$K$2:$K$178,fHitos!$M$2:$M$178,A51,fHitos!$R$2:$R$178,"No"),0)</f>
        <v>0.5875</v>
      </c>
      <c r="E51" s="26" t="n">
        <f aca="false">IFERROR(AVERAGEIFS(fHitos!$S$2:$S$178,fHitos!$M$2:$M$178,A51,fHitos!$R$2:$R$178,"No"),0)</f>
        <v>0.994565217391304</v>
      </c>
      <c r="F51" s="27" t="n">
        <f aca="false">IFERROR(D51/E51,0)</f>
        <v>0.590710382513661</v>
      </c>
      <c r="G51" s="25" t="n">
        <f aca="false">COUNTIFS(fHitos!$M$2:$M$178,A51,fHitos!$R$2:$R$178,"No",fHitos!$U$2:$U$178,"Vencido")</f>
        <v>5</v>
      </c>
      <c r="H51" s="25" t="n">
        <f aca="false">COUNTIFS(fHitos!$M$2:$M$178,A51,fHitos!$R$2:$R$178,"No",fHitos!$U$2:$U$178,"En riesgo")</f>
        <v>1</v>
      </c>
    </row>
    <row r="52" customFormat="false" ht="15" hidden="false" customHeight="false" outlineLevel="0" collapsed="false">
      <c r="A52" s="7" t="s">
        <v>178</v>
      </c>
      <c r="B52" s="25" t="n">
        <f aca="false">COUNTIF(fHitos!$M$2:$M$178,A52)</f>
        <v>9</v>
      </c>
      <c r="C52" s="25" t="n">
        <f aca="false">COUNTIFS(fHitos!$M$2:$M$178,A52,fHitos!$R$2:$R$178,"No")</f>
        <v>7</v>
      </c>
      <c r="D52" s="26" t="n">
        <f aca="false">IFERROR(AVERAGEIFS(fHitos!$K$2:$K$178,fHitos!$M$2:$M$178,A52,fHitos!$R$2:$R$178,"No"),0)</f>
        <v>0.28</v>
      </c>
      <c r="E52" s="26" t="n">
        <f aca="false">IFERROR(AVERAGEIFS(fHitos!$S$2:$S$178,fHitos!$M$2:$M$178,A52,fHitos!$R$2:$R$178,"No"),0)</f>
        <v>0.352739459794423</v>
      </c>
      <c r="F52" s="27" t="n">
        <f aca="false">IFERROR(D52/E52,0)</f>
        <v>0.793787006883734</v>
      </c>
      <c r="G52" s="25" t="n">
        <f aca="false">COUNTIFS(fHitos!$M$2:$M$178,A52,fHitos!$R$2:$R$178,"No",fHitos!$U$2:$U$178,"Vencido")</f>
        <v>1</v>
      </c>
      <c r="H52" s="25" t="n">
        <f aca="false">COUNTIFS(fHitos!$M$2:$M$178,A52,fHitos!$R$2:$R$178,"No",fHitos!$U$2:$U$178,"En riesgo")</f>
        <v>0</v>
      </c>
    </row>
    <row r="53" customFormat="false" ht="15" hidden="false" customHeight="false" outlineLevel="0" collapsed="false">
      <c r="A53" s="7" t="s">
        <v>425</v>
      </c>
      <c r="B53" s="25" t="n">
        <f aca="false">COUNTIF(fHitos!$M$2:$M$178,A53)</f>
        <v>1</v>
      </c>
      <c r="C53" s="25" t="n">
        <f aca="false">COUNTIFS(fHitos!$M$2:$M$178,A53,fHitos!$R$2:$R$178,"No")</f>
        <v>1</v>
      </c>
      <c r="D53" s="26" t="n">
        <f aca="false">IFERROR(AVERAGEIFS(fHitos!$K$2:$K$178,fHitos!$M$2:$M$178,A53,fHitos!$R$2:$R$178,"No"),0)</f>
        <v>1</v>
      </c>
      <c r="E53" s="26" t="n">
        <f aca="false">IFERROR(AVERAGEIFS(fHitos!$S$2:$S$178,fHitos!$M$2:$M$178,A53,fHitos!$R$2:$R$178,"No"),0)</f>
        <v>1</v>
      </c>
      <c r="F53" s="27" t="n">
        <f aca="false">IFERROR(D53/E53,0)</f>
        <v>1</v>
      </c>
      <c r="G53" s="25" t="n">
        <f aca="false">COUNTIFS(fHitos!$M$2:$M$178,A53,fHitos!$R$2:$R$178,"No",fHitos!$U$2:$U$178,"Vencido")</f>
        <v>0</v>
      </c>
      <c r="H53" s="25" t="n">
        <f aca="false">COUNTIFS(fHitos!$M$2:$M$178,A53,fHitos!$R$2:$R$178,"No",fHitos!$U$2:$U$178,"En riesgo")</f>
        <v>0</v>
      </c>
    </row>
    <row r="54" customFormat="false" ht="15" hidden="false" customHeight="false" outlineLevel="0" collapsed="false">
      <c r="A54" s="7" t="s">
        <v>76</v>
      </c>
      <c r="B54" s="25" t="n">
        <f aca="false">COUNTIF(fHitos!$M$2:$M$178,A54)</f>
        <v>54</v>
      </c>
      <c r="C54" s="25" t="n">
        <f aca="false">COUNTIFS(fHitos!$M$2:$M$178,A54,fHitos!$R$2:$R$178,"No")</f>
        <v>44</v>
      </c>
      <c r="D54" s="26" t="n">
        <f aca="false">IFERROR(AVERAGEIFS(fHitos!$K$2:$K$178,fHitos!$M$2:$M$178,A54,fHitos!$R$2:$R$178,"No"),0)</f>
        <v>0.693181818181818</v>
      </c>
      <c r="E54" s="26" t="n">
        <f aca="false">IFERROR(AVERAGEIFS(fHitos!$S$2:$S$178,fHitos!$M$2:$M$178,A54,fHitos!$R$2:$R$178,"No"),0)</f>
        <v>0.849975794870061</v>
      </c>
      <c r="F54" s="27" t="n">
        <f aca="false">IFERROR(D54/E54,0)</f>
        <v>0.815531244966555</v>
      </c>
      <c r="G54" s="25" t="n">
        <f aca="false">COUNTIFS(fHitos!$M$2:$M$178,A54,fHitos!$R$2:$R$178,"No",fHitos!$U$2:$U$178,"Vencido")</f>
        <v>6</v>
      </c>
      <c r="H54" s="25" t="n">
        <f aca="false">COUNTIFS(fHitos!$M$2:$M$178,A54,fHitos!$R$2:$R$178,"No",fHitos!$U$2:$U$178,"En riesgo")</f>
        <v>8</v>
      </c>
    </row>
    <row r="55" customFormat="false" ht="15" hidden="false" customHeight="false" outlineLevel="0" collapsed="false">
      <c r="A55" s="7" t="s">
        <v>403</v>
      </c>
      <c r="B55" s="25" t="n">
        <f aca="false">COUNTIF(fHitos!$M$2:$M$178,A55)</f>
        <v>3</v>
      </c>
      <c r="C55" s="25" t="n">
        <f aca="false">COUNTIFS(fHitos!$M$2:$M$178,A55,fHitos!$R$2:$R$178,"No")</f>
        <v>3</v>
      </c>
      <c r="D55" s="26" t="n">
        <f aca="false">IFERROR(AVERAGEIFS(fHitos!$K$2:$K$178,fHitos!$M$2:$M$178,A55,fHitos!$R$2:$R$178,"No"),0)</f>
        <v>0.293333333333333</v>
      </c>
      <c r="E55" s="26" t="n">
        <f aca="false">IFERROR(AVERAGEIFS(fHitos!$S$2:$S$178,fHitos!$M$2:$M$178,A55,fHitos!$R$2:$R$178,"No"),0)</f>
        <v>0.749444738233739</v>
      </c>
      <c r="F55" s="27" t="n">
        <f aca="false">IFERROR(D55/E55,0)</f>
        <v>0.391400884372942</v>
      </c>
      <c r="G55" s="25" t="n">
        <f aca="false">COUNTIFS(fHitos!$M$2:$M$178,A55,fHitos!$R$2:$R$178,"No",fHitos!$U$2:$U$178,"Vencido")</f>
        <v>0</v>
      </c>
      <c r="H55" s="25" t="n">
        <f aca="false">COUNTIFS(fHitos!$M$2:$M$178,A55,fHitos!$R$2:$R$178,"No",fHitos!$U$2:$U$178,"En riesgo")</f>
        <v>3</v>
      </c>
    </row>
    <row r="56" customFormat="false" ht="15" hidden="false" customHeight="false" outlineLevel="0" collapsed="false">
      <c r="A56" s="7" t="s">
        <v>81</v>
      </c>
      <c r="B56" s="25" t="n">
        <f aca="false">COUNTIF(fHitos!$M$2:$M$178,A56)</f>
        <v>77</v>
      </c>
      <c r="C56" s="25" t="n">
        <f aca="false">COUNTIFS(fHitos!$M$2:$M$178,A56,fHitos!$R$2:$R$178,"No")</f>
        <v>70</v>
      </c>
      <c r="D56" s="26" t="n">
        <f aca="false">IFERROR(AVERAGEIFS(fHitos!$K$2:$K$178,fHitos!$M$2:$M$178,A56,fHitos!$R$2:$R$178,"No"),0)</f>
        <v>0.715</v>
      </c>
      <c r="E56" s="26" t="n">
        <f aca="false">IFERROR(AVERAGEIFS(fHitos!$S$2:$S$178,fHitos!$M$2:$M$178,A56,fHitos!$R$2:$R$178,"No"),0)</f>
        <v>0.899610098095304</v>
      </c>
      <c r="F56" s="27" t="n">
        <f aca="false">IFERROR(D56/E56,0)</f>
        <v>0.794788766282005</v>
      </c>
      <c r="G56" s="25" t="n">
        <f aca="false">COUNTIFS(fHitos!$M$2:$M$178,A56,fHitos!$R$2:$R$178,"No",fHitos!$U$2:$U$178,"Vencido")</f>
        <v>9</v>
      </c>
      <c r="H56" s="25" t="n">
        <f aca="false">COUNTIFS(fHitos!$M$2:$M$178,A56,fHitos!$R$2:$R$178,"No",fHitos!$U$2:$U$178,"En riesgo")</f>
        <v>16</v>
      </c>
    </row>
    <row r="57" customFormat="false" ht="15" hidden="false" customHeight="false" outlineLevel="0" collapsed="false">
      <c r="A57" s="7" t="s">
        <v>351</v>
      </c>
      <c r="B57" s="25" t="n">
        <f aca="false">COUNTIF(fHitos!$M$2:$M$178,A57)</f>
        <v>4</v>
      </c>
      <c r="C57" s="25" t="n">
        <f aca="false">COUNTIFS(fHitos!$M$2:$M$178,A57,fHitos!$R$2:$R$178,"No")</f>
        <v>4</v>
      </c>
      <c r="D57" s="26" t="n">
        <f aca="false">IFERROR(AVERAGEIFS(fHitos!$K$2:$K$178,fHitos!$M$2:$M$178,A57,fHitos!$R$2:$R$178,"No"),0)</f>
        <v>1</v>
      </c>
      <c r="E57" s="26" t="n">
        <f aca="false">IFERROR(AVERAGEIFS(fHitos!$S$2:$S$178,fHitos!$M$2:$M$178,A57,fHitos!$R$2:$R$178,"No"),0)</f>
        <v>0.962090163934426</v>
      </c>
      <c r="F57" s="27" t="n">
        <f aca="false">IFERROR(D57/E57,0)</f>
        <v>1.03940362087327</v>
      </c>
      <c r="G57" s="25" t="n">
        <f aca="false">COUNTIFS(fHitos!$M$2:$M$178,A57,fHitos!$R$2:$R$178,"No",fHitos!$U$2:$U$178,"Vencido")</f>
        <v>0</v>
      </c>
      <c r="H57" s="25" t="n">
        <f aca="false">COUNTIFS(fHitos!$M$2:$M$178,A57,fHitos!$R$2:$R$178,"No",fHitos!$U$2:$U$178,"En riesgo")</f>
        <v>0</v>
      </c>
    </row>
    <row r="58" customFormat="false" ht="15" hidden="false" customHeight="false" outlineLevel="0" collapsed="false">
      <c r="A58" s="7" t="s">
        <v>173</v>
      </c>
      <c r="B58" s="25" t="n">
        <f aca="false">COUNTIF(fHitos!$M$2:$M$178,A58)</f>
        <v>4</v>
      </c>
      <c r="C58" s="25" t="n">
        <f aca="false">COUNTIFS(fHitos!$M$2:$M$178,A58,fHitos!$R$2:$R$178,"No")</f>
        <v>4</v>
      </c>
      <c r="D58" s="26" t="n">
        <f aca="false">IFERROR(AVERAGEIFS(fHitos!$K$2:$K$178,fHitos!$M$2:$M$178,A58,fHitos!$R$2:$R$178,"No"),0)</f>
        <v>0.75</v>
      </c>
      <c r="E58" s="26" t="n">
        <f aca="false">IFERROR(AVERAGEIFS(fHitos!$S$2:$S$178,fHitos!$M$2:$M$178,A58,fHitos!$R$2:$R$178,"No"),0)</f>
        <v>0.773148148148148</v>
      </c>
      <c r="F58" s="27" t="n">
        <f aca="false">IFERROR(D58/E58,0)</f>
        <v>0.970059880239521</v>
      </c>
      <c r="G58" s="25" t="n">
        <f aca="false">COUNTIFS(fHitos!$M$2:$M$178,A58,fHitos!$R$2:$R$178,"No",fHitos!$U$2:$U$178,"Vencido")</f>
        <v>0</v>
      </c>
      <c r="H58" s="25" t="n">
        <f aca="false">COUNTIFS(fHitos!$M$2:$M$178,A58,fHitos!$R$2:$R$178,"No",fHitos!$U$2:$U$178,"En riesgo")</f>
        <v>0</v>
      </c>
    </row>
    <row r="59" customFormat="false" ht="15" hidden="false" customHeight="false" outlineLevel="0" collapsed="false">
      <c r="A59" s="7" t="s">
        <v>93</v>
      </c>
      <c r="B59" s="25" t="n">
        <f aca="false">COUNTIF(fHitos!$M$2:$M$178,A59)</f>
        <v>7</v>
      </c>
      <c r="C59" s="25" t="n">
        <f aca="false">COUNTIFS(fHitos!$M$2:$M$178,A59,fHitos!$R$2:$R$178,"No")</f>
        <v>6</v>
      </c>
      <c r="D59" s="26" t="n">
        <f aca="false">IFERROR(AVERAGEIFS(fHitos!$K$2:$K$178,fHitos!$M$2:$M$178,A59,fHitos!$R$2:$R$178,"No"),0)</f>
        <v>0.441666666666667</v>
      </c>
      <c r="E59" s="26" t="n">
        <f aca="false">IFERROR(AVERAGEIFS(fHitos!$S$2:$S$178,fHitos!$M$2:$M$178,A59,fHitos!$R$2:$R$178,"No"),0)</f>
        <v>0.890435714352123</v>
      </c>
      <c r="F59" s="27" t="n">
        <f aca="false">IFERROR(D59/E59,0)</f>
        <v>0.49601185076906</v>
      </c>
      <c r="G59" s="25" t="n">
        <f aca="false">COUNTIFS(fHitos!$M$2:$M$178,A59,fHitos!$R$2:$R$178,"No",fHitos!$U$2:$U$178,"Vencido")</f>
        <v>2</v>
      </c>
      <c r="H59" s="25" t="n">
        <f aca="false">COUNTIFS(fHitos!$M$2:$M$178,A59,fHitos!$R$2:$R$178,"No",fHitos!$U$2:$U$178,"En riesgo")</f>
        <v>2</v>
      </c>
    </row>
    <row r="60" customFormat="false" ht="15" hidden="false" customHeight="false" outlineLevel="0" collapsed="false">
      <c r="A60" s="7" t="s">
        <v>507</v>
      </c>
      <c r="B60" s="25" t="n">
        <f aca="false">COUNTIF(fHitos!$M$2:$M$178,A60)</f>
        <v>1</v>
      </c>
      <c r="C60" s="25" t="n">
        <f aca="false">COUNTIFS(fHitos!$M$2:$M$178,A60,fHitos!$R$2:$R$178,"No")</f>
        <v>1</v>
      </c>
      <c r="D60" s="26" t="n">
        <f aca="false">IFERROR(AVERAGEIFS(fHitos!$K$2:$K$178,fHitos!$M$2:$M$178,A60,fHitos!$R$2:$R$178,"No"),0)</f>
        <v>0.25</v>
      </c>
      <c r="E60" s="26" t="n">
        <f aca="false">IFERROR(AVERAGEIFS(fHitos!$S$2:$S$178,fHitos!$M$2:$M$178,A60,fHitos!$R$2:$R$178,"No"),0)</f>
        <v>0.793103448275862</v>
      </c>
      <c r="F60" s="27" t="n">
        <f aca="false">IFERROR(D60/E60,0)</f>
        <v>0.315217391304348</v>
      </c>
      <c r="G60" s="25" t="n">
        <f aca="false">COUNTIFS(fHitos!$M$2:$M$178,A60,fHitos!$R$2:$R$178,"No",fHitos!$U$2:$U$178,"Vencido")</f>
        <v>0</v>
      </c>
      <c r="H60" s="25" t="n">
        <f aca="false">COUNTIFS(fHitos!$M$2:$M$178,A60,fHitos!$R$2:$R$178,"No",fHitos!$U$2:$U$178,"En riesgo")</f>
        <v>1</v>
      </c>
    </row>
    <row r="61" customFormat="false" ht="15" hidden="false" customHeight="false" outlineLevel="0" collapsed="false">
      <c r="A61" s="7" t="s">
        <v>421</v>
      </c>
      <c r="B61" s="25" t="n">
        <f aca="false">COUNTIF(fHitos!$M$2:$M$178,A61)</f>
        <v>1</v>
      </c>
      <c r="C61" s="25" t="n">
        <f aca="false">COUNTIFS(fHitos!$M$2:$M$178,A61,fHitos!$R$2:$R$178,"No")</f>
        <v>1</v>
      </c>
      <c r="D61" s="26" t="n">
        <f aca="false">IFERROR(AVERAGEIFS(fHitos!$K$2:$K$178,fHitos!$M$2:$M$178,A61,fHitos!$R$2:$R$178,"No"),0)</f>
        <v>0.8</v>
      </c>
      <c r="E61" s="26" t="n">
        <f aca="false">IFERROR(AVERAGEIFS(fHitos!$S$2:$S$178,fHitos!$M$2:$M$178,A61,fHitos!$R$2:$R$178,"No"),0)</f>
        <v>0.94392523364486</v>
      </c>
      <c r="F61" s="27" t="n">
        <f aca="false">IFERROR(D61/E61,0)</f>
        <v>0.847524752475248</v>
      </c>
      <c r="G61" s="25" t="n">
        <f aca="false">COUNTIFS(fHitos!$M$2:$M$178,A61,fHitos!$R$2:$R$178,"No",fHitos!$U$2:$U$178,"Vencido")</f>
        <v>0</v>
      </c>
      <c r="H61" s="25" t="n">
        <f aca="false">COUNTIFS(fHitos!$M$2:$M$178,A61,fHitos!$R$2:$R$178,"No",fHitos!$U$2:$U$178,"En riesgo")</f>
        <v>0</v>
      </c>
    </row>
    <row r="64" customFormat="false" ht="15" hidden="false" customHeight="false" outlineLevel="0" collapsed="false">
      <c r="A64" s="3" t="s">
        <v>593</v>
      </c>
    </row>
    <row r="65" customFormat="false" ht="15" hidden="false" customHeight="false" outlineLevel="0" collapsed="false">
      <c r="A65" s="24" t="s">
        <v>594</v>
      </c>
      <c r="B65" s="24" t="s">
        <v>578</v>
      </c>
      <c r="C65" s="24" t="s">
        <v>595</v>
      </c>
      <c r="D65" s="24" t="s">
        <v>596</v>
      </c>
    </row>
    <row r="66" customFormat="false" ht="15" hidden="false" customHeight="false" outlineLevel="0" collapsed="false">
      <c r="A66" s="7" t="s">
        <v>131</v>
      </c>
      <c r="B66" s="25" t="n">
        <f aca="false">COUNTIFS(fHitos!$F$2:$F$178,A66,fHitos!$R$2:$R$178,"No")</f>
        <v>38</v>
      </c>
      <c r="C66" s="25" t="n">
        <f aca="false">COUNTIFS(fHitos!$F$2:$F$178,A66,fHitos!$R$2:$R$178,"No",fHitos!$U$2:$U$178,"Vencido")+COUNTIFS(fHitos!$F$2:$F$178,A66,fHitos!$R$2:$R$178,"No",fHitos!$U$2:$U$178,"En riesgo")</f>
        <v>15</v>
      </c>
      <c r="D66" s="26" t="n">
        <f aca="false">IFERROR(C66/B66,0)</f>
        <v>0.394736842105263</v>
      </c>
    </row>
    <row r="67" customFormat="false" ht="15" hidden="false" customHeight="false" outlineLevel="0" collapsed="false">
      <c r="A67" s="7" t="s">
        <v>74</v>
      </c>
      <c r="B67" s="25" t="n">
        <f aca="false">COUNTIFS(fHitos!$F$2:$F$178,A67,fHitos!$R$2:$R$178,"No")</f>
        <v>50</v>
      </c>
      <c r="C67" s="25" t="n">
        <f aca="false">COUNTIFS(fHitos!$F$2:$F$178,A67,fHitos!$R$2:$R$178,"No",fHitos!$U$2:$U$178,"Vencido")+COUNTIFS(fHitos!$F$2:$F$178,A67,fHitos!$R$2:$R$178,"No",fHitos!$U$2:$U$178,"En riesgo")</f>
        <v>21</v>
      </c>
      <c r="D67" s="26" t="n">
        <f aca="false">IFERROR(C67/B67,0)</f>
        <v>0.42</v>
      </c>
    </row>
    <row r="68" customFormat="false" ht="15" hidden="false" customHeight="false" outlineLevel="0" collapsed="false">
      <c r="A68" s="7" t="s">
        <v>114</v>
      </c>
      <c r="B68" s="25" t="n">
        <f aca="false">COUNTIFS(fHitos!$F$2:$F$178,A68,fHitos!$R$2:$R$178,"No")</f>
        <v>25</v>
      </c>
      <c r="C68" s="25" t="n">
        <f aca="false">COUNTIFS(fHitos!$F$2:$F$178,A68,fHitos!$R$2:$R$178,"No",fHitos!$U$2:$U$178,"Vencido")+COUNTIFS(fHitos!$F$2:$F$178,A68,fHitos!$R$2:$R$178,"No",fHitos!$U$2:$U$178,"En riesgo")</f>
        <v>10</v>
      </c>
      <c r="D68" s="26" t="n">
        <f aca="false">IFERROR(C68/B68,0)</f>
        <v>0.4</v>
      </c>
    </row>
    <row r="69" customFormat="false" ht="15" hidden="false" customHeight="false" outlineLevel="0" collapsed="false">
      <c r="A69" s="7" t="s">
        <v>97</v>
      </c>
      <c r="B69" s="25" t="n">
        <f aca="false">COUNTIFS(fHitos!$F$2:$F$178,A69,fHitos!$R$2:$R$178,"No")</f>
        <v>18</v>
      </c>
      <c r="C69" s="25" t="n">
        <f aca="false">COUNTIFS(fHitos!$F$2:$F$178,A69,fHitos!$R$2:$R$178,"No",fHitos!$U$2:$U$178,"Vencido")+COUNTIFS(fHitos!$F$2:$F$178,A69,fHitos!$R$2:$R$178,"No",fHitos!$U$2:$U$178,"En riesgo")</f>
        <v>4</v>
      </c>
      <c r="D69" s="26" t="n">
        <f aca="false">IFERROR(C69/B69,0)</f>
        <v>0.222222222222222</v>
      </c>
    </row>
    <row r="70" customFormat="false" ht="15" hidden="false" customHeight="false" outlineLevel="0" collapsed="false">
      <c r="A70" s="7" t="s">
        <v>319</v>
      </c>
      <c r="B70" s="25" t="n">
        <f aca="false">COUNTIFS(fHitos!$F$2:$F$178,A70,fHitos!$R$2:$R$178,"No")</f>
        <v>9</v>
      </c>
      <c r="C70" s="25" t="n">
        <f aca="false">COUNTIFS(fHitos!$F$2:$F$178,A70,fHitos!$R$2:$R$178,"No",fHitos!$U$2:$U$178,"Vencido")+COUNTIFS(fHitos!$F$2:$F$178,A70,fHitos!$R$2:$R$178,"No",fHitos!$U$2:$U$178,"En riesgo")</f>
        <v>4</v>
      </c>
      <c r="D70" s="26" t="n">
        <f aca="false">IFERROR(C70/B70,0)</f>
        <v>0.444444444444444</v>
      </c>
    </row>
    <row r="71" customFormat="false" ht="15" hidden="false" customHeight="false" outlineLevel="0" collapsed="false">
      <c r="A71" s="7" t="s">
        <v>301</v>
      </c>
      <c r="B71" s="25" t="n">
        <f aca="false">COUNTIFS(fHitos!$F$2:$F$178,A71,fHitos!$R$2:$R$178,"No")</f>
        <v>8</v>
      </c>
      <c r="C71" s="25" t="n">
        <f aca="false">COUNTIFS(fHitos!$F$2:$F$178,A71,fHitos!$R$2:$R$178,"No",fHitos!$U$2:$U$178,"Vencido")+COUNTIFS(fHitos!$F$2:$F$178,A71,fHitos!$R$2:$R$178,"No",fHitos!$U$2:$U$178,"En riesgo")</f>
        <v>1</v>
      </c>
      <c r="D71" s="26" t="n">
        <f aca="false">IFERROR(C71/B71,0)</f>
        <v>0.125</v>
      </c>
    </row>
    <row r="72" customFormat="false" ht="15" hidden="false" customHeight="false" outlineLevel="0" collapsed="false">
      <c r="A72" s="7" t="s">
        <v>106</v>
      </c>
      <c r="B72" s="25" t="n">
        <f aca="false">COUNTIFS(fHitos!$F$2:$F$178,A72,fHitos!$R$2:$R$178,"No")</f>
        <v>7</v>
      </c>
      <c r="C72" s="25" t="n">
        <f aca="false">COUNTIFS(fHitos!$F$2:$F$178,A72,fHitos!$R$2:$R$178,"No",fHitos!$U$2:$U$178,"Vencido")+COUNTIFS(fHitos!$F$2:$F$178,A72,fHitos!$R$2:$R$178,"No",fHitos!$U$2:$U$178,"En riesgo")</f>
        <v>1</v>
      </c>
      <c r="D72" s="26" t="n">
        <f aca="false">IFERROR(C72/B72,0)</f>
        <v>0.142857142857143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90"/>
    <col collapsed="false" customWidth="true" hidden="false" outlineLevel="0" max="4" min="4" style="0" width="12"/>
    <col collapsed="false" customWidth="true" hidden="false" outlineLevel="0" max="5" min="5" style="0" width="44"/>
    <col collapsed="false" customWidth="true" hidden="false" outlineLevel="0" max="6" min="6" style="0" width="30"/>
  </cols>
  <sheetData>
    <row r="1" customFormat="false" ht="30" hidden="false" customHeight="true" outlineLevel="0" collapsed="false">
      <c r="A1" s="6" t="s">
        <v>597</v>
      </c>
      <c r="B1" s="6" t="s">
        <v>598</v>
      </c>
      <c r="C1" s="6" t="s">
        <v>599</v>
      </c>
      <c r="D1" s="6" t="s">
        <v>600</v>
      </c>
      <c r="E1" s="6" t="s">
        <v>601</v>
      </c>
      <c r="F1" s="6" t="s">
        <v>602</v>
      </c>
    </row>
    <row r="2" customFormat="false" ht="18.75" hidden="false" customHeight="true" outlineLevel="0" collapsed="false">
      <c r="A2" s="4" t="s">
        <v>603</v>
      </c>
      <c r="B2" s="4" t="s">
        <v>604</v>
      </c>
      <c r="C2" s="28" t="s">
        <v>605</v>
      </c>
      <c r="D2" s="4" t="s">
        <v>606</v>
      </c>
      <c r="E2" s="4" t="s">
        <v>607</v>
      </c>
      <c r="F2" s="4" t="s">
        <v>608</v>
      </c>
    </row>
    <row r="3" customFormat="false" ht="18.75" hidden="false" customHeight="true" outlineLevel="0" collapsed="false">
      <c r="A3" s="4" t="s">
        <v>609</v>
      </c>
      <c r="B3" s="4" t="s">
        <v>604</v>
      </c>
      <c r="C3" s="28" t="s">
        <v>610</v>
      </c>
      <c r="D3" s="4" t="s">
        <v>611</v>
      </c>
      <c r="E3" s="4" t="s">
        <v>612</v>
      </c>
      <c r="F3" s="4" t="s">
        <v>613</v>
      </c>
    </row>
    <row r="4" customFormat="false" ht="18.75" hidden="false" customHeight="true" outlineLevel="0" collapsed="false">
      <c r="A4" s="4" t="s">
        <v>614</v>
      </c>
      <c r="B4" s="4" t="s">
        <v>615</v>
      </c>
      <c r="C4" s="28" t="s">
        <v>616</v>
      </c>
      <c r="D4" s="4" t="s">
        <v>617</v>
      </c>
      <c r="E4" s="4" t="s">
        <v>618</v>
      </c>
      <c r="F4" s="4" t="s">
        <v>619</v>
      </c>
    </row>
    <row r="5" customFormat="false" ht="18.75" hidden="false" customHeight="true" outlineLevel="0" collapsed="false">
      <c r="A5" s="4" t="s">
        <v>620</v>
      </c>
      <c r="B5" s="4" t="s">
        <v>615</v>
      </c>
      <c r="C5" s="28" t="s">
        <v>621</v>
      </c>
      <c r="D5" s="4" t="s">
        <v>617</v>
      </c>
      <c r="E5" s="4" t="s">
        <v>622</v>
      </c>
      <c r="F5" s="4" t="s">
        <v>623</v>
      </c>
    </row>
    <row r="6" customFormat="false" ht="18.75" hidden="false" customHeight="true" outlineLevel="0" collapsed="false">
      <c r="A6" s="4" t="s">
        <v>624</v>
      </c>
      <c r="B6" s="4" t="s">
        <v>615</v>
      </c>
      <c r="C6" s="28" t="s">
        <v>625</v>
      </c>
      <c r="D6" s="4" t="s">
        <v>617</v>
      </c>
      <c r="E6" s="4" t="s">
        <v>626</v>
      </c>
      <c r="F6" s="4" t="s">
        <v>627</v>
      </c>
    </row>
    <row r="7" customFormat="false" ht="18.75" hidden="false" customHeight="true" outlineLevel="0" collapsed="false">
      <c r="A7" s="4" t="s">
        <v>628</v>
      </c>
      <c r="B7" s="4" t="s">
        <v>615</v>
      </c>
      <c r="C7" s="28" t="s">
        <v>629</v>
      </c>
      <c r="D7" s="4" t="s">
        <v>617</v>
      </c>
      <c r="E7" s="4"/>
      <c r="F7" s="4" t="s">
        <v>630</v>
      </c>
    </row>
    <row r="8" customFormat="false" ht="18.75" hidden="false" customHeight="true" outlineLevel="0" collapsed="false">
      <c r="A8" s="4" t="s">
        <v>631</v>
      </c>
      <c r="B8" s="4" t="s">
        <v>615</v>
      </c>
      <c r="C8" s="28" t="s">
        <v>632</v>
      </c>
      <c r="D8" s="4" t="s">
        <v>617</v>
      </c>
      <c r="E8" s="4"/>
      <c r="F8" s="4" t="s">
        <v>633</v>
      </c>
    </row>
    <row r="9" customFormat="false" ht="18.75" hidden="false" customHeight="true" outlineLevel="0" collapsed="false">
      <c r="A9" s="4" t="s">
        <v>634</v>
      </c>
      <c r="B9" s="4" t="s">
        <v>615</v>
      </c>
      <c r="C9" s="28" t="s">
        <v>635</v>
      </c>
      <c r="D9" s="4" t="s">
        <v>617</v>
      </c>
      <c r="E9" s="4"/>
      <c r="F9" s="4" t="s">
        <v>636</v>
      </c>
    </row>
    <row r="10" customFormat="false" ht="18.75" hidden="false" customHeight="true" outlineLevel="0" collapsed="false">
      <c r="A10" s="4" t="s">
        <v>637</v>
      </c>
      <c r="B10" s="4" t="s">
        <v>615</v>
      </c>
      <c r="C10" s="28" t="s">
        <v>638</v>
      </c>
      <c r="D10" s="4" t="s">
        <v>617</v>
      </c>
      <c r="E10" s="4"/>
      <c r="F10" s="4" t="s">
        <v>639</v>
      </c>
    </row>
    <row r="11" customFormat="false" ht="18.75" hidden="false" customHeight="true" outlineLevel="0" collapsed="false">
      <c r="A11" s="4" t="s">
        <v>640</v>
      </c>
      <c r="B11" s="4" t="s">
        <v>615</v>
      </c>
      <c r="C11" s="28" t="s">
        <v>641</v>
      </c>
      <c r="D11" s="4" t="s">
        <v>617</v>
      </c>
      <c r="E11" s="4"/>
      <c r="F11" s="4" t="s">
        <v>633</v>
      </c>
    </row>
    <row r="12" customFormat="false" ht="18.75" hidden="false" customHeight="true" outlineLevel="0" collapsed="false">
      <c r="A12" s="4" t="s">
        <v>642</v>
      </c>
      <c r="B12" s="4" t="s">
        <v>615</v>
      </c>
      <c r="C12" s="28" t="s">
        <v>643</v>
      </c>
      <c r="D12" s="4" t="s">
        <v>617</v>
      </c>
      <c r="E12" s="4" t="s">
        <v>644</v>
      </c>
      <c r="F12" s="4" t="s">
        <v>645</v>
      </c>
    </row>
    <row r="13" customFormat="false" ht="18.75" hidden="false" customHeight="true" outlineLevel="0" collapsed="false">
      <c r="A13" s="4" t="s">
        <v>646</v>
      </c>
      <c r="B13" s="4" t="s">
        <v>615</v>
      </c>
      <c r="C13" s="28" t="s">
        <v>647</v>
      </c>
      <c r="D13" s="4" t="s">
        <v>611</v>
      </c>
      <c r="E13" s="4"/>
      <c r="F13" s="4" t="s">
        <v>627</v>
      </c>
    </row>
    <row r="14" customFormat="false" ht="63.75" hidden="false" customHeight="true" outlineLevel="0" collapsed="false">
      <c r="A14" s="4" t="s">
        <v>648</v>
      </c>
      <c r="B14" s="4" t="s">
        <v>615</v>
      </c>
      <c r="C14" s="28" t="s">
        <v>649</v>
      </c>
      <c r="D14" s="4" t="s">
        <v>611</v>
      </c>
      <c r="E14" s="4" t="s">
        <v>650</v>
      </c>
      <c r="F14" s="4" t="s">
        <v>651</v>
      </c>
    </row>
    <row r="15" customFormat="false" ht="18.75" hidden="false" customHeight="true" outlineLevel="0" collapsed="false">
      <c r="A15" s="4" t="s">
        <v>652</v>
      </c>
      <c r="B15" s="4" t="s">
        <v>653</v>
      </c>
      <c r="C15" s="28" t="s">
        <v>654</v>
      </c>
      <c r="D15" s="4" t="s">
        <v>611</v>
      </c>
      <c r="E15" s="4" t="s">
        <v>655</v>
      </c>
      <c r="F15" s="4" t="s">
        <v>656</v>
      </c>
    </row>
    <row r="16" customFormat="false" ht="18.75" hidden="false" customHeight="true" outlineLevel="0" collapsed="false">
      <c r="A16" s="4" t="s">
        <v>657</v>
      </c>
      <c r="B16" s="4" t="s">
        <v>653</v>
      </c>
      <c r="C16" s="28" t="s">
        <v>658</v>
      </c>
      <c r="D16" s="4" t="s">
        <v>611</v>
      </c>
      <c r="E16" s="4" t="s">
        <v>659</v>
      </c>
      <c r="F16" s="4" t="s">
        <v>660</v>
      </c>
    </row>
    <row r="17" customFormat="false" ht="18.75" hidden="false" customHeight="true" outlineLevel="0" collapsed="false">
      <c r="A17" s="4" t="s">
        <v>35</v>
      </c>
      <c r="B17" s="4" t="s">
        <v>653</v>
      </c>
      <c r="C17" s="28" t="s">
        <v>661</v>
      </c>
      <c r="D17" s="4" t="s">
        <v>662</v>
      </c>
      <c r="E17" s="4" t="s">
        <v>663</v>
      </c>
      <c r="F17" s="4" t="s">
        <v>664</v>
      </c>
    </row>
    <row r="18" customFormat="false" ht="18.75" hidden="false" customHeight="true" outlineLevel="0" collapsed="false">
      <c r="A18" s="4" t="s">
        <v>665</v>
      </c>
      <c r="B18" s="4" t="s">
        <v>653</v>
      </c>
      <c r="C18" s="28" t="s">
        <v>666</v>
      </c>
      <c r="D18" s="4" t="s">
        <v>611</v>
      </c>
      <c r="E18" s="4" t="s">
        <v>667</v>
      </c>
      <c r="F18" s="4" t="s">
        <v>668</v>
      </c>
    </row>
    <row r="19" customFormat="false" ht="63.75" hidden="false" customHeight="true" outlineLevel="0" collapsed="false">
      <c r="A19" s="4" t="s">
        <v>669</v>
      </c>
      <c r="B19" s="4" t="s">
        <v>653</v>
      </c>
      <c r="C19" s="28" t="s">
        <v>670</v>
      </c>
      <c r="D19" s="4" t="s">
        <v>671</v>
      </c>
      <c r="E19" s="4" t="s">
        <v>672</v>
      </c>
      <c r="F19" s="4" t="s">
        <v>673</v>
      </c>
    </row>
    <row r="20" customFormat="false" ht="18.75" hidden="false" customHeight="true" outlineLevel="0" collapsed="false">
      <c r="A20" s="4" t="s">
        <v>674</v>
      </c>
      <c r="B20" s="4" t="s">
        <v>653</v>
      </c>
      <c r="C20" s="28" t="s">
        <v>675</v>
      </c>
      <c r="D20" s="4" t="s">
        <v>617</v>
      </c>
      <c r="E20" s="4"/>
      <c r="F20" s="4" t="s">
        <v>676</v>
      </c>
    </row>
    <row r="21" customFormat="false" ht="18.75" hidden="false" customHeight="true" outlineLevel="0" collapsed="false">
      <c r="A21" s="4" t="s">
        <v>677</v>
      </c>
      <c r="B21" s="4" t="s">
        <v>678</v>
      </c>
      <c r="C21" s="28" t="s">
        <v>679</v>
      </c>
      <c r="D21" s="4" t="s">
        <v>617</v>
      </c>
      <c r="E21" s="4" t="s">
        <v>680</v>
      </c>
      <c r="F21" s="4" t="s">
        <v>681</v>
      </c>
    </row>
    <row r="22" customFormat="false" ht="18.75" hidden="false" customHeight="true" outlineLevel="0" collapsed="false">
      <c r="A22" s="4" t="s">
        <v>682</v>
      </c>
      <c r="B22" s="4" t="s">
        <v>678</v>
      </c>
      <c r="C22" s="28" t="s">
        <v>549</v>
      </c>
      <c r="D22" s="4" t="s">
        <v>617</v>
      </c>
      <c r="E22" s="4" t="s">
        <v>683</v>
      </c>
      <c r="F22" s="4" t="s">
        <v>684</v>
      </c>
    </row>
    <row r="23" customFormat="false" ht="108.75" hidden="false" customHeight="true" outlineLevel="0" collapsed="false">
      <c r="A23" s="4" t="s">
        <v>685</v>
      </c>
      <c r="B23" s="4" t="s">
        <v>678</v>
      </c>
      <c r="C23" s="28" t="s">
        <v>686</v>
      </c>
      <c r="D23" s="4" t="s">
        <v>617</v>
      </c>
      <c r="E23" s="4" t="s">
        <v>687</v>
      </c>
      <c r="F23" s="4" t="s">
        <v>688</v>
      </c>
    </row>
    <row r="24" customFormat="false" ht="138.75" hidden="false" customHeight="true" outlineLevel="0" collapsed="false">
      <c r="A24" s="4" t="s">
        <v>689</v>
      </c>
      <c r="B24" s="4" t="s">
        <v>678</v>
      </c>
      <c r="C24" s="28" t="s">
        <v>690</v>
      </c>
      <c r="D24" s="4" t="s">
        <v>691</v>
      </c>
      <c r="E24" s="4" t="s">
        <v>692</v>
      </c>
      <c r="F24" s="4" t="s">
        <v>693</v>
      </c>
    </row>
    <row r="25" customFormat="false" ht="48.75" hidden="false" customHeight="true" outlineLevel="0" collapsed="false">
      <c r="A25" s="4" t="s">
        <v>694</v>
      </c>
      <c r="B25" s="4" t="s">
        <v>678</v>
      </c>
      <c r="C25" s="28" t="s">
        <v>695</v>
      </c>
      <c r="D25" s="4" t="s">
        <v>691</v>
      </c>
      <c r="E25" s="4"/>
      <c r="F25" s="4" t="s">
        <v>696</v>
      </c>
    </row>
    <row r="26" customFormat="false" ht="18.75" hidden="false" customHeight="true" outlineLevel="0" collapsed="false">
      <c r="A26" s="4" t="s">
        <v>697</v>
      </c>
      <c r="B26" s="4" t="s">
        <v>678</v>
      </c>
      <c r="C26" s="28" t="s">
        <v>698</v>
      </c>
      <c r="D26" s="4" t="s">
        <v>617</v>
      </c>
      <c r="E26" s="4" t="s">
        <v>699</v>
      </c>
      <c r="F26" s="4" t="s">
        <v>700</v>
      </c>
    </row>
    <row r="27" customFormat="false" ht="18.75" hidden="false" customHeight="true" outlineLevel="0" collapsed="false">
      <c r="A27" s="4" t="s">
        <v>701</v>
      </c>
      <c r="B27" s="4" t="s">
        <v>678</v>
      </c>
      <c r="C27" s="28" t="s">
        <v>702</v>
      </c>
      <c r="D27" s="4" t="s">
        <v>703</v>
      </c>
      <c r="E27" s="4"/>
      <c r="F27" s="4" t="s">
        <v>704</v>
      </c>
    </row>
    <row r="28" customFormat="false" ht="33.75" hidden="false" customHeight="true" outlineLevel="0" collapsed="false">
      <c r="A28" s="4" t="s">
        <v>705</v>
      </c>
      <c r="B28" s="4" t="s">
        <v>678</v>
      </c>
      <c r="C28" s="28" t="s">
        <v>706</v>
      </c>
      <c r="D28" s="4" t="s">
        <v>617</v>
      </c>
      <c r="E28" s="4"/>
      <c r="F28" s="4" t="s">
        <v>707</v>
      </c>
    </row>
    <row r="29" customFormat="false" ht="33.75" hidden="false" customHeight="true" outlineLevel="0" collapsed="false">
      <c r="A29" s="4" t="s">
        <v>708</v>
      </c>
      <c r="B29" s="4" t="s">
        <v>678</v>
      </c>
      <c r="C29" s="28" t="s">
        <v>709</v>
      </c>
      <c r="D29" s="4" t="s">
        <v>611</v>
      </c>
      <c r="E29" s="4"/>
      <c r="F29" s="4" t="s">
        <v>710</v>
      </c>
    </row>
    <row r="30" customFormat="false" ht="33.75" hidden="false" customHeight="true" outlineLevel="0" collapsed="false">
      <c r="A30" s="4" t="s">
        <v>711</v>
      </c>
      <c r="B30" s="4" t="s">
        <v>678</v>
      </c>
      <c r="C30" s="28" t="s">
        <v>712</v>
      </c>
      <c r="D30" s="4" t="s">
        <v>617</v>
      </c>
      <c r="E30" s="4"/>
      <c r="F30" s="4" t="s">
        <v>710</v>
      </c>
    </row>
    <row r="31" customFormat="false" ht="33.75" hidden="false" customHeight="true" outlineLevel="0" collapsed="false">
      <c r="A31" s="4" t="s">
        <v>713</v>
      </c>
      <c r="B31" s="4" t="s">
        <v>678</v>
      </c>
      <c r="C31" s="28" t="s">
        <v>714</v>
      </c>
      <c r="D31" s="4" t="s">
        <v>617</v>
      </c>
      <c r="E31" s="4" t="s">
        <v>715</v>
      </c>
      <c r="F31" s="4" t="s">
        <v>716</v>
      </c>
    </row>
    <row r="32" customFormat="false" ht="18.75" hidden="false" customHeight="true" outlineLevel="0" collapsed="false">
      <c r="A32" s="4" t="s">
        <v>717</v>
      </c>
      <c r="B32" s="4" t="s">
        <v>678</v>
      </c>
      <c r="C32" s="28" t="s">
        <v>718</v>
      </c>
      <c r="D32" s="4" t="s">
        <v>617</v>
      </c>
      <c r="E32" s="4" t="s">
        <v>719</v>
      </c>
      <c r="F32" s="4" t="s">
        <v>720</v>
      </c>
    </row>
    <row r="33" customFormat="false" ht="18.75" hidden="false" customHeight="true" outlineLevel="0" collapsed="false">
      <c r="A33" s="4" t="s">
        <v>721</v>
      </c>
      <c r="B33" s="4" t="s">
        <v>722</v>
      </c>
      <c r="C33" s="28" t="s">
        <v>723</v>
      </c>
      <c r="D33" s="4" t="s">
        <v>617</v>
      </c>
      <c r="E33" s="4" t="s">
        <v>724</v>
      </c>
      <c r="F33" s="4" t="s">
        <v>725</v>
      </c>
    </row>
    <row r="34" customFormat="false" ht="18.75" hidden="false" customHeight="true" outlineLevel="0" collapsed="false">
      <c r="A34" s="4" t="s">
        <v>726</v>
      </c>
      <c r="B34" s="4" t="s">
        <v>722</v>
      </c>
      <c r="C34" s="28" t="s">
        <v>727</v>
      </c>
      <c r="D34" s="4" t="s">
        <v>611</v>
      </c>
      <c r="E34" s="4" t="s">
        <v>728</v>
      </c>
      <c r="F34" s="4" t="s">
        <v>729</v>
      </c>
    </row>
    <row r="35" customFormat="false" ht="18.75" hidden="false" customHeight="true" outlineLevel="0" collapsed="false">
      <c r="A35" s="4" t="s">
        <v>730</v>
      </c>
      <c r="B35" s="4" t="s">
        <v>722</v>
      </c>
      <c r="C35" s="28" t="s">
        <v>731</v>
      </c>
      <c r="D35" s="4" t="s">
        <v>617</v>
      </c>
      <c r="E35" s="4" t="s">
        <v>732</v>
      </c>
      <c r="F35" s="4" t="s">
        <v>733</v>
      </c>
    </row>
    <row r="36" customFormat="false" ht="18.75" hidden="false" customHeight="true" outlineLevel="0" collapsed="false">
      <c r="A36" s="4" t="s">
        <v>734</v>
      </c>
      <c r="B36" s="4" t="s">
        <v>722</v>
      </c>
      <c r="C36" s="28" t="s">
        <v>735</v>
      </c>
      <c r="D36" s="4" t="s">
        <v>671</v>
      </c>
      <c r="E36" s="4" t="s">
        <v>736</v>
      </c>
      <c r="F36" s="4" t="s">
        <v>737</v>
      </c>
    </row>
    <row r="37" customFormat="false" ht="18.75" hidden="false" customHeight="true" outlineLevel="0" collapsed="false">
      <c r="A37" s="4" t="s">
        <v>738</v>
      </c>
      <c r="B37" s="4" t="s">
        <v>739</v>
      </c>
      <c r="C37" s="28" t="s">
        <v>740</v>
      </c>
      <c r="D37" s="4" t="s">
        <v>611</v>
      </c>
      <c r="E37" s="4"/>
      <c r="F37" s="4" t="s">
        <v>741</v>
      </c>
    </row>
    <row r="38" customFormat="false" ht="18.75" hidden="false" customHeight="true" outlineLevel="0" collapsed="false">
      <c r="A38" s="4" t="s">
        <v>742</v>
      </c>
      <c r="B38" s="4" t="s">
        <v>739</v>
      </c>
      <c r="C38" s="28" t="s">
        <v>743</v>
      </c>
      <c r="D38" s="4" t="s">
        <v>617</v>
      </c>
      <c r="E38" s="4"/>
      <c r="F38" s="4" t="s">
        <v>744</v>
      </c>
    </row>
    <row r="39" customFormat="false" ht="18.75" hidden="false" customHeight="true" outlineLevel="0" collapsed="false">
      <c r="A39" s="4" t="s">
        <v>745</v>
      </c>
      <c r="B39" s="4" t="s">
        <v>739</v>
      </c>
      <c r="C39" s="28" t="s">
        <v>746</v>
      </c>
      <c r="D39" s="4" t="s">
        <v>617</v>
      </c>
      <c r="E39" s="4"/>
      <c r="F39" s="4" t="s">
        <v>741</v>
      </c>
    </row>
    <row r="40" customFormat="false" ht="18.75" hidden="false" customHeight="true" outlineLevel="0" collapsed="false">
      <c r="A40" s="4" t="s">
        <v>747</v>
      </c>
      <c r="B40" s="4" t="s">
        <v>739</v>
      </c>
      <c r="C40" s="28" t="s">
        <v>748</v>
      </c>
      <c r="D40" s="4" t="s">
        <v>662</v>
      </c>
      <c r="E40" s="4"/>
      <c r="F40" s="4" t="s">
        <v>741</v>
      </c>
    </row>
    <row r="41" customFormat="false" ht="18.75" hidden="false" customHeight="true" outlineLevel="0" collapsed="false">
      <c r="A41" s="4" t="s">
        <v>749</v>
      </c>
      <c r="B41" s="4" t="s">
        <v>739</v>
      </c>
      <c r="C41" s="28" t="s">
        <v>750</v>
      </c>
      <c r="D41" s="4" t="s">
        <v>662</v>
      </c>
      <c r="E41" s="4"/>
      <c r="F41" s="4" t="s">
        <v>741</v>
      </c>
    </row>
    <row r="42" customFormat="false" ht="18.75" hidden="false" customHeight="true" outlineLevel="0" collapsed="false">
      <c r="A42" s="4" t="s">
        <v>751</v>
      </c>
      <c r="B42" s="4" t="s">
        <v>739</v>
      </c>
      <c r="C42" s="28" t="s">
        <v>752</v>
      </c>
      <c r="D42" s="4" t="s">
        <v>671</v>
      </c>
      <c r="E42" s="4" t="s">
        <v>753</v>
      </c>
      <c r="F42" s="4" t="s">
        <v>754</v>
      </c>
    </row>
    <row r="43" customFormat="false" ht="18.75" hidden="false" customHeight="true" outlineLevel="0" collapsed="false">
      <c r="A43" s="4" t="s">
        <v>755</v>
      </c>
      <c r="B43" s="4" t="s">
        <v>756</v>
      </c>
      <c r="C43" s="28" t="s">
        <v>757</v>
      </c>
      <c r="D43" s="4" t="s">
        <v>671</v>
      </c>
      <c r="E43" s="4"/>
      <c r="F43" s="4" t="s">
        <v>758</v>
      </c>
    </row>
    <row r="44" customFormat="false" ht="48.75" hidden="false" customHeight="true" outlineLevel="0" collapsed="false">
      <c r="A44" s="4" t="s">
        <v>759</v>
      </c>
      <c r="B44" s="4" t="s">
        <v>756</v>
      </c>
      <c r="C44" s="28" t="s">
        <v>760</v>
      </c>
      <c r="D44" s="4" t="s">
        <v>671</v>
      </c>
      <c r="E44" s="4" t="s">
        <v>761</v>
      </c>
      <c r="F44" s="4" t="s">
        <v>762</v>
      </c>
    </row>
    <row r="45" customFormat="false" ht="18.75" hidden="false" customHeight="true" outlineLevel="0" collapsed="false">
      <c r="A45" s="4" t="s">
        <v>763</v>
      </c>
      <c r="B45" s="4" t="s">
        <v>756</v>
      </c>
      <c r="C45" s="28" t="s">
        <v>764</v>
      </c>
      <c r="D45" s="4" t="s">
        <v>671</v>
      </c>
      <c r="E45" s="4"/>
      <c r="F45" s="4" t="s">
        <v>765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00"/>
    <col collapsed="false" customWidth="true" hidden="false" outlineLevel="0" max="4" min="4" style="0" width="12"/>
    <col collapsed="false" customWidth="true" hidden="false" outlineLevel="0" max="5" min="5" style="0" width="18"/>
  </cols>
  <sheetData>
    <row r="1" customFormat="false" ht="30" hidden="false" customHeight="true" outlineLevel="0" collapsed="false">
      <c r="A1" s="6" t="s">
        <v>766</v>
      </c>
      <c r="B1" s="6" t="s">
        <v>767</v>
      </c>
      <c r="C1" s="6" t="s">
        <v>768</v>
      </c>
      <c r="D1" s="6" t="s">
        <v>594</v>
      </c>
      <c r="E1" s="6" t="s">
        <v>769</v>
      </c>
    </row>
    <row r="2" customFormat="false" ht="18.75" hidden="false" customHeight="true" outlineLevel="0" collapsed="false">
      <c r="A2" s="4" t="s">
        <v>770</v>
      </c>
      <c r="B2" s="4" t="s">
        <v>37</v>
      </c>
      <c r="C2" s="28" t="s">
        <v>771</v>
      </c>
      <c r="D2" s="4" t="s">
        <v>671</v>
      </c>
      <c r="E2" s="4" t="s">
        <v>772</v>
      </c>
    </row>
    <row r="3" customFormat="false" ht="18.75" hidden="false" customHeight="true" outlineLevel="0" collapsed="false">
      <c r="A3" s="4" t="s">
        <v>770</v>
      </c>
      <c r="B3" s="4" t="s">
        <v>55</v>
      </c>
      <c r="C3" s="28" t="s">
        <v>773</v>
      </c>
      <c r="D3" s="4" t="s">
        <v>671</v>
      </c>
      <c r="E3" s="4" t="s">
        <v>774</v>
      </c>
    </row>
    <row r="4" customFormat="false" ht="48.75" hidden="false" customHeight="true" outlineLevel="0" collapsed="false">
      <c r="A4" s="4" t="s">
        <v>770</v>
      </c>
      <c r="B4" s="4" t="s">
        <v>56</v>
      </c>
      <c r="C4" s="28" t="s">
        <v>775</v>
      </c>
      <c r="D4" s="4" t="s">
        <v>671</v>
      </c>
      <c r="E4" s="4" t="s">
        <v>776</v>
      </c>
    </row>
    <row r="5" customFormat="false" ht="33.75" hidden="false" customHeight="true" outlineLevel="0" collapsed="false">
      <c r="A5" s="4" t="s">
        <v>770</v>
      </c>
      <c r="B5" s="4" t="s">
        <v>57</v>
      </c>
      <c r="C5" s="28" t="s">
        <v>777</v>
      </c>
      <c r="D5" s="4" t="s">
        <v>778</v>
      </c>
      <c r="E5" s="4" t="s">
        <v>779</v>
      </c>
    </row>
    <row r="6" customFormat="false" ht="18.75" hidden="false" customHeight="true" outlineLevel="0" collapsed="false">
      <c r="A6" s="4" t="s">
        <v>770</v>
      </c>
      <c r="B6" s="4" t="s">
        <v>29</v>
      </c>
      <c r="C6" s="28" t="s">
        <v>780</v>
      </c>
      <c r="D6" s="4" t="s">
        <v>671</v>
      </c>
      <c r="E6" s="4" t="s">
        <v>781</v>
      </c>
    </row>
    <row r="7" customFormat="false" ht="108.75" hidden="false" customHeight="true" outlineLevel="0" collapsed="false">
      <c r="A7" s="4" t="s">
        <v>770</v>
      </c>
      <c r="B7" s="4" t="s">
        <v>58</v>
      </c>
      <c r="C7" s="28" t="s">
        <v>782</v>
      </c>
      <c r="D7" s="4" t="s">
        <v>783</v>
      </c>
      <c r="E7" s="4" t="s">
        <v>784</v>
      </c>
    </row>
    <row r="8" customFormat="false" ht="18.75" hidden="false" customHeight="true" outlineLevel="0" collapsed="false">
      <c r="A8" s="4" t="s">
        <v>770</v>
      </c>
      <c r="B8" s="4" t="s">
        <v>59</v>
      </c>
      <c r="C8" s="28" t="s">
        <v>785</v>
      </c>
      <c r="D8" s="4" t="s">
        <v>783</v>
      </c>
      <c r="E8" s="4" t="s">
        <v>786</v>
      </c>
    </row>
    <row r="9" customFormat="false" ht="153.75" hidden="false" customHeight="true" outlineLevel="0" collapsed="false">
      <c r="A9" s="4" t="s">
        <v>770</v>
      </c>
      <c r="B9" s="4" t="s">
        <v>33</v>
      </c>
      <c r="C9" s="28" t="s">
        <v>787</v>
      </c>
      <c r="D9" s="4" t="s">
        <v>671</v>
      </c>
      <c r="E9" s="4" t="s">
        <v>788</v>
      </c>
    </row>
    <row r="10" customFormat="false" ht="18.75" hidden="false" customHeight="true" outlineLevel="0" collapsed="false">
      <c r="A10" s="4" t="s">
        <v>770</v>
      </c>
      <c r="B10" s="4" t="s">
        <v>60</v>
      </c>
      <c r="C10" s="28" t="s">
        <v>789</v>
      </c>
      <c r="D10" s="4" t="s">
        <v>778</v>
      </c>
      <c r="E10" s="4" t="s">
        <v>790</v>
      </c>
    </row>
    <row r="11" customFormat="false" ht="33.75" hidden="false" customHeight="true" outlineLevel="0" collapsed="false">
      <c r="A11" s="4" t="s">
        <v>770</v>
      </c>
      <c r="B11" s="4" t="s">
        <v>61</v>
      </c>
      <c r="C11" s="28" t="s">
        <v>791</v>
      </c>
      <c r="D11" s="4" t="s">
        <v>778</v>
      </c>
      <c r="E11" s="4" t="s">
        <v>792</v>
      </c>
    </row>
    <row r="12" customFormat="false" ht="33.75" hidden="false" customHeight="true" outlineLevel="0" collapsed="false">
      <c r="A12" s="4" t="s">
        <v>770</v>
      </c>
      <c r="B12" s="4" t="s">
        <v>62</v>
      </c>
      <c r="C12" s="28" t="s">
        <v>793</v>
      </c>
      <c r="D12" s="4" t="s">
        <v>778</v>
      </c>
      <c r="E12" s="4" t="s">
        <v>794</v>
      </c>
    </row>
    <row r="13" customFormat="false" ht="18.75" hidden="false" customHeight="true" outlineLevel="0" collapsed="false">
      <c r="A13" s="4" t="s">
        <v>770</v>
      </c>
      <c r="B13" s="4" t="s">
        <v>63</v>
      </c>
      <c r="C13" s="28" t="s">
        <v>795</v>
      </c>
      <c r="D13" s="4" t="s">
        <v>796</v>
      </c>
      <c r="E13" s="4" t="s">
        <v>797</v>
      </c>
    </row>
    <row r="14" customFormat="false" ht="18.75" hidden="false" customHeight="true" outlineLevel="0" collapsed="false">
      <c r="A14" s="4" t="s">
        <v>770</v>
      </c>
      <c r="B14" s="4" t="s">
        <v>65</v>
      </c>
      <c r="C14" s="28" t="s">
        <v>798</v>
      </c>
      <c r="D14" s="4" t="s">
        <v>778</v>
      </c>
      <c r="E14" s="4" t="s">
        <v>799</v>
      </c>
    </row>
    <row r="15" customFormat="false" ht="18.75" hidden="false" customHeight="true" outlineLevel="0" collapsed="false">
      <c r="A15" s="4" t="s">
        <v>770</v>
      </c>
      <c r="B15" s="4" t="s">
        <v>66</v>
      </c>
      <c r="C15" s="28" t="s">
        <v>800</v>
      </c>
      <c r="D15" s="4" t="s">
        <v>778</v>
      </c>
      <c r="E15" s="4" t="s">
        <v>801</v>
      </c>
    </row>
    <row r="16" customFormat="false" ht="33.75" hidden="false" customHeight="true" outlineLevel="0" collapsed="false">
      <c r="A16" s="4" t="s">
        <v>770</v>
      </c>
      <c r="B16" s="4" t="s">
        <v>67</v>
      </c>
      <c r="C16" s="28" t="s">
        <v>802</v>
      </c>
      <c r="D16" s="4" t="s">
        <v>778</v>
      </c>
      <c r="E16" s="4" t="s">
        <v>803</v>
      </c>
    </row>
    <row r="17" customFormat="false" ht="18.75" hidden="false" customHeight="true" outlineLevel="0" collapsed="false">
      <c r="A17" s="4" t="s">
        <v>770</v>
      </c>
      <c r="B17" s="4" t="s">
        <v>68</v>
      </c>
      <c r="C17" s="28" t="s">
        <v>804</v>
      </c>
      <c r="D17" s="4" t="s">
        <v>778</v>
      </c>
      <c r="E17" s="4" t="s">
        <v>805</v>
      </c>
    </row>
    <row r="18" customFormat="false" ht="18.75" hidden="false" customHeight="true" outlineLevel="0" collapsed="false">
      <c r="A18" s="4" t="s">
        <v>770</v>
      </c>
      <c r="B18" s="4" t="s">
        <v>69</v>
      </c>
      <c r="C18" s="28" t="s">
        <v>806</v>
      </c>
      <c r="D18" s="4" t="s">
        <v>778</v>
      </c>
      <c r="E18" s="4" t="s">
        <v>807</v>
      </c>
    </row>
    <row r="19" customFormat="false" ht="33.75" hidden="false" customHeight="true" outlineLevel="0" collapsed="false">
      <c r="A19" s="4" t="s">
        <v>770</v>
      </c>
      <c r="B19" s="4" t="s">
        <v>70</v>
      </c>
      <c r="C19" s="28" t="s">
        <v>808</v>
      </c>
      <c r="D19" s="4" t="s">
        <v>671</v>
      </c>
      <c r="E19" s="4" t="s">
        <v>809</v>
      </c>
    </row>
    <row r="20" customFormat="false" ht="48.75" hidden="false" customHeight="true" outlineLevel="0" collapsed="false">
      <c r="A20" s="4" t="s">
        <v>770</v>
      </c>
      <c r="B20" s="4" t="s">
        <v>71</v>
      </c>
      <c r="C20" s="28" t="s">
        <v>810</v>
      </c>
      <c r="D20" s="4" t="s">
        <v>778</v>
      </c>
      <c r="E20" s="4" t="s">
        <v>811</v>
      </c>
    </row>
    <row r="21" customFormat="false" ht="18.75" hidden="false" customHeight="true" outlineLevel="0" collapsed="false">
      <c r="A21" s="4" t="s">
        <v>770</v>
      </c>
      <c r="B21" s="4" t="s">
        <v>812</v>
      </c>
      <c r="C21" s="28" t="s">
        <v>813</v>
      </c>
      <c r="D21" s="4" t="s">
        <v>778</v>
      </c>
      <c r="E21" s="4" t="s">
        <v>551</v>
      </c>
    </row>
    <row r="22" customFormat="false" ht="18.75" hidden="false" customHeight="true" outlineLevel="0" collapsed="false">
      <c r="A22" s="4" t="s">
        <v>770</v>
      </c>
      <c r="B22" s="4" t="s">
        <v>814</v>
      </c>
      <c r="C22" s="28" t="s">
        <v>815</v>
      </c>
      <c r="D22" s="4" t="s">
        <v>671</v>
      </c>
      <c r="E22" s="4" t="s">
        <v>551</v>
      </c>
    </row>
    <row r="23" customFormat="false" ht="153.75" hidden="false" customHeight="true" outlineLevel="0" collapsed="false">
      <c r="A23" s="4" t="s">
        <v>816</v>
      </c>
      <c r="B23" s="4" t="s">
        <v>817</v>
      </c>
      <c r="C23" s="28" t="s">
        <v>818</v>
      </c>
      <c r="D23" s="4" t="s">
        <v>766</v>
      </c>
      <c r="E23" s="4" t="s">
        <v>816</v>
      </c>
    </row>
    <row r="25" customFormat="false" ht="45" hidden="false" customHeight="true" outlineLevel="0" collapsed="false">
      <c r="A25" s="5" t="s">
        <v>819</v>
      </c>
      <c r="C25" s="29" t="s">
        <v>820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22"/>
    <col collapsed="false" customWidth="true" hidden="false" outlineLevel="0" max="4" min="4" style="0" width="60"/>
    <col collapsed="false" customWidth="true" hidden="false" outlineLevel="0" max="5" min="5" style="0" width="36"/>
    <col collapsed="false" customWidth="true" hidden="false" outlineLevel="0" max="6" min="6" style="0" width="50"/>
  </cols>
  <sheetData>
    <row r="1" customFormat="false" ht="30" hidden="false" customHeight="true" outlineLevel="0" collapsed="false">
      <c r="A1" s="6" t="s">
        <v>821</v>
      </c>
      <c r="B1" s="6" t="s">
        <v>822</v>
      </c>
      <c r="C1" s="6" t="s">
        <v>823</v>
      </c>
      <c r="D1" s="6" t="s">
        <v>824</v>
      </c>
      <c r="E1" s="6" t="s">
        <v>825</v>
      </c>
      <c r="F1" s="6" t="s">
        <v>600</v>
      </c>
    </row>
    <row r="2" customFormat="false" ht="48" hidden="false" customHeight="true" outlineLevel="0" collapsed="false">
      <c r="A2" s="4" t="s">
        <v>826</v>
      </c>
      <c r="B2" s="4" t="s">
        <v>827</v>
      </c>
      <c r="C2" s="4" t="s">
        <v>828</v>
      </c>
      <c r="D2" s="4" t="s">
        <v>829</v>
      </c>
      <c r="E2" s="4" t="s">
        <v>551</v>
      </c>
      <c r="F2" s="4" t="s">
        <v>830</v>
      </c>
    </row>
    <row r="3" customFormat="false" ht="48" hidden="false" customHeight="true" outlineLevel="0" collapsed="false">
      <c r="A3" s="4" t="s">
        <v>826</v>
      </c>
      <c r="B3" s="4" t="s">
        <v>831</v>
      </c>
      <c r="C3" s="4" t="s">
        <v>828</v>
      </c>
      <c r="D3" s="4" t="s">
        <v>832</v>
      </c>
      <c r="E3" s="4" t="s">
        <v>551</v>
      </c>
      <c r="F3" s="4" t="s">
        <v>833</v>
      </c>
    </row>
    <row r="4" customFormat="false" ht="48" hidden="false" customHeight="true" outlineLevel="0" collapsed="false">
      <c r="A4" s="4" t="s">
        <v>826</v>
      </c>
      <c r="B4" s="4" t="s">
        <v>834</v>
      </c>
      <c r="C4" s="4" t="s">
        <v>835</v>
      </c>
      <c r="D4" s="4" t="s">
        <v>836</v>
      </c>
      <c r="E4" s="4" t="s">
        <v>551</v>
      </c>
      <c r="F4" s="4" t="s">
        <v>837</v>
      </c>
    </row>
    <row r="5" customFormat="false" ht="48" hidden="false" customHeight="true" outlineLevel="0" collapsed="false">
      <c r="A5" s="4" t="s">
        <v>826</v>
      </c>
      <c r="B5" s="4" t="s">
        <v>838</v>
      </c>
      <c r="C5" s="4" t="s">
        <v>839</v>
      </c>
      <c r="D5" s="4" t="s">
        <v>840</v>
      </c>
      <c r="E5" s="4" t="s">
        <v>841</v>
      </c>
      <c r="F5" s="4" t="s">
        <v>842</v>
      </c>
    </row>
    <row r="6" customFormat="false" ht="48" hidden="false" customHeight="true" outlineLevel="0" collapsed="false">
      <c r="A6" s="4" t="s">
        <v>826</v>
      </c>
      <c r="B6" s="4" t="s">
        <v>843</v>
      </c>
      <c r="C6" s="4" t="s">
        <v>844</v>
      </c>
      <c r="D6" s="4" t="s">
        <v>845</v>
      </c>
      <c r="E6" s="4" t="s">
        <v>551</v>
      </c>
      <c r="F6" s="4" t="s">
        <v>846</v>
      </c>
    </row>
    <row r="7" customFormat="false" ht="48" hidden="false" customHeight="true" outlineLevel="0" collapsed="false">
      <c r="A7" s="4" t="s">
        <v>826</v>
      </c>
      <c r="B7" s="4" t="s">
        <v>847</v>
      </c>
      <c r="C7" s="4" t="s">
        <v>766</v>
      </c>
      <c r="D7" s="4" t="s">
        <v>848</v>
      </c>
      <c r="E7" s="4" t="s">
        <v>849</v>
      </c>
      <c r="F7" s="4" t="s">
        <v>850</v>
      </c>
    </row>
    <row r="8" customFormat="false" ht="48" hidden="false" customHeight="true" outlineLevel="0" collapsed="false">
      <c r="A8" s="4" t="s">
        <v>826</v>
      </c>
      <c r="B8" s="4" t="s">
        <v>851</v>
      </c>
      <c r="C8" s="4" t="s">
        <v>852</v>
      </c>
      <c r="D8" s="4" t="s">
        <v>853</v>
      </c>
      <c r="E8" s="4" t="s">
        <v>551</v>
      </c>
      <c r="F8" s="4" t="s">
        <v>854</v>
      </c>
    </row>
    <row r="9" customFormat="false" ht="48" hidden="false" customHeight="true" outlineLevel="0" collapsed="false">
      <c r="A9" s="4" t="s">
        <v>855</v>
      </c>
      <c r="B9" s="4" t="s">
        <v>856</v>
      </c>
      <c r="C9" s="4" t="s">
        <v>857</v>
      </c>
      <c r="D9" s="4" t="s">
        <v>858</v>
      </c>
      <c r="E9" s="4" t="s">
        <v>859</v>
      </c>
      <c r="F9" s="4" t="s">
        <v>860</v>
      </c>
    </row>
    <row r="10" customFormat="false" ht="48" hidden="false" customHeight="true" outlineLevel="0" collapsed="false">
      <c r="A10" s="4" t="s">
        <v>855</v>
      </c>
      <c r="B10" s="4" t="s">
        <v>861</v>
      </c>
      <c r="C10" s="4" t="s">
        <v>835</v>
      </c>
      <c r="D10" s="4" t="s">
        <v>862</v>
      </c>
      <c r="E10" s="4" t="s">
        <v>551</v>
      </c>
      <c r="F10" s="4" t="s">
        <v>863</v>
      </c>
    </row>
    <row r="11" customFormat="false" ht="48" hidden="false" customHeight="true" outlineLevel="0" collapsed="false">
      <c r="A11" s="4" t="s">
        <v>855</v>
      </c>
      <c r="B11" s="4" t="s">
        <v>864</v>
      </c>
      <c r="C11" s="4" t="s">
        <v>865</v>
      </c>
      <c r="D11" s="4" t="s">
        <v>866</v>
      </c>
      <c r="E11" s="4" t="s">
        <v>841</v>
      </c>
      <c r="F11" s="4" t="s">
        <v>867</v>
      </c>
    </row>
    <row r="12" customFormat="false" ht="48" hidden="false" customHeight="true" outlineLevel="0" collapsed="false">
      <c r="A12" s="4" t="s">
        <v>855</v>
      </c>
      <c r="B12" s="4" t="s">
        <v>868</v>
      </c>
      <c r="C12" s="4" t="s">
        <v>766</v>
      </c>
      <c r="D12" s="4" t="s">
        <v>869</v>
      </c>
      <c r="E12" s="4" t="s">
        <v>870</v>
      </c>
      <c r="F12" s="4" t="s">
        <v>871</v>
      </c>
    </row>
    <row r="13" customFormat="false" ht="48" hidden="false" customHeight="true" outlineLevel="0" collapsed="false">
      <c r="A13" s="4" t="s">
        <v>872</v>
      </c>
      <c r="B13" s="4" t="s">
        <v>873</v>
      </c>
      <c r="C13" s="4" t="s">
        <v>874</v>
      </c>
      <c r="D13" s="4" t="s">
        <v>875</v>
      </c>
      <c r="E13" s="4" t="s">
        <v>551</v>
      </c>
      <c r="F13" s="4" t="s">
        <v>876</v>
      </c>
    </row>
    <row r="14" customFormat="false" ht="48" hidden="false" customHeight="true" outlineLevel="0" collapsed="false">
      <c r="A14" s="4" t="s">
        <v>872</v>
      </c>
      <c r="B14" s="4" t="s">
        <v>877</v>
      </c>
      <c r="C14" s="4" t="s">
        <v>878</v>
      </c>
      <c r="D14" s="4" t="s">
        <v>879</v>
      </c>
      <c r="E14" s="4" t="s">
        <v>551</v>
      </c>
      <c r="F14" s="4" t="s">
        <v>880</v>
      </c>
    </row>
    <row r="15" customFormat="false" ht="48" hidden="false" customHeight="true" outlineLevel="0" collapsed="false">
      <c r="A15" s="4" t="s">
        <v>872</v>
      </c>
      <c r="B15" s="4" t="s">
        <v>881</v>
      </c>
      <c r="C15" s="4" t="s">
        <v>766</v>
      </c>
      <c r="D15" s="4" t="s">
        <v>882</v>
      </c>
      <c r="E15" s="4" t="s">
        <v>883</v>
      </c>
      <c r="F15" s="4" t="s">
        <v>884</v>
      </c>
    </row>
    <row r="16" customFormat="false" ht="48" hidden="false" customHeight="true" outlineLevel="0" collapsed="false">
      <c r="A16" s="4" t="s">
        <v>872</v>
      </c>
      <c r="B16" s="4" t="s">
        <v>885</v>
      </c>
      <c r="C16" s="4" t="s">
        <v>886</v>
      </c>
      <c r="D16" s="4" t="s">
        <v>887</v>
      </c>
      <c r="E16" s="4" t="s">
        <v>551</v>
      </c>
      <c r="F16" s="4" t="s">
        <v>888</v>
      </c>
    </row>
    <row r="17" customFormat="false" ht="48" hidden="false" customHeight="true" outlineLevel="0" collapsed="false">
      <c r="A17" s="4" t="s">
        <v>722</v>
      </c>
      <c r="B17" s="4" t="s">
        <v>889</v>
      </c>
      <c r="C17" s="4" t="s">
        <v>766</v>
      </c>
      <c r="D17" s="4" t="s">
        <v>890</v>
      </c>
      <c r="E17" s="4" t="s">
        <v>891</v>
      </c>
      <c r="F17" s="4" t="s">
        <v>892</v>
      </c>
    </row>
    <row r="18" customFormat="false" ht="48" hidden="false" customHeight="true" outlineLevel="0" collapsed="false">
      <c r="A18" s="4" t="s">
        <v>722</v>
      </c>
      <c r="B18" s="4" t="s">
        <v>893</v>
      </c>
      <c r="C18" s="4" t="s">
        <v>894</v>
      </c>
      <c r="D18" s="4" t="s">
        <v>895</v>
      </c>
      <c r="E18" s="4" t="s">
        <v>896</v>
      </c>
      <c r="F18" s="4" t="s">
        <v>897</v>
      </c>
    </row>
    <row r="19" customFormat="false" ht="48" hidden="false" customHeight="true" outlineLevel="0" collapsed="false">
      <c r="A19" s="4" t="s">
        <v>722</v>
      </c>
      <c r="B19" s="4" t="s">
        <v>898</v>
      </c>
      <c r="C19" s="4" t="s">
        <v>899</v>
      </c>
      <c r="D19" s="4" t="s">
        <v>900</v>
      </c>
      <c r="E19" s="4" t="s">
        <v>841</v>
      </c>
      <c r="F19" s="4" t="s">
        <v>901</v>
      </c>
    </row>
    <row r="20" customFormat="false" ht="48" hidden="false" customHeight="true" outlineLevel="0" collapsed="false">
      <c r="A20" s="4" t="s">
        <v>902</v>
      </c>
      <c r="B20" s="4" t="s">
        <v>903</v>
      </c>
      <c r="C20" s="4" t="s">
        <v>904</v>
      </c>
      <c r="D20" s="4" t="s">
        <v>905</v>
      </c>
      <c r="E20" s="4" t="s">
        <v>551</v>
      </c>
      <c r="F20" s="4" t="s">
        <v>906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3" t="s">
        <v>907</v>
      </c>
    </row>
    <row r="3" customFormat="false" ht="15" hidden="false" customHeight="false" outlineLevel="0" collapsed="false">
      <c r="A3" s="30" t="s">
        <v>908</v>
      </c>
    </row>
    <row r="4" customFormat="false" ht="15" hidden="false" customHeight="false" outlineLevel="0" collapsed="false">
      <c r="A4" s="30" t="s">
        <v>909</v>
      </c>
    </row>
    <row r="5" customFormat="false" ht="15" hidden="false" customHeight="false" outlineLevel="0" collapsed="false">
      <c r="A5" s="30" t="s">
        <v>910</v>
      </c>
    </row>
    <row r="6" customFormat="false" ht="15" hidden="false" customHeight="false" outlineLevel="0" collapsed="false">
      <c r="A6" s="30" t="s">
        <v>911</v>
      </c>
    </row>
    <row r="7" customFormat="false" ht="15" hidden="false" customHeight="false" outlineLevel="0" collapsed="false">
      <c r="A7" s="30" t="s">
        <v>912</v>
      </c>
    </row>
    <row r="8" customFormat="false" ht="15" hidden="false" customHeight="false" outlineLevel="0" collapsed="false">
      <c r="A8" s="30" t="s">
        <v>913</v>
      </c>
    </row>
    <row r="9" customFormat="false" ht="15" hidden="false" customHeight="false" outlineLevel="0" collapsed="false">
      <c r="A9" s="30" t="s">
        <v>914</v>
      </c>
    </row>
    <row r="10" customFormat="false" ht="15" hidden="false" customHeight="false" outlineLevel="0" collapsed="false">
      <c r="A10" s="30" t="s">
        <v>915</v>
      </c>
    </row>
    <row r="11" customFormat="false" ht="15" hidden="false" customHeight="false" outlineLevel="0" collapsed="false">
      <c r="A11" s="30" t="s">
        <v>916</v>
      </c>
    </row>
    <row r="12" customFormat="false" ht="15" hidden="false" customHeight="false" outlineLevel="0" collapsed="false">
      <c r="A12" s="30" t="s">
        <v>917</v>
      </c>
    </row>
    <row r="13" customFormat="false" ht="15" hidden="false" customHeight="false" outlineLevel="0" collapsed="false">
      <c r="A13" s="30" t="s">
        <v>918</v>
      </c>
    </row>
    <row r="14" customFormat="false" ht="15" hidden="false" customHeight="false" outlineLevel="0" collapsed="false">
      <c r="A14" s="30" t="s">
        <v>919</v>
      </c>
    </row>
    <row r="15" customFormat="false" ht="15" hidden="false" customHeight="false" outlineLevel="0" collapsed="false">
      <c r="A15" s="30" t="s">
        <v>920</v>
      </c>
    </row>
    <row r="16" customFormat="false" ht="15" hidden="false" customHeight="false" outlineLevel="0" collapsed="false">
      <c r="A16" s="30" t="s">
        <v>921</v>
      </c>
    </row>
    <row r="17" customFormat="false" ht="15" hidden="false" customHeight="false" outlineLevel="0" collapsed="false">
      <c r="A17" s="30" t="s">
        <v>922</v>
      </c>
    </row>
    <row r="18" customFormat="false" ht="15" hidden="false" customHeight="false" outlineLevel="0" collapsed="false">
      <c r="A18" s="30" t="s">
        <v>923</v>
      </c>
    </row>
    <row r="19" customFormat="false" ht="15" hidden="false" customHeight="false" outlineLevel="0" collapsed="false">
      <c r="A19" s="30" t="s">
        <v>924</v>
      </c>
    </row>
    <row r="20" customFormat="false" ht="15" hidden="false" customHeight="false" outlineLevel="0" collapsed="false">
      <c r="A20" s="30" t="s">
        <v>925</v>
      </c>
    </row>
    <row r="21" customFormat="false" ht="15" hidden="false" customHeight="false" outlineLevel="0" collapsed="false">
      <c r="A21" s="30" t="s">
        <v>926</v>
      </c>
    </row>
    <row r="22" customFormat="false" ht="15" hidden="false" customHeight="false" outlineLevel="0" collapsed="false">
      <c r="A22" s="30" t="s">
        <v>927</v>
      </c>
    </row>
    <row r="23" customFormat="false" ht="15" hidden="false" customHeight="false" outlineLevel="0" collapsed="false">
      <c r="A23" s="30" t="s">
        <v>928</v>
      </c>
    </row>
    <row r="24" customFormat="false" ht="15" hidden="false" customHeight="false" outlineLevel="0" collapsed="false">
      <c r="A24" s="30" t="s">
        <v>929</v>
      </c>
    </row>
    <row r="25" customFormat="false" ht="15" hidden="false" customHeight="false" outlineLevel="0" collapsed="false">
      <c r="A25" s="30" t="s">
        <v>930</v>
      </c>
    </row>
    <row r="26" customFormat="false" ht="15" hidden="false" customHeight="false" outlineLevel="0" collapsed="false">
      <c r="A26" s="30" t="s">
        <v>931</v>
      </c>
    </row>
    <row r="27" customFormat="false" ht="15" hidden="false" customHeight="false" outlineLevel="0" collapsed="false">
      <c r="A27" s="30" t="s">
        <v>932</v>
      </c>
    </row>
    <row r="28" customFormat="false" ht="15" hidden="false" customHeight="false" outlineLevel="0" collapsed="false">
      <c r="A28" s="30" t="s">
        <v>933</v>
      </c>
    </row>
    <row r="30" customFormat="false" ht="15" hidden="false" customHeight="false" outlineLevel="0" collapsed="false">
      <c r="A30" s="3" t="s">
        <v>934</v>
      </c>
    </row>
    <row r="31" customFormat="false" ht="23.85" hidden="false" customHeight="false" outlineLevel="0" collapsed="false">
      <c r="A31" s="4" t="s">
        <v>935</v>
      </c>
    </row>
    <row r="32" customFormat="false" ht="15" hidden="false" customHeight="false" outlineLevel="0" collapsed="false">
      <c r="A32" s="4" t="s">
        <v>936</v>
      </c>
    </row>
    <row r="33" customFormat="false" ht="15" hidden="false" customHeight="false" outlineLevel="0" collapsed="false">
      <c r="A33" s="4" t="s">
        <v>937</v>
      </c>
    </row>
    <row r="34" customFormat="false" ht="15" hidden="false" customHeight="false" outlineLevel="0" collapsed="false">
      <c r="A34" s="4" t="s">
        <v>938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3" t="s">
        <v>939</v>
      </c>
    </row>
    <row r="3" customFormat="false" ht="15" hidden="false" customHeight="false" outlineLevel="0" collapsed="false">
      <c r="A3" s="30" t="s">
        <v>940</v>
      </c>
    </row>
    <row r="4" customFormat="false" ht="15" hidden="false" customHeight="false" outlineLevel="0" collapsed="false">
      <c r="A4" s="30" t="s">
        <v>941</v>
      </c>
    </row>
    <row r="5" customFormat="false" ht="15" hidden="false" customHeight="false" outlineLevel="0" collapsed="false">
      <c r="A5" s="30" t="s">
        <v>942</v>
      </c>
    </row>
    <row r="6" customFormat="false" ht="15" hidden="false" customHeight="false" outlineLevel="0" collapsed="false">
      <c r="A6" s="30" t="s">
        <v>943</v>
      </c>
    </row>
    <row r="7" customFormat="false" ht="15" hidden="false" customHeight="false" outlineLevel="0" collapsed="false">
      <c r="A7" s="30" t="s">
        <v>944</v>
      </c>
    </row>
    <row r="8" customFormat="false" ht="15" hidden="false" customHeight="false" outlineLevel="0" collapsed="false">
      <c r="A8" s="30" t="s">
        <v>945</v>
      </c>
    </row>
    <row r="9" customFormat="false" ht="15" hidden="false" customHeight="false" outlineLevel="0" collapsed="false">
      <c r="A9" s="30" t="s">
        <v>946</v>
      </c>
    </row>
    <row r="10" customFormat="false" ht="15" hidden="false" customHeight="false" outlineLevel="0" collapsed="false">
      <c r="A10" s="30" t="s">
        <v>947</v>
      </c>
    </row>
    <row r="11" customFormat="false" ht="15" hidden="false" customHeight="false" outlineLevel="0" collapsed="false">
      <c r="A11" s="30" t="s">
        <v>948</v>
      </c>
    </row>
    <row r="12" customFormat="false" ht="15" hidden="false" customHeight="false" outlineLevel="0" collapsed="false">
      <c r="A12" s="30" t="s">
        <v>949</v>
      </c>
    </row>
    <row r="13" customFormat="false" ht="15" hidden="false" customHeight="false" outlineLevel="0" collapsed="false">
      <c r="A13" s="30" t="s">
        <v>950</v>
      </c>
    </row>
    <row r="14" customFormat="false" ht="15" hidden="false" customHeight="false" outlineLevel="0" collapsed="false">
      <c r="A14" s="30" t="s">
        <v>951</v>
      </c>
    </row>
    <row r="15" customFormat="false" ht="15" hidden="false" customHeight="false" outlineLevel="0" collapsed="false">
      <c r="A15" s="30" t="s">
        <v>952</v>
      </c>
    </row>
    <row r="16" customFormat="false" ht="15" hidden="false" customHeight="false" outlineLevel="0" collapsed="false">
      <c r="A16" s="30" t="s">
        <v>953</v>
      </c>
    </row>
    <row r="17" customFormat="false" ht="15" hidden="false" customHeight="false" outlineLevel="0" collapsed="false">
      <c r="A17" s="30" t="s">
        <v>954</v>
      </c>
    </row>
    <row r="18" customFormat="false" ht="15" hidden="false" customHeight="false" outlineLevel="0" collapsed="false">
      <c r="A18" s="30" t="s">
        <v>955</v>
      </c>
    </row>
    <row r="19" customFormat="false" ht="15" hidden="false" customHeight="false" outlineLevel="0" collapsed="false">
      <c r="A19" s="30" t="s">
        <v>956</v>
      </c>
    </row>
    <row r="20" customFormat="false" ht="15" hidden="false" customHeight="false" outlineLevel="0" collapsed="false">
      <c r="A20" s="30" t="s">
        <v>957</v>
      </c>
    </row>
    <row r="21" customFormat="false" ht="15" hidden="false" customHeight="false" outlineLevel="0" collapsed="false">
      <c r="A21" s="30" t="s">
        <v>958</v>
      </c>
    </row>
    <row r="22" customFormat="false" ht="15" hidden="false" customHeight="false" outlineLevel="0" collapsed="false">
      <c r="A22" s="30" t="s">
        <v>959</v>
      </c>
    </row>
    <row r="23" customFormat="false" ht="15" hidden="false" customHeight="false" outlineLevel="0" collapsed="false">
      <c r="A23" s="30" t="s">
        <v>960</v>
      </c>
    </row>
    <row r="24" customFormat="false" ht="15" hidden="false" customHeight="false" outlineLevel="0" collapsed="false">
      <c r="A24" s="30" t="s">
        <v>961</v>
      </c>
    </row>
    <row r="25" customFormat="false" ht="15" hidden="false" customHeight="false" outlineLevel="0" collapsed="false">
      <c r="A25" s="30" t="s">
        <v>962</v>
      </c>
    </row>
    <row r="26" customFormat="false" ht="15" hidden="false" customHeight="false" outlineLevel="0" collapsed="false">
      <c r="A26" s="30" t="s">
        <v>963</v>
      </c>
    </row>
    <row r="27" customFormat="false" ht="15" hidden="false" customHeight="false" outlineLevel="0" collapsed="false">
      <c r="A27" s="30" t="s">
        <v>964</v>
      </c>
    </row>
    <row r="28" customFormat="false" ht="15" hidden="false" customHeight="false" outlineLevel="0" collapsed="false">
      <c r="A28" s="30" t="s">
        <v>965</v>
      </c>
    </row>
    <row r="29" customFormat="false" ht="15" hidden="false" customHeight="false" outlineLevel="0" collapsed="false">
      <c r="A29" s="30" t="s">
        <v>966</v>
      </c>
    </row>
    <row r="30" customFormat="false" ht="15" hidden="false" customHeight="false" outlineLevel="0" collapsed="false">
      <c r="A30" s="30" t="s">
        <v>967</v>
      </c>
    </row>
    <row r="31" customFormat="false" ht="15" hidden="false" customHeight="false" outlineLevel="0" collapsed="false">
      <c r="A31" s="30" t="s">
        <v>963</v>
      </c>
    </row>
    <row r="32" customFormat="false" ht="15" hidden="false" customHeight="false" outlineLevel="0" collapsed="false">
      <c r="A32" s="30" t="s">
        <v>968</v>
      </c>
    </row>
    <row r="33" customFormat="false" ht="15" hidden="false" customHeight="false" outlineLevel="0" collapsed="false">
      <c r="A33" s="30" t="s">
        <v>965</v>
      </c>
    </row>
    <row r="34" customFormat="false" ht="15" hidden="false" customHeight="false" outlineLevel="0" collapsed="false">
      <c r="A34" s="30" t="s">
        <v>966</v>
      </c>
    </row>
    <row r="35" customFormat="false" ht="15" hidden="false" customHeight="false" outlineLevel="0" collapsed="false">
      <c r="A35" s="30" t="s">
        <v>969</v>
      </c>
    </row>
    <row r="36" customFormat="false" ht="15" hidden="false" customHeight="false" outlineLevel="0" collapsed="false">
      <c r="A36" s="30" t="s">
        <v>963</v>
      </c>
    </row>
    <row r="37" customFormat="false" ht="15" hidden="false" customHeight="false" outlineLevel="0" collapsed="false">
      <c r="A37" s="30" t="s">
        <v>970</v>
      </c>
    </row>
    <row r="38" customFormat="false" ht="15" hidden="false" customHeight="false" outlineLevel="0" collapsed="false">
      <c r="A38" s="30" t="s">
        <v>971</v>
      </c>
    </row>
    <row r="39" customFormat="false" ht="15" hidden="false" customHeight="false" outlineLevel="0" collapsed="false">
      <c r="A39" s="30" t="s">
        <v>966</v>
      </c>
    </row>
    <row r="40" customFormat="false" ht="15" hidden="false" customHeight="false" outlineLevel="0" collapsed="false">
      <c r="A40" s="30" t="s">
        <v>972</v>
      </c>
    </row>
    <row r="41" customFormat="false" ht="15" hidden="false" customHeight="false" outlineLevel="0" collapsed="false">
      <c r="A41" s="30" t="s">
        <v>963</v>
      </c>
    </row>
    <row r="42" customFormat="false" ht="15" hidden="false" customHeight="false" outlineLevel="0" collapsed="false">
      <c r="A42" s="30" t="s">
        <v>973</v>
      </c>
    </row>
    <row r="43" customFormat="false" ht="15" hidden="false" customHeight="false" outlineLevel="0" collapsed="false">
      <c r="A43" s="30" t="s">
        <v>965</v>
      </c>
    </row>
    <row r="44" customFormat="false" ht="15" hidden="false" customHeight="false" outlineLevel="0" collapsed="false">
      <c r="A44" s="30" t="s">
        <v>974</v>
      </c>
    </row>
    <row r="45" customFormat="false" ht="15" hidden="false" customHeight="false" outlineLevel="0" collapsed="false">
      <c r="A45" s="30" t="s">
        <v>975</v>
      </c>
    </row>
    <row r="46" customFormat="false" ht="15" hidden="false" customHeight="false" outlineLevel="0" collapsed="false">
      <c r="A46" s="30" t="s">
        <v>976</v>
      </c>
    </row>
    <row r="47" customFormat="false" ht="15" hidden="false" customHeight="false" outlineLevel="0" collapsed="false">
      <c r="A47" s="30" t="s">
        <v>977</v>
      </c>
    </row>
    <row r="48" customFormat="false" ht="15" hidden="false" customHeight="false" outlineLevel="0" collapsed="false">
      <c r="A48" s="30" t="s">
        <v>978</v>
      </c>
    </row>
    <row r="49" customFormat="false" ht="15" hidden="false" customHeight="false" outlineLevel="0" collapsed="false">
      <c r="A49" s="30" t="s">
        <v>979</v>
      </c>
    </row>
    <row r="50" customFormat="false" ht="15" hidden="false" customHeight="false" outlineLevel="0" collapsed="false">
      <c r="A50" s="30" t="s">
        <v>980</v>
      </c>
    </row>
    <row r="51" customFormat="false" ht="15" hidden="false" customHeight="false" outlineLevel="0" collapsed="false">
      <c r="A51" s="30" t="s">
        <v>981</v>
      </c>
    </row>
    <row r="52" customFormat="false" ht="15" hidden="false" customHeight="false" outlineLevel="0" collapsed="false">
      <c r="A52" s="30" t="s">
        <v>982</v>
      </c>
    </row>
    <row r="53" customFormat="false" ht="15" hidden="false" customHeight="false" outlineLevel="0" collapsed="false">
      <c r="A53" s="30" t="s">
        <v>983</v>
      </c>
    </row>
    <row r="54" customFormat="false" ht="15" hidden="false" customHeight="false" outlineLevel="0" collapsed="false">
      <c r="A54" s="30" t="s">
        <v>984</v>
      </c>
    </row>
    <row r="55" customFormat="false" ht="15" hidden="false" customHeight="false" outlineLevel="0" collapsed="false">
      <c r="A55" s="30" t="s">
        <v>985</v>
      </c>
    </row>
    <row r="56" customFormat="false" ht="15" hidden="false" customHeight="false" outlineLevel="0" collapsed="false">
      <c r="A56" s="30" t="s">
        <v>986</v>
      </c>
    </row>
    <row r="57" customFormat="false" ht="15" hidden="false" customHeight="false" outlineLevel="0" collapsed="false">
      <c r="A57" s="30" t="s">
        <v>987</v>
      </c>
    </row>
    <row r="58" customFormat="false" ht="15" hidden="false" customHeight="false" outlineLevel="0" collapsed="false">
      <c r="A58" s="30" t="s">
        <v>988</v>
      </c>
    </row>
    <row r="59" customFormat="false" ht="15" hidden="false" customHeight="false" outlineLevel="0" collapsed="false">
      <c r="A59" s="30" t="s">
        <v>989</v>
      </c>
    </row>
    <row r="60" customFormat="false" ht="15" hidden="false" customHeight="false" outlineLevel="0" collapsed="false">
      <c r="A60" s="30" t="s">
        <v>980</v>
      </c>
    </row>
    <row r="61" customFormat="false" ht="15" hidden="false" customHeight="false" outlineLevel="0" collapsed="false">
      <c r="A61" s="30" t="s">
        <v>990</v>
      </c>
    </row>
    <row r="62" customFormat="false" ht="15" hidden="false" customHeight="false" outlineLevel="0" collapsed="false">
      <c r="A62" s="30" t="s">
        <v>981</v>
      </c>
    </row>
    <row r="63" customFormat="false" ht="15" hidden="false" customHeight="false" outlineLevel="0" collapsed="false">
      <c r="A63" s="30" t="s">
        <v>982</v>
      </c>
    </row>
    <row r="64" customFormat="false" ht="15" hidden="false" customHeight="false" outlineLevel="0" collapsed="false">
      <c r="A64" s="30" t="s">
        <v>991</v>
      </c>
    </row>
    <row r="65" customFormat="false" ht="15" hidden="false" customHeight="false" outlineLevel="0" collapsed="false">
      <c r="A65" s="30" t="s">
        <v>984</v>
      </c>
    </row>
    <row r="66" customFormat="false" ht="15" hidden="false" customHeight="false" outlineLevel="0" collapsed="false">
      <c r="A66" s="30" t="s">
        <v>985</v>
      </c>
    </row>
    <row r="67" customFormat="false" ht="15" hidden="false" customHeight="false" outlineLevel="0" collapsed="false">
      <c r="A67" s="30" t="s">
        <v>992</v>
      </c>
    </row>
    <row r="68" customFormat="false" ht="15" hidden="false" customHeight="false" outlineLevel="0" collapsed="false">
      <c r="A68" s="30" t="s">
        <v>987</v>
      </c>
    </row>
    <row r="69" customFormat="false" ht="15" hidden="false" customHeight="false" outlineLevel="0" collapsed="false">
      <c r="A69" s="30" t="s">
        <v>988</v>
      </c>
    </row>
    <row r="70" customFormat="false" ht="15" hidden="false" customHeight="false" outlineLevel="0" collapsed="false">
      <c r="A70" s="30" t="s">
        <v>993</v>
      </c>
    </row>
    <row r="71" customFormat="false" ht="15" hidden="false" customHeight="false" outlineLevel="0" collapsed="false">
      <c r="A71" s="30" t="s">
        <v>980</v>
      </c>
    </row>
    <row r="72" customFormat="false" ht="15" hidden="false" customHeight="false" outlineLevel="0" collapsed="false">
      <c r="A72" s="30" t="s">
        <v>994</v>
      </c>
    </row>
    <row r="73" customFormat="false" ht="15" hidden="false" customHeight="false" outlineLevel="0" collapsed="false">
      <c r="A73" s="30" t="s">
        <v>982</v>
      </c>
    </row>
    <row r="74" customFormat="false" ht="15" hidden="false" customHeight="false" outlineLevel="0" collapsed="false">
      <c r="A74" s="30" t="s">
        <v>995</v>
      </c>
    </row>
    <row r="75" customFormat="false" ht="15" hidden="false" customHeight="false" outlineLevel="0" collapsed="false">
      <c r="A75" s="30" t="s">
        <v>984</v>
      </c>
    </row>
    <row r="76" customFormat="false" ht="15" hidden="false" customHeight="false" outlineLevel="0" collapsed="false">
      <c r="A76" s="30" t="s">
        <v>996</v>
      </c>
    </row>
    <row r="77" customFormat="false" ht="15" hidden="false" customHeight="false" outlineLevel="0" collapsed="false">
      <c r="A77" s="30" t="s">
        <v>987</v>
      </c>
    </row>
    <row r="78" customFormat="false" ht="15" hidden="false" customHeight="false" outlineLevel="0" collapsed="false">
      <c r="A78" s="30" t="s">
        <v>997</v>
      </c>
    </row>
    <row r="79" customFormat="false" ht="15" hidden="false" customHeight="false" outlineLevel="0" collapsed="false">
      <c r="A79" s="30" t="s">
        <v>998</v>
      </c>
    </row>
    <row r="80" customFormat="false" ht="15" hidden="false" customHeight="false" outlineLevel="0" collapsed="false">
      <c r="A80" s="30" t="s">
        <v>966</v>
      </c>
    </row>
    <row r="81" customFormat="false" ht="15" hidden="false" customHeight="false" outlineLevel="0" collapsed="false">
      <c r="A81" s="30" t="s">
        <v>999</v>
      </c>
    </row>
    <row r="82" customFormat="false" ht="15" hidden="false" customHeight="false" outlineLevel="0" collapsed="false">
      <c r="A82" s="30" t="s">
        <v>978</v>
      </c>
    </row>
    <row r="83" customFormat="false" ht="15" hidden="false" customHeight="false" outlineLevel="0" collapsed="false">
      <c r="A83" s="30" t="s">
        <v>979</v>
      </c>
    </row>
    <row r="84" customFormat="false" ht="15" hidden="false" customHeight="false" outlineLevel="0" collapsed="false">
      <c r="A84" s="30" t="s">
        <v>980</v>
      </c>
    </row>
    <row r="85" customFormat="false" ht="15" hidden="false" customHeight="false" outlineLevel="0" collapsed="false">
      <c r="A85" s="30" t="s">
        <v>981</v>
      </c>
    </row>
    <row r="86" customFormat="false" ht="15" hidden="false" customHeight="false" outlineLevel="0" collapsed="false">
      <c r="A86" s="30" t="s">
        <v>982</v>
      </c>
    </row>
    <row r="87" customFormat="false" ht="15" hidden="false" customHeight="false" outlineLevel="0" collapsed="false">
      <c r="A87" s="30" t="s">
        <v>995</v>
      </c>
    </row>
    <row r="88" customFormat="false" ht="15" hidden="false" customHeight="false" outlineLevel="0" collapsed="false">
      <c r="A88" s="30" t="s">
        <v>984</v>
      </c>
    </row>
    <row r="89" customFormat="false" ht="15" hidden="false" customHeight="false" outlineLevel="0" collapsed="false">
      <c r="A89" s="30" t="s">
        <v>985</v>
      </c>
    </row>
    <row r="90" customFormat="false" ht="15" hidden="false" customHeight="false" outlineLevel="0" collapsed="false">
      <c r="A90" s="30" t="s">
        <v>986</v>
      </c>
    </row>
    <row r="91" customFormat="false" ht="15" hidden="false" customHeight="false" outlineLevel="0" collapsed="false">
      <c r="A91" s="30" t="s">
        <v>987</v>
      </c>
    </row>
    <row r="92" customFormat="false" ht="15" hidden="false" customHeight="false" outlineLevel="0" collapsed="false">
      <c r="A92" s="30" t="s">
        <v>997</v>
      </c>
    </row>
    <row r="93" customFormat="false" ht="15" hidden="false" customHeight="false" outlineLevel="0" collapsed="false">
      <c r="A93" s="30" t="s">
        <v>998</v>
      </c>
    </row>
    <row r="94" customFormat="false" ht="15" hidden="false" customHeight="false" outlineLevel="0" collapsed="false">
      <c r="A94" s="30" t="s">
        <v>974</v>
      </c>
    </row>
    <row r="95" customFormat="false" ht="15" hidden="false" customHeight="false" outlineLevel="0" collapsed="false">
      <c r="A95" s="30" t="s">
        <v>1000</v>
      </c>
    </row>
    <row r="96" customFormat="false" ht="15" hidden="false" customHeight="false" outlineLevel="0" collapsed="false">
      <c r="A96" s="30" t="s">
        <v>1001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80"/>
  </cols>
  <sheetData>
    <row r="2" customFormat="false" ht="30" hidden="false" customHeight="true" outlineLevel="0" collapsed="false">
      <c r="A2" s="6" t="s">
        <v>1002</v>
      </c>
      <c r="B2" s="6" t="s">
        <v>1003</v>
      </c>
      <c r="C2" s="6" t="s">
        <v>601</v>
      </c>
    </row>
    <row r="3" customFormat="false" ht="15" hidden="false" customHeight="false" outlineLevel="0" collapsed="false">
      <c r="A3" s="5" t="s">
        <v>1004</v>
      </c>
      <c r="B3" s="31" t="n">
        <v>46289</v>
      </c>
      <c r="C3" s="7" t="s">
        <v>1005</v>
      </c>
    </row>
    <row r="4" customFormat="false" ht="15" hidden="false" customHeight="false" outlineLevel="0" collapsed="false">
      <c r="A4" s="5" t="s">
        <v>1006</v>
      </c>
      <c r="B4" s="32" t="n">
        <v>-0.25</v>
      </c>
      <c r="C4" s="7" t="s">
        <v>1007</v>
      </c>
    </row>
    <row r="5" customFormat="false" ht="15" hidden="false" customHeight="false" outlineLevel="0" collapsed="false">
      <c r="A5" s="5" t="s">
        <v>1008</v>
      </c>
      <c r="B5" s="33" t="n">
        <v>0.9</v>
      </c>
      <c r="C5" s="7" t="s">
        <v>1009</v>
      </c>
    </row>
    <row r="6" customFormat="false" ht="15" hidden="false" customHeight="false" outlineLevel="0" collapsed="false">
      <c r="A6" s="5" t="s">
        <v>1010</v>
      </c>
      <c r="B6" s="33" t="n">
        <v>0.75</v>
      </c>
      <c r="C6" s="7" t="s">
        <v>1011</v>
      </c>
    </row>
    <row r="7" customFormat="false" ht="15" hidden="false" customHeight="false" outlineLevel="0" collapsed="false">
      <c r="A7" s="5" t="s">
        <v>1012</v>
      </c>
      <c r="B7" s="31" t="n">
        <v>46143</v>
      </c>
      <c r="C7" s="7" t="s">
        <v>1013</v>
      </c>
    </row>
    <row r="8" customFormat="false" ht="15" hidden="false" customHeight="false" outlineLevel="0" collapsed="false">
      <c r="A8" s="5" t="s">
        <v>1014</v>
      </c>
      <c r="B8" s="31" t="n">
        <v>46387</v>
      </c>
      <c r="C8" s="7" t="s">
        <v>1015</v>
      </c>
    </row>
    <row r="9" customFormat="false" ht="15" hidden="false" customHeight="false" outlineLevel="0" collapsed="false">
      <c r="A9" s="5" t="s">
        <v>1016</v>
      </c>
      <c r="B9" s="34" t="n">
        <v>30.4</v>
      </c>
      <c r="C9" s="7" t="s">
        <v>1017</v>
      </c>
    </row>
    <row r="10" customFormat="false" ht="15" hidden="false" customHeight="false" outlineLevel="0" collapsed="false">
      <c r="A10" s="5" t="s">
        <v>1018</v>
      </c>
      <c r="B10" s="31" t="n">
        <v>46310</v>
      </c>
      <c r="C10" s="7" t="s">
        <v>1019</v>
      </c>
    </row>
    <row r="13" customFormat="false" ht="15" hidden="false" customHeight="false" outlineLevel="0" collapsed="false">
      <c r="A13" s="15" t="s">
        <v>1020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0"/>
    <col collapsed="false" customWidth="true" hidden="false" outlineLevel="0" max="3" min="3" style="0" width="12"/>
  </cols>
  <sheetData>
    <row r="1" customFormat="false" ht="30" hidden="false" customHeight="true" outlineLevel="0" collapsed="false">
      <c r="A1" s="6" t="s">
        <v>45</v>
      </c>
      <c r="B1" s="6" t="s">
        <v>37</v>
      </c>
      <c r="C1" s="6" t="s">
        <v>1021</v>
      </c>
    </row>
    <row r="2" customFormat="false" ht="15" hidden="false" customHeight="false" outlineLevel="0" collapsed="false">
      <c r="A2" s="7" t="s">
        <v>166</v>
      </c>
      <c r="B2" s="10" t="s">
        <v>586</v>
      </c>
      <c r="C2" s="7" t="n">
        <f aca="false">MATCH(B2,dFrenteLista!$A$2:$A$11,0)</f>
        <v>7</v>
      </c>
    </row>
    <row r="3" customFormat="false" ht="15" hidden="false" customHeight="false" outlineLevel="0" collapsed="false">
      <c r="A3" s="7" t="s">
        <v>159</v>
      </c>
      <c r="B3" s="10" t="s">
        <v>586</v>
      </c>
      <c r="C3" s="7" t="n">
        <f aca="false">MATCH(B3,dFrenteLista!$A$2:$A$11,0)</f>
        <v>7</v>
      </c>
    </row>
    <row r="4" customFormat="false" ht="15" hidden="false" customHeight="false" outlineLevel="0" collapsed="false">
      <c r="A4" s="7" t="s">
        <v>169</v>
      </c>
      <c r="B4" s="10" t="s">
        <v>586</v>
      </c>
      <c r="C4" s="7" t="n">
        <f aca="false">MATCH(B4,dFrenteLista!$A$2:$A$11,0)</f>
        <v>7</v>
      </c>
    </row>
    <row r="5" customFormat="false" ht="15" hidden="false" customHeight="false" outlineLevel="0" collapsed="false">
      <c r="A5" s="7" t="s">
        <v>478</v>
      </c>
      <c r="B5" s="10" t="s">
        <v>586</v>
      </c>
      <c r="C5" s="7" t="n">
        <f aca="false">MATCH(B5,dFrenteLista!$A$2:$A$11,0)</f>
        <v>7</v>
      </c>
    </row>
    <row r="6" customFormat="false" ht="15" hidden="false" customHeight="false" outlineLevel="0" collapsed="false">
      <c r="A6" s="7" t="s">
        <v>174</v>
      </c>
      <c r="B6" s="10" t="s">
        <v>586</v>
      </c>
      <c r="C6" s="7" t="n">
        <f aca="false">MATCH(B6,dFrenteLista!$A$2:$A$11,0)</f>
        <v>7</v>
      </c>
    </row>
    <row r="7" customFormat="false" ht="15" hidden="false" customHeight="false" outlineLevel="0" collapsed="false">
      <c r="A7" s="7" t="s">
        <v>154</v>
      </c>
      <c r="B7" s="10" t="s">
        <v>586</v>
      </c>
      <c r="C7" s="7" t="n">
        <f aca="false">MATCH(B7,dFrenteLista!$A$2:$A$11,0)</f>
        <v>7</v>
      </c>
    </row>
    <row r="8" customFormat="false" ht="15" hidden="false" customHeight="false" outlineLevel="0" collapsed="false">
      <c r="A8" s="7" t="s">
        <v>164</v>
      </c>
      <c r="B8" s="10" t="s">
        <v>586</v>
      </c>
      <c r="C8" s="7" t="n">
        <f aca="false">MATCH(B8,dFrenteLista!$A$2:$A$11,0)</f>
        <v>7</v>
      </c>
    </row>
    <row r="9" customFormat="false" ht="15" hidden="false" customHeight="false" outlineLevel="0" collapsed="false">
      <c r="A9" s="7" t="s">
        <v>494</v>
      </c>
      <c r="B9" s="10" t="s">
        <v>582</v>
      </c>
      <c r="C9" s="7" t="n">
        <f aca="false">MATCH(B9,dFrenteLista!$A$2:$A$11,0)</f>
        <v>3</v>
      </c>
    </row>
    <row r="10" customFormat="false" ht="15" hidden="false" customHeight="false" outlineLevel="0" collapsed="false">
      <c r="A10" s="7" t="s">
        <v>311</v>
      </c>
      <c r="B10" s="10" t="s">
        <v>582</v>
      </c>
      <c r="C10" s="7" t="n">
        <f aca="false">MATCH(B10,dFrenteLista!$A$2:$A$11,0)</f>
        <v>3</v>
      </c>
    </row>
    <row r="11" customFormat="false" ht="15" hidden="false" customHeight="false" outlineLevel="0" collapsed="false">
      <c r="A11" s="7" t="s">
        <v>377</v>
      </c>
      <c r="B11" s="10" t="s">
        <v>582</v>
      </c>
      <c r="C11" s="7" t="n">
        <f aca="false">MATCH(B11,dFrenteLista!$A$2:$A$11,0)</f>
        <v>3</v>
      </c>
    </row>
    <row r="12" customFormat="false" ht="15" hidden="false" customHeight="false" outlineLevel="0" collapsed="false">
      <c r="A12" s="7" t="s">
        <v>331</v>
      </c>
      <c r="B12" s="10" t="s">
        <v>582</v>
      </c>
      <c r="C12" s="7" t="n">
        <f aca="false">MATCH(B12,dFrenteLista!$A$2:$A$11,0)</f>
        <v>3</v>
      </c>
    </row>
    <row r="13" customFormat="false" ht="15" hidden="false" customHeight="false" outlineLevel="0" collapsed="false">
      <c r="A13" s="7" t="s">
        <v>488</v>
      </c>
      <c r="B13" s="10" t="s">
        <v>582</v>
      </c>
      <c r="C13" s="7" t="n">
        <f aca="false">MATCH(B13,dFrenteLista!$A$2:$A$11,0)</f>
        <v>3</v>
      </c>
    </row>
    <row r="14" customFormat="false" ht="15" hidden="false" customHeight="false" outlineLevel="0" collapsed="false">
      <c r="A14" s="7" t="s">
        <v>394</v>
      </c>
      <c r="B14" s="10" t="s">
        <v>582</v>
      </c>
      <c r="C14" s="7" t="n">
        <f aca="false">MATCH(B14,dFrenteLista!$A$2:$A$11,0)</f>
        <v>3</v>
      </c>
    </row>
    <row r="15" customFormat="false" ht="15" hidden="false" customHeight="false" outlineLevel="0" collapsed="false">
      <c r="A15" s="7" t="s">
        <v>491</v>
      </c>
      <c r="B15" s="10" t="s">
        <v>582</v>
      </c>
      <c r="C15" s="7" t="n">
        <f aca="false">MATCH(B15,dFrenteLista!$A$2:$A$11,0)</f>
        <v>3</v>
      </c>
    </row>
    <row r="16" customFormat="false" ht="15" hidden="false" customHeight="false" outlineLevel="0" collapsed="false">
      <c r="A16" s="7" t="s">
        <v>391</v>
      </c>
      <c r="B16" s="10" t="s">
        <v>582</v>
      </c>
      <c r="C16" s="7" t="n">
        <f aca="false">MATCH(B16,dFrenteLista!$A$2:$A$11,0)</f>
        <v>3</v>
      </c>
    </row>
    <row r="17" customFormat="false" ht="15" hidden="false" customHeight="false" outlineLevel="0" collapsed="false">
      <c r="A17" s="7" t="s">
        <v>294</v>
      </c>
      <c r="B17" s="10" t="s">
        <v>581</v>
      </c>
      <c r="C17" s="7" t="n">
        <f aca="false">MATCH(B17,dFrenteLista!$A$2:$A$11,0)</f>
        <v>2</v>
      </c>
    </row>
    <row r="18" customFormat="false" ht="15" hidden="false" customHeight="false" outlineLevel="0" collapsed="false">
      <c r="A18" s="7" t="s">
        <v>149</v>
      </c>
      <c r="B18" s="10" t="s">
        <v>581</v>
      </c>
      <c r="C18" s="7" t="n">
        <f aca="false">MATCH(B18,dFrenteLista!$A$2:$A$11,0)</f>
        <v>2</v>
      </c>
    </row>
    <row r="19" customFormat="false" ht="15" hidden="false" customHeight="false" outlineLevel="0" collapsed="false">
      <c r="A19" s="7" t="s">
        <v>278</v>
      </c>
      <c r="B19" s="10" t="s">
        <v>581</v>
      </c>
      <c r="C19" s="7" t="n">
        <f aca="false">MATCH(B19,dFrenteLista!$A$2:$A$11,0)</f>
        <v>2</v>
      </c>
    </row>
    <row r="20" customFormat="false" ht="15" hidden="false" customHeight="false" outlineLevel="0" collapsed="false">
      <c r="A20" s="7" t="s">
        <v>297</v>
      </c>
      <c r="B20" s="10" t="s">
        <v>581</v>
      </c>
      <c r="C20" s="7" t="n">
        <f aca="false">MATCH(B20,dFrenteLista!$A$2:$A$11,0)</f>
        <v>2</v>
      </c>
    </row>
    <row r="21" customFormat="false" ht="15" hidden="false" customHeight="false" outlineLevel="0" collapsed="false">
      <c r="A21" s="7" t="s">
        <v>482</v>
      </c>
      <c r="B21" s="10" t="s">
        <v>581</v>
      </c>
      <c r="C21" s="7" t="n">
        <f aca="false">MATCH(B21,dFrenteLista!$A$2:$A$11,0)</f>
        <v>2</v>
      </c>
    </row>
    <row r="22" customFormat="false" ht="15" hidden="false" customHeight="false" outlineLevel="0" collapsed="false">
      <c r="A22" s="7" t="s">
        <v>291</v>
      </c>
      <c r="B22" s="10" t="s">
        <v>581</v>
      </c>
      <c r="C22" s="7" t="n">
        <f aca="false">MATCH(B22,dFrenteLista!$A$2:$A$11,0)</f>
        <v>2</v>
      </c>
    </row>
    <row r="23" customFormat="false" ht="15" hidden="false" customHeight="false" outlineLevel="0" collapsed="false">
      <c r="A23" s="7" t="s">
        <v>229</v>
      </c>
      <c r="B23" s="10" t="s">
        <v>581</v>
      </c>
      <c r="C23" s="7" t="n">
        <f aca="false">MATCH(B23,dFrenteLista!$A$2:$A$11,0)</f>
        <v>2</v>
      </c>
    </row>
    <row r="24" customFormat="false" ht="15" hidden="false" customHeight="false" outlineLevel="0" collapsed="false">
      <c r="A24" s="7" t="s">
        <v>209</v>
      </c>
      <c r="B24" s="10" t="s">
        <v>581</v>
      </c>
      <c r="C24" s="7" t="n">
        <f aca="false">MATCH(B24,dFrenteLista!$A$2:$A$11,0)</f>
        <v>2</v>
      </c>
    </row>
    <row r="25" customFormat="false" ht="15" hidden="false" customHeight="false" outlineLevel="0" collapsed="false">
      <c r="A25" s="7" t="s">
        <v>213</v>
      </c>
      <c r="B25" s="10" t="s">
        <v>581</v>
      </c>
      <c r="C25" s="7" t="n">
        <f aca="false">MATCH(B25,dFrenteLista!$A$2:$A$11,0)</f>
        <v>2</v>
      </c>
    </row>
    <row r="26" customFormat="false" ht="15" hidden="false" customHeight="false" outlineLevel="0" collapsed="false">
      <c r="A26" s="7" t="s">
        <v>287</v>
      </c>
      <c r="B26" s="10" t="s">
        <v>581</v>
      </c>
      <c r="C26" s="7" t="n">
        <f aca="false">MATCH(B26,dFrenteLista!$A$2:$A$11,0)</f>
        <v>2</v>
      </c>
    </row>
    <row r="27" customFormat="false" ht="15" hidden="false" customHeight="false" outlineLevel="0" collapsed="false">
      <c r="A27" s="7" t="s">
        <v>216</v>
      </c>
      <c r="B27" s="10" t="s">
        <v>581</v>
      </c>
      <c r="C27" s="7" t="n">
        <f aca="false">MATCH(B27,dFrenteLista!$A$2:$A$11,0)</f>
        <v>2</v>
      </c>
    </row>
    <row r="28" customFormat="false" ht="15" hidden="false" customHeight="false" outlineLevel="0" collapsed="false">
      <c r="A28" s="7" t="s">
        <v>274</v>
      </c>
      <c r="B28" s="10" t="s">
        <v>587</v>
      </c>
      <c r="C28" s="7" t="n">
        <f aca="false">MATCH(B28,dFrenteLista!$A$2:$A$11,0)</f>
        <v>8</v>
      </c>
    </row>
    <row r="29" customFormat="false" ht="15" hidden="false" customHeight="false" outlineLevel="0" collapsed="false">
      <c r="A29" s="7" t="s">
        <v>266</v>
      </c>
      <c r="B29" s="10" t="s">
        <v>587</v>
      </c>
      <c r="C29" s="7" t="n">
        <f aca="false">MATCH(B29,dFrenteLista!$A$2:$A$11,0)</f>
        <v>8</v>
      </c>
    </row>
    <row r="30" customFormat="false" ht="15" hidden="false" customHeight="false" outlineLevel="0" collapsed="false">
      <c r="A30" s="7" t="s">
        <v>270</v>
      </c>
      <c r="B30" s="10" t="s">
        <v>587</v>
      </c>
      <c r="C30" s="7" t="n">
        <f aca="false">MATCH(B30,dFrenteLista!$A$2:$A$11,0)</f>
        <v>8</v>
      </c>
    </row>
    <row r="31" customFormat="false" ht="15" hidden="false" customHeight="false" outlineLevel="0" collapsed="false">
      <c r="A31" s="7" t="s">
        <v>240</v>
      </c>
      <c r="B31" s="10" t="s">
        <v>587</v>
      </c>
      <c r="C31" s="7" t="n">
        <f aca="false">MATCH(B31,dFrenteLista!$A$2:$A$11,0)</f>
        <v>8</v>
      </c>
    </row>
    <row r="32" customFormat="false" ht="15" hidden="false" customHeight="false" outlineLevel="0" collapsed="false">
      <c r="A32" s="7" t="s">
        <v>247</v>
      </c>
      <c r="B32" s="10" t="s">
        <v>587</v>
      </c>
      <c r="C32" s="7" t="n">
        <f aca="false">MATCH(B32,dFrenteLista!$A$2:$A$11,0)</f>
        <v>8</v>
      </c>
    </row>
    <row r="33" customFormat="false" ht="15" hidden="false" customHeight="false" outlineLevel="0" collapsed="false">
      <c r="A33" s="7" t="s">
        <v>256</v>
      </c>
      <c r="B33" s="10" t="s">
        <v>587</v>
      </c>
      <c r="C33" s="7" t="n">
        <f aca="false">MATCH(B33,dFrenteLista!$A$2:$A$11,0)</f>
        <v>8</v>
      </c>
    </row>
    <row r="34" customFormat="false" ht="15" hidden="false" customHeight="false" outlineLevel="0" collapsed="false">
      <c r="A34" s="7" t="s">
        <v>243</v>
      </c>
      <c r="B34" s="10" t="s">
        <v>587</v>
      </c>
      <c r="C34" s="7" t="n">
        <f aca="false">MATCH(B34,dFrenteLista!$A$2:$A$11,0)</f>
        <v>8</v>
      </c>
    </row>
    <row r="35" customFormat="false" ht="15" hidden="false" customHeight="false" outlineLevel="0" collapsed="false">
      <c r="A35" s="7" t="s">
        <v>340</v>
      </c>
      <c r="B35" s="10" t="s">
        <v>587</v>
      </c>
      <c r="C35" s="7" t="n">
        <f aca="false">MATCH(B35,dFrenteLista!$A$2:$A$11,0)</f>
        <v>8</v>
      </c>
    </row>
    <row r="36" customFormat="false" ht="15" hidden="false" customHeight="false" outlineLevel="0" collapsed="false">
      <c r="A36" s="7" t="s">
        <v>349</v>
      </c>
      <c r="B36" s="10" t="s">
        <v>585</v>
      </c>
      <c r="C36" s="7" t="n">
        <f aca="false">MATCH(B36,dFrenteLista!$A$2:$A$11,0)</f>
        <v>6</v>
      </c>
    </row>
    <row r="37" customFormat="false" ht="15" hidden="false" customHeight="false" outlineLevel="0" collapsed="false">
      <c r="A37" s="7" t="s">
        <v>352</v>
      </c>
      <c r="B37" s="10" t="s">
        <v>585</v>
      </c>
      <c r="C37" s="7" t="n">
        <f aca="false">MATCH(B37,dFrenteLista!$A$2:$A$11,0)</f>
        <v>6</v>
      </c>
    </row>
    <row r="38" customFormat="false" ht="15" hidden="false" customHeight="false" outlineLevel="0" collapsed="false">
      <c r="A38" s="7" t="s">
        <v>505</v>
      </c>
      <c r="B38" s="10" t="s">
        <v>585</v>
      </c>
      <c r="C38" s="7" t="n">
        <f aca="false">MATCH(B38,dFrenteLista!$A$2:$A$11,0)</f>
        <v>6</v>
      </c>
    </row>
    <row r="39" customFormat="false" ht="15" hidden="false" customHeight="false" outlineLevel="0" collapsed="false">
      <c r="A39" s="7" t="s">
        <v>400</v>
      </c>
      <c r="B39" s="10" t="s">
        <v>585</v>
      </c>
      <c r="C39" s="7" t="n">
        <f aca="false">MATCH(B39,dFrenteLista!$A$2:$A$11,0)</f>
        <v>6</v>
      </c>
    </row>
    <row r="40" customFormat="false" ht="15" hidden="false" customHeight="false" outlineLevel="0" collapsed="false">
      <c r="A40" s="7" t="s">
        <v>404</v>
      </c>
      <c r="B40" s="10" t="s">
        <v>585</v>
      </c>
      <c r="C40" s="7" t="n">
        <f aca="false">MATCH(B40,dFrenteLista!$A$2:$A$11,0)</f>
        <v>6</v>
      </c>
    </row>
    <row r="41" customFormat="false" ht="15" hidden="false" customHeight="false" outlineLevel="0" collapsed="false">
      <c r="A41" s="7" t="s">
        <v>486</v>
      </c>
      <c r="B41" s="10" t="s">
        <v>585</v>
      </c>
      <c r="C41" s="7" t="n">
        <f aca="false">MATCH(B41,dFrenteLista!$A$2:$A$11,0)</f>
        <v>6</v>
      </c>
    </row>
    <row r="42" customFormat="false" ht="15" hidden="false" customHeight="false" outlineLevel="0" collapsed="false">
      <c r="A42" s="7" t="s">
        <v>484</v>
      </c>
      <c r="B42" s="10" t="s">
        <v>585</v>
      </c>
      <c r="C42" s="7" t="n">
        <f aca="false">MATCH(B42,dFrenteLista!$A$2:$A$11,0)</f>
        <v>6</v>
      </c>
    </row>
    <row r="43" customFormat="false" ht="15" hidden="false" customHeight="false" outlineLevel="0" collapsed="false">
      <c r="A43" s="7" t="s">
        <v>397</v>
      </c>
      <c r="B43" s="10" t="s">
        <v>585</v>
      </c>
      <c r="C43" s="7" t="n">
        <f aca="false">MATCH(B43,dFrenteLista!$A$2:$A$11,0)</f>
        <v>6</v>
      </c>
    </row>
    <row r="44" customFormat="false" ht="15" hidden="false" customHeight="false" outlineLevel="0" collapsed="false">
      <c r="A44" s="7" t="s">
        <v>413</v>
      </c>
      <c r="B44" s="10" t="s">
        <v>585</v>
      </c>
      <c r="C44" s="7" t="n">
        <f aca="false">MATCH(B44,dFrenteLista!$A$2:$A$11,0)</f>
        <v>6</v>
      </c>
    </row>
    <row r="45" customFormat="false" ht="15" hidden="false" customHeight="false" outlineLevel="0" collapsed="false">
      <c r="A45" s="7" t="s">
        <v>346</v>
      </c>
      <c r="B45" s="10" t="s">
        <v>588</v>
      </c>
      <c r="C45" s="7" t="n">
        <f aca="false">MATCH(B45,dFrenteLista!$A$2:$A$11,0)</f>
        <v>9</v>
      </c>
    </row>
    <row r="46" customFormat="false" ht="15" hidden="false" customHeight="false" outlineLevel="0" collapsed="false">
      <c r="A46" s="7" t="s">
        <v>418</v>
      </c>
      <c r="B46" s="10" t="s">
        <v>588</v>
      </c>
      <c r="C46" s="7" t="n">
        <f aca="false">MATCH(B46,dFrenteLista!$A$2:$A$11,0)</f>
        <v>9</v>
      </c>
    </row>
    <row r="47" customFormat="false" ht="15" hidden="false" customHeight="false" outlineLevel="0" collapsed="false">
      <c r="A47" s="7" t="s">
        <v>466</v>
      </c>
      <c r="B47" s="10" t="s">
        <v>588</v>
      </c>
      <c r="C47" s="7" t="n">
        <f aca="false">MATCH(B47,dFrenteLista!$A$2:$A$11,0)</f>
        <v>9</v>
      </c>
    </row>
    <row r="48" customFormat="false" ht="15" hidden="false" customHeight="false" outlineLevel="0" collapsed="false">
      <c r="A48" s="7" t="s">
        <v>468</v>
      </c>
      <c r="B48" s="10" t="s">
        <v>588</v>
      </c>
      <c r="C48" s="7" t="n">
        <f aca="false">MATCH(B48,dFrenteLista!$A$2:$A$11,0)</f>
        <v>9</v>
      </c>
    </row>
    <row r="49" customFormat="false" ht="15" hidden="false" customHeight="false" outlineLevel="0" collapsed="false">
      <c r="A49" s="7" t="s">
        <v>422</v>
      </c>
      <c r="B49" s="10" t="s">
        <v>588</v>
      </c>
      <c r="C49" s="7" t="n">
        <f aca="false">MATCH(B49,dFrenteLista!$A$2:$A$11,0)</f>
        <v>9</v>
      </c>
    </row>
    <row r="50" customFormat="false" ht="15" hidden="false" customHeight="false" outlineLevel="0" collapsed="false">
      <c r="A50" s="7" t="s">
        <v>179</v>
      </c>
      <c r="B50" s="10" t="s">
        <v>588</v>
      </c>
      <c r="C50" s="7" t="n">
        <f aca="false">MATCH(B50,dFrenteLista!$A$2:$A$11,0)</f>
        <v>9</v>
      </c>
    </row>
    <row r="51" customFormat="false" ht="15" hidden="false" customHeight="false" outlineLevel="0" collapsed="false">
      <c r="A51" s="7" t="s">
        <v>259</v>
      </c>
      <c r="B51" s="10" t="s">
        <v>588</v>
      </c>
      <c r="C51" s="7" t="n">
        <f aca="false">MATCH(B51,dFrenteLista!$A$2:$A$11,0)</f>
        <v>9</v>
      </c>
    </row>
    <row r="52" customFormat="false" ht="15" hidden="false" customHeight="false" outlineLevel="0" collapsed="false">
      <c r="A52" s="7" t="s">
        <v>513</v>
      </c>
      <c r="B52" s="10" t="s">
        <v>588</v>
      </c>
      <c r="C52" s="7" t="n">
        <f aca="false">MATCH(B52,dFrenteLista!$A$2:$A$11,0)</f>
        <v>9</v>
      </c>
    </row>
    <row r="53" customFormat="false" ht="15" hidden="false" customHeight="false" outlineLevel="0" collapsed="false">
      <c r="A53" s="7" t="s">
        <v>319</v>
      </c>
      <c r="B53" s="10" t="s">
        <v>589</v>
      </c>
      <c r="C53" s="7" t="n">
        <f aca="false">MATCH(B53,dFrenteLista!$A$2:$A$11,0)</f>
        <v>10</v>
      </c>
    </row>
    <row r="54" customFormat="false" ht="15" hidden="false" customHeight="false" outlineLevel="0" collapsed="false">
      <c r="A54" s="7" t="s">
        <v>429</v>
      </c>
      <c r="B54" s="10" t="s">
        <v>583</v>
      </c>
      <c r="C54" s="7" t="n">
        <f aca="false">MATCH(B54,dFrenteLista!$A$2:$A$11,0)</f>
        <v>4</v>
      </c>
    </row>
    <row r="55" customFormat="false" ht="15" hidden="false" customHeight="false" outlineLevel="0" collapsed="false">
      <c r="A55" s="7" t="s">
        <v>426</v>
      </c>
      <c r="B55" s="10" t="s">
        <v>583</v>
      </c>
      <c r="C55" s="7" t="n">
        <f aca="false">MATCH(B55,dFrenteLista!$A$2:$A$11,0)</f>
        <v>4</v>
      </c>
    </row>
    <row r="56" customFormat="false" ht="15" hidden="false" customHeight="false" outlineLevel="0" collapsed="false">
      <c r="A56" s="7" t="s">
        <v>460</v>
      </c>
      <c r="B56" s="10" t="s">
        <v>583</v>
      </c>
      <c r="C56" s="7" t="n">
        <f aca="false">MATCH(B56,dFrenteLista!$A$2:$A$11,0)</f>
        <v>4</v>
      </c>
    </row>
    <row r="57" customFormat="false" ht="15" hidden="false" customHeight="false" outlineLevel="0" collapsed="false">
      <c r="A57" s="7" t="s">
        <v>457</v>
      </c>
      <c r="B57" s="10" t="s">
        <v>583</v>
      </c>
      <c r="C57" s="7" t="n">
        <f aca="false">MATCH(B57,dFrenteLista!$A$2:$A$11,0)</f>
        <v>4</v>
      </c>
    </row>
    <row r="58" customFormat="false" ht="15" hidden="false" customHeight="false" outlineLevel="0" collapsed="false">
      <c r="A58" s="7" t="s">
        <v>463</v>
      </c>
      <c r="B58" s="10" t="s">
        <v>583</v>
      </c>
      <c r="C58" s="7" t="n">
        <f aca="false">MATCH(B58,dFrenteLista!$A$2:$A$11,0)</f>
        <v>4</v>
      </c>
    </row>
    <row r="59" customFormat="false" ht="15" hidden="false" customHeight="false" outlineLevel="0" collapsed="false">
      <c r="A59" s="7" t="s">
        <v>442</v>
      </c>
      <c r="B59" s="10" t="s">
        <v>583</v>
      </c>
      <c r="C59" s="7" t="n">
        <f aca="false">MATCH(B59,dFrenteLista!$A$2:$A$11,0)</f>
        <v>4</v>
      </c>
    </row>
    <row r="60" customFormat="false" ht="15" hidden="false" customHeight="false" outlineLevel="0" collapsed="false">
      <c r="A60" s="7" t="s">
        <v>436</v>
      </c>
      <c r="B60" s="10" t="s">
        <v>583</v>
      </c>
      <c r="C60" s="7" t="n">
        <f aca="false">MATCH(B60,dFrenteLista!$A$2:$A$11,0)</f>
        <v>4</v>
      </c>
    </row>
    <row r="61" customFormat="false" ht="15" hidden="false" customHeight="false" outlineLevel="0" collapsed="false">
      <c r="A61" s="7" t="s">
        <v>439</v>
      </c>
      <c r="B61" s="10" t="s">
        <v>583</v>
      </c>
      <c r="C61" s="7" t="n">
        <f aca="false">MATCH(B61,dFrenteLista!$A$2:$A$11,0)</f>
        <v>4</v>
      </c>
    </row>
    <row r="62" customFormat="false" ht="15" hidden="false" customHeight="false" outlineLevel="0" collapsed="false">
      <c r="A62" s="7" t="s">
        <v>431</v>
      </c>
      <c r="B62" s="10" t="s">
        <v>583</v>
      </c>
      <c r="C62" s="7" t="n">
        <f aca="false">MATCH(B62,dFrenteLista!$A$2:$A$11,0)</f>
        <v>4</v>
      </c>
    </row>
    <row r="63" customFormat="false" ht="15" hidden="false" customHeight="false" outlineLevel="0" collapsed="false">
      <c r="A63" s="7" t="s">
        <v>451</v>
      </c>
      <c r="B63" s="10" t="s">
        <v>583</v>
      </c>
      <c r="C63" s="7" t="n">
        <f aca="false">MATCH(B63,dFrenteLista!$A$2:$A$11,0)</f>
        <v>4</v>
      </c>
    </row>
    <row r="64" customFormat="false" ht="15" hidden="false" customHeight="false" outlineLevel="0" collapsed="false">
      <c r="A64" s="7" t="s">
        <v>454</v>
      </c>
      <c r="B64" s="10" t="s">
        <v>583</v>
      </c>
      <c r="C64" s="7" t="n">
        <f aca="false">MATCH(B64,dFrenteLista!$A$2:$A$11,0)</f>
        <v>4</v>
      </c>
    </row>
    <row r="65" customFormat="false" ht="15" hidden="false" customHeight="false" outlineLevel="0" collapsed="false">
      <c r="A65" s="7" t="s">
        <v>445</v>
      </c>
      <c r="B65" s="10" t="s">
        <v>583</v>
      </c>
      <c r="C65" s="7" t="n">
        <f aca="false">MATCH(B65,dFrenteLista!$A$2:$A$11,0)</f>
        <v>4</v>
      </c>
    </row>
    <row r="66" customFormat="false" ht="15" hidden="false" customHeight="false" outlineLevel="0" collapsed="false">
      <c r="A66" s="7" t="s">
        <v>448</v>
      </c>
      <c r="B66" s="10" t="s">
        <v>583</v>
      </c>
      <c r="C66" s="7" t="n">
        <f aca="false">MATCH(B66,dFrenteLista!$A$2:$A$11,0)</f>
        <v>4</v>
      </c>
    </row>
    <row r="67" customFormat="false" ht="15" hidden="false" customHeight="false" outlineLevel="0" collapsed="false">
      <c r="A67" s="7" t="s">
        <v>511</v>
      </c>
      <c r="B67" s="10" t="s">
        <v>583</v>
      </c>
      <c r="C67" s="7" t="n">
        <f aca="false">MATCH(B67,dFrenteLista!$A$2:$A$11,0)</f>
        <v>4</v>
      </c>
    </row>
    <row r="68" customFormat="false" ht="15" hidden="false" customHeight="false" outlineLevel="0" collapsed="false">
      <c r="A68" s="7" t="s">
        <v>407</v>
      </c>
      <c r="B68" s="10" t="s">
        <v>583</v>
      </c>
      <c r="C68" s="7" t="n">
        <f aca="false">MATCH(B68,dFrenteLista!$A$2:$A$11,0)</f>
        <v>4</v>
      </c>
    </row>
    <row r="69" customFormat="false" ht="15" hidden="false" customHeight="false" outlineLevel="0" collapsed="false">
      <c r="A69" s="7" t="s">
        <v>343</v>
      </c>
      <c r="B69" s="10" t="s">
        <v>583</v>
      </c>
      <c r="C69" s="7" t="n">
        <f aca="false">MATCH(B69,dFrenteLista!$A$2:$A$11,0)</f>
        <v>4</v>
      </c>
    </row>
    <row r="70" customFormat="false" ht="15" hidden="false" customHeight="false" outlineLevel="0" collapsed="false">
      <c r="A70" s="7" t="s">
        <v>72</v>
      </c>
      <c r="B70" s="10" t="s">
        <v>580</v>
      </c>
      <c r="C70" s="7" t="n">
        <f aca="false">MATCH(B70,dFrenteLista!$A$2:$A$11,0)</f>
        <v>1</v>
      </c>
    </row>
    <row r="71" customFormat="false" ht="15" hidden="false" customHeight="false" outlineLevel="0" collapsed="false">
      <c r="A71" s="7" t="s">
        <v>87</v>
      </c>
      <c r="B71" s="10" t="s">
        <v>580</v>
      </c>
      <c r="C71" s="7" t="n">
        <f aca="false">MATCH(B71,dFrenteLista!$A$2:$A$11,0)</f>
        <v>1</v>
      </c>
    </row>
    <row r="72" customFormat="false" ht="15" hidden="false" customHeight="false" outlineLevel="0" collapsed="false">
      <c r="A72" s="7" t="s">
        <v>475</v>
      </c>
      <c r="B72" s="10" t="s">
        <v>584</v>
      </c>
      <c r="C72" s="7" t="n">
        <f aca="false">MATCH(B72,dFrenteLista!$A$2:$A$11,0)</f>
        <v>5</v>
      </c>
    </row>
    <row r="73" customFormat="false" ht="15" hidden="false" customHeight="false" outlineLevel="0" collapsed="false">
      <c r="A73" s="7" t="s">
        <v>187</v>
      </c>
      <c r="B73" s="10" t="s">
        <v>584</v>
      </c>
      <c r="C73" s="7" t="n">
        <f aca="false">MATCH(B73,dFrenteLista!$A$2:$A$11,0)</f>
        <v>5</v>
      </c>
    </row>
    <row r="74" customFormat="false" ht="15" hidden="false" customHeight="false" outlineLevel="0" collapsed="false">
      <c r="A74" s="7" t="s">
        <v>202</v>
      </c>
      <c r="B74" s="10" t="s">
        <v>584</v>
      </c>
      <c r="C74" s="7" t="n">
        <f aca="false">MATCH(B74,dFrenteLista!$A$2:$A$11,0)</f>
        <v>5</v>
      </c>
    </row>
    <row r="75" customFormat="false" ht="15" hidden="false" customHeight="false" outlineLevel="0" collapsed="false">
      <c r="A75" s="7" t="s">
        <v>206</v>
      </c>
      <c r="B75" s="10" t="s">
        <v>584</v>
      </c>
      <c r="C75" s="7" t="n">
        <f aca="false">MATCH(B75,dFrenteLista!$A$2:$A$11,0)</f>
        <v>5</v>
      </c>
    </row>
    <row r="76" customFormat="false" ht="15" hidden="false" customHeight="false" outlineLevel="0" collapsed="false">
      <c r="A76" s="7" t="s">
        <v>220</v>
      </c>
      <c r="B76" s="10" t="s">
        <v>584</v>
      </c>
      <c r="C76" s="7" t="n">
        <f aca="false">MATCH(B76,dFrenteLista!$A$2:$A$11,0)</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s>
  <sheetData>
    <row r="1" customFormat="false" ht="30" hidden="false" customHeight="true" outlineLevel="0" collapsed="false">
      <c r="A1" s="6" t="s">
        <v>37</v>
      </c>
      <c r="B1" s="6" t="s">
        <v>1022</v>
      </c>
    </row>
    <row r="2" customFormat="false" ht="15" hidden="false" customHeight="false" outlineLevel="0" collapsed="false">
      <c r="A2" s="7" t="s">
        <v>580</v>
      </c>
      <c r="B2" s="7" t="n">
        <v>1</v>
      </c>
    </row>
    <row r="3" customFormat="false" ht="15" hidden="false" customHeight="false" outlineLevel="0" collapsed="false">
      <c r="A3" s="7" t="s">
        <v>581</v>
      </c>
      <c r="B3" s="7" t="n">
        <v>2</v>
      </c>
    </row>
    <row r="4" customFormat="false" ht="15" hidden="false" customHeight="false" outlineLevel="0" collapsed="false">
      <c r="A4" s="7" t="s">
        <v>582</v>
      </c>
      <c r="B4" s="7" t="n">
        <v>3</v>
      </c>
    </row>
    <row r="5" customFormat="false" ht="15" hidden="false" customHeight="false" outlineLevel="0" collapsed="false">
      <c r="A5" s="7" t="s">
        <v>583</v>
      </c>
      <c r="B5" s="7" t="n">
        <v>4</v>
      </c>
    </row>
    <row r="6" customFormat="false" ht="15" hidden="false" customHeight="false" outlineLevel="0" collapsed="false">
      <c r="A6" s="7" t="s">
        <v>584</v>
      </c>
      <c r="B6" s="7" t="n">
        <v>5</v>
      </c>
    </row>
    <row r="7" customFormat="false" ht="15" hidden="false" customHeight="false" outlineLevel="0" collapsed="false">
      <c r="A7" s="7" t="s">
        <v>585</v>
      </c>
      <c r="B7" s="7" t="n">
        <v>6</v>
      </c>
    </row>
    <row r="8" customFormat="false" ht="15" hidden="false" customHeight="false" outlineLevel="0" collapsed="false">
      <c r="A8" s="7" t="s">
        <v>586</v>
      </c>
      <c r="B8" s="7" t="n">
        <v>7</v>
      </c>
    </row>
    <row r="9" customFormat="false" ht="15" hidden="false" customHeight="false" outlineLevel="0" collapsed="false">
      <c r="A9" s="7" t="s">
        <v>587</v>
      </c>
      <c r="B9" s="7" t="n">
        <v>8</v>
      </c>
    </row>
    <row r="10" customFormat="false" ht="15" hidden="false" customHeight="false" outlineLevel="0" collapsed="false">
      <c r="A10" s="7" t="s">
        <v>588</v>
      </c>
      <c r="B10" s="7" t="n">
        <v>9</v>
      </c>
    </row>
    <row r="11" customFormat="false" ht="15" hidden="false" customHeight="false" outlineLevel="0" collapsed="false">
      <c r="A11" s="7" t="s">
        <v>589</v>
      </c>
      <c r="B11" s="7"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4"/>
    <col collapsed="false" customWidth="true" hidden="false" outlineLevel="0" max="4" min="4" style="0" width="50"/>
    <col collapsed="false" customWidth="true" hidden="false" outlineLevel="0" max="5" min="5" style="0" width="13"/>
    <col collapsed="false" customWidth="true" hidden="false" outlineLevel="0" max="6" min="6" style="0" width="14"/>
  </cols>
  <sheetData>
    <row r="1" customFormat="false" ht="30" hidden="false" customHeight="true" outlineLevel="0" collapsed="false">
      <c r="A1" s="6" t="s">
        <v>1023</v>
      </c>
      <c r="B1" s="6" t="s">
        <v>1024</v>
      </c>
      <c r="C1" s="6" t="s">
        <v>1025</v>
      </c>
      <c r="D1" s="6" t="s">
        <v>1026</v>
      </c>
      <c r="E1" s="6" t="s">
        <v>1027</v>
      </c>
      <c r="F1" s="6" t="s">
        <v>1028</v>
      </c>
    </row>
    <row r="2" customFormat="false" ht="15" hidden="false" customHeight="false" outlineLevel="0" collapsed="false">
      <c r="A2" s="7" t="s">
        <v>182</v>
      </c>
      <c r="B2" s="7" t="s">
        <v>1029</v>
      </c>
      <c r="C2" s="7" t="s">
        <v>1030</v>
      </c>
      <c r="D2" s="7" t="s">
        <v>1031</v>
      </c>
      <c r="E2" s="7" t="n">
        <v>1</v>
      </c>
      <c r="F2" s="7" t="n">
        <v>1</v>
      </c>
    </row>
    <row r="3" customFormat="false" ht="15" hidden="false" customHeight="false" outlineLevel="0" collapsed="false">
      <c r="A3" s="7" t="s">
        <v>186</v>
      </c>
      <c r="B3" s="7" t="s">
        <v>1029</v>
      </c>
      <c r="C3" s="7" t="s">
        <v>1030</v>
      </c>
      <c r="D3" s="7" t="s">
        <v>1032</v>
      </c>
      <c r="E3" s="7" t="n">
        <v>1</v>
      </c>
      <c r="F3" s="7" t="n">
        <v>2</v>
      </c>
    </row>
    <row r="4" customFormat="false" ht="15" hidden="false" customHeight="false" outlineLevel="0" collapsed="false">
      <c r="A4" s="7" t="s">
        <v>178</v>
      </c>
      <c r="B4" s="7" t="s">
        <v>43</v>
      </c>
      <c r="C4" s="7" t="s">
        <v>1033</v>
      </c>
      <c r="D4" s="7" t="s">
        <v>1034</v>
      </c>
      <c r="E4" s="7" t="n">
        <v>2</v>
      </c>
      <c r="F4" s="7" t="n">
        <v>3</v>
      </c>
    </row>
    <row r="5" customFormat="false" ht="15" hidden="false" customHeight="false" outlineLevel="0" collapsed="false">
      <c r="A5" s="7" t="s">
        <v>425</v>
      </c>
      <c r="B5" s="7" t="s">
        <v>43</v>
      </c>
      <c r="C5" s="7" t="s">
        <v>1033</v>
      </c>
      <c r="D5" s="7" t="s">
        <v>1035</v>
      </c>
      <c r="E5" s="7" t="n">
        <v>2</v>
      </c>
      <c r="F5" s="7" t="n">
        <v>4</v>
      </c>
    </row>
    <row r="6" customFormat="false" ht="15" hidden="false" customHeight="false" outlineLevel="0" collapsed="false">
      <c r="A6" s="7" t="s">
        <v>76</v>
      </c>
      <c r="B6" s="7" t="s">
        <v>1036</v>
      </c>
      <c r="C6" s="7" t="s">
        <v>1037</v>
      </c>
      <c r="D6" s="7" t="s">
        <v>1038</v>
      </c>
      <c r="E6" s="7" t="n">
        <v>3</v>
      </c>
      <c r="F6" s="7" t="n">
        <v>5</v>
      </c>
    </row>
    <row r="7" customFormat="false" ht="15" hidden="false" customHeight="false" outlineLevel="0" collapsed="false">
      <c r="A7" s="7" t="s">
        <v>403</v>
      </c>
      <c r="B7" s="7" t="s">
        <v>1036</v>
      </c>
      <c r="C7" s="7" t="s">
        <v>1037</v>
      </c>
      <c r="D7" s="7" t="s">
        <v>1039</v>
      </c>
      <c r="E7" s="7" t="n">
        <v>3</v>
      </c>
      <c r="F7" s="7" t="n">
        <v>6</v>
      </c>
    </row>
    <row r="8" customFormat="false" ht="15" hidden="false" customHeight="false" outlineLevel="0" collapsed="false">
      <c r="A8" s="7" t="s">
        <v>81</v>
      </c>
      <c r="B8" s="7" t="s">
        <v>1036</v>
      </c>
      <c r="C8" s="7" t="s">
        <v>1037</v>
      </c>
      <c r="D8" s="7" t="s">
        <v>1040</v>
      </c>
      <c r="E8" s="7" t="n">
        <v>3</v>
      </c>
      <c r="F8" s="7" t="n">
        <v>7</v>
      </c>
    </row>
    <row r="9" customFormat="false" ht="15" hidden="false" customHeight="false" outlineLevel="0" collapsed="false">
      <c r="A9" s="7" t="s">
        <v>351</v>
      </c>
      <c r="B9" s="7" t="s">
        <v>1036</v>
      </c>
      <c r="C9" s="7" t="s">
        <v>1037</v>
      </c>
      <c r="D9" s="7" t="s">
        <v>1041</v>
      </c>
      <c r="E9" s="7" t="n">
        <v>3</v>
      </c>
      <c r="F9" s="7" t="n">
        <v>8</v>
      </c>
    </row>
    <row r="10" customFormat="false" ht="15" hidden="false" customHeight="false" outlineLevel="0" collapsed="false">
      <c r="A10" s="7" t="s">
        <v>173</v>
      </c>
      <c r="B10" s="7" t="s">
        <v>1036</v>
      </c>
      <c r="C10" s="7" t="s">
        <v>1037</v>
      </c>
      <c r="D10" s="7" t="s">
        <v>1042</v>
      </c>
      <c r="E10" s="7" t="n">
        <v>3</v>
      </c>
      <c r="F10" s="7" t="n">
        <v>9</v>
      </c>
    </row>
    <row r="11" customFormat="false" ht="15" hidden="false" customHeight="false" outlineLevel="0" collapsed="false">
      <c r="A11" s="7" t="s">
        <v>93</v>
      </c>
      <c r="B11" s="7" t="s">
        <v>1043</v>
      </c>
      <c r="C11" s="7" t="s">
        <v>1044</v>
      </c>
      <c r="D11" s="7" t="s">
        <v>1045</v>
      </c>
      <c r="E11" s="7" t="n">
        <v>4</v>
      </c>
      <c r="F11" s="7" t="n">
        <v>10</v>
      </c>
    </row>
    <row r="12" customFormat="false" ht="15" hidden="false" customHeight="false" outlineLevel="0" collapsed="false">
      <c r="A12" s="7" t="s">
        <v>507</v>
      </c>
      <c r="B12" s="7" t="s">
        <v>1046</v>
      </c>
      <c r="C12" s="7" t="s">
        <v>1047</v>
      </c>
      <c r="D12" s="7" t="s">
        <v>1048</v>
      </c>
      <c r="E12" s="7" t="n">
        <v>5</v>
      </c>
      <c r="F12" s="7" t="n">
        <v>11</v>
      </c>
    </row>
    <row r="13" customFormat="false" ht="15" hidden="false" customHeight="false" outlineLevel="0" collapsed="false">
      <c r="A13" s="7" t="s">
        <v>421</v>
      </c>
      <c r="B13" s="7" t="s">
        <v>1049</v>
      </c>
      <c r="C13" s="7" t="s">
        <v>1050</v>
      </c>
      <c r="D13" s="7" t="s">
        <v>1051</v>
      </c>
      <c r="E13" s="7" t="n">
        <v>6</v>
      </c>
      <c r="F13" s="7"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12"/>
    <col collapsed="false" customWidth="true" hidden="false" outlineLevel="0" max="4" min="4" style="0" width="10"/>
  </cols>
  <sheetData>
    <row r="1" customFormat="false" ht="30" hidden="false" customHeight="true" outlineLevel="0" collapsed="false">
      <c r="A1" s="6" t="s">
        <v>33</v>
      </c>
      <c r="B1" s="6" t="s">
        <v>1022</v>
      </c>
      <c r="C1" s="6" t="s">
        <v>1052</v>
      </c>
      <c r="D1" s="6" t="s">
        <v>1053</v>
      </c>
    </row>
    <row r="2" customFormat="false" ht="15" hidden="false" customHeight="false" outlineLevel="0" collapsed="false">
      <c r="A2" s="7" t="s">
        <v>1054</v>
      </c>
      <c r="B2" s="7" t="n">
        <v>1</v>
      </c>
      <c r="C2" s="7" t="s">
        <v>1055</v>
      </c>
      <c r="D2" s="7" t="n">
        <v>0</v>
      </c>
    </row>
    <row r="3" customFormat="false" ht="15" hidden="false" customHeight="false" outlineLevel="0" collapsed="false">
      <c r="A3" s="7" t="s">
        <v>531</v>
      </c>
      <c r="B3" s="7" t="n">
        <v>2</v>
      </c>
      <c r="C3" s="7" t="s">
        <v>1056</v>
      </c>
      <c r="D3" s="7" t="n">
        <v>1</v>
      </c>
    </row>
    <row r="4" customFormat="false" ht="15" hidden="false" customHeight="false" outlineLevel="0" collapsed="false">
      <c r="A4" s="7" t="s">
        <v>533</v>
      </c>
      <c r="B4" s="7" t="n">
        <v>3</v>
      </c>
      <c r="C4" s="7" t="s">
        <v>1057</v>
      </c>
      <c r="D4" s="7" t="n">
        <v>1</v>
      </c>
    </row>
    <row r="5" customFormat="false" ht="15" hidden="false" customHeight="false" outlineLevel="0" collapsed="false">
      <c r="A5" s="7" t="s">
        <v>1058</v>
      </c>
      <c r="B5" s="7" t="n">
        <v>4</v>
      </c>
      <c r="C5" s="7" t="s">
        <v>1059</v>
      </c>
      <c r="D5" s="7" t="n">
        <v>1</v>
      </c>
    </row>
    <row r="6" customFormat="false" ht="15" hidden="false" customHeight="false" outlineLevel="0" collapsed="false">
      <c r="A6" s="7" t="s">
        <v>537</v>
      </c>
      <c r="B6" s="7" t="n">
        <v>5</v>
      </c>
      <c r="C6" s="7" t="s">
        <v>1060</v>
      </c>
      <c r="D6" s="7" t="n">
        <v>1</v>
      </c>
    </row>
    <row r="7" customFormat="false" ht="15" hidden="false" customHeight="false" outlineLevel="0" collapsed="false">
      <c r="A7" s="7" t="s">
        <v>29</v>
      </c>
      <c r="B7" s="7" t="n">
        <v>6</v>
      </c>
      <c r="C7" s="7" t="s">
        <v>1061</v>
      </c>
      <c r="D7"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4"/>
  </cols>
  <sheetData>
    <row r="1" customFormat="false" ht="30" hidden="false" customHeight="true" outlineLevel="0" collapsed="false">
      <c r="A1" s="6" t="s">
        <v>594</v>
      </c>
      <c r="B1" s="6" t="s">
        <v>1052</v>
      </c>
      <c r="C1" s="6" t="s">
        <v>69</v>
      </c>
    </row>
    <row r="2" customFormat="false" ht="15" hidden="false" customHeight="false" outlineLevel="0" collapsed="false">
      <c r="A2" s="7" t="s">
        <v>131</v>
      </c>
      <c r="B2" s="7" t="s">
        <v>1055</v>
      </c>
      <c r="C2" s="7" t="n">
        <v>0</v>
      </c>
    </row>
    <row r="3" customFormat="false" ht="15" hidden="false" customHeight="false" outlineLevel="0" collapsed="false">
      <c r="A3" s="7" t="s">
        <v>74</v>
      </c>
      <c r="B3" s="7" t="s">
        <v>1062</v>
      </c>
      <c r="C3" s="7" t="n">
        <v>0</v>
      </c>
    </row>
    <row r="4" customFormat="false" ht="15" hidden="false" customHeight="false" outlineLevel="0" collapsed="false">
      <c r="A4" s="7" t="s">
        <v>114</v>
      </c>
      <c r="B4" s="7" t="s">
        <v>1056</v>
      </c>
      <c r="C4" s="7" t="n">
        <v>0</v>
      </c>
    </row>
    <row r="5" customFormat="false" ht="15" hidden="false" customHeight="false" outlineLevel="0" collapsed="false">
      <c r="A5" s="7" t="s">
        <v>97</v>
      </c>
      <c r="B5" s="7" t="s">
        <v>1063</v>
      </c>
      <c r="C5" s="7" t="n">
        <v>0</v>
      </c>
    </row>
    <row r="6" customFormat="false" ht="15" hidden="false" customHeight="false" outlineLevel="0" collapsed="false">
      <c r="A6" s="7" t="s">
        <v>319</v>
      </c>
      <c r="B6" s="7" t="s">
        <v>1064</v>
      </c>
      <c r="C6" s="7" t="n">
        <v>1</v>
      </c>
    </row>
    <row r="7" customFormat="false" ht="15" hidden="false" customHeight="false" outlineLevel="0" collapsed="false">
      <c r="A7" s="7" t="s">
        <v>301</v>
      </c>
      <c r="B7" s="7" t="s">
        <v>1057</v>
      </c>
      <c r="C7" s="7" t="n">
        <v>1</v>
      </c>
    </row>
    <row r="8" customFormat="false" ht="15" hidden="false" customHeight="false" outlineLevel="0" collapsed="false">
      <c r="A8" s="7" t="s">
        <v>106</v>
      </c>
      <c r="B8" s="7" t="s">
        <v>1059</v>
      </c>
      <c r="C8"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6"/>
    <col collapsed="false" customWidth="true" hidden="false" outlineLevel="0" max="5" min="4" style="0" width="11"/>
    <col collapsed="false" customWidth="true" hidden="false" outlineLevel="0" max="6" min="6" style="0" width="10"/>
    <col collapsed="false" customWidth="true" hidden="false" outlineLevel="0" max="7" min="7" style="0" width="12"/>
    <col collapsed="false" customWidth="true" hidden="false" outlineLevel="0" max="8" min="8" style="0" width="10"/>
  </cols>
  <sheetData>
    <row r="1" customFormat="false" ht="30" hidden="false" customHeight="true" outlineLevel="0" collapsed="false">
      <c r="A1" s="6" t="s">
        <v>796</v>
      </c>
      <c r="B1" s="6" t="s">
        <v>1065</v>
      </c>
      <c r="C1" s="6" t="s">
        <v>1066</v>
      </c>
      <c r="D1" s="6" t="s">
        <v>1067</v>
      </c>
      <c r="E1" s="6" t="s">
        <v>1068</v>
      </c>
      <c r="F1" s="6" t="s">
        <v>1069</v>
      </c>
      <c r="G1" s="6" t="s">
        <v>1070</v>
      </c>
      <c r="H1" s="6" t="s">
        <v>1071</v>
      </c>
    </row>
    <row r="2" customFormat="false" ht="15" hidden="false" customHeight="false" outlineLevel="0" collapsed="false">
      <c r="A2" s="31" t="n">
        <v>45658</v>
      </c>
      <c r="B2" s="25" t="n">
        <f aca="false">YEAR(A2)</f>
        <v>2025</v>
      </c>
      <c r="C2" s="25" t="n">
        <f aca="false">MONTH(A2)</f>
        <v>1</v>
      </c>
      <c r="D2" s="0" t="str">
        <f aca="false">CHOOSE(C2,"Ene","Feb","Mar","Abr","May","Jun","Jul","Ago","Sep","Oct","Nov","Dic")</f>
        <v>Ene</v>
      </c>
      <c r="E2" s="0" t="str">
        <f aca="false">D2&amp;"-"&amp;RIGHT(B2,2)</f>
        <v>Ene-25</v>
      </c>
      <c r="F2" s="0" t="str">
        <f aca="false">"T"&amp;ROUNDUP(C2/3,0)</f>
        <v>T1</v>
      </c>
      <c r="G2" s="35" t="n">
        <f aca="false">DATE(B2,C2,1)</f>
        <v>45658</v>
      </c>
      <c r="H2" s="25" t="n">
        <f aca="false">IF(DAY(A2+1)=1,1,0)</f>
        <v>0</v>
      </c>
    </row>
    <row r="3" customFormat="false" ht="15" hidden="false" customHeight="false" outlineLevel="0" collapsed="false">
      <c r="A3" s="8" t="n">
        <f aca="false">A2+1</f>
        <v>45659</v>
      </c>
      <c r="B3" s="25" t="n">
        <f aca="false">YEAR(A3)</f>
        <v>2025</v>
      </c>
      <c r="C3" s="25" t="n">
        <f aca="false">MONTH(A3)</f>
        <v>1</v>
      </c>
      <c r="D3" s="0" t="str">
        <f aca="false">CHOOSE(C3,"Ene","Feb","Mar","Abr","May","Jun","Jul","Ago","Sep","Oct","Nov","Dic")</f>
        <v>Ene</v>
      </c>
      <c r="E3" s="0" t="str">
        <f aca="false">D3&amp;"-"&amp;RIGHT(B3,2)</f>
        <v>Ene-25</v>
      </c>
      <c r="F3" s="0" t="str">
        <f aca="false">"T"&amp;ROUNDUP(C3/3,0)</f>
        <v>T1</v>
      </c>
      <c r="G3" s="35" t="n">
        <f aca="false">DATE(B3,C3,1)</f>
        <v>45658</v>
      </c>
      <c r="H3" s="25" t="n">
        <f aca="false">IF(DAY(A3+1)=1,1,0)</f>
        <v>0</v>
      </c>
    </row>
    <row r="4" customFormat="false" ht="15" hidden="false" customHeight="false" outlineLevel="0" collapsed="false">
      <c r="A4" s="8" t="n">
        <f aca="false">A3+1</f>
        <v>45660</v>
      </c>
      <c r="B4" s="25" t="n">
        <f aca="false">YEAR(A4)</f>
        <v>2025</v>
      </c>
      <c r="C4" s="25" t="n">
        <f aca="false">MONTH(A4)</f>
        <v>1</v>
      </c>
      <c r="D4" s="0" t="str">
        <f aca="false">CHOOSE(C4,"Ene","Feb","Mar","Abr","May","Jun","Jul","Ago","Sep","Oct","Nov","Dic")</f>
        <v>Ene</v>
      </c>
      <c r="E4" s="0" t="str">
        <f aca="false">D4&amp;"-"&amp;RIGHT(B4,2)</f>
        <v>Ene-25</v>
      </c>
      <c r="F4" s="0" t="str">
        <f aca="false">"T"&amp;ROUNDUP(C4/3,0)</f>
        <v>T1</v>
      </c>
      <c r="G4" s="35" t="n">
        <f aca="false">DATE(B4,C4,1)</f>
        <v>45658</v>
      </c>
      <c r="H4" s="25" t="n">
        <f aca="false">IF(DAY(A4+1)=1,1,0)</f>
        <v>0</v>
      </c>
    </row>
    <row r="5" customFormat="false" ht="15" hidden="false" customHeight="false" outlineLevel="0" collapsed="false">
      <c r="A5" s="8" t="n">
        <f aca="false">A4+1</f>
        <v>45661</v>
      </c>
      <c r="B5" s="25" t="n">
        <f aca="false">YEAR(A5)</f>
        <v>2025</v>
      </c>
      <c r="C5" s="25" t="n">
        <f aca="false">MONTH(A5)</f>
        <v>1</v>
      </c>
      <c r="D5" s="0" t="str">
        <f aca="false">CHOOSE(C5,"Ene","Feb","Mar","Abr","May","Jun","Jul","Ago","Sep","Oct","Nov","Dic")</f>
        <v>Ene</v>
      </c>
      <c r="E5" s="0" t="str">
        <f aca="false">D5&amp;"-"&amp;RIGHT(B5,2)</f>
        <v>Ene-25</v>
      </c>
      <c r="F5" s="0" t="str">
        <f aca="false">"T"&amp;ROUNDUP(C5/3,0)</f>
        <v>T1</v>
      </c>
      <c r="G5" s="35" t="n">
        <f aca="false">DATE(B5,C5,1)</f>
        <v>45658</v>
      </c>
      <c r="H5" s="25" t="n">
        <f aca="false">IF(DAY(A5+1)=1,1,0)</f>
        <v>0</v>
      </c>
    </row>
    <row r="6" customFormat="false" ht="15" hidden="false" customHeight="false" outlineLevel="0" collapsed="false">
      <c r="A6" s="8" t="n">
        <f aca="false">A5+1</f>
        <v>45662</v>
      </c>
      <c r="B6" s="25" t="n">
        <f aca="false">YEAR(A6)</f>
        <v>2025</v>
      </c>
      <c r="C6" s="25" t="n">
        <f aca="false">MONTH(A6)</f>
        <v>1</v>
      </c>
      <c r="D6" s="0" t="str">
        <f aca="false">CHOOSE(C6,"Ene","Feb","Mar","Abr","May","Jun","Jul","Ago","Sep","Oct","Nov","Dic")</f>
        <v>Ene</v>
      </c>
      <c r="E6" s="0" t="str">
        <f aca="false">D6&amp;"-"&amp;RIGHT(B6,2)</f>
        <v>Ene-25</v>
      </c>
      <c r="F6" s="0" t="str">
        <f aca="false">"T"&amp;ROUNDUP(C6/3,0)</f>
        <v>T1</v>
      </c>
      <c r="G6" s="35" t="n">
        <f aca="false">DATE(B6,C6,1)</f>
        <v>45658</v>
      </c>
      <c r="H6" s="25" t="n">
        <f aca="false">IF(DAY(A6+1)=1,1,0)</f>
        <v>0</v>
      </c>
    </row>
    <row r="7" customFormat="false" ht="15" hidden="false" customHeight="false" outlineLevel="0" collapsed="false">
      <c r="A7" s="8" t="n">
        <f aca="false">A6+1</f>
        <v>45663</v>
      </c>
      <c r="B7" s="25" t="n">
        <f aca="false">YEAR(A7)</f>
        <v>2025</v>
      </c>
      <c r="C7" s="25" t="n">
        <f aca="false">MONTH(A7)</f>
        <v>1</v>
      </c>
      <c r="D7" s="0" t="str">
        <f aca="false">CHOOSE(C7,"Ene","Feb","Mar","Abr","May","Jun","Jul","Ago","Sep","Oct","Nov","Dic")</f>
        <v>Ene</v>
      </c>
      <c r="E7" s="0" t="str">
        <f aca="false">D7&amp;"-"&amp;RIGHT(B7,2)</f>
        <v>Ene-25</v>
      </c>
      <c r="F7" s="0" t="str">
        <f aca="false">"T"&amp;ROUNDUP(C7/3,0)</f>
        <v>T1</v>
      </c>
      <c r="G7" s="35" t="n">
        <f aca="false">DATE(B7,C7,1)</f>
        <v>45658</v>
      </c>
      <c r="H7" s="25" t="n">
        <f aca="false">IF(DAY(A7+1)=1,1,0)</f>
        <v>0</v>
      </c>
    </row>
    <row r="8" customFormat="false" ht="15" hidden="false" customHeight="false" outlineLevel="0" collapsed="false">
      <c r="A8" s="8" t="n">
        <f aca="false">A7+1</f>
        <v>45664</v>
      </c>
      <c r="B8" s="25" t="n">
        <f aca="false">YEAR(A8)</f>
        <v>2025</v>
      </c>
      <c r="C8" s="25" t="n">
        <f aca="false">MONTH(A8)</f>
        <v>1</v>
      </c>
      <c r="D8" s="0" t="str">
        <f aca="false">CHOOSE(C8,"Ene","Feb","Mar","Abr","May","Jun","Jul","Ago","Sep","Oct","Nov","Dic")</f>
        <v>Ene</v>
      </c>
      <c r="E8" s="0" t="str">
        <f aca="false">D8&amp;"-"&amp;RIGHT(B8,2)</f>
        <v>Ene-25</v>
      </c>
      <c r="F8" s="0" t="str">
        <f aca="false">"T"&amp;ROUNDUP(C8/3,0)</f>
        <v>T1</v>
      </c>
      <c r="G8" s="35" t="n">
        <f aca="false">DATE(B8,C8,1)</f>
        <v>45658</v>
      </c>
      <c r="H8" s="25" t="n">
        <f aca="false">IF(DAY(A8+1)=1,1,0)</f>
        <v>0</v>
      </c>
    </row>
    <row r="9" customFormat="false" ht="15" hidden="false" customHeight="false" outlineLevel="0" collapsed="false">
      <c r="A9" s="8" t="n">
        <f aca="false">A8+1</f>
        <v>45665</v>
      </c>
      <c r="B9" s="25" t="n">
        <f aca="false">YEAR(A9)</f>
        <v>2025</v>
      </c>
      <c r="C9" s="25" t="n">
        <f aca="false">MONTH(A9)</f>
        <v>1</v>
      </c>
      <c r="D9" s="0" t="str">
        <f aca="false">CHOOSE(C9,"Ene","Feb","Mar","Abr","May","Jun","Jul","Ago","Sep","Oct","Nov","Dic")</f>
        <v>Ene</v>
      </c>
      <c r="E9" s="0" t="str">
        <f aca="false">D9&amp;"-"&amp;RIGHT(B9,2)</f>
        <v>Ene-25</v>
      </c>
      <c r="F9" s="0" t="str">
        <f aca="false">"T"&amp;ROUNDUP(C9/3,0)</f>
        <v>T1</v>
      </c>
      <c r="G9" s="35" t="n">
        <f aca="false">DATE(B9,C9,1)</f>
        <v>45658</v>
      </c>
      <c r="H9" s="25" t="n">
        <f aca="false">IF(DAY(A9+1)=1,1,0)</f>
        <v>0</v>
      </c>
    </row>
    <row r="10" customFormat="false" ht="15" hidden="false" customHeight="false" outlineLevel="0" collapsed="false">
      <c r="A10" s="8" t="n">
        <f aca="false">A9+1</f>
        <v>45666</v>
      </c>
      <c r="B10" s="25" t="n">
        <f aca="false">YEAR(A10)</f>
        <v>2025</v>
      </c>
      <c r="C10" s="25" t="n">
        <f aca="false">MONTH(A10)</f>
        <v>1</v>
      </c>
      <c r="D10" s="0" t="str">
        <f aca="false">CHOOSE(C10,"Ene","Feb","Mar","Abr","May","Jun","Jul","Ago","Sep","Oct","Nov","Dic")</f>
        <v>Ene</v>
      </c>
      <c r="E10" s="0" t="str">
        <f aca="false">D10&amp;"-"&amp;RIGHT(B10,2)</f>
        <v>Ene-25</v>
      </c>
      <c r="F10" s="0" t="str">
        <f aca="false">"T"&amp;ROUNDUP(C10/3,0)</f>
        <v>T1</v>
      </c>
      <c r="G10" s="35" t="n">
        <f aca="false">DATE(B10,C10,1)</f>
        <v>45658</v>
      </c>
      <c r="H10" s="25" t="n">
        <f aca="false">IF(DAY(A10+1)=1,1,0)</f>
        <v>0</v>
      </c>
    </row>
    <row r="11" customFormat="false" ht="15" hidden="false" customHeight="false" outlineLevel="0" collapsed="false">
      <c r="A11" s="8" t="n">
        <f aca="false">A10+1</f>
        <v>45667</v>
      </c>
      <c r="B11" s="25" t="n">
        <f aca="false">YEAR(A11)</f>
        <v>2025</v>
      </c>
      <c r="C11" s="25" t="n">
        <f aca="false">MONTH(A11)</f>
        <v>1</v>
      </c>
      <c r="D11" s="0" t="str">
        <f aca="false">CHOOSE(C11,"Ene","Feb","Mar","Abr","May","Jun","Jul","Ago","Sep","Oct","Nov","Dic")</f>
        <v>Ene</v>
      </c>
      <c r="E11" s="0" t="str">
        <f aca="false">D11&amp;"-"&amp;RIGHT(B11,2)</f>
        <v>Ene-25</v>
      </c>
      <c r="F11" s="0" t="str">
        <f aca="false">"T"&amp;ROUNDUP(C11/3,0)</f>
        <v>T1</v>
      </c>
      <c r="G11" s="35" t="n">
        <f aca="false">DATE(B11,C11,1)</f>
        <v>45658</v>
      </c>
      <c r="H11" s="25" t="n">
        <f aca="false">IF(DAY(A11+1)=1,1,0)</f>
        <v>0</v>
      </c>
    </row>
    <row r="12" customFormat="false" ht="15" hidden="false" customHeight="false" outlineLevel="0" collapsed="false">
      <c r="A12" s="8" t="n">
        <f aca="false">A11+1</f>
        <v>45668</v>
      </c>
      <c r="B12" s="25" t="n">
        <f aca="false">YEAR(A12)</f>
        <v>2025</v>
      </c>
      <c r="C12" s="25" t="n">
        <f aca="false">MONTH(A12)</f>
        <v>1</v>
      </c>
      <c r="D12" s="0" t="str">
        <f aca="false">CHOOSE(C12,"Ene","Feb","Mar","Abr","May","Jun","Jul","Ago","Sep","Oct","Nov","Dic")</f>
        <v>Ene</v>
      </c>
      <c r="E12" s="0" t="str">
        <f aca="false">D12&amp;"-"&amp;RIGHT(B12,2)</f>
        <v>Ene-25</v>
      </c>
      <c r="F12" s="0" t="str">
        <f aca="false">"T"&amp;ROUNDUP(C12/3,0)</f>
        <v>T1</v>
      </c>
      <c r="G12" s="35" t="n">
        <f aca="false">DATE(B12,C12,1)</f>
        <v>45658</v>
      </c>
      <c r="H12" s="25" t="n">
        <f aca="false">IF(DAY(A12+1)=1,1,0)</f>
        <v>0</v>
      </c>
    </row>
    <row r="13" customFormat="false" ht="15" hidden="false" customHeight="false" outlineLevel="0" collapsed="false">
      <c r="A13" s="8" t="n">
        <f aca="false">A12+1</f>
        <v>45669</v>
      </c>
      <c r="B13" s="25" t="n">
        <f aca="false">YEAR(A13)</f>
        <v>2025</v>
      </c>
      <c r="C13" s="25" t="n">
        <f aca="false">MONTH(A13)</f>
        <v>1</v>
      </c>
      <c r="D13" s="0" t="str">
        <f aca="false">CHOOSE(C13,"Ene","Feb","Mar","Abr","May","Jun","Jul","Ago","Sep","Oct","Nov","Dic")</f>
        <v>Ene</v>
      </c>
      <c r="E13" s="0" t="str">
        <f aca="false">D13&amp;"-"&amp;RIGHT(B13,2)</f>
        <v>Ene-25</v>
      </c>
      <c r="F13" s="0" t="str">
        <f aca="false">"T"&amp;ROUNDUP(C13/3,0)</f>
        <v>T1</v>
      </c>
      <c r="G13" s="35" t="n">
        <f aca="false">DATE(B13,C13,1)</f>
        <v>45658</v>
      </c>
      <c r="H13" s="25" t="n">
        <f aca="false">IF(DAY(A13+1)=1,1,0)</f>
        <v>0</v>
      </c>
    </row>
    <row r="14" customFormat="false" ht="15" hidden="false" customHeight="false" outlineLevel="0" collapsed="false">
      <c r="A14" s="8" t="n">
        <f aca="false">A13+1</f>
        <v>45670</v>
      </c>
      <c r="B14" s="25" t="n">
        <f aca="false">YEAR(A14)</f>
        <v>2025</v>
      </c>
      <c r="C14" s="25" t="n">
        <f aca="false">MONTH(A14)</f>
        <v>1</v>
      </c>
      <c r="D14" s="0" t="str">
        <f aca="false">CHOOSE(C14,"Ene","Feb","Mar","Abr","May","Jun","Jul","Ago","Sep","Oct","Nov","Dic")</f>
        <v>Ene</v>
      </c>
      <c r="E14" s="0" t="str">
        <f aca="false">D14&amp;"-"&amp;RIGHT(B14,2)</f>
        <v>Ene-25</v>
      </c>
      <c r="F14" s="0" t="str">
        <f aca="false">"T"&amp;ROUNDUP(C14/3,0)</f>
        <v>T1</v>
      </c>
      <c r="G14" s="35" t="n">
        <f aca="false">DATE(B14,C14,1)</f>
        <v>45658</v>
      </c>
      <c r="H14" s="25" t="n">
        <f aca="false">IF(DAY(A14+1)=1,1,0)</f>
        <v>0</v>
      </c>
    </row>
    <row r="15" customFormat="false" ht="15" hidden="false" customHeight="false" outlineLevel="0" collapsed="false">
      <c r="A15" s="8" t="n">
        <f aca="false">A14+1</f>
        <v>45671</v>
      </c>
      <c r="B15" s="25" t="n">
        <f aca="false">YEAR(A15)</f>
        <v>2025</v>
      </c>
      <c r="C15" s="25" t="n">
        <f aca="false">MONTH(A15)</f>
        <v>1</v>
      </c>
      <c r="D15" s="0" t="str">
        <f aca="false">CHOOSE(C15,"Ene","Feb","Mar","Abr","May","Jun","Jul","Ago","Sep","Oct","Nov","Dic")</f>
        <v>Ene</v>
      </c>
      <c r="E15" s="0" t="str">
        <f aca="false">D15&amp;"-"&amp;RIGHT(B15,2)</f>
        <v>Ene-25</v>
      </c>
      <c r="F15" s="0" t="str">
        <f aca="false">"T"&amp;ROUNDUP(C15/3,0)</f>
        <v>T1</v>
      </c>
      <c r="G15" s="35" t="n">
        <f aca="false">DATE(B15,C15,1)</f>
        <v>45658</v>
      </c>
      <c r="H15" s="25" t="n">
        <f aca="false">IF(DAY(A15+1)=1,1,0)</f>
        <v>0</v>
      </c>
    </row>
    <row r="16" customFormat="false" ht="15" hidden="false" customHeight="false" outlineLevel="0" collapsed="false">
      <c r="A16" s="8" t="n">
        <f aca="false">A15+1</f>
        <v>45672</v>
      </c>
      <c r="B16" s="25" t="n">
        <f aca="false">YEAR(A16)</f>
        <v>2025</v>
      </c>
      <c r="C16" s="25" t="n">
        <f aca="false">MONTH(A16)</f>
        <v>1</v>
      </c>
      <c r="D16" s="0" t="str">
        <f aca="false">CHOOSE(C16,"Ene","Feb","Mar","Abr","May","Jun","Jul","Ago","Sep","Oct","Nov","Dic")</f>
        <v>Ene</v>
      </c>
      <c r="E16" s="0" t="str">
        <f aca="false">D16&amp;"-"&amp;RIGHT(B16,2)</f>
        <v>Ene-25</v>
      </c>
      <c r="F16" s="0" t="str">
        <f aca="false">"T"&amp;ROUNDUP(C16/3,0)</f>
        <v>T1</v>
      </c>
      <c r="G16" s="35" t="n">
        <f aca="false">DATE(B16,C16,1)</f>
        <v>45658</v>
      </c>
      <c r="H16" s="25" t="n">
        <f aca="false">IF(DAY(A16+1)=1,1,0)</f>
        <v>0</v>
      </c>
    </row>
    <row r="17" customFormat="false" ht="15" hidden="false" customHeight="false" outlineLevel="0" collapsed="false">
      <c r="A17" s="8" t="n">
        <f aca="false">A16+1</f>
        <v>45673</v>
      </c>
      <c r="B17" s="25" t="n">
        <f aca="false">YEAR(A17)</f>
        <v>2025</v>
      </c>
      <c r="C17" s="25" t="n">
        <f aca="false">MONTH(A17)</f>
        <v>1</v>
      </c>
      <c r="D17" s="0" t="str">
        <f aca="false">CHOOSE(C17,"Ene","Feb","Mar","Abr","May","Jun","Jul","Ago","Sep","Oct","Nov","Dic")</f>
        <v>Ene</v>
      </c>
      <c r="E17" s="0" t="str">
        <f aca="false">D17&amp;"-"&amp;RIGHT(B17,2)</f>
        <v>Ene-25</v>
      </c>
      <c r="F17" s="0" t="str">
        <f aca="false">"T"&amp;ROUNDUP(C17/3,0)</f>
        <v>T1</v>
      </c>
      <c r="G17" s="35" t="n">
        <f aca="false">DATE(B17,C17,1)</f>
        <v>45658</v>
      </c>
      <c r="H17" s="25" t="n">
        <f aca="false">IF(DAY(A17+1)=1,1,0)</f>
        <v>0</v>
      </c>
    </row>
    <row r="18" customFormat="false" ht="15" hidden="false" customHeight="false" outlineLevel="0" collapsed="false">
      <c r="A18" s="8" t="n">
        <f aca="false">A17+1</f>
        <v>45674</v>
      </c>
      <c r="B18" s="25" t="n">
        <f aca="false">YEAR(A18)</f>
        <v>2025</v>
      </c>
      <c r="C18" s="25" t="n">
        <f aca="false">MONTH(A18)</f>
        <v>1</v>
      </c>
      <c r="D18" s="0" t="str">
        <f aca="false">CHOOSE(C18,"Ene","Feb","Mar","Abr","May","Jun","Jul","Ago","Sep","Oct","Nov","Dic")</f>
        <v>Ene</v>
      </c>
      <c r="E18" s="0" t="str">
        <f aca="false">D18&amp;"-"&amp;RIGHT(B18,2)</f>
        <v>Ene-25</v>
      </c>
      <c r="F18" s="0" t="str">
        <f aca="false">"T"&amp;ROUNDUP(C18/3,0)</f>
        <v>T1</v>
      </c>
      <c r="G18" s="35" t="n">
        <f aca="false">DATE(B18,C18,1)</f>
        <v>45658</v>
      </c>
      <c r="H18" s="25" t="n">
        <f aca="false">IF(DAY(A18+1)=1,1,0)</f>
        <v>0</v>
      </c>
    </row>
    <row r="19" customFormat="false" ht="15" hidden="false" customHeight="false" outlineLevel="0" collapsed="false">
      <c r="A19" s="8" t="n">
        <f aca="false">A18+1</f>
        <v>45675</v>
      </c>
      <c r="B19" s="25" t="n">
        <f aca="false">YEAR(A19)</f>
        <v>2025</v>
      </c>
      <c r="C19" s="25" t="n">
        <f aca="false">MONTH(A19)</f>
        <v>1</v>
      </c>
      <c r="D19" s="0" t="str">
        <f aca="false">CHOOSE(C19,"Ene","Feb","Mar","Abr","May","Jun","Jul","Ago","Sep","Oct","Nov","Dic")</f>
        <v>Ene</v>
      </c>
      <c r="E19" s="0" t="str">
        <f aca="false">D19&amp;"-"&amp;RIGHT(B19,2)</f>
        <v>Ene-25</v>
      </c>
      <c r="F19" s="0" t="str">
        <f aca="false">"T"&amp;ROUNDUP(C19/3,0)</f>
        <v>T1</v>
      </c>
      <c r="G19" s="35" t="n">
        <f aca="false">DATE(B19,C19,1)</f>
        <v>45658</v>
      </c>
      <c r="H19" s="25" t="n">
        <f aca="false">IF(DAY(A19+1)=1,1,0)</f>
        <v>0</v>
      </c>
    </row>
    <row r="20" customFormat="false" ht="15" hidden="false" customHeight="false" outlineLevel="0" collapsed="false">
      <c r="A20" s="8" t="n">
        <f aca="false">A19+1</f>
        <v>45676</v>
      </c>
      <c r="B20" s="25" t="n">
        <f aca="false">YEAR(A20)</f>
        <v>2025</v>
      </c>
      <c r="C20" s="25" t="n">
        <f aca="false">MONTH(A20)</f>
        <v>1</v>
      </c>
      <c r="D20" s="0" t="str">
        <f aca="false">CHOOSE(C20,"Ene","Feb","Mar","Abr","May","Jun","Jul","Ago","Sep","Oct","Nov","Dic")</f>
        <v>Ene</v>
      </c>
      <c r="E20" s="0" t="str">
        <f aca="false">D20&amp;"-"&amp;RIGHT(B20,2)</f>
        <v>Ene-25</v>
      </c>
      <c r="F20" s="0" t="str">
        <f aca="false">"T"&amp;ROUNDUP(C20/3,0)</f>
        <v>T1</v>
      </c>
      <c r="G20" s="35" t="n">
        <f aca="false">DATE(B20,C20,1)</f>
        <v>45658</v>
      </c>
      <c r="H20" s="25" t="n">
        <f aca="false">IF(DAY(A20+1)=1,1,0)</f>
        <v>0</v>
      </c>
    </row>
    <row r="21" customFormat="false" ht="15" hidden="false" customHeight="false" outlineLevel="0" collapsed="false">
      <c r="A21" s="8" t="n">
        <f aca="false">A20+1</f>
        <v>45677</v>
      </c>
      <c r="B21" s="25" t="n">
        <f aca="false">YEAR(A21)</f>
        <v>2025</v>
      </c>
      <c r="C21" s="25" t="n">
        <f aca="false">MONTH(A21)</f>
        <v>1</v>
      </c>
      <c r="D21" s="0" t="str">
        <f aca="false">CHOOSE(C21,"Ene","Feb","Mar","Abr","May","Jun","Jul","Ago","Sep","Oct","Nov","Dic")</f>
        <v>Ene</v>
      </c>
      <c r="E21" s="0" t="str">
        <f aca="false">D21&amp;"-"&amp;RIGHT(B21,2)</f>
        <v>Ene-25</v>
      </c>
      <c r="F21" s="0" t="str">
        <f aca="false">"T"&amp;ROUNDUP(C21/3,0)</f>
        <v>T1</v>
      </c>
      <c r="G21" s="35" t="n">
        <f aca="false">DATE(B21,C21,1)</f>
        <v>45658</v>
      </c>
      <c r="H21" s="25" t="n">
        <f aca="false">IF(DAY(A21+1)=1,1,0)</f>
        <v>0</v>
      </c>
    </row>
    <row r="22" customFormat="false" ht="15" hidden="false" customHeight="false" outlineLevel="0" collapsed="false">
      <c r="A22" s="8" t="n">
        <f aca="false">A21+1</f>
        <v>45678</v>
      </c>
      <c r="B22" s="25" t="n">
        <f aca="false">YEAR(A22)</f>
        <v>2025</v>
      </c>
      <c r="C22" s="25" t="n">
        <f aca="false">MONTH(A22)</f>
        <v>1</v>
      </c>
      <c r="D22" s="0" t="str">
        <f aca="false">CHOOSE(C22,"Ene","Feb","Mar","Abr","May","Jun","Jul","Ago","Sep","Oct","Nov","Dic")</f>
        <v>Ene</v>
      </c>
      <c r="E22" s="0" t="str">
        <f aca="false">D22&amp;"-"&amp;RIGHT(B22,2)</f>
        <v>Ene-25</v>
      </c>
      <c r="F22" s="0" t="str">
        <f aca="false">"T"&amp;ROUNDUP(C22/3,0)</f>
        <v>T1</v>
      </c>
      <c r="G22" s="35" t="n">
        <f aca="false">DATE(B22,C22,1)</f>
        <v>45658</v>
      </c>
      <c r="H22" s="25" t="n">
        <f aca="false">IF(DAY(A22+1)=1,1,0)</f>
        <v>0</v>
      </c>
    </row>
    <row r="23" customFormat="false" ht="15" hidden="false" customHeight="false" outlineLevel="0" collapsed="false">
      <c r="A23" s="8" t="n">
        <f aca="false">A22+1</f>
        <v>45679</v>
      </c>
      <c r="B23" s="25" t="n">
        <f aca="false">YEAR(A23)</f>
        <v>2025</v>
      </c>
      <c r="C23" s="25" t="n">
        <f aca="false">MONTH(A23)</f>
        <v>1</v>
      </c>
      <c r="D23" s="0" t="str">
        <f aca="false">CHOOSE(C23,"Ene","Feb","Mar","Abr","May","Jun","Jul","Ago","Sep","Oct","Nov","Dic")</f>
        <v>Ene</v>
      </c>
      <c r="E23" s="0" t="str">
        <f aca="false">D23&amp;"-"&amp;RIGHT(B23,2)</f>
        <v>Ene-25</v>
      </c>
      <c r="F23" s="0" t="str">
        <f aca="false">"T"&amp;ROUNDUP(C23/3,0)</f>
        <v>T1</v>
      </c>
      <c r="G23" s="35" t="n">
        <f aca="false">DATE(B23,C23,1)</f>
        <v>45658</v>
      </c>
      <c r="H23" s="25" t="n">
        <f aca="false">IF(DAY(A23+1)=1,1,0)</f>
        <v>0</v>
      </c>
    </row>
    <row r="24" customFormat="false" ht="15" hidden="false" customHeight="false" outlineLevel="0" collapsed="false">
      <c r="A24" s="8" t="n">
        <f aca="false">A23+1</f>
        <v>45680</v>
      </c>
      <c r="B24" s="25" t="n">
        <f aca="false">YEAR(A24)</f>
        <v>2025</v>
      </c>
      <c r="C24" s="25" t="n">
        <f aca="false">MONTH(A24)</f>
        <v>1</v>
      </c>
      <c r="D24" s="0" t="str">
        <f aca="false">CHOOSE(C24,"Ene","Feb","Mar","Abr","May","Jun","Jul","Ago","Sep","Oct","Nov","Dic")</f>
        <v>Ene</v>
      </c>
      <c r="E24" s="0" t="str">
        <f aca="false">D24&amp;"-"&amp;RIGHT(B24,2)</f>
        <v>Ene-25</v>
      </c>
      <c r="F24" s="0" t="str">
        <f aca="false">"T"&amp;ROUNDUP(C24/3,0)</f>
        <v>T1</v>
      </c>
      <c r="G24" s="35" t="n">
        <f aca="false">DATE(B24,C24,1)</f>
        <v>45658</v>
      </c>
      <c r="H24" s="25" t="n">
        <f aca="false">IF(DAY(A24+1)=1,1,0)</f>
        <v>0</v>
      </c>
    </row>
    <row r="25" customFormat="false" ht="15" hidden="false" customHeight="false" outlineLevel="0" collapsed="false">
      <c r="A25" s="8" t="n">
        <f aca="false">A24+1</f>
        <v>45681</v>
      </c>
      <c r="B25" s="25" t="n">
        <f aca="false">YEAR(A25)</f>
        <v>2025</v>
      </c>
      <c r="C25" s="25" t="n">
        <f aca="false">MONTH(A25)</f>
        <v>1</v>
      </c>
      <c r="D25" s="0" t="str">
        <f aca="false">CHOOSE(C25,"Ene","Feb","Mar","Abr","May","Jun","Jul","Ago","Sep","Oct","Nov","Dic")</f>
        <v>Ene</v>
      </c>
      <c r="E25" s="0" t="str">
        <f aca="false">D25&amp;"-"&amp;RIGHT(B25,2)</f>
        <v>Ene-25</v>
      </c>
      <c r="F25" s="0" t="str">
        <f aca="false">"T"&amp;ROUNDUP(C25/3,0)</f>
        <v>T1</v>
      </c>
      <c r="G25" s="35" t="n">
        <f aca="false">DATE(B25,C25,1)</f>
        <v>45658</v>
      </c>
      <c r="H25" s="25" t="n">
        <f aca="false">IF(DAY(A25+1)=1,1,0)</f>
        <v>0</v>
      </c>
    </row>
    <row r="26" customFormat="false" ht="15" hidden="false" customHeight="false" outlineLevel="0" collapsed="false">
      <c r="A26" s="8" t="n">
        <f aca="false">A25+1</f>
        <v>45682</v>
      </c>
      <c r="B26" s="25" t="n">
        <f aca="false">YEAR(A26)</f>
        <v>2025</v>
      </c>
      <c r="C26" s="25" t="n">
        <f aca="false">MONTH(A26)</f>
        <v>1</v>
      </c>
      <c r="D26" s="0" t="str">
        <f aca="false">CHOOSE(C26,"Ene","Feb","Mar","Abr","May","Jun","Jul","Ago","Sep","Oct","Nov","Dic")</f>
        <v>Ene</v>
      </c>
      <c r="E26" s="0" t="str">
        <f aca="false">D26&amp;"-"&amp;RIGHT(B26,2)</f>
        <v>Ene-25</v>
      </c>
      <c r="F26" s="0" t="str">
        <f aca="false">"T"&amp;ROUNDUP(C26/3,0)</f>
        <v>T1</v>
      </c>
      <c r="G26" s="35" t="n">
        <f aca="false">DATE(B26,C26,1)</f>
        <v>45658</v>
      </c>
      <c r="H26" s="25" t="n">
        <f aca="false">IF(DAY(A26+1)=1,1,0)</f>
        <v>0</v>
      </c>
    </row>
    <row r="27" customFormat="false" ht="15" hidden="false" customHeight="false" outlineLevel="0" collapsed="false">
      <c r="A27" s="8" t="n">
        <f aca="false">A26+1</f>
        <v>45683</v>
      </c>
      <c r="B27" s="25" t="n">
        <f aca="false">YEAR(A27)</f>
        <v>2025</v>
      </c>
      <c r="C27" s="25" t="n">
        <f aca="false">MONTH(A27)</f>
        <v>1</v>
      </c>
      <c r="D27" s="0" t="str">
        <f aca="false">CHOOSE(C27,"Ene","Feb","Mar","Abr","May","Jun","Jul","Ago","Sep","Oct","Nov","Dic")</f>
        <v>Ene</v>
      </c>
      <c r="E27" s="0" t="str">
        <f aca="false">D27&amp;"-"&amp;RIGHT(B27,2)</f>
        <v>Ene-25</v>
      </c>
      <c r="F27" s="0" t="str">
        <f aca="false">"T"&amp;ROUNDUP(C27/3,0)</f>
        <v>T1</v>
      </c>
      <c r="G27" s="35" t="n">
        <f aca="false">DATE(B27,C27,1)</f>
        <v>45658</v>
      </c>
      <c r="H27" s="25" t="n">
        <f aca="false">IF(DAY(A27+1)=1,1,0)</f>
        <v>0</v>
      </c>
    </row>
    <row r="28" customFormat="false" ht="15" hidden="false" customHeight="false" outlineLevel="0" collapsed="false">
      <c r="A28" s="8" t="n">
        <f aca="false">A27+1</f>
        <v>45684</v>
      </c>
      <c r="B28" s="25" t="n">
        <f aca="false">YEAR(A28)</f>
        <v>2025</v>
      </c>
      <c r="C28" s="25" t="n">
        <f aca="false">MONTH(A28)</f>
        <v>1</v>
      </c>
      <c r="D28" s="0" t="str">
        <f aca="false">CHOOSE(C28,"Ene","Feb","Mar","Abr","May","Jun","Jul","Ago","Sep","Oct","Nov","Dic")</f>
        <v>Ene</v>
      </c>
      <c r="E28" s="0" t="str">
        <f aca="false">D28&amp;"-"&amp;RIGHT(B28,2)</f>
        <v>Ene-25</v>
      </c>
      <c r="F28" s="0" t="str">
        <f aca="false">"T"&amp;ROUNDUP(C28/3,0)</f>
        <v>T1</v>
      </c>
      <c r="G28" s="35" t="n">
        <f aca="false">DATE(B28,C28,1)</f>
        <v>45658</v>
      </c>
      <c r="H28" s="25" t="n">
        <f aca="false">IF(DAY(A28+1)=1,1,0)</f>
        <v>0</v>
      </c>
    </row>
    <row r="29" customFormat="false" ht="15" hidden="false" customHeight="false" outlineLevel="0" collapsed="false">
      <c r="A29" s="8" t="n">
        <f aca="false">A28+1</f>
        <v>45685</v>
      </c>
      <c r="B29" s="25" t="n">
        <f aca="false">YEAR(A29)</f>
        <v>2025</v>
      </c>
      <c r="C29" s="25" t="n">
        <f aca="false">MONTH(A29)</f>
        <v>1</v>
      </c>
      <c r="D29" s="0" t="str">
        <f aca="false">CHOOSE(C29,"Ene","Feb","Mar","Abr","May","Jun","Jul","Ago","Sep","Oct","Nov","Dic")</f>
        <v>Ene</v>
      </c>
      <c r="E29" s="0" t="str">
        <f aca="false">D29&amp;"-"&amp;RIGHT(B29,2)</f>
        <v>Ene-25</v>
      </c>
      <c r="F29" s="0" t="str">
        <f aca="false">"T"&amp;ROUNDUP(C29/3,0)</f>
        <v>T1</v>
      </c>
      <c r="G29" s="35" t="n">
        <f aca="false">DATE(B29,C29,1)</f>
        <v>45658</v>
      </c>
      <c r="H29" s="25" t="n">
        <f aca="false">IF(DAY(A29+1)=1,1,0)</f>
        <v>0</v>
      </c>
    </row>
    <row r="30" customFormat="false" ht="15" hidden="false" customHeight="false" outlineLevel="0" collapsed="false">
      <c r="A30" s="8" t="n">
        <f aca="false">A29+1</f>
        <v>45686</v>
      </c>
      <c r="B30" s="25" t="n">
        <f aca="false">YEAR(A30)</f>
        <v>2025</v>
      </c>
      <c r="C30" s="25" t="n">
        <f aca="false">MONTH(A30)</f>
        <v>1</v>
      </c>
      <c r="D30" s="0" t="str">
        <f aca="false">CHOOSE(C30,"Ene","Feb","Mar","Abr","May","Jun","Jul","Ago","Sep","Oct","Nov","Dic")</f>
        <v>Ene</v>
      </c>
      <c r="E30" s="0" t="str">
        <f aca="false">D30&amp;"-"&amp;RIGHT(B30,2)</f>
        <v>Ene-25</v>
      </c>
      <c r="F30" s="0" t="str">
        <f aca="false">"T"&amp;ROUNDUP(C30/3,0)</f>
        <v>T1</v>
      </c>
      <c r="G30" s="35" t="n">
        <f aca="false">DATE(B30,C30,1)</f>
        <v>45658</v>
      </c>
      <c r="H30" s="25" t="n">
        <f aca="false">IF(DAY(A30+1)=1,1,0)</f>
        <v>0</v>
      </c>
    </row>
    <row r="31" customFormat="false" ht="15" hidden="false" customHeight="false" outlineLevel="0" collapsed="false">
      <c r="A31" s="8" t="n">
        <f aca="false">A30+1</f>
        <v>45687</v>
      </c>
      <c r="B31" s="25" t="n">
        <f aca="false">YEAR(A31)</f>
        <v>2025</v>
      </c>
      <c r="C31" s="25" t="n">
        <f aca="false">MONTH(A31)</f>
        <v>1</v>
      </c>
      <c r="D31" s="0" t="str">
        <f aca="false">CHOOSE(C31,"Ene","Feb","Mar","Abr","May","Jun","Jul","Ago","Sep","Oct","Nov","Dic")</f>
        <v>Ene</v>
      </c>
      <c r="E31" s="0" t="str">
        <f aca="false">D31&amp;"-"&amp;RIGHT(B31,2)</f>
        <v>Ene-25</v>
      </c>
      <c r="F31" s="0" t="str">
        <f aca="false">"T"&amp;ROUNDUP(C31/3,0)</f>
        <v>T1</v>
      </c>
      <c r="G31" s="35" t="n">
        <f aca="false">DATE(B31,C31,1)</f>
        <v>45658</v>
      </c>
      <c r="H31" s="25" t="n">
        <f aca="false">IF(DAY(A31+1)=1,1,0)</f>
        <v>0</v>
      </c>
    </row>
    <row r="32" customFormat="false" ht="15" hidden="false" customHeight="false" outlineLevel="0" collapsed="false">
      <c r="A32" s="8" t="n">
        <f aca="false">A31+1</f>
        <v>45688</v>
      </c>
      <c r="B32" s="25" t="n">
        <f aca="false">YEAR(A32)</f>
        <v>2025</v>
      </c>
      <c r="C32" s="25" t="n">
        <f aca="false">MONTH(A32)</f>
        <v>1</v>
      </c>
      <c r="D32" s="0" t="str">
        <f aca="false">CHOOSE(C32,"Ene","Feb","Mar","Abr","May","Jun","Jul","Ago","Sep","Oct","Nov","Dic")</f>
        <v>Ene</v>
      </c>
      <c r="E32" s="0" t="str">
        <f aca="false">D32&amp;"-"&amp;RIGHT(B32,2)</f>
        <v>Ene-25</v>
      </c>
      <c r="F32" s="0" t="str">
        <f aca="false">"T"&amp;ROUNDUP(C32/3,0)</f>
        <v>T1</v>
      </c>
      <c r="G32" s="35" t="n">
        <f aca="false">DATE(B32,C32,1)</f>
        <v>45658</v>
      </c>
      <c r="H32" s="25" t="n">
        <f aca="false">IF(DAY(A32+1)=1,1,0)</f>
        <v>1</v>
      </c>
    </row>
    <row r="33" customFormat="false" ht="15" hidden="false" customHeight="false" outlineLevel="0" collapsed="false">
      <c r="A33" s="8" t="n">
        <f aca="false">A32+1</f>
        <v>45689</v>
      </c>
      <c r="B33" s="25" t="n">
        <f aca="false">YEAR(A33)</f>
        <v>2025</v>
      </c>
      <c r="C33" s="25" t="n">
        <f aca="false">MONTH(A33)</f>
        <v>2</v>
      </c>
      <c r="D33" s="0" t="str">
        <f aca="false">CHOOSE(C33,"Ene","Feb","Mar","Abr","May","Jun","Jul","Ago","Sep","Oct","Nov","Dic")</f>
        <v>Feb</v>
      </c>
      <c r="E33" s="0" t="str">
        <f aca="false">D33&amp;"-"&amp;RIGHT(B33,2)</f>
        <v>Feb-25</v>
      </c>
      <c r="F33" s="0" t="str">
        <f aca="false">"T"&amp;ROUNDUP(C33/3,0)</f>
        <v>T1</v>
      </c>
      <c r="G33" s="35" t="n">
        <f aca="false">DATE(B33,C33,1)</f>
        <v>45689</v>
      </c>
      <c r="H33" s="25" t="n">
        <f aca="false">IF(DAY(A33+1)=1,1,0)</f>
        <v>0</v>
      </c>
    </row>
    <row r="34" customFormat="false" ht="15" hidden="false" customHeight="false" outlineLevel="0" collapsed="false">
      <c r="A34" s="8" t="n">
        <f aca="false">A33+1</f>
        <v>45690</v>
      </c>
      <c r="B34" s="25" t="n">
        <f aca="false">YEAR(A34)</f>
        <v>2025</v>
      </c>
      <c r="C34" s="25" t="n">
        <f aca="false">MONTH(A34)</f>
        <v>2</v>
      </c>
      <c r="D34" s="0" t="str">
        <f aca="false">CHOOSE(C34,"Ene","Feb","Mar","Abr","May","Jun","Jul","Ago","Sep","Oct","Nov","Dic")</f>
        <v>Feb</v>
      </c>
      <c r="E34" s="0" t="str">
        <f aca="false">D34&amp;"-"&amp;RIGHT(B34,2)</f>
        <v>Feb-25</v>
      </c>
      <c r="F34" s="0" t="str">
        <f aca="false">"T"&amp;ROUNDUP(C34/3,0)</f>
        <v>T1</v>
      </c>
      <c r="G34" s="35" t="n">
        <f aca="false">DATE(B34,C34,1)</f>
        <v>45689</v>
      </c>
      <c r="H34" s="25" t="n">
        <f aca="false">IF(DAY(A34+1)=1,1,0)</f>
        <v>0</v>
      </c>
    </row>
    <row r="35" customFormat="false" ht="15" hidden="false" customHeight="false" outlineLevel="0" collapsed="false">
      <c r="A35" s="8" t="n">
        <f aca="false">A34+1</f>
        <v>45691</v>
      </c>
      <c r="B35" s="25" t="n">
        <f aca="false">YEAR(A35)</f>
        <v>2025</v>
      </c>
      <c r="C35" s="25" t="n">
        <f aca="false">MONTH(A35)</f>
        <v>2</v>
      </c>
      <c r="D35" s="0" t="str">
        <f aca="false">CHOOSE(C35,"Ene","Feb","Mar","Abr","May","Jun","Jul","Ago","Sep","Oct","Nov","Dic")</f>
        <v>Feb</v>
      </c>
      <c r="E35" s="0" t="str">
        <f aca="false">D35&amp;"-"&amp;RIGHT(B35,2)</f>
        <v>Feb-25</v>
      </c>
      <c r="F35" s="0" t="str">
        <f aca="false">"T"&amp;ROUNDUP(C35/3,0)</f>
        <v>T1</v>
      </c>
      <c r="G35" s="35" t="n">
        <f aca="false">DATE(B35,C35,1)</f>
        <v>45689</v>
      </c>
      <c r="H35" s="25" t="n">
        <f aca="false">IF(DAY(A35+1)=1,1,0)</f>
        <v>0</v>
      </c>
    </row>
    <row r="36" customFormat="false" ht="15" hidden="false" customHeight="false" outlineLevel="0" collapsed="false">
      <c r="A36" s="8" t="n">
        <f aca="false">A35+1</f>
        <v>45692</v>
      </c>
      <c r="B36" s="25" t="n">
        <f aca="false">YEAR(A36)</f>
        <v>2025</v>
      </c>
      <c r="C36" s="25" t="n">
        <f aca="false">MONTH(A36)</f>
        <v>2</v>
      </c>
      <c r="D36" s="0" t="str">
        <f aca="false">CHOOSE(C36,"Ene","Feb","Mar","Abr","May","Jun","Jul","Ago","Sep","Oct","Nov","Dic")</f>
        <v>Feb</v>
      </c>
      <c r="E36" s="0" t="str">
        <f aca="false">D36&amp;"-"&amp;RIGHT(B36,2)</f>
        <v>Feb-25</v>
      </c>
      <c r="F36" s="0" t="str">
        <f aca="false">"T"&amp;ROUNDUP(C36/3,0)</f>
        <v>T1</v>
      </c>
      <c r="G36" s="35" t="n">
        <f aca="false">DATE(B36,C36,1)</f>
        <v>45689</v>
      </c>
      <c r="H36" s="25" t="n">
        <f aca="false">IF(DAY(A36+1)=1,1,0)</f>
        <v>0</v>
      </c>
    </row>
    <row r="37" customFormat="false" ht="15" hidden="false" customHeight="false" outlineLevel="0" collapsed="false">
      <c r="A37" s="8" t="n">
        <f aca="false">A36+1</f>
        <v>45693</v>
      </c>
      <c r="B37" s="25" t="n">
        <f aca="false">YEAR(A37)</f>
        <v>2025</v>
      </c>
      <c r="C37" s="25" t="n">
        <f aca="false">MONTH(A37)</f>
        <v>2</v>
      </c>
      <c r="D37" s="0" t="str">
        <f aca="false">CHOOSE(C37,"Ene","Feb","Mar","Abr","May","Jun","Jul","Ago","Sep","Oct","Nov","Dic")</f>
        <v>Feb</v>
      </c>
      <c r="E37" s="0" t="str">
        <f aca="false">D37&amp;"-"&amp;RIGHT(B37,2)</f>
        <v>Feb-25</v>
      </c>
      <c r="F37" s="0" t="str">
        <f aca="false">"T"&amp;ROUNDUP(C37/3,0)</f>
        <v>T1</v>
      </c>
      <c r="G37" s="35" t="n">
        <f aca="false">DATE(B37,C37,1)</f>
        <v>45689</v>
      </c>
      <c r="H37" s="25" t="n">
        <f aca="false">IF(DAY(A37+1)=1,1,0)</f>
        <v>0</v>
      </c>
    </row>
    <row r="38" customFormat="false" ht="15" hidden="false" customHeight="false" outlineLevel="0" collapsed="false">
      <c r="A38" s="8" t="n">
        <f aca="false">A37+1</f>
        <v>45694</v>
      </c>
      <c r="B38" s="25" t="n">
        <f aca="false">YEAR(A38)</f>
        <v>2025</v>
      </c>
      <c r="C38" s="25" t="n">
        <f aca="false">MONTH(A38)</f>
        <v>2</v>
      </c>
      <c r="D38" s="0" t="str">
        <f aca="false">CHOOSE(C38,"Ene","Feb","Mar","Abr","May","Jun","Jul","Ago","Sep","Oct","Nov","Dic")</f>
        <v>Feb</v>
      </c>
      <c r="E38" s="0" t="str">
        <f aca="false">D38&amp;"-"&amp;RIGHT(B38,2)</f>
        <v>Feb-25</v>
      </c>
      <c r="F38" s="0" t="str">
        <f aca="false">"T"&amp;ROUNDUP(C38/3,0)</f>
        <v>T1</v>
      </c>
      <c r="G38" s="35" t="n">
        <f aca="false">DATE(B38,C38,1)</f>
        <v>45689</v>
      </c>
      <c r="H38" s="25" t="n">
        <f aca="false">IF(DAY(A38+1)=1,1,0)</f>
        <v>0</v>
      </c>
    </row>
    <row r="39" customFormat="false" ht="15" hidden="false" customHeight="false" outlineLevel="0" collapsed="false">
      <c r="A39" s="8" t="n">
        <f aca="false">A38+1</f>
        <v>45695</v>
      </c>
      <c r="B39" s="25" t="n">
        <f aca="false">YEAR(A39)</f>
        <v>2025</v>
      </c>
      <c r="C39" s="25" t="n">
        <f aca="false">MONTH(A39)</f>
        <v>2</v>
      </c>
      <c r="D39" s="0" t="str">
        <f aca="false">CHOOSE(C39,"Ene","Feb","Mar","Abr","May","Jun","Jul","Ago","Sep","Oct","Nov","Dic")</f>
        <v>Feb</v>
      </c>
      <c r="E39" s="0" t="str">
        <f aca="false">D39&amp;"-"&amp;RIGHT(B39,2)</f>
        <v>Feb-25</v>
      </c>
      <c r="F39" s="0" t="str">
        <f aca="false">"T"&amp;ROUNDUP(C39/3,0)</f>
        <v>T1</v>
      </c>
      <c r="G39" s="35" t="n">
        <f aca="false">DATE(B39,C39,1)</f>
        <v>45689</v>
      </c>
      <c r="H39" s="25" t="n">
        <f aca="false">IF(DAY(A39+1)=1,1,0)</f>
        <v>0</v>
      </c>
    </row>
    <row r="40" customFormat="false" ht="15" hidden="false" customHeight="false" outlineLevel="0" collapsed="false">
      <c r="A40" s="8" t="n">
        <f aca="false">A39+1</f>
        <v>45696</v>
      </c>
      <c r="B40" s="25" t="n">
        <f aca="false">YEAR(A40)</f>
        <v>2025</v>
      </c>
      <c r="C40" s="25" t="n">
        <f aca="false">MONTH(A40)</f>
        <v>2</v>
      </c>
      <c r="D40" s="0" t="str">
        <f aca="false">CHOOSE(C40,"Ene","Feb","Mar","Abr","May","Jun","Jul","Ago","Sep","Oct","Nov","Dic")</f>
        <v>Feb</v>
      </c>
      <c r="E40" s="0" t="str">
        <f aca="false">D40&amp;"-"&amp;RIGHT(B40,2)</f>
        <v>Feb-25</v>
      </c>
      <c r="F40" s="0" t="str">
        <f aca="false">"T"&amp;ROUNDUP(C40/3,0)</f>
        <v>T1</v>
      </c>
      <c r="G40" s="35" t="n">
        <f aca="false">DATE(B40,C40,1)</f>
        <v>45689</v>
      </c>
      <c r="H40" s="25" t="n">
        <f aca="false">IF(DAY(A40+1)=1,1,0)</f>
        <v>0</v>
      </c>
    </row>
    <row r="41" customFormat="false" ht="15" hidden="false" customHeight="false" outlineLevel="0" collapsed="false">
      <c r="A41" s="8" t="n">
        <f aca="false">A40+1</f>
        <v>45697</v>
      </c>
      <c r="B41" s="25" t="n">
        <f aca="false">YEAR(A41)</f>
        <v>2025</v>
      </c>
      <c r="C41" s="25" t="n">
        <f aca="false">MONTH(A41)</f>
        <v>2</v>
      </c>
      <c r="D41" s="0" t="str">
        <f aca="false">CHOOSE(C41,"Ene","Feb","Mar","Abr","May","Jun","Jul","Ago","Sep","Oct","Nov","Dic")</f>
        <v>Feb</v>
      </c>
      <c r="E41" s="0" t="str">
        <f aca="false">D41&amp;"-"&amp;RIGHT(B41,2)</f>
        <v>Feb-25</v>
      </c>
      <c r="F41" s="0" t="str">
        <f aca="false">"T"&amp;ROUNDUP(C41/3,0)</f>
        <v>T1</v>
      </c>
      <c r="G41" s="35" t="n">
        <f aca="false">DATE(B41,C41,1)</f>
        <v>45689</v>
      </c>
      <c r="H41" s="25" t="n">
        <f aca="false">IF(DAY(A41+1)=1,1,0)</f>
        <v>0</v>
      </c>
    </row>
    <row r="42" customFormat="false" ht="15" hidden="false" customHeight="false" outlineLevel="0" collapsed="false">
      <c r="A42" s="8" t="n">
        <f aca="false">A41+1</f>
        <v>45698</v>
      </c>
      <c r="B42" s="25" t="n">
        <f aca="false">YEAR(A42)</f>
        <v>2025</v>
      </c>
      <c r="C42" s="25" t="n">
        <f aca="false">MONTH(A42)</f>
        <v>2</v>
      </c>
      <c r="D42" s="0" t="str">
        <f aca="false">CHOOSE(C42,"Ene","Feb","Mar","Abr","May","Jun","Jul","Ago","Sep","Oct","Nov","Dic")</f>
        <v>Feb</v>
      </c>
      <c r="E42" s="0" t="str">
        <f aca="false">D42&amp;"-"&amp;RIGHT(B42,2)</f>
        <v>Feb-25</v>
      </c>
      <c r="F42" s="0" t="str">
        <f aca="false">"T"&amp;ROUNDUP(C42/3,0)</f>
        <v>T1</v>
      </c>
      <c r="G42" s="35" t="n">
        <f aca="false">DATE(B42,C42,1)</f>
        <v>45689</v>
      </c>
      <c r="H42" s="25" t="n">
        <f aca="false">IF(DAY(A42+1)=1,1,0)</f>
        <v>0</v>
      </c>
    </row>
    <row r="43" customFormat="false" ht="15" hidden="false" customHeight="false" outlineLevel="0" collapsed="false">
      <c r="A43" s="8" t="n">
        <f aca="false">A42+1</f>
        <v>45699</v>
      </c>
      <c r="B43" s="25" t="n">
        <f aca="false">YEAR(A43)</f>
        <v>2025</v>
      </c>
      <c r="C43" s="25" t="n">
        <f aca="false">MONTH(A43)</f>
        <v>2</v>
      </c>
      <c r="D43" s="0" t="str">
        <f aca="false">CHOOSE(C43,"Ene","Feb","Mar","Abr","May","Jun","Jul","Ago","Sep","Oct","Nov","Dic")</f>
        <v>Feb</v>
      </c>
      <c r="E43" s="0" t="str">
        <f aca="false">D43&amp;"-"&amp;RIGHT(B43,2)</f>
        <v>Feb-25</v>
      </c>
      <c r="F43" s="0" t="str">
        <f aca="false">"T"&amp;ROUNDUP(C43/3,0)</f>
        <v>T1</v>
      </c>
      <c r="G43" s="35" t="n">
        <f aca="false">DATE(B43,C43,1)</f>
        <v>45689</v>
      </c>
      <c r="H43" s="25" t="n">
        <f aca="false">IF(DAY(A43+1)=1,1,0)</f>
        <v>0</v>
      </c>
    </row>
    <row r="44" customFormat="false" ht="15" hidden="false" customHeight="false" outlineLevel="0" collapsed="false">
      <c r="A44" s="8" t="n">
        <f aca="false">A43+1</f>
        <v>45700</v>
      </c>
      <c r="B44" s="25" t="n">
        <f aca="false">YEAR(A44)</f>
        <v>2025</v>
      </c>
      <c r="C44" s="25" t="n">
        <f aca="false">MONTH(A44)</f>
        <v>2</v>
      </c>
      <c r="D44" s="0" t="str">
        <f aca="false">CHOOSE(C44,"Ene","Feb","Mar","Abr","May","Jun","Jul","Ago","Sep","Oct","Nov","Dic")</f>
        <v>Feb</v>
      </c>
      <c r="E44" s="0" t="str">
        <f aca="false">D44&amp;"-"&amp;RIGHT(B44,2)</f>
        <v>Feb-25</v>
      </c>
      <c r="F44" s="0" t="str">
        <f aca="false">"T"&amp;ROUNDUP(C44/3,0)</f>
        <v>T1</v>
      </c>
      <c r="G44" s="35" t="n">
        <f aca="false">DATE(B44,C44,1)</f>
        <v>45689</v>
      </c>
      <c r="H44" s="25" t="n">
        <f aca="false">IF(DAY(A44+1)=1,1,0)</f>
        <v>0</v>
      </c>
    </row>
    <row r="45" customFormat="false" ht="15" hidden="false" customHeight="false" outlineLevel="0" collapsed="false">
      <c r="A45" s="8" t="n">
        <f aca="false">A44+1</f>
        <v>45701</v>
      </c>
      <c r="B45" s="25" t="n">
        <f aca="false">YEAR(A45)</f>
        <v>2025</v>
      </c>
      <c r="C45" s="25" t="n">
        <f aca="false">MONTH(A45)</f>
        <v>2</v>
      </c>
      <c r="D45" s="0" t="str">
        <f aca="false">CHOOSE(C45,"Ene","Feb","Mar","Abr","May","Jun","Jul","Ago","Sep","Oct","Nov","Dic")</f>
        <v>Feb</v>
      </c>
      <c r="E45" s="0" t="str">
        <f aca="false">D45&amp;"-"&amp;RIGHT(B45,2)</f>
        <v>Feb-25</v>
      </c>
      <c r="F45" s="0" t="str">
        <f aca="false">"T"&amp;ROUNDUP(C45/3,0)</f>
        <v>T1</v>
      </c>
      <c r="G45" s="35" t="n">
        <f aca="false">DATE(B45,C45,1)</f>
        <v>45689</v>
      </c>
      <c r="H45" s="25" t="n">
        <f aca="false">IF(DAY(A45+1)=1,1,0)</f>
        <v>0</v>
      </c>
    </row>
    <row r="46" customFormat="false" ht="15" hidden="false" customHeight="false" outlineLevel="0" collapsed="false">
      <c r="A46" s="8" t="n">
        <f aca="false">A45+1</f>
        <v>45702</v>
      </c>
      <c r="B46" s="25" t="n">
        <f aca="false">YEAR(A46)</f>
        <v>2025</v>
      </c>
      <c r="C46" s="25" t="n">
        <f aca="false">MONTH(A46)</f>
        <v>2</v>
      </c>
      <c r="D46" s="0" t="str">
        <f aca="false">CHOOSE(C46,"Ene","Feb","Mar","Abr","May","Jun","Jul","Ago","Sep","Oct","Nov","Dic")</f>
        <v>Feb</v>
      </c>
      <c r="E46" s="0" t="str">
        <f aca="false">D46&amp;"-"&amp;RIGHT(B46,2)</f>
        <v>Feb-25</v>
      </c>
      <c r="F46" s="0" t="str">
        <f aca="false">"T"&amp;ROUNDUP(C46/3,0)</f>
        <v>T1</v>
      </c>
      <c r="G46" s="35" t="n">
        <f aca="false">DATE(B46,C46,1)</f>
        <v>45689</v>
      </c>
      <c r="H46" s="25" t="n">
        <f aca="false">IF(DAY(A46+1)=1,1,0)</f>
        <v>0</v>
      </c>
    </row>
    <row r="47" customFormat="false" ht="15" hidden="false" customHeight="false" outlineLevel="0" collapsed="false">
      <c r="A47" s="8" t="n">
        <f aca="false">A46+1</f>
        <v>45703</v>
      </c>
      <c r="B47" s="25" t="n">
        <f aca="false">YEAR(A47)</f>
        <v>2025</v>
      </c>
      <c r="C47" s="25" t="n">
        <f aca="false">MONTH(A47)</f>
        <v>2</v>
      </c>
      <c r="D47" s="0" t="str">
        <f aca="false">CHOOSE(C47,"Ene","Feb","Mar","Abr","May","Jun","Jul","Ago","Sep","Oct","Nov","Dic")</f>
        <v>Feb</v>
      </c>
      <c r="E47" s="0" t="str">
        <f aca="false">D47&amp;"-"&amp;RIGHT(B47,2)</f>
        <v>Feb-25</v>
      </c>
      <c r="F47" s="0" t="str">
        <f aca="false">"T"&amp;ROUNDUP(C47/3,0)</f>
        <v>T1</v>
      </c>
      <c r="G47" s="35" t="n">
        <f aca="false">DATE(B47,C47,1)</f>
        <v>45689</v>
      </c>
      <c r="H47" s="25" t="n">
        <f aca="false">IF(DAY(A47+1)=1,1,0)</f>
        <v>0</v>
      </c>
    </row>
    <row r="48" customFormat="false" ht="15" hidden="false" customHeight="false" outlineLevel="0" collapsed="false">
      <c r="A48" s="8" t="n">
        <f aca="false">A47+1</f>
        <v>45704</v>
      </c>
      <c r="B48" s="25" t="n">
        <f aca="false">YEAR(A48)</f>
        <v>2025</v>
      </c>
      <c r="C48" s="25" t="n">
        <f aca="false">MONTH(A48)</f>
        <v>2</v>
      </c>
      <c r="D48" s="0" t="str">
        <f aca="false">CHOOSE(C48,"Ene","Feb","Mar","Abr","May","Jun","Jul","Ago","Sep","Oct","Nov","Dic")</f>
        <v>Feb</v>
      </c>
      <c r="E48" s="0" t="str">
        <f aca="false">D48&amp;"-"&amp;RIGHT(B48,2)</f>
        <v>Feb-25</v>
      </c>
      <c r="F48" s="0" t="str">
        <f aca="false">"T"&amp;ROUNDUP(C48/3,0)</f>
        <v>T1</v>
      </c>
      <c r="G48" s="35" t="n">
        <f aca="false">DATE(B48,C48,1)</f>
        <v>45689</v>
      </c>
      <c r="H48" s="25" t="n">
        <f aca="false">IF(DAY(A48+1)=1,1,0)</f>
        <v>0</v>
      </c>
    </row>
    <row r="49" customFormat="false" ht="15" hidden="false" customHeight="false" outlineLevel="0" collapsed="false">
      <c r="A49" s="8" t="n">
        <f aca="false">A48+1</f>
        <v>45705</v>
      </c>
      <c r="B49" s="25" t="n">
        <f aca="false">YEAR(A49)</f>
        <v>2025</v>
      </c>
      <c r="C49" s="25" t="n">
        <f aca="false">MONTH(A49)</f>
        <v>2</v>
      </c>
      <c r="D49" s="0" t="str">
        <f aca="false">CHOOSE(C49,"Ene","Feb","Mar","Abr","May","Jun","Jul","Ago","Sep","Oct","Nov","Dic")</f>
        <v>Feb</v>
      </c>
      <c r="E49" s="0" t="str">
        <f aca="false">D49&amp;"-"&amp;RIGHT(B49,2)</f>
        <v>Feb-25</v>
      </c>
      <c r="F49" s="0" t="str">
        <f aca="false">"T"&amp;ROUNDUP(C49/3,0)</f>
        <v>T1</v>
      </c>
      <c r="G49" s="35" t="n">
        <f aca="false">DATE(B49,C49,1)</f>
        <v>45689</v>
      </c>
      <c r="H49" s="25" t="n">
        <f aca="false">IF(DAY(A49+1)=1,1,0)</f>
        <v>0</v>
      </c>
    </row>
    <row r="50" customFormat="false" ht="15" hidden="false" customHeight="false" outlineLevel="0" collapsed="false">
      <c r="A50" s="8" t="n">
        <f aca="false">A49+1</f>
        <v>45706</v>
      </c>
      <c r="B50" s="25" t="n">
        <f aca="false">YEAR(A50)</f>
        <v>2025</v>
      </c>
      <c r="C50" s="25" t="n">
        <f aca="false">MONTH(A50)</f>
        <v>2</v>
      </c>
      <c r="D50" s="0" t="str">
        <f aca="false">CHOOSE(C50,"Ene","Feb","Mar","Abr","May","Jun","Jul","Ago","Sep","Oct","Nov","Dic")</f>
        <v>Feb</v>
      </c>
      <c r="E50" s="0" t="str">
        <f aca="false">D50&amp;"-"&amp;RIGHT(B50,2)</f>
        <v>Feb-25</v>
      </c>
      <c r="F50" s="0" t="str">
        <f aca="false">"T"&amp;ROUNDUP(C50/3,0)</f>
        <v>T1</v>
      </c>
      <c r="G50" s="35" t="n">
        <f aca="false">DATE(B50,C50,1)</f>
        <v>45689</v>
      </c>
      <c r="H50" s="25" t="n">
        <f aca="false">IF(DAY(A50+1)=1,1,0)</f>
        <v>0</v>
      </c>
    </row>
    <row r="51" customFormat="false" ht="15" hidden="false" customHeight="false" outlineLevel="0" collapsed="false">
      <c r="A51" s="8" t="n">
        <f aca="false">A50+1</f>
        <v>45707</v>
      </c>
      <c r="B51" s="25" t="n">
        <f aca="false">YEAR(A51)</f>
        <v>2025</v>
      </c>
      <c r="C51" s="25" t="n">
        <f aca="false">MONTH(A51)</f>
        <v>2</v>
      </c>
      <c r="D51" s="0" t="str">
        <f aca="false">CHOOSE(C51,"Ene","Feb","Mar","Abr","May","Jun","Jul","Ago","Sep","Oct","Nov","Dic")</f>
        <v>Feb</v>
      </c>
      <c r="E51" s="0" t="str">
        <f aca="false">D51&amp;"-"&amp;RIGHT(B51,2)</f>
        <v>Feb-25</v>
      </c>
      <c r="F51" s="0" t="str">
        <f aca="false">"T"&amp;ROUNDUP(C51/3,0)</f>
        <v>T1</v>
      </c>
      <c r="G51" s="35" t="n">
        <f aca="false">DATE(B51,C51,1)</f>
        <v>45689</v>
      </c>
      <c r="H51" s="25" t="n">
        <f aca="false">IF(DAY(A51+1)=1,1,0)</f>
        <v>0</v>
      </c>
    </row>
    <row r="52" customFormat="false" ht="15" hidden="false" customHeight="false" outlineLevel="0" collapsed="false">
      <c r="A52" s="8" t="n">
        <f aca="false">A51+1</f>
        <v>45708</v>
      </c>
      <c r="B52" s="25" t="n">
        <f aca="false">YEAR(A52)</f>
        <v>2025</v>
      </c>
      <c r="C52" s="25" t="n">
        <f aca="false">MONTH(A52)</f>
        <v>2</v>
      </c>
      <c r="D52" s="0" t="str">
        <f aca="false">CHOOSE(C52,"Ene","Feb","Mar","Abr","May","Jun","Jul","Ago","Sep","Oct","Nov","Dic")</f>
        <v>Feb</v>
      </c>
      <c r="E52" s="0" t="str">
        <f aca="false">D52&amp;"-"&amp;RIGHT(B52,2)</f>
        <v>Feb-25</v>
      </c>
      <c r="F52" s="0" t="str">
        <f aca="false">"T"&amp;ROUNDUP(C52/3,0)</f>
        <v>T1</v>
      </c>
      <c r="G52" s="35" t="n">
        <f aca="false">DATE(B52,C52,1)</f>
        <v>45689</v>
      </c>
      <c r="H52" s="25" t="n">
        <f aca="false">IF(DAY(A52+1)=1,1,0)</f>
        <v>0</v>
      </c>
    </row>
    <row r="53" customFormat="false" ht="15" hidden="false" customHeight="false" outlineLevel="0" collapsed="false">
      <c r="A53" s="8" t="n">
        <f aca="false">A52+1</f>
        <v>45709</v>
      </c>
      <c r="B53" s="25" t="n">
        <f aca="false">YEAR(A53)</f>
        <v>2025</v>
      </c>
      <c r="C53" s="25" t="n">
        <f aca="false">MONTH(A53)</f>
        <v>2</v>
      </c>
      <c r="D53" s="0" t="str">
        <f aca="false">CHOOSE(C53,"Ene","Feb","Mar","Abr","May","Jun","Jul","Ago","Sep","Oct","Nov","Dic")</f>
        <v>Feb</v>
      </c>
      <c r="E53" s="0" t="str">
        <f aca="false">D53&amp;"-"&amp;RIGHT(B53,2)</f>
        <v>Feb-25</v>
      </c>
      <c r="F53" s="0" t="str">
        <f aca="false">"T"&amp;ROUNDUP(C53/3,0)</f>
        <v>T1</v>
      </c>
      <c r="G53" s="35" t="n">
        <f aca="false">DATE(B53,C53,1)</f>
        <v>45689</v>
      </c>
      <c r="H53" s="25" t="n">
        <f aca="false">IF(DAY(A53+1)=1,1,0)</f>
        <v>0</v>
      </c>
    </row>
    <row r="54" customFormat="false" ht="15" hidden="false" customHeight="false" outlineLevel="0" collapsed="false">
      <c r="A54" s="8" t="n">
        <f aca="false">A53+1</f>
        <v>45710</v>
      </c>
      <c r="B54" s="25" t="n">
        <f aca="false">YEAR(A54)</f>
        <v>2025</v>
      </c>
      <c r="C54" s="25" t="n">
        <f aca="false">MONTH(A54)</f>
        <v>2</v>
      </c>
      <c r="D54" s="0" t="str">
        <f aca="false">CHOOSE(C54,"Ene","Feb","Mar","Abr","May","Jun","Jul","Ago","Sep","Oct","Nov","Dic")</f>
        <v>Feb</v>
      </c>
      <c r="E54" s="0" t="str">
        <f aca="false">D54&amp;"-"&amp;RIGHT(B54,2)</f>
        <v>Feb-25</v>
      </c>
      <c r="F54" s="0" t="str">
        <f aca="false">"T"&amp;ROUNDUP(C54/3,0)</f>
        <v>T1</v>
      </c>
      <c r="G54" s="35" t="n">
        <f aca="false">DATE(B54,C54,1)</f>
        <v>45689</v>
      </c>
      <c r="H54" s="25" t="n">
        <f aca="false">IF(DAY(A54+1)=1,1,0)</f>
        <v>0</v>
      </c>
    </row>
    <row r="55" customFormat="false" ht="15" hidden="false" customHeight="false" outlineLevel="0" collapsed="false">
      <c r="A55" s="8" t="n">
        <f aca="false">A54+1</f>
        <v>45711</v>
      </c>
      <c r="B55" s="25" t="n">
        <f aca="false">YEAR(A55)</f>
        <v>2025</v>
      </c>
      <c r="C55" s="25" t="n">
        <f aca="false">MONTH(A55)</f>
        <v>2</v>
      </c>
      <c r="D55" s="0" t="str">
        <f aca="false">CHOOSE(C55,"Ene","Feb","Mar","Abr","May","Jun","Jul","Ago","Sep","Oct","Nov","Dic")</f>
        <v>Feb</v>
      </c>
      <c r="E55" s="0" t="str">
        <f aca="false">D55&amp;"-"&amp;RIGHT(B55,2)</f>
        <v>Feb-25</v>
      </c>
      <c r="F55" s="0" t="str">
        <f aca="false">"T"&amp;ROUNDUP(C55/3,0)</f>
        <v>T1</v>
      </c>
      <c r="G55" s="35" t="n">
        <f aca="false">DATE(B55,C55,1)</f>
        <v>45689</v>
      </c>
      <c r="H55" s="25" t="n">
        <f aca="false">IF(DAY(A55+1)=1,1,0)</f>
        <v>0</v>
      </c>
    </row>
    <row r="56" customFormat="false" ht="15" hidden="false" customHeight="false" outlineLevel="0" collapsed="false">
      <c r="A56" s="8" t="n">
        <f aca="false">A55+1</f>
        <v>45712</v>
      </c>
      <c r="B56" s="25" t="n">
        <f aca="false">YEAR(A56)</f>
        <v>2025</v>
      </c>
      <c r="C56" s="25" t="n">
        <f aca="false">MONTH(A56)</f>
        <v>2</v>
      </c>
      <c r="D56" s="0" t="str">
        <f aca="false">CHOOSE(C56,"Ene","Feb","Mar","Abr","May","Jun","Jul","Ago","Sep","Oct","Nov","Dic")</f>
        <v>Feb</v>
      </c>
      <c r="E56" s="0" t="str">
        <f aca="false">D56&amp;"-"&amp;RIGHT(B56,2)</f>
        <v>Feb-25</v>
      </c>
      <c r="F56" s="0" t="str">
        <f aca="false">"T"&amp;ROUNDUP(C56/3,0)</f>
        <v>T1</v>
      </c>
      <c r="G56" s="35" t="n">
        <f aca="false">DATE(B56,C56,1)</f>
        <v>45689</v>
      </c>
      <c r="H56" s="25" t="n">
        <f aca="false">IF(DAY(A56+1)=1,1,0)</f>
        <v>0</v>
      </c>
    </row>
    <row r="57" customFormat="false" ht="15" hidden="false" customHeight="false" outlineLevel="0" collapsed="false">
      <c r="A57" s="8" t="n">
        <f aca="false">A56+1</f>
        <v>45713</v>
      </c>
      <c r="B57" s="25" t="n">
        <f aca="false">YEAR(A57)</f>
        <v>2025</v>
      </c>
      <c r="C57" s="25" t="n">
        <f aca="false">MONTH(A57)</f>
        <v>2</v>
      </c>
      <c r="D57" s="0" t="str">
        <f aca="false">CHOOSE(C57,"Ene","Feb","Mar","Abr","May","Jun","Jul","Ago","Sep","Oct","Nov","Dic")</f>
        <v>Feb</v>
      </c>
      <c r="E57" s="0" t="str">
        <f aca="false">D57&amp;"-"&amp;RIGHT(B57,2)</f>
        <v>Feb-25</v>
      </c>
      <c r="F57" s="0" t="str">
        <f aca="false">"T"&amp;ROUNDUP(C57/3,0)</f>
        <v>T1</v>
      </c>
      <c r="G57" s="35" t="n">
        <f aca="false">DATE(B57,C57,1)</f>
        <v>45689</v>
      </c>
      <c r="H57" s="25" t="n">
        <f aca="false">IF(DAY(A57+1)=1,1,0)</f>
        <v>0</v>
      </c>
    </row>
    <row r="58" customFormat="false" ht="15" hidden="false" customHeight="false" outlineLevel="0" collapsed="false">
      <c r="A58" s="8" t="n">
        <f aca="false">A57+1</f>
        <v>45714</v>
      </c>
      <c r="B58" s="25" t="n">
        <f aca="false">YEAR(A58)</f>
        <v>2025</v>
      </c>
      <c r="C58" s="25" t="n">
        <f aca="false">MONTH(A58)</f>
        <v>2</v>
      </c>
      <c r="D58" s="0" t="str">
        <f aca="false">CHOOSE(C58,"Ene","Feb","Mar","Abr","May","Jun","Jul","Ago","Sep","Oct","Nov","Dic")</f>
        <v>Feb</v>
      </c>
      <c r="E58" s="0" t="str">
        <f aca="false">D58&amp;"-"&amp;RIGHT(B58,2)</f>
        <v>Feb-25</v>
      </c>
      <c r="F58" s="0" t="str">
        <f aca="false">"T"&amp;ROUNDUP(C58/3,0)</f>
        <v>T1</v>
      </c>
      <c r="G58" s="35" t="n">
        <f aca="false">DATE(B58,C58,1)</f>
        <v>45689</v>
      </c>
      <c r="H58" s="25" t="n">
        <f aca="false">IF(DAY(A58+1)=1,1,0)</f>
        <v>0</v>
      </c>
    </row>
    <row r="59" customFormat="false" ht="15" hidden="false" customHeight="false" outlineLevel="0" collapsed="false">
      <c r="A59" s="8" t="n">
        <f aca="false">A58+1</f>
        <v>45715</v>
      </c>
      <c r="B59" s="25" t="n">
        <f aca="false">YEAR(A59)</f>
        <v>2025</v>
      </c>
      <c r="C59" s="25" t="n">
        <f aca="false">MONTH(A59)</f>
        <v>2</v>
      </c>
      <c r="D59" s="0" t="str">
        <f aca="false">CHOOSE(C59,"Ene","Feb","Mar","Abr","May","Jun","Jul","Ago","Sep","Oct","Nov","Dic")</f>
        <v>Feb</v>
      </c>
      <c r="E59" s="0" t="str">
        <f aca="false">D59&amp;"-"&amp;RIGHT(B59,2)</f>
        <v>Feb-25</v>
      </c>
      <c r="F59" s="0" t="str">
        <f aca="false">"T"&amp;ROUNDUP(C59/3,0)</f>
        <v>T1</v>
      </c>
      <c r="G59" s="35" t="n">
        <f aca="false">DATE(B59,C59,1)</f>
        <v>45689</v>
      </c>
      <c r="H59" s="25" t="n">
        <f aca="false">IF(DAY(A59+1)=1,1,0)</f>
        <v>0</v>
      </c>
    </row>
    <row r="60" customFormat="false" ht="15" hidden="false" customHeight="false" outlineLevel="0" collapsed="false">
      <c r="A60" s="8" t="n">
        <f aca="false">A59+1</f>
        <v>45716</v>
      </c>
      <c r="B60" s="25" t="n">
        <f aca="false">YEAR(A60)</f>
        <v>2025</v>
      </c>
      <c r="C60" s="25" t="n">
        <f aca="false">MONTH(A60)</f>
        <v>2</v>
      </c>
      <c r="D60" s="0" t="str">
        <f aca="false">CHOOSE(C60,"Ene","Feb","Mar","Abr","May","Jun","Jul","Ago","Sep","Oct","Nov","Dic")</f>
        <v>Feb</v>
      </c>
      <c r="E60" s="0" t="str">
        <f aca="false">D60&amp;"-"&amp;RIGHT(B60,2)</f>
        <v>Feb-25</v>
      </c>
      <c r="F60" s="0" t="str">
        <f aca="false">"T"&amp;ROUNDUP(C60/3,0)</f>
        <v>T1</v>
      </c>
      <c r="G60" s="35" t="n">
        <f aca="false">DATE(B60,C60,1)</f>
        <v>45689</v>
      </c>
      <c r="H60" s="25" t="n">
        <f aca="false">IF(DAY(A60+1)=1,1,0)</f>
        <v>1</v>
      </c>
    </row>
    <row r="61" customFormat="false" ht="15" hidden="false" customHeight="false" outlineLevel="0" collapsed="false">
      <c r="A61" s="8" t="n">
        <f aca="false">A60+1</f>
        <v>45717</v>
      </c>
      <c r="B61" s="25" t="n">
        <f aca="false">YEAR(A61)</f>
        <v>2025</v>
      </c>
      <c r="C61" s="25" t="n">
        <f aca="false">MONTH(A61)</f>
        <v>3</v>
      </c>
      <c r="D61" s="0" t="str">
        <f aca="false">CHOOSE(C61,"Ene","Feb","Mar","Abr","May","Jun","Jul","Ago","Sep","Oct","Nov","Dic")</f>
        <v>Mar</v>
      </c>
      <c r="E61" s="0" t="str">
        <f aca="false">D61&amp;"-"&amp;RIGHT(B61,2)</f>
        <v>Mar-25</v>
      </c>
      <c r="F61" s="0" t="str">
        <f aca="false">"T"&amp;ROUNDUP(C61/3,0)</f>
        <v>T1</v>
      </c>
      <c r="G61" s="35" t="n">
        <f aca="false">DATE(B61,C61,1)</f>
        <v>45717</v>
      </c>
      <c r="H61" s="25" t="n">
        <f aca="false">IF(DAY(A61+1)=1,1,0)</f>
        <v>0</v>
      </c>
    </row>
    <row r="62" customFormat="false" ht="15" hidden="false" customHeight="false" outlineLevel="0" collapsed="false">
      <c r="A62" s="8" t="n">
        <f aca="false">A61+1</f>
        <v>45718</v>
      </c>
      <c r="B62" s="25" t="n">
        <f aca="false">YEAR(A62)</f>
        <v>2025</v>
      </c>
      <c r="C62" s="25" t="n">
        <f aca="false">MONTH(A62)</f>
        <v>3</v>
      </c>
      <c r="D62" s="0" t="str">
        <f aca="false">CHOOSE(C62,"Ene","Feb","Mar","Abr","May","Jun","Jul","Ago","Sep","Oct","Nov","Dic")</f>
        <v>Mar</v>
      </c>
      <c r="E62" s="0" t="str">
        <f aca="false">D62&amp;"-"&amp;RIGHT(B62,2)</f>
        <v>Mar-25</v>
      </c>
      <c r="F62" s="0" t="str">
        <f aca="false">"T"&amp;ROUNDUP(C62/3,0)</f>
        <v>T1</v>
      </c>
      <c r="G62" s="35" t="n">
        <f aca="false">DATE(B62,C62,1)</f>
        <v>45717</v>
      </c>
      <c r="H62" s="25" t="n">
        <f aca="false">IF(DAY(A62+1)=1,1,0)</f>
        <v>0</v>
      </c>
    </row>
    <row r="63" customFormat="false" ht="15" hidden="false" customHeight="false" outlineLevel="0" collapsed="false">
      <c r="A63" s="8" t="n">
        <f aca="false">A62+1</f>
        <v>45719</v>
      </c>
      <c r="B63" s="25" t="n">
        <f aca="false">YEAR(A63)</f>
        <v>2025</v>
      </c>
      <c r="C63" s="25" t="n">
        <f aca="false">MONTH(A63)</f>
        <v>3</v>
      </c>
      <c r="D63" s="0" t="str">
        <f aca="false">CHOOSE(C63,"Ene","Feb","Mar","Abr","May","Jun","Jul","Ago","Sep","Oct","Nov","Dic")</f>
        <v>Mar</v>
      </c>
      <c r="E63" s="0" t="str">
        <f aca="false">D63&amp;"-"&amp;RIGHT(B63,2)</f>
        <v>Mar-25</v>
      </c>
      <c r="F63" s="0" t="str">
        <f aca="false">"T"&amp;ROUNDUP(C63/3,0)</f>
        <v>T1</v>
      </c>
      <c r="G63" s="35" t="n">
        <f aca="false">DATE(B63,C63,1)</f>
        <v>45717</v>
      </c>
      <c r="H63" s="25" t="n">
        <f aca="false">IF(DAY(A63+1)=1,1,0)</f>
        <v>0</v>
      </c>
    </row>
    <row r="64" customFormat="false" ht="15" hidden="false" customHeight="false" outlineLevel="0" collapsed="false">
      <c r="A64" s="8" t="n">
        <f aca="false">A63+1</f>
        <v>45720</v>
      </c>
      <c r="B64" s="25" t="n">
        <f aca="false">YEAR(A64)</f>
        <v>2025</v>
      </c>
      <c r="C64" s="25" t="n">
        <f aca="false">MONTH(A64)</f>
        <v>3</v>
      </c>
      <c r="D64" s="0" t="str">
        <f aca="false">CHOOSE(C64,"Ene","Feb","Mar","Abr","May","Jun","Jul","Ago","Sep","Oct","Nov","Dic")</f>
        <v>Mar</v>
      </c>
      <c r="E64" s="0" t="str">
        <f aca="false">D64&amp;"-"&amp;RIGHT(B64,2)</f>
        <v>Mar-25</v>
      </c>
      <c r="F64" s="0" t="str">
        <f aca="false">"T"&amp;ROUNDUP(C64/3,0)</f>
        <v>T1</v>
      </c>
      <c r="G64" s="35" t="n">
        <f aca="false">DATE(B64,C64,1)</f>
        <v>45717</v>
      </c>
      <c r="H64" s="25" t="n">
        <f aca="false">IF(DAY(A64+1)=1,1,0)</f>
        <v>0</v>
      </c>
    </row>
    <row r="65" customFormat="false" ht="15" hidden="false" customHeight="false" outlineLevel="0" collapsed="false">
      <c r="A65" s="8" t="n">
        <f aca="false">A64+1</f>
        <v>45721</v>
      </c>
      <c r="B65" s="25" t="n">
        <f aca="false">YEAR(A65)</f>
        <v>2025</v>
      </c>
      <c r="C65" s="25" t="n">
        <f aca="false">MONTH(A65)</f>
        <v>3</v>
      </c>
      <c r="D65" s="0" t="str">
        <f aca="false">CHOOSE(C65,"Ene","Feb","Mar","Abr","May","Jun","Jul","Ago","Sep","Oct","Nov","Dic")</f>
        <v>Mar</v>
      </c>
      <c r="E65" s="0" t="str">
        <f aca="false">D65&amp;"-"&amp;RIGHT(B65,2)</f>
        <v>Mar-25</v>
      </c>
      <c r="F65" s="0" t="str">
        <f aca="false">"T"&amp;ROUNDUP(C65/3,0)</f>
        <v>T1</v>
      </c>
      <c r="G65" s="35" t="n">
        <f aca="false">DATE(B65,C65,1)</f>
        <v>45717</v>
      </c>
      <c r="H65" s="25" t="n">
        <f aca="false">IF(DAY(A65+1)=1,1,0)</f>
        <v>0</v>
      </c>
    </row>
    <row r="66" customFormat="false" ht="15" hidden="false" customHeight="false" outlineLevel="0" collapsed="false">
      <c r="A66" s="8" t="n">
        <f aca="false">A65+1</f>
        <v>45722</v>
      </c>
      <c r="B66" s="25" t="n">
        <f aca="false">YEAR(A66)</f>
        <v>2025</v>
      </c>
      <c r="C66" s="25" t="n">
        <f aca="false">MONTH(A66)</f>
        <v>3</v>
      </c>
      <c r="D66" s="0" t="str">
        <f aca="false">CHOOSE(C66,"Ene","Feb","Mar","Abr","May","Jun","Jul","Ago","Sep","Oct","Nov","Dic")</f>
        <v>Mar</v>
      </c>
      <c r="E66" s="0" t="str">
        <f aca="false">D66&amp;"-"&amp;RIGHT(B66,2)</f>
        <v>Mar-25</v>
      </c>
      <c r="F66" s="0" t="str">
        <f aca="false">"T"&amp;ROUNDUP(C66/3,0)</f>
        <v>T1</v>
      </c>
      <c r="G66" s="35" t="n">
        <f aca="false">DATE(B66,C66,1)</f>
        <v>45717</v>
      </c>
      <c r="H66" s="25" t="n">
        <f aca="false">IF(DAY(A66+1)=1,1,0)</f>
        <v>0</v>
      </c>
    </row>
    <row r="67" customFormat="false" ht="15" hidden="false" customHeight="false" outlineLevel="0" collapsed="false">
      <c r="A67" s="8" t="n">
        <f aca="false">A66+1</f>
        <v>45723</v>
      </c>
      <c r="B67" s="25" t="n">
        <f aca="false">YEAR(A67)</f>
        <v>2025</v>
      </c>
      <c r="C67" s="25" t="n">
        <f aca="false">MONTH(A67)</f>
        <v>3</v>
      </c>
      <c r="D67" s="0" t="str">
        <f aca="false">CHOOSE(C67,"Ene","Feb","Mar","Abr","May","Jun","Jul","Ago","Sep","Oct","Nov","Dic")</f>
        <v>Mar</v>
      </c>
      <c r="E67" s="0" t="str">
        <f aca="false">D67&amp;"-"&amp;RIGHT(B67,2)</f>
        <v>Mar-25</v>
      </c>
      <c r="F67" s="0" t="str">
        <f aca="false">"T"&amp;ROUNDUP(C67/3,0)</f>
        <v>T1</v>
      </c>
      <c r="G67" s="35" t="n">
        <f aca="false">DATE(B67,C67,1)</f>
        <v>45717</v>
      </c>
      <c r="H67" s="25" t="n">
        <f aca="false">IF(DAY(A67+1)=1,1,0)</f>
        <v>0</v>
      </c>
    </row>
    <row r="68" customFormat="false" ht="15" hidden="false" customHeight="false" outlineLevel="0" collapsed="false">
      <c r="A68" s="8" t="n">
        <f aca="false">A67+1</f>
        <v>45724</v>
      </c>
      <c r="B68" s="25" t="n">
        <f aca="false">YEAR(A68)</f>
        <v>2025</v>
      </c>
      <c r="C68" s="25" t="n">
        <f aca="false">MONTH(A68)</f>
        <v>3</v>
      </c>
      <c r="D68" s="0" t="str">
        <f aca="false">CHOOSE(C68,"Ene","Feb","Mar","Abr","May","Jun","Jul","Ago","Sep","Oct","Nov","Dic")</f>
        <v>Mar</v>
      </c>
      <c r="E68" s="0" t="str">
        <f aca="false">D68&amp;"-"&amp;RIGHT(B68,2)</f>
        <v>Mar-25</v>
      </c>
      <c r="F68" s="0" t="str">
        <f aca="false">"T"&amp;ROUNDUP(C68/3,0)</f>
        <v>T1</v>
      </c>
      <c r="G68" s="35" t="n">
        <f aca="false">DATE(B68,C68,1)</f>
        <v>45717</v>
      </c>
      <c r="H68" s="25" t="n">
        <f aca="false">IF(DAY(A68+1)=1,1,0)</f>
        <v>0</v>
      </c>
    </row>
    <row r="69" customFormat="false" ht="15" hidden="false" customHeight="false" outlineLevel="0" collapsed="false">
      <c r="A69" s="8" t="n">
        <f aca="false">A68+1</f>
        <v>45725</v>
      </c>
      <c r="B69" s="25" t="n">
        <f aca="false">YEAR(A69)</f>
        <v>2025</v>
      </c>
      <c r="C69" s="25" t="n">
        <f aca="false">MONTH(A69)</f>
        <v>3</v>
      </c>
      <c r="D69" s="0" t="str">
        <f aca="false">CHOOSE(C69,"Ene","Feb","Mar","Abr","May","Jun","Jul","Ago","Sep","Oct","Nov","Dic")</f>
        <v>Mar</v>
      </c>
      <c r="E69" s="0" t="str">
        <f aca="false">D69&amp;"-"&amp;RIGHT(B69,2)</f>
        <v>Mar-25</v>
      </c>
      <c r="F69" s="0" t="str">
        <f aca="false">"T"&amp;ROUNDUP(C69/3,0)</f>
        <v>T1</v>
      </c>
      <c r="G69" s="35" t="n">
        <f aca="false">DATE(B69,C69,1)</f>
        <v>45717</v>
      </c>
      <c r="H69" s="25" t="n">
        <f aca="false">IF(DAY(A69+1)=1,1,0)</f>
        <v>0</v>
      </c>
    </row>
    <row r="70" customFormat="false" ht="15" hidden="false" customHeight="false" outlineLevel="0" collapsed="false">
      <c r="A70" s="8" t="n">
        <f aca="false">A69+1</f>
        <v>45726</v>
      </c>
      <c r="B70" s="25" t="n">
        <f aca="false">YEAR(A70)</f>
        <v>2025</v>
      </c>
      <c r="C70" s="25" t="n">
        <f aca="false">MONTH(A70)</f>
        <v>3</v>
      </c>
      <c r="D70" s="0" t="str">
        <f aca="false">CHOOSE(C70,"Ene","Feb","Mar","Abr","May","Jun","Jul","Ago","Sep","Oct","Nov","Dic")</f>
        <v>Mar</v>
      </c>
      <c r="E70" s="0" t="str">
        <f aca="false">D70&amp;"-"&amp;RIGHT(B70,2)</f>
        <v>Mar-25</v>
      </c>
      <c r="F70" s="0" t="str">
        <f aca="false">"T"&amp;ROUNDUP(C70/3,0)</f>
        <v>T1</v>
      </c>
      <c r="G70" s="35" t="n">
        <f aca="false">DATE(B70,C70,1)</f>
        <v>45717</v>
      </c>
      <c r="H70" s="25" t="n">
        <f aca="false">IF(DAY(A70+1)=1,1,0)</f>
        <v>0</v>
      </c>
    </row>
    <row r="71" customFormat="false" ht="15" hidden="false" customHeight="false" outlineLevel="0" collapsed="false">
      <c r="A71" s="8" t="n">
        <f aca="false">A70+1</f>
        <v>45727</v>
      </c>
      <c r="B71" s="25" t="n">
        <f aca="false">YEAR(A71)</f>
        <v>2025</v>
      </c>
      <c r="C71" s="25" t="n">
        <f aca="false">MONTH(A71)</f>
        <v>3</v>
      </c>
      <c r="D71" s="0" t="str">
        <f aca="false">CHOOSE(C71,"Ene","Feb","Mar","Abr","May","Jun","Jul","Ago","Sep","Oct","Nov","Dic")</f>
        <v>Mar</v>
      </c>
      <c r="E71" s="0" t="str">
        <f aca="false">D71&amp;"-"&amp;RIGHT(B71,2)</f>
        <v>Mar-25</v>
      </c>
      <c r="F71" s="0" t="str">
        <f aca="false">"T"&amp;ROUNDUP(C71/3,0)</f>
        <v>T1</v>
      </c>
      <c r="G71" s="35" t="n">
        <f aca="false">DATE(B71,C71,1)</f>
        <v>45717</v>
      </c>
      <c r="H71" s="25" t="n">
        <f aca="false">IF(DAY(A71+1)=1,1,0)</f>
        <v>0</v>
      </c>
    </row>
    <row r="72" customFormat="false" ht="15" hidden="false" customHeight="false" outlineLevel="0" collapsed="false">
      <c r="A72" s="8" t="n">
        <f aca="false">A71+1</f>
        <v>45728</v>
      </c>
      <c r="B72" s="25" t="n">
        <f aca="false">YEAR(A72)</f>
        <v>2025</v>
      </c>
      <c r="C72" s="25" t="n">
        <f aca="false">MONTH(A72)</f>
        <v>3</v>
      </c>
      <c r="D72" s="0" t="str">
        <f aca="false">CHOOSE(C72,"Ene","Feb","Mar","Abr","May","Jun","Jul","Ago","Sep","Oct","Nov","Dic")</f>
        <v>Mar</v>
      </c>
      <c r="E72" s="0" t="str">
        <f aca="false">D72&amp;"-"&amp;RIGHT(B72,2)</f>
        <v>Mar-25</v>
      </c>
      <c r="F72" s="0" t="str">
        <f aca="false">"T"&amp;ROUNDUP(C72/3,0)</f>
        <v>T1</v>
      </c>
      <c r="G72" s="35" t="n">
        <f aca="false">DATE(B72,C72,1)</f>
        <v>45717</v>
      </c>
      <c r="H72" s="25" t="n">
        <f aca="false">IF(DAY(A72+1)=1,1,0)</f>
        <v>0</v>
      </c>
    </row>
    <row r="73" customFormat="false" ht="15" hidden="false" customHeight="false" outlineLevel="0" collapsed="false">
      <c r="A73" s="8" t="n">
        <f aca="false">A72+1</f>
        <v>45729</v>
      </c>
      <c r="B73" s="25" t="n">
        <f aca="false">YEAR(A73)</f>
        <v>2025</v>
      </c>
      <c r="C73" s="25" t="n">
        <f aca="false">MONTH(A73)</f>
        <v>3</v>
      </c>
      <c r="D73" s="0" t="str">
        <f aca="false">CHOOSE(C73,"Ene","Feb","Mar","Abr","May","Jun","Jul","Ago","Sep","Oct","Nov","Dic")</f>
        <v>Mar</v>
      </c>
      <c r="E73" s="0" t="str">
        <f aca="false">D73&amp;"-"&amp;RIGHT(B73,2)</f>
        <v>Mar-25</v>
      </c>
      <c r="F73" s="0" t="str">
        <f aca="false">"T"&amp;ROUNDUP(C73/3,0)</f>
        <v>T1</v>
      </c>
      <c r="G73" s="35" t="n">
        <f aca="false">DATE(B73,C73,1)</f>
        <v>45717</v>
      </c>
      <c r="H73" s="25" t="n">
        <f aca="false">IF(DAY(A73+1)=1,1,0)</f>
        <v>0</v>
      </c>
    </row>
    <row r="74" customFormat="false" ht="15" hidden="false" customHeight="false" outlineLevel="0" collapsed="false">
      <c r="A74" s="8" t="n">
        <f aca="false">A73+1</f>
        <v>45730</v>
      </c>
      <c r="B74" s="25" t="n">
        <f aca="false">YEAR(A74)</f>
        <v>2025</v>
      </c>
      <c r="C74" s="25" t="n">
        <f aca="false">MONTH(A74)</f>
        <v>3</v>
      </c>
      <c r="D74" s="0" t="str">
        <f aca="false">CHOOSE(C74,"Ene","Feb","Mar","Abr","May","Jun","Jul","Ago","Sep","Oct","Nov","Dic")</f>
        <v>Mar</v>
      </c>
      <c r="E74" s="0" t="str">
        <f aca="false">D74&amp;"-"&amp;RIGHT(B74,2)</f>
        <v>Mar-25</v>
      </c>
      <c r="F74" s="0" t="str">
        <f aca="false">"T"&amp;ROUNDUP(C74/3,0)</f>
        <v>T1</v>
      </c>
      <c r="G74" s="35" t="n">
        <f aca="false">DATE(B74,C74,1)</f>
        <v>45717</v>
      </c>
      <c r="H74" s="25" t="n">
        <f aca="false">IF(DAY(A74+1)=1,1,0)</f>
        <v>0</v>
      </c>
    </row>
    <row r="75" customFormat="false" ht="15" hidden="false" customHeight="false" outlineLevel="0" collapsed="false">
      <c r="A75" s="8" t="n">
        <f aca="false">A74+1</f>
        <v>45731</v>
      </c>
      <c r="B75" s="25" t="n">
        <f aca="false">YEAR(A75)</f>
        <v>2025</v>
      </c>
      <c r="C75" s="25" t="n">
        <f aca="false">MONTH(A75)</f>
        <v>3</v>
      </c>
      <c r="D75" s="0" t="str">
        <f aca="false">CHOOSE(C75,"Ene","Feb","Mar","Abr","May","Jun","Jul","Ago","Sep","Oct","Nov","Dic")</f>
        <v>Mar</v>
      </c>
      <c r="E75" s="0" t="str">
        <f aca="false">D75&amp;"-"&amp;RIGHT(B75,2)</f>
        <v>Mar-25</v>
      </c>
      <c r="F75" s="0" t="str">
        <f aca="false">"T"&amp;ROUNDUP(C75/3,0)</f>
        <v>T1</v>
      </c>
      <c r="G75" s="35" t="n">
        <f aca="false">DATE(B75,C75,1)</f>
        <v>45717</v>
      </c>
      <c r="H75" s="25" t="n">
        <f aca="false">IF(DAY(A75+1)=1,1,0)</f>
        <v>0</v>
      </c>
    </row>
    <row r="76" customFormat="false" ht="15" hidden="false" customHeight="false" outlineLevel="0" collapsed="false">
      <c r="A76" s="8" t="n">
        <f aca="false">A75+1</f>
        <v>45732</v>
      </c>
      <c r="B76" s="25" t="n">
        <f aca="false">YEAR(A76)</f>
        <v>2025</v>
      </c>
      <c r="C76" s="25" t="n">
        <f aca="false">MONTH(A76)</f>
        <v>3</v>
      </c>
      <c r="D76" s="0" t="str">
        <f aca="false">CHOOSE(C76,"Ene","Feb","Mar","Abr","May","Jun","Jul","Ago","Sep","Oct","Nov","Dic")</f>
        <v>Mar</v>
      </c>
      <c r="E76" s="0" t="str">
        <f aca="false">D76&amp;"-"&amp;RIGHT(B76,2)</f>
        <v>Mar-25</v>
      </c>
      <c r="F76" s="0" t="str">
        <f aca="false">"T"&amp;ROUNDUP(C76/3,0)</f>
        <v>T1</v>
      </c>
      <c r="G76" s="35" t="n">
        <f aca="false">DATE(B76,C76,1)</f>
        <v>45717</v>
      </c>
      <c r="H76" s="25" t="n">
        <f aca="false">IF(DAY(A76+1)=1,1,0)</f>
        <v>0</v>
      </c>
    </row>
    <row r="77" customFormat="false" ht="15" hidden="false" customHeight="false" outlineLevel="0" collapsed="false">
      <c r="A77" s="8" t="n">
        <f aca="false">A76+1</f>
        <v>45733</v>
      </c>
      <c r="B77" s="25" t="n">
        <f aca="false">YEAR(A77)</f>
        <v>2025</v>
      </c>
      <c r="C77" s="25" t="n">
        <f aca="false">MONTH(A77)</f>
        <v>3</v>
      </c>
      <c r="D77" s="0" t="str">
        <f aca="false">CHOOSE(C77,"Ene","Feb","Mar","Abr","May","Jun","Jul","Ago","Sep","Oct","Nov","Dic")</f>
        <v>Mar</v>
      </c>
      <c r="E77" s="0" t="str">
        <f aca="false">D77&amp;"-"&amp;RIGHT(B77,2)</f>
        <v>Mar-25</v>
      </c>
      <c r="F77" s="0" t="str">
        <f aca="false">"T"&amp;ROUNDUP(C77/3,0)</f>
        <v>T1</v>
      </c>
      <c r="G77" s="35" t="n">
        <f aca="false">DATE(B77,C77,1)</f>
        <v>45717</v>
      </c>
      <c r="H77" s="25" t="n">
        <f aca="false">IF(DAY(A77+1)=1,1,0)</f>
        <v>0</v>
      </c>
    </row>
    <row r="78" customFormat="false" ht="15" hidden="false" customHeight="false" outlineLevel="0" collapsed="false">
      <c r="A78" s="8" t="n">
        <f aca="false">A77+1</f>
        <v>45734</v>
      </c>
      <c r="B78" s="25" t="n">
        <f aca="false">YEAR(A78)</f>
        <v>2025</v>
      </c>
      <c r="C78" s="25" t="n">
        <f aca="false">MONTH(A78)</f>
        <v>3</v>
      </c>
      <c r="D78" s="0" t="str">
        <f aca="false">CHOOSE(C78,"Ene","Feb","Mar","Abr","May","Jun","Jul","Ago","Sep","Oct","Nov","Dic")</f>
        <v>Mar</v>
      </c>
      <c r="E78" s="0" t="str">
        <f aca="false">D78&amp;"-"&amp;RIGHT(B78,2)</f>
        <v>Mar-25</v>
      </c>
      <c r="F78" s="0" t="str">
        <f aca="false">"T"&amp;ROUNDUP(C78/3,0)</f>
        <v>T1</v>
      </c>
      <c r="G78" s="35" t="n">
        <f aca="false">DATE(B78,C78,1)</f>
        <v>45717</v>
      </c>
      <c r="H78" s="25" t="n">
        <f aca="false">IF(DAY(A78+1)=1,1,0)</f>
        <v>0</v>
      </c>
    </row>
    <row r="79" customFormat="false" ht="15" hidden="false" customHeight="false" outlineLevel="0" collapsed="false">
      <c r="A79" s="8" t="n">
        <f aca="false">A78+1</f>
        <v>45735</v>
      </c>
      <c r="B79" s="25" t="n">
        <f aca="false">YEAR(A79)</f>
        <v>2025</v>
      </c>
      <c r="C79" s="25" t="n">
        <f aca="false">MONTH(A79)</f>
        <v>3</v>
      </c>
      <c r="D79" s="0" t="str">
        <f aca="false">CHOOSE(C79,"Ene","Feb","Mar","Abr","May","Jun","Jul","Ago","Sep","Oct","Nov","Dic")</f>
        <v>Mar</v>
      </c>
      <c r="E79" s="0" t="str">
        <f aca="false">D79&amp;"-"&amp;RIGHT(B79,2)</f>
        <v>Mar-25</v>
      </c>
      <c r="F79" s="0" t="str">
        <f aca="false">"T"&amp;ROUNDUP(C79/3,0)</f>
        <v>T1</v>
      </c>
      <c r="G79" s="35" t="n">
        <f aca="false">DATE(B79,C79,1)</f>
        <v>45717</v>
      </c>
      <c r="H79" s="25" t="n">
        <f aca="false">IF(DAY(A79+1)=1,1,0)</f>
        <v>0</v>
      </c>
    </row>
    <row r="80" customFormat="false" ht="15" hidden="false" customHeight="false" outlineLevel="0" collapsed="false">
      <c r="A80" s="8" t="n">
        <f aca="false">A79+1</f>
        <v>45736</v>
      </c>
      <c r="B80" s="25" t="n">
        <f aca="false">YEAR(A80)</f>
        <v>2025</v>
      </c>
      <c r="C80" s="25" t="n">
        <f aca="false">MONTH(A80)</f>
        <v>3</v>
      </c>
      <c r="D80" s="0" t="str">
        <f aca="false">CHOOSE(C80,"Ene","Feb","Mar","Abr","May","Jun","Jul","Ago","Sep","Oct","Nov","Dic")</f>
        <v>Mar</v>
      </c>
      <c r="E80" s="0" t="str">
        <f aca="false">D80&amp;"-"&amp;RIGHT(B80,2)</f>
        <v>Mar-25</v>
      </c>
      <c r="F80" s="0" t="str">
        <f aca="false">"T"&amp;ROUNDUP(C80/3,0)</f>
        <v>T1</v>
      </c>
      <c r="G80" s="35" t="n">
        <f aca="false">DATE(B80,C80,1)</f>
        <v>45717</v>
      </c>
      <c r="H80" s="25" t="n">
        <f aca="false">IF(DAY(A80+1)=1,1,0)</f>
        <v>0</v>
      </c>
    </row>
    <row r="81" customFormat="false" ht="15" hidden="false" customHeight="false" outlineLevel="0" collapsed="false">
      <c r="A81" s="8" t="n">
        <f aca="false">A80+1</f>
        <v>45737</v>
      </c>
      <c r="B81" s="25" t="n">
        <f aca="false">YEAR(A81)</f>
        <v>2025</v>
      </c>
      <c r="C81" s="25" t="n">
        <f aca="false">MONTH(A81)</f>
        <v>3</v>
      </c>
      <c r="D81" s="0" t="str">
        <f aca="false">CHOOSE(C81,"Ene","Feb","Mar","Abr","May","Jun","Jul","Ago","Sep","Oct","Nov","Dic")</f>
        <v>Mar</v>
      </c>
      <c r="E81" s="0" t="str">
        <f aca="false">D81&amp;"-"&amp;RIGHT(B81,2)</f>
        <v>Mar-25</v>
      </c>
      <c r="F81" s="0" t="str">
        <f aca="false">"T"&amp;ROUNDUP(C81/3,0)</f>
        <v>T1</v>
      </c>
      <c r="G81" s="35" t="n">
        <f aca="false">DATE(B81,C81,1)</f>
        <v>45717</v>
      </c>
      <c r="H81" s="25" t="n">
        <f aca="false">IF(DAY(A81+1)=1,1,0)</f>
        <v>0</v>
      </c>
    </row>
    <row r="82" customFormat="false" ht="15" hidden="false" customHeight="false" outlineLevel="0" collapsed="false">
      <c r="A82" s="8" t="n">
        <f aca="false">A81+1</f>
        <v>45738</v>
      </c>
      <c r="B82" s="25" t="n">
        <f aca="false">YEAR(A82)</f>
        <v>2025</v>
      </c>
      <c r="C82" s="25" t="n">
        <f aca="false">MONTH(A82)</f>
        <v>3</v>
      </c>
      <c r="D82" s="0" t="str">
        <f aca="false">CHOOSE(C82,"Ene","Feb","Mar","Abr","May","Jun","Jul","Ago","Sep","Oct","Nov","Dic")</f>
        <v>Mar</v>
      </c>
      <c r="E82" s="0" t="str">
        <f aca="false">D82&amp;"-"&amp;RIGHT(B82,2)</f>
        <v>Mar-25</v>
      </c>
      <c r="F82" s="0" t="str">
        <f aca="false">"T"&amp;ROUNDUP(C82/3,0)</f>
        <v>T1</v>
      </c>
      <c r="G82" s="35" t="n">
        <f aca="false">DATE(B82,C82,1)</f>
        <v>45717</v>
      </c>
      <c r="H82" s="25" t="n">
        <f aca="false">IF(DAY(A82+1)=1,1,0)</f>
        <v>0</v>
      </c>
    </row>
    <row r="83" customFormat="false" ht="15" hidden="false" customHeight="false" outlineLevel="0" collapsed="false">
      <c r="A83" s="8" t="n">
        <f aca="false">A82+1</f>
        <v>45739</v>
      </c>
      <c r="B83" s="25" t="n">
        <f aca="false">YEAR(A83)</f>
        <v>2025</v>
      </c>
      <c r="C83" s="25" t="n">
        <f aca="false">MONTH(A83)</f>
        <v>3</v>
      </c>
      <c r="D83" s="0" t="str">
        <f aca="false">CHOOSE(C83,"Ene","Feb","Mar","Abr","May","Jun","Jul","Ago","Sep","Oct","Nov","Dic")</f>
        <v>Mar</v>
      </c>
      <c r="E83" s="0" t="str">
        <f aca="false">D83&amp;"-"&amp;RIGHT(B83,2)</f>
        <v>Mar-25</v>
      </c>
      <c r="F83" s="0" t="str">
        <f aca="false">"T"&amp;ROUNDUP(C83/3,0)</f>
        <v>T1</v>
      </c>
      <c r="G83" s="35" t="n">
        <f aca="false">DATE(B83,C83,1)</f>
        <v>45717</v>
      </c>
      <c r="H83" s="25" t="n">
        <f aca="false">IF(DAY(A83+1)=1,1,0)</f>
        <v>0</v>
      </c>
    </row>
    <row r="84" customFormat="false" ht="15" hidden="false" customHeight="false" outlineLevel="0" collapsed="false">
      <c r="A84" s="8" t="n">
        <f aca="false">A83+1</f>
        <v>45740</v>
      </c>
      <c r="B84" s="25" t="n">
        <f aca="false">YEAR(A84)</f>
        <v>2025</v>
      </c>
      <c r="C84" s="25" t="n">
        <f aca="false">MONTH(A84)</f>
        <v>3</v>
      </c>
      <c r="D84" s="0" t="str">
        <f aca="false">CHOOSE(C84,"Ene","Feb","Mar","Abr","May","Jun","Jul","Ago","Sep","Oct","Nov","Dic")</f>
        <v>Mar</v>
      </c>
      <c r="E84" s="0" t="str">
        <f aca="false">D84&amp;"-"&amp;RIGHT(B84,2)</f>
        <v>Mar-25</v>
      </c>
      <c r="F84" s="0" t="str">
        <f aca="false">"T"&amp;ROUNDUP(C84/3,0)</f>
        <v>T1</v>
      </c>
      <c r="G84" s="35" t="n">
        <f aca="false">DATE(B84,C84,1)</f>
        <v>45717</v>
      </c>
      <c r="H84" s="25" t="n">
        <f aca="false">IF(DAY(A84+1)=1,1,0)</f>
        <v>0</v>
      </c>
    </row>
    <row r="85" customFormat="false" ht="15" hidden="false" customHeight="false" outlineLevel="0" collapsed="false">
      <c r="A85" s="8" t="n">
        <f aca="false">A84+1</f>
        <v>45741</v>
      </c>
      <c r="B85" s="25" t="n">
        <f aca="false">YEAR(A85)</f>
        <v>2025</v>
      </c>
      <c r="C85" s="25" t="n">
        <f aca="false">MONTH(A85)</f>
        <v>3</v>
      </c>
      <c r="D85" s="0" t="str">
        <f aca="false">CHOOSE(C85,"Ene","Feb","Mar","Abr","May","Jun","Jul","Ago","Sep","Oct","Nov","Dic")</f>
        <v>Mar</v>
      </c>
      <c r="E85" s="0" t="str">
        <f aca="false">D85&amp;"-"&amp;RIGHT(B85,2)</f>
        <v>Mar-25</v>
      </c>
      <c r="F85" s="0" t="str">
        <f aca="false">"T"&amp;ROUNDUP(C85/3,0)</f>
        <v>T1</v>
      </c>
      <c r="G85" s="35" t="n">
        <f aca="false">DATE(B85,C85,1)</f>
        <v>45717</v>
      </c>
      <c r="H85" s="25" t="n">
        <f aca="false">IF(DAY(A85+1)=1,1,0)</f>
        <v>0</v>
      </c>
    </row>
    <row r="86" customFormat="false" ht="15" hidden="false" customHeight="false" outlineLevel="0" collapsed="false">
      <c r="A86" s="8" t="n">
        <f aca="false">A85+1</f>
        <v>45742</v>
      </c>
      <c r="B86" s="25" t="n">
        <f aca="false">YEAR(A86)</f>
        <v>2025</v>
      </c>
      <c r="C86" s="25" t="n">
        <f aca="false">MONTH(A86)</f>
        <v>3</v>
      </c>
      <c r="D86" s="0" t="str">
        <f aca="false">CHOOSE(C86,"Ene","Feb","Mar","Abr","May","Jun","Jul","Ago","Sep","Oct","Nov","Dic")</f>
        <v>Mar</v>
      </c>
      <c r="E86" s="0" t="str">
        <f aca="false">D86&amp;"-"&amp;RIGHT(B86,2)</f>
        <v>Mar-25</v>
      </c>
      <c r="F86" s="0" t="str">
        <f aca="false">"T"&amp;ROUNDUP(C86/3,0)</f>
        <v>T1</v>
      </c>
      <c r="G86" s="35" t="n">
        <f aca="false">DATE(B86,C86,1)</f>
        <v>45717</v>
      </c>
      <c r="H86" s="25" t="n">
        <f aca="false">IF(DAY(A86+1)=1,1,0)</f>
        <v>0</v>
      </c>
    </row>
    <row r="87" customFormat="false" ht="15" hidden="false" customHeight="false" outlineLevel="0" collapsed="false">
      <c r="A87" s="8" t="n">
        <f aca="false">A86+1</f>
        <v>45743</v>
      </c>
      <c r="B87" s="25" t="n">
        <f aca="false">YEAR(A87)</f>
        <v>2025</v>
      </c>
      <c r="C87" s="25" t="n">
        <f aca="false">MONTH(A87)</f>
        <v>3</v>
      </c>
      <c r="D87" s="0" t="str">
        <f aca="false">CHOOSE(C87,"Ene","Feb","Mar","Abr","May","Jun","Jul","Ago","Sep","Oct","Nov","Dic")</f>
        <v>Mar</v>
      </c>
      <c r="E87" s="0" t="str">
        <f aca="false">D87&amp;"-"&amp;RIGHT(B87,2)</f>
        <v>Mar-25</v>
      </c>
      <c r="F87" s="0" t="str">
        <f aca="false">"T"&amp;ROUNDUP(C87/3,0)</f>
        <v>T1</v>
      </c>
      <c r="G87" s="35" t="n">
        <f aca="false">DATE(B87,C87,1)</f>
        <v>45717</v>
      </c>
      <c r="H87" s="25" t="n">
        <f aca="false">IF(DAY(A87+1)=1,1,0)</f>
        <v>0</v>
      </c>
    </row>
    <row r="88" customFormat="false" ht="15" hidden="false" customHeight="false" outlineLevel="0" collapsed="false">
      <c r="A88" s="8" t="n">
        <f aca="false">A87+1</f>
        <v>45744</v>
      </c>
      <c r="B88" s="25" t="n">
        <f aca="false">YEAR(A88)</f>
        <v>2025</v>
      </c>
      <c r="C88" s="25" t="n">
        <f aca="false">MONTH(A88)</f>
        <v>3</v>
      </c>
      <c r="D88" s="0" t="str">
        <f aca="false">CHOOSE(C88,"Ene","Feb","Mar","Abr","May","Jun","Jul","Ago","Sep","Oct","Nov","Dic")</f>
        <v>Mar</v>
      </c>
      <c r="E88" s="0" t="str">
        <f aca="false">D88&amp;"-"&amp;RIGHT(B88,2)</f>
        <v>Mar-25</v>
      </c>
      <c r="F88" s="0" t="str">
        <f aca="false">"T"&amp;ROUNDUP(C88/3,0)</f>
        <v>T1</v>
      </c>
      <c r="G88" s="35" t="n">
        <f aca="false">DATE(B88,C88,1)</f>
        <v>45717</v>
      </c>
      <c r="H88" s="25" t="n">
        <f aca="false">IF(DAY(A88+1)=1,1,0)</f>
        <v>0</v>
      </c>
    </row>
    <row r="89" customFormat="false" ht="15" hidden="false" customHeight="false" outlineLevel="0" collapsed="false">
      <c r="A89" s="8" t="n">
        <f aca="false">A88+1</f>
        <v>45745</v>
      </c>
      <c r="B89" s="25" t="n">
        <f aca="false">YEAR(A89)</f>
        <v>2025</v>
      </c>
      <c r="C89" s="25" t="n">
        <f aca="false">MONTH(A89)</f>
        <v>3</v>
      </c>
      <c r="D89" s="0" t="str">
        <f aca="false">CHOOSE(C89,"Ene","Feb","Mar","Abr","May","Jun","Jul","Ago","Sep","Oct","Nov","Dic")</f>
        <v>Mar</v>
      </c>
      <c r="E89" s="0" t="str">
        <f aca="false">D89&amp;"-"&amp;RIGHT(B89,2)</f>
        <v>Mar-25</v>
      </c>
      <c r="F89" s="0" t="str">
        <f aca="false">"T"&amp;ROUNDUP(C89/3,0)</f>
        <v>T1</v>
      </c>
      <c r="G89" s="35" t="n">
        <f aca="false">DATE(B89,C89,1)</f>
        <v>45717</v>
      </c>
      <c r="H89" s="25" t="n">
        <f aca="false">IF(DAY(A89+1)=1,1,0)</f>
        <v>0</v>
      </c>
    </row>
    <row r="90" customFormat="false" ht="15" hidden="false" customHeight="false" outlineLevel="0" collapsed="false">
      <c r="A90" s="8" t="n">
        <f aca="false">A89+1</f>
        <v>45746</v>
      </c>
      <c r="B90" s="25" t="n">
        <f aca="false">YEAR(A90)</f>
        <v>2025</v>
      </c>
      <c r="C90" s="25" t="n">
        <f aca="false">MONTH(A90)</f>
        <v>3</v>
      </c>
      <c r="D90" s="0" t="str">
        <f aca="false">CHOOSE(C90,"Ene","Feb","Mar","Abr","May","Jun","Jul","Ago","Sep","Oct","Nov","Dic")</f>
        <v>Mar</v>
      </c>
      <c r="E90" s="0" t="str">
        <f aca="false">D90&amp;"-"&amp;RIGHT(B90,2)</f>
        <v>Mar-25</v>
      </c>
      <c r="F90" s="0" t="str">
        <f aca="false">"T"&amp;ROUNDUP(C90/3,0)</f>
        <v>T1</v>
      </c>
      <c r="G90" s="35" t="n">
        <f aca="false">DATE(B90,C90,1)</f>
        <v>45717</v>
      </c>
      <c r="H90" s="25" t="n">
        <f aca="false">IF(DAY(A90+1)=1,1,0)</f>
        <v>0</v>
      </c>
    </row>
    <row r="91" customFormat="false" ht="15" hidden="false" customHeight="false" outlineLevel="0" collapsed="false">
      <c r="A91" s="8" t="n">
        <f aca="false">A90+1</f>
        <v>45747</v>
      </c>
      <c r="B91" s="25" t="n">
        <f aca="false">YEAR(A91)</f>
        <v>2025</v>
      </c>
      <c r="C91" s="25" t="n">
        <f aca="false">MONTH(A91)</f>
        <v>3</v>
      </c>
      <c r="D91" s="0" t="str">
        <f aca="false">CHOOSE(C91,"Ene","Feb","Mar","Abr","May","Jun","Jul","Ago","Sep","Oct","Nov","Dic")</f>
        <v>Mar</v>
      </c>
      <c r="E91" s="0" t="str">
        <f aca="false">D91&amp;"-"&amp;RIGHT(B91,2)</f>
        <v>Mar-25</v>
      </c>
      <c r="F91" s="0" t="str">
        <f aca="false">"T"&amp;ROUNDUP(C91/3,0)</f>
        <v>T1</v>
      </c>
      <c r="G91" s="35" t="n">
        <f aca="false">DATE(B91,C91,1)</f>
        <v>45717</v>
      </c>
      <c r="H91" s="25" t="n">
        <f aca="false">IF(DAY(A91+1)=1,1,0)</f>
        <v>1</v>
      </c>
    </row>
    <row r="92" customFormat="false" ht="15" hidden="false" customHeight="false" outlineLevel="0" collapsed="false">
      <c r="A92" s="8" t="n">
        <f aca="false">A91+1</f>
        <v>45748</v>
      </c>
      <c r="B92" s="25" t="n">
        <f aca="false">YEAR(A92)</f>
        <v>2025</v>
      </c>
      <c r="C92" s="25" t="n">
        <f aca="false">MONTH(A92)</f>
        <v>4</v>
      </c>
      <c r="D92" s="0" t="str">
        <f aca="false">CHOOSE(C92,"Ene","Feb","Mar","Abr","May","Jun","Jul","Ago","Sep","Oct","Nov","Dic")</f>
        <v>Abr</v>
      </c>
      <c r="E92" s="0" t="str">
        <f aca="false">D92&amp;"-"&amp;RIGHT(B92,2)</f>
        <v>Abr-25</v>
      </c>
      <c r="F92" s="0" t="str">
        <f aca="false">"T"&amp;ROUNDUP(C92/3,0)</f>
        <v>T2</v>
      </c>
      <c r="G92" s="35" t="n">
        <f aca="false">DATE(B92,C92,1)</f>
        <v>45748</v>
      </c>
      <c r="H92" s="25" t="n">
        <f aca="false">IF(DAY(A92+1)=1,1,0)</f>
        <v>0</v>
      </c>
    </row>
    <row r="93" customFormat="false" ht="15" hidden="false" customHeight="false" outlineLevel="0" collapsed="false">
      <c r="A93" s="8" t="n">
        <f aca="false">A92+1</f>
        <v>45749</v>
      </c>
      <c r="B93" s="25" t="n">
        <f aca="false">YEAR(A93)</f>
        <v>2025</v>
      </c>
      <c r="C93" s="25" t="n">
        <f aca="false">MONTH(A93)</f>
        <v>4</v>
      </c>
      <c r="D93" s="0" t="str">
        <f aca="false">CHOOSE(C93,"Ene","Feb","Mar","Abr","May","Jun","Jul","Ago","Sep","Oct","Nov","Dic")</f>
        <v>Abr</v>
      </c>
      <c r="E93" s="0" t="str">
        <f aca="false">D93&amp;"-"&amp;RIGHT(B93,2)</f>
        <v>Abr-25</v>
      </c>
      <c r="F93" s="0" t="str">
        <f aca="false">"T"&amp;ROUNDUP(C93/3,0)</f>
        <v>T2</v>
      </c>
      <c r="G93" s="35" t="n">
        <f aca="false">DATE(B93,C93,1)</f>
        <v>45748</v>
      </c>
      <c r="H93" s="25" t="n">
        <f aca="false">IF(DAY(A93+1)=1,1,0)</f>
        <v>0</v>
      </c>
    </row>
    <row r="94" customFormat="false" ht="15" hidden="false" customHeight="false" outlineLevel="0" collapsed="false">
      <c r="A94" s="8" t="n">
        <f aca="false">A93+1</f>
        <v>45750</v>
      </c>
      <c r="B94" s="25" t="n">
        <f aca="false">YEAR(A94)</f>
        <v>2025</v>
      </c>
      <c r="C94" s="25" t="n">
        <f aca="false">MONTH(A94)</f>
        <v>4</v>
      </c>
      <c r="D94" s="0" t="str">
        <f aca="false">CHOOSE(C94,"Ene","Feb","Mar","Abr","May","Jun","Jul","Ago","Sep","Oct","Nov","Dic")</f>
        <v>Abr</v>
      </c>
      <c r="E94" s="0" t="str">
        <f aca="false">D94&amp;"-"&amp;RIGHT(B94,2)</f>
        <v>Abr-25</v>
      </c>
      <c r="F94" s="0" t="str">
        <f aca="false">"T"&amp;ROUNDUP(C94/3,0)</f>
        <v>T2</v>
      </c>
      <c r="G94" s="35" t="n">
        <f aca="false">DATE(B94,C94,1)</f>
        <v>45748</v>
      </c>
      <c r="H94" s="25" t="n">
        <f aca="false">IF(DAY(A94+1)=1,1,0)</f>
        <v>0</v>
      </c>
    </row>
    <row r="95" customFormat="false" ht="15" hidden="false" customHeight="false" outlineLevel="0" collapsed="false">
      <c r="A95" s="8" t="n">
        <f aca="false">A94+1</f>
        <v>45751</v>
      </c>
      <c r="B95" s="25" t="n">
        <f aca="false">YEAR(A95)</f>
        <v>2025</v>
      </c>
      <c r="C95" s="25" t="n">
        <f aca="false">MONTH(A95)</f>
        <v>4</v>
      </c>
      <c r="D95" s="0" t="str">
        <f aca="false">CHOOSE(C95,"Ene","Feb","Mar","Abr","May","Jun","Jul","Ago","Sep","Oct","Nov","Dic")</f>
        <v>Abr</v>
      </c>
      <c r="E95" s="0" t="str">
        <f aca="false">D95&amp;"-"&amp;RIGHT(B95,2)</f>
        <v>Abr-25</v>
      </c>
      <c r="F95" s="0" t="str">
        <f aca="false">"T"&amp;ROUNDUP(C95/3,0)</f>
        <v>T2</v>
      </c>
      <c r="G95" s="35" t="n">
        <f aca="false">DATE(B95,C95,1)</f>
        <v>45748</v>
      </c>
      <c r="H95" s="25" t="n">
        <f aca="false">IF(DAY(A95+1)=1,1,0)</f>
        <v>0</v>
      </c>
    </row>
    <row r="96" customFormat="false" ht="15" hidden="false" customHeight="false" outlineLevel="0" collapsed="false">
      <c r="A96" s="8" t="n">
        <f aca="false">A95+1</f>
        <v>45752</v>
      </c>
      <c r="B96" s="25" t="n">
        <f aca="false">YEAR(A96)</f>
        <v>2025</v>
      </c>
      <c r="C96" s="25" t="n">
        <f aca="false">MONTH(A96)</f>
        <v>4</v>
      </c>
      <c r="D96" s="0" t="str">
        <f aca="false">CHOOSE(C96,"Ene","Feb","Mar","Abr","May","Jun","Jul","Ago","Sep","Oct","Nov","Dic")</f>
        <v>Abr</v>
      </c>
      <c r="E96" s="0" t="str">
        <f aca="false">D96&amp;"-"&amp;RIGHT(B96,2)</f>
        <v>Abr-25</v>
      </c>
      <c r="F96" s="0" t="str">
        <f aca="false">"T"&amp;ROUNDUP(C96/3,0)</f>
        <v>T2</v>
      </c>
      <c r="G96" s="35" t="n">
        <f aca="false">DATE(B96,C96,1)</f>
        <v>45748</v>
      </c>
      <c r="H96" s="25" t="n">
        <f aca="false">IF(DAY(A96+1)=1,1,0)</f>
        <v>0</v>
      </c>
    </row>
    <row r="97" customFormat="false" ht="15" hidden="false" customHeight="false" outlineLevel="0" collapsed="false">
      <c r="A97" s="8" t="n">
        <f aca="false">A96+1</f>
        <v>45753</v>
      </c>
      <c r="B97" s="25" t="n">
        <f aca="false">YEAR(A97)</f>
        <v>2025</v>
      </c>
      <c r="C97" s="25" t="n">
        <f aca="false">MONTH(A97)</f>
        <v>4</v>
      </c>
      <c r="D97" s="0" t="str">
        <f aca="false">CHOOSE(C97,"Ene","Feb","Mar","Abr","May","Jun","Jul","Ago","Sep","Oct","Nov","Dic")</f>
        <v>Abr</v>
      </c>
      <c r="E97" s="0" t="str">
        <f aca="false">D97&amp;"-"&amp;RIGHT(B97,2)</f>
        <v>Abr-25</v>
      </c>
      <c r="F97" s="0" t="str">
        <f aca="false">"T"&amp;ROUNDUP(C97/3,0)</f>
        <v>T2</v>
      </c>
      <c r="G97" s="35" t="n">
        <f aca="false">DATE(B97,C97,1)</f>
        <v>45748</v>
      </c>
      <c r="H97" s="25" t="n">
        <f aca="false">IF(DAY(A97+1)=1,1,0)</f>
        <v>0</v>
      </c>
    </row>
    <row r="98" customFormat="false" ht="15" hidden="false" customHeight="false" outlineLevel="0" collapsed="false">
      <c r="A98" s="8" t="n">
        <f aca="false">A97+1</f>
        <v>45754</v>
      </c>
      <c r="B98" s="25" t="n">
        <f aca="false">YEAR(A98)</f>
        <v>2025</v>
      </c>
      <c r="C98" s="25" t="n">
        <f aca="false">MONTH(A98)</f>
        <v>4</v>
      </c>
      <c r="D98" s="0" t="str">
        <f aca="false">CHOOSE(C98,"Ene","Feb","Mar","Abr","May","Jun","Jul","Ago","Sep","Oct","Nov","Dic")</f>
        <v>Abr</v>
      </c>
      <c r="E98" s="0" t="str">
        <f aca="false">D98&amp;"-"&amp;RIGHT(B98,2)</f>
        <v>Abr-25</v>
      </c>
      <c r="F98" s="0" t="str">
        <f aca="false">"T"&amp;ROUNDUP(C98/3,0)</f>
        <v>T2</v>
      </c>
      <c r="G98" s="35" t="n">
        <f aca="false">DATE(B98,C98,1)</f>
        <v>45748</v>
      </c>
      <c r="H98" s="25" t="n">
        <f aca="false">IF(DAY(A98+1)=1,1,0)</f>
        <v>0</v>
      </c>
    </row>
    <row r="99" customFormat="false" ht="15" hidden="false" customHeight="false" outlineLevel="0" collapsed="false">
      <c r="A99" s="8" t="n">
        <f aca="false">A98+1</f>
        <v>45755</v>
      </c>
      <c r="B99" s="25" t="n">
        <f aca="false">YEAR(A99)</f>
        <v>2025</v>
      </c>
      <c r="C99" s="25" t="n">
        <f aca="false">MONTH(A99)</f>
        <v>4</v>
      </c>
      <c r="D99" s="0" t="str">
        <f aca="false">CHOOSE(C99,"Ene","Feb","Mar","Abr","May","Jun","Jul","Ago","Sep","Oct","Nov","Dic")</f>
        <v>Abr</v>
      </c>
      <c r="E99" s="0" t="str">
        <f aca="false">D99&amp;"-"&amp;RIGHT(B99,2)</f>
        <v>Abr-25</v>
      </c>
      <c r="F99" s="0" t="str">
        <f aca="false">"T"&amp;ROUNDUP(C99/3,0)</f>
        <v>T2</v>
      </c>
      <c r="G99" s="35" t="n">
        <f aca="false">DATE(B99,C99,1)</f>
        <v>45748</v>
      </c>
      <c r="H99" s="25" t="n">
        <f aca="false">IF(DAY(A99+1)=1,1,0)</f>
        <v>0</v>
      </c>
    </row>
    <row r="100" customFormat="false" ht="15" hidden="false" customHeight="false" outlineLevel="0" collapsed="false">
      <c r="A100" s="8" t="n">
        <f aca="false">A99+1</f>
        <v>45756</v>
      </c>
      <c r="B100" s="25" t="n">
        <f aca="false">YEAR(A100)</f>
        <v>2025</v>
      </c>
      <c r="C100" s="25" t="n">
        <f aca="false">MONTH(A100)</f>
        <v>4</v>
      </c>
      <c r="D100" s="0" t="str">
        <f aca="false">CHOOSE(C100,"Ene","Feb","Mar","Abr","May","Jun","Jul","Ago","Sep","Oct","Nov","Dic")</f>
        <v>Abr</v>
      </c>
      <c r="E100" s="0" t="str">
        <f aca="false">D100&amp;"-"&amp;RIGHT(B100,2)</f>
        <v>Abr-25</v>
      </c>
      <c r="F100" s="0" t="str">
        <f aca="false">"T"&amp;ROUNDUP(C100/3,0)</f>
        <v>T2</v>
      </c>
      <c r="G100" s="35" t="n">
        <f aca="false">DATE(B100,C100,1)</f>
        <v>45748</v>
      </c>
      <c r="H100" s="25" t="n">
        <f aca="false">IF(DAY(A100+1)=1,1,0)</f>
        <v>0</v>
      </c>
    </row>
    <row r="101" customFormat="false" ht="15" hidden="false" customHeight="false" outlineLevel="0" collapsed="false">
      <c r="A101" s="8" t="n">
        <f aca="false">A100+1</f>
        <v>45757</v>
      </c>
      <c r="B101" s="25" t="n">
        <f aca="false">YEAR(A101)</f>
        <v>2025</v>
      </c>
      <c r="C101" s="25" t="n">
        <f aca="false">MONTH(A101)</f>
        <v>4</v>
      </c>
      <c r="D101" s="0" t="str">
        <f aca="false">CHOOSE(C101,"Ene","Feb","Mar","Abr","May","Jun","Jul","Ago","Sep","Oct","Nov","Dic")</f>
        <v>Abr</v>
      </c>
      <c r="E101" s="0" t="str">
        <f aca="false">D101&amp;"-"&amp;RIGHT(B101,2)</f>
        <v>Abr-25</v>
      </c>
      <c r="F101" s="0" t="str">
        <f aca="false">"T"&amp;ROUNDUP(C101/3,0)</f>
        <v>T2</v>
      </c>
      <c r="G101" s="35" t="n">
        <f aca="false">DATE(B101,C101,1)</f>
        <v>45748</v>
      </c>
      <c r="H101" s="25" t="n">
        <f aca="false">IF(DAY(A101+1)=1,1,0)</f>
        <v>0</v>
      </c>
    </row>
    <row r="102" customFormat="false" ht="15" hidden="false" customHeight="false" outlineLevel="0" collapsed="false">
      <c r="A102" s="8" t="n">
        <f aca="false">A101+1</f>
        <v>45758</v>
      </c>
      <c r="B102" s="25" t="n">
        <f aca="false">YEAR(A102)</f>
        <v>2025</v>
      </c>
      <c r="C102" s="25" t="n">
        <f aca="false">MONTH(A102)</f>
        <v>4</v>
      </c>
      <c r="D102" s="0" t="str">
        <f aca="false">CHOOSE(C102,"Ene","Feb","Mar","Abr","May","Jun","Jul","Ago","Sep","Oct","Nov","Dic")</f>
        <v>Abr</v>
      </c>
      <c r="E102" s="0" t="str">
        <f aca="false">D102&amp;"-"&amp;RIGHT(B102,2)</f>
        <v>Abr-25</v>
      </c>
      <c r="F102" s="0" t="str">
        <f aca="false">"T"&amp;ROUNDUP(C102/3,0)</f>
        <v>T2</v>
      </c>
      <c r="G102" s="35" t="n">
        <f aca="false">DATE(B102,C102,1)</f>
        <v>45748</v>
      </c>
      <c r="H102" s="25" t="n">
        <f aca="false">IF(DAY(A102+1)=1,1,0)</f>
        <v>0</v>
      </c>
    </row>
    <row r="103" customFormat="false" ht="15" hidden="false" customHeight="false" outlineLevel="0" collapsed="false">
      <c r="A103" s="8" t="n">
        <f aca="false">A102+1</f>
        <v>45759</v>
      </c>
      <c r="B103" s="25" t="n">
        <f aca="false">YEAR(A103)</f>
        <v>2025</v>
      </c>
      <c r="C103" s="25" t="n">
        <f aca="false">MONTH(A103)</f>
        <v>4</v>
      </c>
      <c r="D103" s="0" t="str">
        <f aca="false">CHOOSE(C103,"Ene","Feb","Mar","Abr","May","Jun","Jul","Ago","Sep","Oct","Nov","Dic")</f>
        <v>Abr</v>
      </c>
      <c r="E103" s="0" t="str">
        <f aca="false">D103&amp;"-"&amp;RIGHT(B103,2)</f>
        <v>Abr-25</v>
      </c>
      <c r="F103" s="0" t="str">
        <f aca="false">"T"&amp;ROUNDUP(C103/3,0)</f>
        <v>T2</v>
      </c>
      <c r="G103" s="35" t="n">
        <f aca="false">DATE(B103,C103,1)</f>
        <v>45748</v>
      </c>
      <c r="H103" s="25" t="n">
        <f aca="false">IF(DAY(A103+1)=1,1,0)</f>
        <v>0</v>
      </c>
    </row>
    <row r="104" customFormat="false" ht="15" hidden="false" customHeight="false" outlineLevel="0" collapsed="false">
      <c r="A104" s="8" t="n">
        <f aca="false">A103+1</f>
        <v>45760</v>
      </c>
      <c r="B104" s="25" t="n">
        <f aca="false">YEAR(A104)</f>
        <v>2025</v>
      </c>
      <c r="C104" s="25" t="n">
        <f aca="false">MONTH(A104)</f>
        <v>4</v>
      </c>
      <c r="D104" s="0" t="str">
        <f aca="false">CHOOSE(C104,"Ene","Feb","Mar","Abr","May","Jun","Jul","Ago","Sep","Oct","Nov","Dic")</f>
        <v>Abr</v>
      </c>
      <c r="E104" s="0" t="str">
        <f aca="false">D104&amp;"-"&amp;RIGHT(B104,2)</f>
        <v>Abr-25</v>
      </c>
      <c r="F104" s="0" t="str">
        <f aca="false">"T"&amp;ROUNDUP(C104/3,0)</f>
        <v>T2</v>
      </c>
      <c r="G104" s="35" t="n">
        <f aca="false">DATE(B104,C104,1)</f>
        <v>45748</v>
      </c>
      <c r="H104" s="25" t="n">
        <f aca="false">IF(DAY(A104+1)=1,1,0)</f>
        <v>0</v>
      </c>
    </row>
    <row r="105" customFormat="false" ht="15" hidden="false" customHeight="false" outlineLevel="0" collapsed="false">
      <c r="A105" s="8" t="n">
        <f aca="false">A104+1</f>
        <v>45761</v>
      </c>
      <c r="B105" s="25" t="n">
        <f aca="false">YEAR(A105)</f>
        <v>2025</v>
      </c>
      <c r="C105" s="25" t="n">
        <f aca="false">MONTH(A105)</f>
        <v>4</v>
      </c>
      <c r="D105" s="0" t="str">
        <f aca="false">CHOOSE(C105,"Ene","Feb","Mar","Abr","May","Jun","Jul","Ago","Sep","Oct","Nov","Dic")</f>
        <v>Abr</v>
      </c>
      <c r="E105" s="0" t="str">
        <f aca="false">D105&amp;"-"&amp;RIGHT(B105,2)</f>
        <v>Abr-25</v>
      </c>
      <c r="F105" s="0" t="str">
        <f aca="false">"T"&amp;ROUNDUP(C105/3,0)</f>
        <v>T2</v>
      </c>
      <c r="G105" s="35" t="n">
        <f aca="false">DATE(B105,C105,1)</f>
        <v>45748</v>
      </c>
      <c r="H105" s="25" t="n">
        <f aca="false">IF(DAY(A105+1)=1,1,0)</f>
        <v>0</v>
      </c>
    </row>
    <row r="106" customFormat="false" ht="15" hidden="false" customHeight="false" outlineLevel="0" collapsed="false">
      <c r="A106" s="8" t="n">
        <f aca="false">A105+1</f>
        <v>45762</v>
      </c>
      <c r="B106" s="25" t="n">
        <f aca="false">YEAR(A106)</f>
        <v>2025</v>
      </c>
      <c r="C106" s="25" t="n">
        <f aca="false">MONTH(A106)</f>
        <v>4</v>
      </c>
      <c r="D106" s="0" t="str">
        <f aca="false">CHOOSE(C106,"Ene","Feb","Mar","Abr","May","Jun","Jul","Ago","Sep","Oct","Nov","Dic")</f>
        <v>Abr</v>
      </c>
      <c r="E106" s="0" t="str">
        <f aca="false">D106&amp;"-"&amp;RIGHT(B106,2)</f>
        <v>Abr-25</v>
      </c>
      <c r="F106" s="0" t="str">
        <f aca="false">"T"&amp;ROUNDUP(C106/3,0)</f>
        <v>T2</v>
      </c>
      <c r="G106" s="35" t="n">
        <f aca="false">DATE(B106,C106,1)</f>
        <v>45748</v>
      </c>
      <c r="H106" s="25" t="n">
        <f aca="false">IF(DAY(A106+1)=1,1,0)</f>
        <v>0</v>
      </c>
    </row>
    <row r="107" customFormat="false" ht="15" hidden="false" customHeight="false" outlineLevel="0" collapsed="false">
      <c r="A107" s="8" t="n">
        <f aca="false">A106+1</f>
        <v>45763</v>
      </c>
      <c r="B107" s="25" t="n">
        <f aca="false">YEAR(A107)</f>
        <v>2025</v>
      </c>
      <c r="C107" s="25" t="n">
        <f aca="false">MONTH(A107)</f>
        <v>4</v>
      </c>
      <c r="D107" s="0" t="str">
        <f aca="false">CHOOSE(C107,"Ene","Feb","Mar","Abr","May","Jun","Jul","Ago","Sep","Oct","Nov","Dic")</f>
        <v>Abr</v>
      </c>
      <c r="E107" s="0" t="str">
        <f aca="false">D107&amp;"-"&amp;RIGHT(B107,2)</f>
        <v>Abr-25</v>
      </c>
      <c r="F107" s="0" t="str">
        <f aca="false">"T"&amp;ROUNDUP(C107/3,0)</f>
        <v>T2</v>
      </c>
      <c r="G107" s="35" t="n">
        <f aca="false">DATE(B107,C107,1)</f>
        <v>45748</v>
      </c>
      <c r="H107" s="25" t="n">
        <f aca="false">IF(DAY(A107+1)=1,1,0)</f>
        <v>0</v>
      </c>
    </row>
    <row r="108" customFormat="false" ht="15" hidden="false" customHeight="false" outlineLevel="0" collapsed="false">
      <c r="A108" s="8" t="n">
        <f aca="false">A107+1</f>
        <v>45764</v>
      </c>
      <c r="B108" s="25" t="n">
        <f aca="false">YEAR(A108)</f>
        <v>2025</v>
      </c>
      <c r="C108" s="25" t="n">
        <f aca="false">MONTH(A108)</f>
        <v>4</v>
      </c>
      <c r="D108" s="0" t="str">
        <f aca="false">CHOOSE(C108,"Ene","Feb","Mar","Abr","May","Jun","Jul","Ago","Sep","Oct","Nov","Dic")</f>
        <v>Abr</v>
      </c>
      <c r="E108" s="0" t="str">
        <f aca="false">D108&amp;"-"&amp;RIGHT(B108,2)</f>
        <v>Abr-25</v>
      </c>
      <c r="F108" s="0" t="str">
        <f aca="false">"T"&amp;ROUNDUP(C108/3,0)</f>
        <v>T2</v>
      </c>
      <c r="G108" s="35" t="n">
        <f aca="false">DATE(B108,C108,1)</f>
        <v>45748</v>
      </c>
      <c r="H108" s="25" t="n">
        <f aca="false">IF(DAY(A108+1)=1,1,0)</f>
        <v>0</v>
      </c>
    </row>
    <row r="109" customFormat="false" ht="15" hidden="false" customHeight="false" outlineLevel="0" collapsed="false">
      <c r="A109" s="8" t="n">
        <f aca="false">A108+1</f>
        <v>45765</v>
      </c>
      <c r="B109" s="25" t="n">
        <f aca="false">YEAR(A109)</f>
        <v>2025</v>
      </c>
      <c r="C109" s="25" t="n">
        <f aca="false">MONTH(A109)</f>
        <v>4</v>
      </c>
      <c r="D109" s="0" t="str">
        <f aca="false">CHOOSE(C109,"Ene","Feb","Mar","Abr","May","Jun","Jul","Ago","Sep","Oct","Nov","Dic")</f>
        <v>Abr</v>
      </c>
      <c r="E109" s="0" t="str">
        <f aca="false">D109&amp;"-"&amp;RIGHT(B109,2)</f>
        <v>Abr-25</v>
      </c>
      <c r="F109" s="0" t="str">
        <f aca="false">"T"&amp;ROUNDUP(C109/3,0)</f>
        <v>T2</v>
      </c>
      <c r="G109" s="35" t="n">
        <f aca="false">DATE(B109,C109,1)</f>
        <v>45748</v>
      </c>
      <c r="H109" s="25" t="n">
        <f aca="false">IF(DAY(A109+1)=1,1,0)</f>
        <v>0</v>
      </c>
    </row>
    <row r="110" customFormat="false" ht="15" hidden="false" customHeight="false" outlineLevel="0" collapsed="false">
      <c r="A110" s="8" t="n">
        <f aca="false">A109+1</f>
        <v>45766</v>
      </c>
      <c r="B110" s="25" t="n">
        <f aca="false">YEAR(A110)</f>
        <v>2025</v>
      </c>
      <c r="C110" s="25" t="n">
        <f aca="false">MONTH(A110)</f>
        <v>4</v>
      </c>
      <c r="D110" s="0" t="str">
        <f aca="false">CHOOSE(C110,"Ene","Feb","Mar","Abr","May","Jun","Jul","Ago","Sep","Oct","Nov","Dic")</f>
        <v>Abr</v>
      </c>
      <c r="E110" s="0" t="str">
        <f aca="false">D110&amp;"-"&amp;RIGHT(B110,2)</f>
        <v>Abr-25</v>
      </c>
      <c r="F110" s="0" t="str">
        <f aca="false">"T"&amp;ROUNDUP(C110/3,0)</f>
        <v>T2</v>
      </c>
      <c r="G110" s="35" t="n">
        <f aca="false">DATE(B110,C110,1)</f>
        <v>45748</v>
      </c>
      <c r="H110" s="25" t="n">
        <f aca="false">IF(DAY(A110+1)=1,1,0)</f>
        <v>0</v>
      </c>
    </row>
    <row r="111" customFormat="false" ht="15" hidden="false" customHeight="false" outlineLevel="0" collapsed="false">
      <c r="A111" s="8" t="n">
        <f aca="false">A110+1</f>
        <v>45767</v>
      </c>
      <c r="B111" s="25" t="n">
        <f aca="false">YEAR(A111)</f>
        <v>2025</v>
      </c>
      <c r="C111" s="25" t="n">
        <f aca="false">MONTH(A111)</f>
        <v>4</v>
      </c>
      <c r="D111" s="0" t="str">
        <f aca="false">CHOOSE(C111,"Ene","Feb","Mar","Abr","May","Jun","Jul","Ago","Sep","Oct","Nov","Dic")</f>
        <v>Abr</v>
      </c>
      <c r="E111" s="0" t="str">
        <f aca="false">D111&amp;"-"&amp;RIGHT(B111,2)</f>
        <v>Abr-25</v>
      </c>
      <c r="F111" s="0" t="str">
        <f aca="false">"T"&amp;ROUNDUP(C111/3,0)</f>
        <v>T2</v>
      </c>
      <c r="G111" s="35" t="n">
        <f aca="false">DATE(B111,C111,1)</f>
        <v>45748</v>
      </c>
      <c r="H111" s="25" t="n">
        <f aca="false">IF(DAY(A111+1)=1,1,0)</f>
        <v>0</v>
      </c>
    </row>
    <row r="112" customFormat="false" ht="15" hidden="false" customHeight="false" outlineLevel="0" collapsed="false">
      <c r="A112" s="8" t="n">
        <f aca="false">A111+1</f>
        <v>45768</v>
      </c>
      <c r="B112" s="25" t="n">
        <f aca="false">YEAR(A112)</f>
        <v>2025</v>
      </c>
      <c r="C112" s="25" t="n">
        <f aca="false">MONTH(A112)</f>
        <v>4</v>
      </c>
      <c r="D112" s="0" t="str">
        <f aca="false">CHOOSE(C112,"Ene","Feb","Mar","Abr","May","Jun","Jul","Ago","Sep","Oct","Nov","Dic")</f>
        <v>Abr</v>
      </c>
      <c r="E112" s="0" t="str">
        <f aca="false">D112&amp;"-"&amp;RIGHT(B112,2)</f>
        <v>Abr-25</v>
      </c>
      <c r="F112" s="0" t="str">
        <f aca="false">"T"&amp;ROUNDUP(C112/3,0)</f>
        <v>T2</v>
      </c>
      <c r="G112" s="35" t="n">
        <f aca="false">DATE(B112,C112,1)</f>
        <v>45748</v>
      </c>
      <c r="H112" s="25" t="n">
        <f aca="false">IF(DAY(A112+1)=1,1,0)</f>
        <v>0</v>
      </c>
    </row>
    <row r="113" customFormat="false" ht="15" hidden="false" customHeight="false" outlineLevel="0" collapsed="false">
      <c r="A113" s="8" t="n">
        <f aca="false">A112+1</f>
        <v>45769</v>
      </c>
      <c r="B113" s="25" t="n">
        <f aca="false">YEAR(A113)</f>
        <v>2025</v>
      </c>
      <c r="C113" s="25" t="n">
        <f aca="false">MONTH(A113)</f>
        <v>4</v>
      </c>
      <c r="D113" s="0" t="str">
        <f aca="false">CHOOSE(C113,"Ene","Feb","Mar","Abr","May","Jun","Jul","Ago","Sep","Oct","Nov","Dic")</f>
        <v>Abr</v>
      </c>
      <c r="E113" s="0" t="str">
        <f aca="false">D113&amp;"-"&amp;RIGHT(B113,2)</f>
        <v>Abr-25</v>
      </c>
      <c r="F113" s="0" t="str">
        <f aca="false">"T"&amp;ROUNDUP(C113/3,0)</f>
        <v>T2</v>
      </c>
      <c r="G113" s="35" t="n">
        <f aca="false">DATE(B113,C113,1)</f>
        <v>45748</v>
      </c>
      <c r="H113" s="25" t="n">
        <f aca="false">IF(DAY(A113+1)=1,1,0)</f>
        <v>0</v>
      </c>
    </row>
    <row r="114" customFormat="false" ht="15" hidden="false" customHeight="false" outlineLevel="0" collapsed="false">
      <c r="A114" s="8" t="n">
        <f aca="false">A113+1</f>
        <v>45770</v>
      </c>
      <c r="B114" s="25" t="n">
        <f aca="false">YEAR(A114)</f>
        <v>2025</v>
      </c>
      <c r="C114" s="25" t="n">
        <f aca="false">MONTH(A114)</f>
        <v>4</v>
      </c>
      <c r="D114" s="0" t="str">
        <f aca="false">CHOOSE(C114,"Ene","Feb","Mar","Abr","May","Jun","Jul","Ago","Sep","Oct","Nov","Dic")</f>
        <v>Abr</v>
      </c>
      <c r="E114" s="0" t="str">
        <f aca="false">D114&amp;"-"&amp;RIGHT(B114,2)</f>
        <v>Abr-25</v>
      </c>
      <c r="F114" s="0" t="str">
        <f aca="false">"T"&amp;ROUNDUP(C114/3,0)</f>
        <v>T2</v>
      </c>
      <c r="G114" s="35" t="n">
        <f aca="false">DATE(B114,C114,1)</f>
        <v>45748</v>
      </c>
      <c r="H114" s="25" t="n">
        <f aca="false">IF(DAY(A114+1)=1,1,0)</f>
        <v>0</v>
      </c>
    </row>
    <row r="115" customFormat="false" ht="15" hidden="false" customHeight="false" outlineLevel="0" collapsed="false">
      <c r="A115" s="8" t="n">
        <f aca="false">A114+1</f>
        <v>45771</v>
      </c>
      <c r="B115" s="25" t="n">
        <f aca="false">YEAR(A115)</f>
        <v>2025</v>
      </c>
      <c r="C115" s="25" t="n">
        <f aca="false">MONTH(A115)</f>
        <v>4</v>
      </c>
      <c r="D115" s="0" t="str">
        <f aca="false">CHOOSE(C115,"Ene","Feb","Mar","Abr","May","Jun","Jul","Ago","Sep","Oct","Nov","Dic")</f>
        <v>Abr</v>
      </c>
      <c r="E115" s="0" t="str">
        <f aca="false">D115&amp;"-"&amp;RIGHT(B115,2)</f>
        <v>Abr-25</v>
      </c>
      <c r="F115" s="0" t="str">
        <f aca="false">"T"&amp;ROUNDUP(C115/3,0)</f>
        <v>T2</v>
      </c>
      <c r="G115" s="35" t="n">
        <f aca="false">DATE(B115,C115,1)</f>
        <v>45748</v>
      </c>
      <c r="H115" s="25" t="n">
        <f aca="false">IF(DAY(A115+1)=1,1,0)</f>
        <v>0</v>
      </c>
    </row>
    <row r="116" customFormat="false" ht="15" hidden="false" customHeight="false" outlineLevel="0" collapsed="false">
      <c r="A116" s="8" t="n">
        <f aca="false">A115+1</f>
        <v>45772</v>
      </c>
      <c r="B116" s="25" t="n">
        <f aca="false">YEAR(A116)</f>
        <v>2025</v>
      </c>
      <c r="C116" s="25" t="n">
        <f aca="false">MONTH(A116)</f>
        <v>4</v>
      </c>
      <c r="D116" s="0" t="str">
        <f aca="false">CHOOSE(C116,"Ene","Feb","Mar","Abr","May","Jun","Jul","Ago","Sep","Oct","Nov","Dic")</f>
        <v>Abr</v>
      </c>
      <c r="E116" s="0" t="str">
        <f aca="false">D116&amp;"-"&amp;RIGHT(B116,2)</f>
        <v>Abr-25</v>
      </c>
      <c r="F116" s="0" t="str">
        <f aca="false">"T"&amp;ROUNDUP(C116/3,0)</f>
        <v>T2</v>
      </c>
      <c r="G116" s="35" t="n">
        <f aca="false">DATE(B116,C116,1)</f>
        <v>45748</v>
      </c>
      <c r="H116" s="25" t="n">
        <f aca="false">IF(DAY(A116+1)=1,1,0)</f>
        <v>0</v>
      </c>
    </row>
    <row r="117" customFormat="false" ht="15" hidden="false" customHeight="false" outlineLevel="0" collapsed="false">
      <c r="A117" s="8" t="n">
        <f aca="false">A116+1</f>
        <v>45773</v>
      </c>
      <c r="B117" s="25" t="n">
        <f aca="false">YEAR(A117)</f>
        <v>2025</v>
      </c>
      <c r="C117" s="25" t="n">
        <f aca="false">MONTH(A117)</f>
        <v>4</v>
      </c>
      <c r="D117" s="0" t="str">
        <f aca="false">CHOOSE(C117,"Ene","Feb","Mar","Abr","May","Jun","Jul","Ago","Sep","Oct","Nov","Dic")</f>
        <v>Abr</v>
      </c>
      <c r="E117" s="0" t="str">
        <f aca="false">D117&amp;"-"&amp;RIGHT(B117,2)</f>
        <v>Abr-25</v>
      </c>
      <c r="F117" s="0" t="str">
        <f aca="false">"T"&amp;ROUNDUP(C117/3,0)</f>
        <v>T2</v>
      </c>
      <c r="G117" s="35" t="n">
        <f aca="false">DATE(B117,C117,1)</f>
        <v>45748</v>
      </c>
      <c r="H117" s="25" t="n">
        <f aca="false">IF(DAY(A117+1)=1,1,0)</f>
        <v>0</v>
      </c>
    </row>
    <row r="118" customFormat="false" ht="15" hidden="false" customHeight="false" outlineLevel="0" collapsed="false">
      <c r="A118" s="8" t="n">
        <f aca="false">A117+1</f>
        <v>45774</v>
      </c>
      <c r="B118" s="25" t="n">
        <f aca="false">YEAR(A118)</f>
        <v>2025</v>
      </c>
      <c r="C118" s="25" t="n">
        <f aca="false">MONTH(A118)</f>
        <v>4</v>
      </c>
      <c r="D118" s="0" t="str">
        <f aca="false">CHOOSE(C118,"Ene","Feb","Mar","Abr","May","Jun","Jul","Ago","Sep","Oct","Nov","Dic")</f>
        <v>Abr</v>
      </c>
      <c r="E118" s="0" t="str">
        <f aca="false">D118&amp;"-"&amp;RIGHT(B118,2)</f>
        <v>Abr-25</v>
      </c>
      <c r="F118" s="0" t="str">
        <f aca="false">"T"&amp;ROUNDUP(C118/3,0)</f>
        <v>T2</v>
      </c>
      <c r="G118" s="35" t="n">
        <f aca="false">DATE(B118,C118,1)</f>
        <v>45748</v>
      </c>
      <c r="H118" s="25" t="n">
        <f aca="false">IF(DAY(A118+1)=1,1,0)</f>
        <v>0</v>
      </c>
    </row>
    <row r="119" customFormat="false" ht="15" hidden="false" customHeight="false" outlineLevel="0" collapsed="false">
      <c r="A119" s="8" t="n">
        <f aca="false">A118+1</f>
        <v>45775</v>
      </c>
      <c r="B119" s="25" t="n">
        <f aca="false">YEAR(A119)</f>
        <v>2025</v>
      </c>
      <c r="C119" s="25" t="n">
        <f aca="false">MONTH(A119)</f>
        <v>4</v>
      </c>
      <c r="D119" s="0" t="str">
        <f aca="false">CHOOSE(C119,"Ene","Feb","Mar","Abr","May","Jun","Jul","Ago","Sep","Oct","Nov","Dic")</f>
        <v>Abr</v>
      </c>
      <c r="E119" s="0" t="str">
        <f aca="false">D119&amp;"-"&amp;RIGHT(B119,2)</f>
        <v>Abr-25</v>
      </c>
      <c r="F119" s="0" t="str">
        <f aca="false">"T"&amp;ROUNDUP(C119/3,0)</f>
        <v>T2</v>
      </c>
      <c r="G119" s="35" t="n">
        <f aca="false">DATE(B119,C119,1)</f>
        <v>45748</v>
      </c>
      <c r="H119" s="25" t="n">
        <f aca="false">IF(DAY(A119+1)=1,1,0)</f>
        <v>0</v>
      </c>
    </row>
    <row r="120" customFormat="false" ht="15" hidden="false" customHeight="false" outlineLevel="0" collapsed="false">
      <c r="A120" s="8" t="n">
        <f aca="false">A119+1</f>
        <v>45776</v>
      </c>
      <c r="B120" s="25" t="n">
        <f aca="false">YEAR(A120)</f>
        <v>2025</v>
      </c>
      <c r="C120" s="25" t="n">
        <f aca="false">MONTH(A120)</f>
        <v>4</v>
      </c>
      <c r="D120" s="0" t="str">
        <f aca="false">CHOOSE(C120,"Ene","Feb","Mar","Abr","May","Jun","Jul","Ago","Sep","Oct","Nov","Dic")</f>
        <v>Abr</v>
      </c>
      <c r="E120" s="0" t="str">
        <f aca="false">D120&amp;"-"&amp;RIGHT(B120,2)</f>
        <v>Abr-25</v>
      </c>
      <c r="F120" s="0" t="str">
        <f aca="false">"T"&amp;ROUNDUP(C120/3,0)</f>
        <v>T2</v>
      </c>
      <c r="G120" s="35" t="n">
        <f aca="false">DATE(B120,C120,1)</f>
        <v>45748</v>
      </c>
      <c r="H120" s="25" t="n">
        <f aca="false">IF(DAY(A120+1)=1,1,0)</f>
        <v>0</v>
      </c>
    </row>
    <row r="121" customFormat="false" ht="15" hidden="false" customHeight="false" outlineLevel="0" collapsed="false">
      <c r="A121" s="8" t="n">
        <f aca="false">A120+1</f>
        <v>45777</v>
      </c>
      <c r="B121" s="25" t="n">
        <f aca="false">YEAR(A121)</f>
        <v>2025</v>
      </c>
      <c r="C121" s="25" t="n">
        <f aca="false">MONTH(A121)</f>
        <v>4</v>
      </c>
      <c r="D121" s="0" t="str">
        <f aca="false">CHOOSE(C121,"Ene","Feb","Mar","Abr","May","Jun","Jul","Ago","Sep","Oct","Nov","Dic")</f>
        <v>Abr</v>
      </c>
      <c r="E121" s="0" t="str">
        <f aca="false">D121&amp;"-"&amp;RIGHT(B121,2)</f>
        <v>Abr-25</v>
      </c>
      <c r="F121" s="0" t="str">
        <f aca="false">"T"&amp;ROUNDUP(C121/3,0)</f>
        <v>T2</v>
      </c>
      <c r="G121" s="35" t="n">
        <f aca="false">DATE(B121,C121,1)</f>
        <v>45748</v>
      </c>
      <c r="H121" s="25" t="n">
        <f aca="false">IF(DAY(A121+1)=1,1,0)</f>
        <v>1</v>
      </c>
    </row>
    <row r="122" customFormat="false" ht="15" hidden="false" customHeight="false" outlineLevel="0" collapsed="false">
      <c r="A122" s="8" t="n">
        <f aca="false">A121+1</f>
        <v>45778</v>
      </c>
      <c r="B122" s="25" t="n">
        <f aca="false">YEAR(A122)</f>
        <v>2025</v>
      </c>
      <c r="C122" s="25" t="n">
        <f aca="false">MONTH(A122)</f>
        <v>5</v>
      </c>
      <c r="D122" s="0" t="str">
        <f aca="false">CHOOSE(C122,"Ene","Feb","Mar","Abr","May","Jun","Jul","Ago","Sep","Oct","Nov","Dic")</f>
        <v>May</v>
      </c>
      <c r="E122" s="0" t="str">
        <f aca="false">D122&amp;"-"&amp;RIGHT(B122,2)</f>
        <v>May-25</v>
      </c>
      <c r="F122" s="0" t="str">
        <f aca="false">"T"&amp;ROUNDUP(C122/3,0)</f>
        <v>T2</v>
      </c>
      <c r="G122" s="35" t="n">
        <f aca="false">DATE(B122,C122,1)</f>
        <v>45778</v>
      </c>
      <c r="H122" s="25" t="n">
        <f aca="false">IF(DAY(A122+1)=1,1,0)</f>
        <v>0</v>
      </c>
    </row>
    <row r="123" customFormat="false" ht="15" hidden="false" customHeight="false" outlineLevel="0" collapsed="false">
      <c r="A123" s="8" t="n">
        <f aca="false">A122+1</f>
        <v>45779</v>
      </c>
      <c r="B123" s="25" t="n">
        <f aca="false">YEAR(A123)</f>
        <v>2025</v>
      </c>
      <c r="C123" s="25" t="n">
        <f aca="false">MONTH(A123)</f>
        <v>5</v>
      </c>
      <c r="D123" s="0" t="str">
        <f aca="false">CHOOSE(C123,"Ene","Feb","Mar","Abr","May","Jun","Jul","Ago","Sep","Oct","Nov","Dic")</f>
        <v>May</v>
      </c>
      <c r="E123" s="0" t="str">
        <f aca="false">D123&amp;"-"&amp;RIGHT(B123,2)</f>
        <v>May-25</v>
      </c>
      <c r="F123" s="0" t="str">
        <f aca="false">"T"&amp;ROUNDUP(C123/3,0)</f>
        <v>T2</v>
      </c>
      <c r="G123" s="35" t="n">
        <f aca="false">DATE(B123,C123,1)</f>
        <v>45778</v>
      </c>
      <c r="H123" s="25" t="n">
        <f aca="false">IF(DAY(A123+1)=1,1,0)</f>
        <v>0</v>
      </c>
    </row>
    <row r="124" customFormat="false" ht="15" hidden="false" customHeight="false" outlineLevel="0" collapsed="false">
      <c r="A124" s="8" t="n">
        <f aca="false">A123+1</f>
        <v>45780</v>
      </c>
      <c r="B124" s="25" t="n">
        <f aca="false">YEAR(A124)</f>
        <v>2025</v>
      </c>
      <c r="C124" s="25" t="n">
        <f aca="false">MONTH(A124)</f>
        <v>5</v>
      </c>
      <c r="D124" s="0" t="str">
        <f aca="false">CHOOSE(C124,"Ene","Feb","Mar","Abr","May","Jun","Jul","Ago","Sep","Oct","Nov","Dic")</f>
        <v>May</v>
      </c>
      <c r="E124" s="0" t="str">
        <f aca="false">D124&amp;"-"&amp;RIGHT(B124,2)</f>
        <v>May-25</v>
      </c>
      <c r="F124" s="0" t="str">
        <f aca="false">"T"&amp;ROUNDUP(C124/3,0)</f>
        <v>T2</v>
      </c>
      <c r="G124" s="35" t="n">
        <f aca="false">DATE(B124,C124,1)</f>
        <v>45778</v>
      </c>
      <c r="H124" s="25" t="n">
        <f aca="false">IF(DAY(A124+1)=1,1,0)</f>
        <v>0</v>
      </c>
    </row>
    <row r="125" customFormat="false" ht="15" hidden="false" customHeight="false" outlineLevel="0" collapsed="false">
      <c r="A125" s="8" t="n">
        <f aca="false">A124+1</f>
        <v>45781</v>
      </c>
      <c r="B125" s="25" t="n">
        <f aca="false">YEAR(A125)</f>
        <v>2025</v>
      </c>
      <c r="C125" s="25" t="n">
        <f aca="false">MONTH(A125)</f>
        <v>5</v>
      </c>
      <c r="D125" s="0" t="str">
        <f aca="false">CHOOSE(C125,"Ene","Feb","Mar","Abr","May","Jun","Jul","Ago","Sep","Oct","Nov","Dic")</f>
        <v>May</v>
      </c>
      <c r="E125" s="0" t="str">
        <f aca="false">D125&amp;"-"&amp;RIGHT(B125,2)</f>
        <v>May-25</v>
      </c>
      <c r="F125" s="0" t="str">
        <f aca="false">"T"&amp;ROUNDUP(C125/3,0)</f>
        <v>T2</v>
      </c>
      <c r="G125" s="35" t="n">
        <f aca="false">DATE(B125,C125,1)</f>
        <v>45778</v>
      </c>
      <c r="H125" s="25" t="n">
        <f aca="false">IF(DAY(A125+1)=1,1,0)</f>
        <v>0</v>
      </c>
    </row>
    <row r="126" customFormat="false" ht="15" hidden="false" customHeight="false" outlineLevel="0" collapsed="false">
      <c r="A126" s="8" t="n">
        <f aca="false">A125+1</f>
        <v>45782</v>
      </c>
      <c r="B126" s="25" t="n">
        <f aca="false">YEAR(A126)</f>
        <v>2025</v>
      </c>
      <c r="C126" s="25" t="n">
        <f aca="false">MONTH(A126)</f>
        <v>5</v>
      </c>
      <c r="D126" s="0" t="str">
        <f aca="false">CHOOSE(C126,"Ene","Feb","Mar","Abr","May","Jun","Jul","Ago","Sep","Oct","Nov","Dic")</f>
        <v>May</v>
      </c>
      <c r="E126" s="0" t="str">
        <f aca="false">D126&amp;"-"&amp;RIGHT(B126,2)</f>
        <v>May-25</v>
      </c>
      <c r="F126" s="0" t="str">
        <f aca="false">"T"&amp;ROUNDUP(C126/3,0)</f>
        <v>T2</v>
      </c>
      <c r="G126" s="35" t="n">
        <f aca="false">DATE(B126,C126,1)</f>
        <v>45778</v>
      </c>
      <c r="H126" s="25" t="n">
        <f aca="false">IF(DAY(A126+1)=1,1,0)</f>
        <v>0</v>
      </c>
    </row>
    <row r="127" customFormat="false" ht="15" hidden="false" customHeight="false" outlineLevel="0" collapsed="false">
      <c r="A127" s="8" t="n">
        <f aca="false">A126+1</f>
        <v>45783</v>
      </c>
      <c r="B127" s="25" t="n">
        <f aca="false">YEAR(A127)</f>
        <v>2025</v>
      </c>
      <c r="C127" s="25" t="n">
        <f aca="false">MONTH(A127)</f>
        <v>5</v>
      </c>
      <c r="D127" s="0" t="str">
        <f aca="false">CHOOSE(C127,"Ene","Feb","Mar","Abr","May","Jun","Jul","Ago","Sep","Oct","Nov","Dic")</f>
        <v>May</v>
      </c>
      <c r="E127" s="0" t="str">
        <f aca="false">D127&amp;"-"&amp;RIGHT(B127,2)</f>
        <v>May-25</v>
      </c>
      <c r="F127" s="0" t="str">
        <f aca="false">"T"&amp;ROUNDUP(C127/3,0)</f>
        <v>T2</v>
      </c>
      <c r="G127" s="35" t="n">
        <f aca="false">DATE(B127,C127,1)</f>
        <v>45778</v>
      </c>
      <c r="H127" s="25" t="n">
        <f aca="false">IF(DAY(A127+1)=1,1,0)</f>
        <v>0</v>
      </c>
    </row>
    <row r="128" customFormat="false" ht="15" hidden="false" customHeight="false" outlineLevel="0" collapsed="false">
      <c r="A128" s="8" t="n">
        <f aca="false">A127+1</f>
        <v>45784</v>
      </c>
      <c r="B128" s="25" t="n">
        <f aca="false">YEAR(A128)</f>
        <v>2025</v>
      </c>
      <c r="C128" s="25" t="n">
        <f aca="false">MONTH(A128)</f>
        <v>5</v>
      </c>
      <c r="D128" s="0" t="str">
        <f aca="false">CHOOSE(C128,"Ene","Feb","Mar","Abr","May","Jun","Jul","Ago","Sep","Oct","Nov","Dic")</f>
        <v>May</v>
      </c>
      <c r="E128" s="0" t="str">
        <f aca="false">D128&amp;"-"&amp;RIGHT(B128,2)</f>
        <v>May-25</v>
      </c>
      <c r="F128" s="0" t="str">
        <f aca="false">"T"&amp;ROUNDUP(C128/3,0)</f>
        <v>T2</v>
      </c>
      <c r="G128" s="35" t="n">
        <f aca="false">DATE(B128,C128,1)</f>
        <v>45778</v>
      </c>
      <c r="H128" s="25" t="n">
        <f aca="false">IF(DAY(A128+1)=1,1,0)</f>
        <v>0</v>
      </c>
    </row>
    <row r="129" customFormat="false" ht="15" hidden="false" customHeight="false" outlineLevel="0" collapsed="false">
      <c r="A129" s="8" t="n">
        <f aca="false">A128+1</f>
        <v>45785</v>
      </c>
      <c r="B129" s="25" t="n">
        <f aca="false">YEAR(A129)</f>
        <v>2025</v>
      </c>
      <c r="C129" s="25" t="n">
        <f aca="false">MONTH(A129)</f>
        <v>5</v>
      </c>
      <c r="D129" s="0" t="str">
        <f aca="false">CHOOSE(C129,"Ene","Feb","Mar","Abr","May","Jun","Jul","Ago","Sep","Oct","Nov","Dic")</f>
        <v>May</v>
      </c>
      <c r="E129" s="0" t="str">
        <f aca="false">D129&amp;"-"&amp;RIGHT(B129,2)</f>
        <v>May-25</v>
      </c>
      <c r="F129" s="0" t="str">
        <f aca="false">"T"&amp;ROUNDUP(C129/3,0)</f>
        <v>T2</v>
      </c>
      <c r="G129" s="35" t="n">
        <f aca="false">DATE(B129,C129,1)</f>
        <v>45778</v>
      </c>
      <c r="H129" s="25" t="n">
        <f aca="false">IF(DAY(A129+1)=1,1,0)</f>
        <v>0</v>
      </c>
    </row>
    <row r="130" customFormat="false" ht="15" hidden="false" customHeight="false" outlineLevel="0" collapsed="false">
      <c r="A130" s="8" t="n">
        <f aca="false">A129+1</f>
        <v>45786</v>
      </c>
      <c r="B130" s="25" t="n">
        <f aca="false">YEAR(A130)</f>
        <v>2025</v>
      </c>
      <c r="C130" s="25" t="n">
        <f aca="false">MONTH(A130)</f>
        <v>5</v>
      </c>
      <c r="D130" s="0" t="str">
        <f aca="false">CHOOSE(C130,"Ene","Feb","Mar","Abr","May","Jun","Jul","Ago","Sep","Oct","Nov","Dic")</f>
        <v>May</v>
      </c>
      <c r="E130" s="0" t="str">
        <f aca="false">D130&amp;"-"&amp;RIGHT(B130,2)</f>
        <v>May-25</v>
      </c>
      <c r="F130" s="0" t="str">
        <f aca="false">"T"&amp;ROUNDUP(C130/3,0)</f>
        <v>T2</v>
      </c>
      <c r="G130" s="35" t="n">
        <f aca="false">DATE(B130,C130,1)</f>
        <v>45778</v>
      </c>
      <c r="H130" s="25" t="n">
        <f aca="false">IF(DAY(A130+1)=1,1,0)</f>
        <v>0</v>
      </c>
    </row>
    <row r="131" customFormat="false" ht="15" hidden="false" customHeight="false" outlineLevel="0" collapsed="false">
      <c r="A131" s="8" t="n">
        <f aca="false">A130+1</f>
        <v>45787</v>
      </c>
      <c r="B131" s="25" t="n">
        <f aca="false">YEAR(A131)</f>
        <v>2025</v>
      </c>
      <c r="C131" s="25" t="n">
        <f aca="false">MONTH(A131)</f>
        <v>5</v>
      </c>
      <c r="D131" s="0" t="str">
        <f aca="false">CHOOSE(C131,"Ene","Feb","Mar","Abr","May","Jun","Jul","Ago","Sep","Oct","Nov","Dic")</f>
        <v>May</v>
      </c>
      <c r="E131" s="0" t="str">
        <f aca="false">D131&amp;"-"&amp;RIGHT(B131,2)</f>
        <v>May-25</v>
      </c>
      <c r="F131" s="0" t="str">
        <f aca="false">"T"&amp;ROUNDUP(C131/3,0)</f>
        <v>T2</v>
      </c>
      <c r="G131" s="35" t="n">
        <f aca="false">DATE(B131,C131,1)</f>
        <v>45778</v>
      </c>
      <c r="H131" s="25" t="n">
        <f aca="false">IF(DAY(A131+1)=1,1,0)</f>
        <v>0</v>
      </c>
    </row>
    <row r="132" customFormat="false" ht="15" hidden="false" customHeight="false" outlineLevel="0" collapsed="false">
      <c r="A132" s="8" t="n">
        <f aca="false">A131+1</f>
        <v>45788</v>
      </c>
      <c r="B132" s="25" t="n">
        <f aca="false">YEAR(A132)</f>
        <v>2025</v>
      </c>
      <c r="C132" s="25" t="n">
        <f aca="false">MONTH(A132)</f>
        <v>5</v>
      </c>
      <c r="D132" s="0" t="str">
        <f aca="false">CHOOSE(C132,"Ene","Feb","Mar","Abr","May","Jun","Jul","Ago","Sep","Oct","Nov","Dic")</f>
        <v>May</v>
      </c>
      <c r="E132" s="0" t="str">
        <f aca="false">D132&amp;"-"&amp;RIGHT(B132,2)</f>
        <v>May-25</v>
      </c>
      <c r="F132" s="0" t="str">
        <f aca="false">"T"&amp;ROUNDUP(C132/3,0)</f>
        <v>T2</v>
      </c>
      <c r="G132" s="35" t="n">
        <f aca="false">DATE(B132,C132,1)</f>
        <v>45778</v>
      </c>
      <c r="H132" s="25" t="n">
        <f aca="false">IF(DAY(A132+1)=1,1,0)</f>
        <v>0</v>
      </c>
    </row>
    <row r="133" customFormat="false" ht="15" hidden="false" customHeight="false" outlineLevel="0" collapsed="false">
      <c r="A133" s="8" t="n">
        <f aca="false">A132+1</f>
        <v>45789</v>
      </c>
      <c r="B133" s="25" t="n">
        <f aca="false">YEAR(A133)</f>
        <v>2025</v>
      </c>
      <c r="C133" s="25" t="n">
        <f aca="false">MONTH(A133)</f>
        <v>5</v>
      </c>
      <c r="D133" s="0" t="str">
        <f aca="false">CHOOSE(C133,"Ene","Feb","Mar","Abr","May","Jun","Jul","Ago","Sep","Oct","Nov","Dic")</f>
        <v>May</v>
      </c>
      <c r="E133" s="0" t="str">
        <f aca="false">D133&amp;"-"&amp;RIGHT(B133,2)</f>
        <v>May-25</v>
      </c>
      <c r="F133" s="0" t="str">
        <f aca="false">"T"&amp;ROUNDUP(C133/3,0)</f>
        <v>T2</v>
      </c>
      <c r="G133" s="35" t="n">
        <f aca="false">DATE(B133,C133,1)</f>
        <v>45778</v>
      </c>
      <c r="H133" s="25" t="n">
        <f aca="false">IF(DAY(A133+1)=1,1,0)</f>
        <v>0</v>
      </c>
    </row>
    <row r="134" customFormat="false" ht="15" hidden="false" customHeight="false" outlineLevel="0" collapsed="false">
      <c r="A134" s="8" t="n">
        <f aca="false">A133+1</f>
        <v>45790</v>
      </c>
      <c r="B134" s="25" t="n">
        <f aca="false">YEAR(A134)</f>
        <v>2025</v>
      </c>
      <c r="C134" s="25" t="n">
        <f aca="false">MONTH(A134)</f>
        <v>5</v>
      </c>
      <c r="D134" s="0" t="str">
        <f aca="false">CHOOSE(C134,"Ene","Feb","Mar","Abr","May","Jun","Jul","Ago","Sep","Oct","Nov","Dic")</f>
        <v>May</v>
      </c>
      <c r="E134" s="0" t="str">
        <f aca="false">D134&amp;"-"&amp;RIGHT(B134,2)</f>
        <v>May-25</v>
      </c>
      <c r="F134" s="0" t="str">
        <f aca="false">"T"&amp;ROUNDUP(C134/3,0)</f>
        <v>T2</v>
      </c>
      <c r="G134" s="35" t="n">
        <f aca="false">DATE(B134,C134,1)</f>
        <v>45778</v>
      </c>
      <c r="H134" s="25" t="n">
        <f aca="false">IF(DAY(A134+1)=1,1,0)</f>
        <v>0</v>
      </c>
    </row>
    <row r="135" customFormat="false" ht="15" hidden="false" customHeight="false" outlineLevel="0" collapsed="false">
      <c r="A135" s="8" t="n">
        <f aca="false">A134+1</f>
        <v>45791</v>
      </c>
      <c r="B135" s="25" t="n">
        <f aca="false">YEAR(A135)</f>
        <v>2025</v>
      </c>
      <c r="C135" s="25" t="n">
        <f aca="false">MONTH(A135)</f>
        <v>5</v>
      </c>
      <c r="D135" s="0" t="str">
        <f aca="false">CHOOSE(C135,"Ene","Feb","Mar","Abr","May","Jun","Jul","Ago","Sep","Oct","Nov","Dic")</f>
        <v>May</v>
      </c>
      <c r="E135" s="0" t="str">
        <f aca="false">D135&amp;"-"&amp;RIGHT(B135,2)</f>
        <v>May-25</v>
      </c>
      <c r="F135" s="0" t="str">
        <f aca="false">"T"&amp;ROUNDUP(C135/3,0)</f>
        <v>T2</v>
      </c>
      <c r="G135" s="35" t="n">
        <f aca="false">DATE(B135,C135,1)</f>
        <v>45778</v>
      </c>
      <c r="H135" s="25" t="n">
        <f aca="false">IF(DAY(A135+1)=1,1,0)</f>
        <v>0</v>
      </c>
    </row>
    <row r="136" customFormat="false" ht="15" hidden="false" customHeight="false" outlineLevel="0" collapsed="false">
      <c r="A136" s="8" t="n">
        <f aca="false">A135+1</f>
        <v>45792</v>
      </c>
      <c r="B136" s="25" t="n">
        <f aca="false">YEAR(A136)</f>
        <v>2025</v>
      </c>
      <c r="C136" s="25" t="n">
        <f aca="false">MONTH(A136)</f>
        <v>5</v>
      </c>
      <c r="D136" s="0" t="str">
        <f aca="false">CHOOSE(C136,"Ene","Feb","Mar","Abr","May","Jun","Jul","Ago","Sep","Oct","Nov","Dic")</f>
        <v>May</v>
      </c>
      <c r="E136" s="0" t="str">
        <f aca="false">D136&amp;"-"&amp;RIGHT(B136,2)</f>
        <v>May-25</v>
      </c>
      <c r="F136" s="0" t="str">
        <f aca="false">"T"&amp;ROUNDUP(C136/3,0)</f>
        <v>T2</v>
      </c>
      <c r="G136" s="35" t="n">
        <f aca="false">DATE(B136,C136,1)</f>
        <v>45778</v>
      </c>
      <c r="H136" s="25" t="n">
        <f aca="false">IF(DAY(A136+1)=1,1,0)</f>
        <v>0</v>
      </c>
    </row>
    <row r="137" customFormat="false" ht="15" hidden="false" customHeight="false" outlineLevel="0" collapsed="false">
      <c r="A137" s="8" t="n">
        <f aca="false">A136+1</f>
        <v>45793</v>
      </c>
      <c r="B137" s="25" t="n">
        <f aca="false">YEAR(A137)</f>
        <v>2025</v>
      </c>
      <c r="C137" s="25" t="n">
        <f aca="false">MONTH(A137)</f>
        <v>5</v>
      </c>
      <c r="D137" s="0" t="str">
        <f aca="false">CHOOSE(C137,"Ene","Feb","Mar","Abr","May","Jun","Jul","Ago","Sep","Oct","Nov","Dic")</f>
        <v>May</v>
      </c>
      <c r="E137" s="0" t="str">
        <f aca="false">D137&amp;"-"&amp;RIGHT(B137,2)</f>
        <v>May-25</v>
      </c>
      <c r="F137" s="0" t="str">
        <f aca="false">"T"&amp;ROUNDUP(C137/3,0)</f>
        <v>T2</v>
      </c>
      <c r="G137" s="35" t="n">
        <f aca="false">DATE(B137,C137,1)</f>
        <v>45778</v>
      </c>
      <c r="H137" s="25" t="n">
        <f aca="false">IF(DAY(A137+1)=1,1,0)</f>
        <v>0</v>
      </c>
    </row>
    <row r="138" customFormat="false" ht="15" hidden="false" customHeight="false" outlineLevel="0" collapsed="false">
      <c r="A138" s="8" t="n">
        <f aca="false">A137+1</f>
        <v>45794</v>
      </c>
      <c r="B138" s="25" t="n">
        <f aca="false">YEAR(A138)</f>
        <v>2025</v>
      </c>
      <c r="C138" s="25" t="n">
        <f aca="false">MONTH(A138)</f>
        <v>5</v>
      </c>
      <c r="D138" s="0" t="str">
        <f aca="false">CHOOSE(C138,"Ene","Feb","Mar","Abr","May","Jun","Jul","Ago","Sep","Oct","Nov","Dic")</f>
        <v>May</v>
      </c>
      <c r="E138" s="0" t="str">
        <f aca="false">D138&amp;"-"&amp;RIGHT(B138,2)</f>
        <v>May-25</v>
      </c>
      <c r="F138" s="0" t="str">
        <f aca="false">"T"&amp;ROUNDUP(C138/3,0)</f>
        <v>T2</v>
      </c>
      <c r="G138" s="35" t="n">
        <f aca="false">DATE(B138,C138,1)</f>
        <v>45778</v>
      </c>
      <c r="H138" s="25" t="n">
        <f aca="false">IF(DAY(A138+1)=1,1,0)</f>
        <v>0</v>
      </c>
    </row>
    <row r="139" customFormat="false" ht="15" hidden="false" customHeight="false" outlineLevel="0" collapsed="false">
      <c r="A139" s="8" t="n">
        <f aca="false">A138+1</f>
        <v>45795</v>
      </c>
      <c r="B139" s="25" t="n">
        <f aca="false">YEAR(A139)</f>
        <v>2025</v>
      </c>
      <c r="C139" s="25" t="n">
        <f aca="false">MONTH(A139)</f>
        <v>5</v>
      </c>
      <c r="D139" s="0" t="str">
        <f aca="false">CHOOSE(C139,"Ene","Feb","Mar","Abr","May","Jun","Jul","Ago","Sep","Oct","Nov","Dic")</f>
        <v>May</v>
      </c>
      <c r="E139" s="0" t="str">
        <f aca="false">D139&amp;"-"&amp;RIGHT(B139,2)</f>
        <v>May-25</v>
      </c>
      <c r="F139" s="0" t="str">
        <f aca="false">"T"&amp;ROUNDUP(C139/3,0)</f>
        <v>T2</v>
      </c>
      <c r="G139" s="35" t="n">
        <f aca="false">DATE(B139,C139,1)</f>
        <v>45778</v>
      </c>
      <c r="H139" s="25" t="n">
        <f aca="false">IF(DAY(A139+1)=1,1,0)</f>
        <v>0</v>
      </c>
    </row>
    <row r="140" customFormat="false" ht="15" hidden="false" customHeight="false" outlineLevel="0" collapsed="false">
      <c r="A140" s="8" t="n">
        <f aca="false">A139+1</f>
        <v>45796</v>
      </c>
      <c r="B140" s="25" t="n">
        <f aca="false">YEAR(A140)</f>
        <v>2025</v>
      </c>
      <c r="C140" s="25" t="n">
        <f aca="false">MONTH(A140)</f>
        <v>5</v>
      </c>
      <c r="D140" s="0" t="str">
        <f aca="false">CHOOSE(C140,"Ene","Feb","Mar","Abr","May","Jun","Jul","Ago","Sep","Oct","Nov","Dic")</f>
        <v>May</v>
      </c>
      <c r="E140" s="0" t="str">
        <f aca="false">D140&amp;"-"&amp;RIGHT(B140,2)</f>
        <v>May-25</v>
      </c>
      <c r="F140" s="0" t="str">
        <f aca="false">"T"&amp;ROUNDUP(C140/3,0)</f>
        <v>T2</v>
      </c>
      <c r="G140" s="35" t="n">
        <f aca="false">DATE(B140,C140,1)</f>
        <v>45778</v>
      </c>
      <c r="H140" s="25" t="n">
        <f aca="false">IF(DAY(A140+1)=1,1,0)</f>
        <v>0</v>
      </c>
    </row>
    <row r="141" customFormat="false" ht="15" hidden="false" customHeight="false" outlineLevel="0" collapsed="false">
      <c r="A141" s="8" t="n">
        <f aca="false">A140+1</f>
        <v>45797</v>
      </c>
      <c r="B141" s="25" t="n">
        <f aca="false">YEAR(A141)</f>
        <v>2025</v>
      </c>
      <c r="C141" s="25" t="n">
        <f aca="false">MONTH(A141)</f>
        <v>5</v>
      </c>
      <c r="D141" s="0" t="str">
        <f aca="false">CHOOSE(C141,"Ene","Feb","Mar","Abr","May","Jun","Jul","Ago","Sep","Oct","Nov","Dic")</f>
        <v>May</v>
      </c>
      <c r="E141" s="0" t="str">
        <f aca="false">D141&amp;"-"&amp;RIGHT(B141,2)</f>
        <v>May-25</v>
      </c>
      <c r="F141" s="0" t="str">
        <f aca="false">"T"&amp;ROUNDUP(C141/3,0)</f>
        <v>T2</v>
      </c>
      <c r="G141" s="35" t="n">
        <f aca="false">DATE(B141,C141,1)</f>
        <v>45778</v>
      </c>
      <c r="H141" s="25" t="n">
        <f aca="false">IF(DAY(A141+1)=1,1,0)</f>
        <v>0</v>
      </c>
    </row>
    <row r="142" customFormat="false" ht="15" hidden="false" customHeight="false" outlineLevel="0" collapsed="false">
      <c r="A142" s="8" t="n">
        <f aca="false">A141+1</f>
        <v>45798</v>
      </c>
      <c r="B142" s="25" t="n">
        <f aca="false">YEAR(A142)</f>
        <v>2025</v>
      </c>
      <c r="C142" s="25" t="n">
        <f aca="false">MONTH(A142)</f>
        <v>5</v>
      </c>
      <c r="D142" s="0" t="str">
        <f aca="false">CHOOSE(C142,"Ene","Feb","Mar","Abr","May","Jun","Jul","Ago","Sep","Oct","Nov","Dic")</f>
        <v>May</v>
      </c>
      <c r="E142" s="0" t="str">
        <f aca="false">D142&amp;"-"&amp;RIGHT(B142,2)</f>
        <v>May-25</v>
      </c>
      <c r="F142" s="0" t="str">
        <f aca="false">"T"&amp;ROUNDUP(C142/3,0)</f>
        <v>T2</v>
      </c>
      <c r="G142" s="35" t="n">
        <f aca="false">DATE(B142,C142,1)</f>
        <v>45778</v>
      </c>
      <c r="H142" s="25" t="n">
        <f aca="false">IF(DAY(A142+1)=1,1,0)</f>
        <v>0</v>
      </c>
    </row>
    <row r="143" customFormat="false" ht="15" hidden="false" customHeight="false" outlineLevel="0" collapsed="false">
      <c r="A143" s="8" t="n">
        <f aca="false">A142+1</f>
        <v>45799</v>
      </c>
      <c r="B143" s="25" t="n">
        <f aca="false">YEAR(A143)</f>
        <v>2025</v>
      </c>
      <c r="C143" s="25" t="n">
        <f aca="false">MONTH(A143)</f>
        <v>5</v>
      </c>
      <c r="D143" s="0" t="str">
        <f aca="false">CHOOSE(C143,"Ene","Feb","Mar","Abr","May","Jun","Jul","Ago","Sep","Oct","Nov","Dic")</f>
        <v>May</v>
      </c>
      <c r="E143" s="0" t="str">
        <f aca="false">D143&amp;"-"&amp;RIGHT(B143,2)</f>
        <v>May-25</v>
      </c>
      <c r="F143" s="0" t="str">
        <f aca="false">"T"&amp;ROUNDUP(C143/3,0)</f>
        <v>T2</v>
      </c>
      <c r="G143" s="35" t="n">
        <f aca="false">DATE(B143,C143,1)</f>
        <v>45778</v>
      </c>
      <c r="H143" s="25" t="n">
        <f aca="false">IF(DAY(A143+1)=1,1,0)</f>
        <v>0</v>
      </c>
    </row>
    <row r="144" customFormat="false" ht="15" hidden="false" customHeight="false" outlineLevel="0" collapsed="false">
      <c r="A144" s="8" t="n">
        <f aca="false">A143+1</f>
        <v>45800</v>
      </c>
      <c r="B144" s="25" t="n">
        <f aca="false">YEAR(A144)</f>
        <v>2025</v>
      </c>
      <c r="C144" s="25" t="n">
        <f aca="false">MONTH(A144)</f>
        <v>5</v>
      </c>
      <c r="D144" s="0" t="str">
        <f aca="false">CHOOSE(C144,"Ene","Feb","Mar","Abr","May","Jun","Jul","Ago","Sep","Oct","Nov","Dic")</f>
        <v>May</v>
      </c>
      <c r="E144" s="0" t="str">
        <f aca="false">D144&amp;"-"&amp;RIGHT(B144,2)</f>
        <v>May-25</v>
      </c>
      <c r="F144" s="0" t="str">
        <f aca="false">"T"&amp;ROUNDUP(C144/3,0)</f>
        <v>T2</v>
      </c>
      <c r="G144" s="35" t="n">
        <f aca="false">DATE(B144,C144,1)</f>
        <v>45778</v>
      </c>
      <c r="H144" s="25" t="n">
        <f aca="false">IF(DAY(A144+1)=1,1,0)</f>
        <v>0</v>
      </c>
    </row>
    <row r="145" customFormat="false" ht="15" hidden="false" customHeight="false" outlineLevel="0" collapsed="false">
      <c r="A145" s="8" t="n">
        <f aca="false">A144+1</f>
        <v>45801</v>
      </c>
      <c r="B145" s="25" t="n">
        <f aca="false">YEAR(A145)</f>
        <v>2025</v>
      </c>
      <c r="C145" s="25" t="n">
        <f aca="false">MONTH(A145)</f>
        <v>5</v>
      </c>
      <c r="D145" s="0" t="str">
        <f aca="false">CHOOSE(C145,"Ene","Feb","Mar","Abr","May","Jun","Jul","Ago","Sep","Oct","Nov","Dic")</f>
        <v>May</v>
      </c>
      <c r="E145" s="0" t="str">
        <f aca="false">D145&amp;"-"&amp;RIGHT(B145,2)</f>
        <v>May-25</v>
      </c>
      <c r="F145" s="0" t="str">
        <f aca="false">"T"&amp;ROUNDUP(C145/3,0)</f>
        <v>T2</v>
      </c>
      <c r="G145" s="35" t="n">
        <f aca="false">DATE(B145,C145,1)</f>
        <v>45778</v>
      </c>
      <c r="H145" s="25" t="n">
        <f aca="false">IF(DAY(A145+1)=1,1,0)</f>
        <v>0</v>
      </c>
    </row>
    <row r="146" customFormat="false" ht="15" hidden="false" customHeight="false" outlineLevel="0" collapsed="false">
      <c r="A146" s="8" t="n">
        <f aca="false">A145+1</f>
        <v>45802</v>
      </c>
      <c r="B146" s="25" t="n">
        <f aca="false">YEAR(A146)</f>
        <v>2025</v>
      </c>
      <c r="C146" s="25" t="n">
        <f aca="false">MONTH(A146)</f>
        <v>5</v>
      </c>
      <c r="D146" s="0" t="str">
        <f aca="false">CHOOSE(C146,"Ene","Feb","Mar","Abr","May","Jun","Jul","Ago","Sep","Oct","Nov","Dic")</f>
        <v>May</v>
      </c>
      <c r="E146" s="0" t="str">
        <f aca="false">D146&amp;"-"&amp;RIGHT(B146,2)</f>
        <v>May-25</v>
      </c>
      <c r="F146" s="0" t="str">
        <f aca="false">"T"&amp;ROUNDUP(C146/3,0)</f>
        <v>T2</v>
      </c>
      <c r="G146" s="35" t="n">
        <f aca="false">DATE(B146,C146,1)</f>
        <v>45778</v>
      </c>
      <c r="H146" s="25" t="n">
        <f aca="false">IF(DAY(A146+1)=1,1,0)</f>
        <v>0</v>
      </c>
    </row>
    <row r="147" customFormat="false" ht="15" hidden="false" customHeight="false" outlineLevel="0" collapsed="false">
      <c r="A147" s="8" t="n">
        <f aca="false">A146+1</f>
        <v>45803</v>
      </c>
      <c r="B147" s="25" t="n">
        <f aca="false">YEAR(A147)</f>
        <v>2025</v>
      </c>
      <c r="C147" s="25" t="n">
        <f aca="false">MONTH(A147)</f>
        <v>5</v>
      </c>
      <c r="D147" s="0" t="str">
        <f aca="false">CHOOSE(C147,"Ene","Feb","Mar","Abr","May","Jun","Jul","Ago","Sep","Oct","Nov","Dic")</f>
        <v>May</v>
      </c>
      <c r="E147" s="0" t="str">
        <f aca="false">D147&amp;"-"&amp;RIGHT(B147,2)</f>
        <v>May-25</v>
      </c>
      <c r="F147" s="0" t="str">
        <f aca="false">"T"&amp;ROUNDUP(C147/3,0)</f>
        <v>T2</v>
      </c>
      <c r="G147" s="35" t="n">
        <f aca="false">DATE(B147,C147,1)</f>
        <v>45778</v>
      </c>
      <c r="H147" s="25" t="n">
        <f aca="false">IF(DAY(A147+1)=1,1,0)</f>
        <v>0</v>
      </c>
    </row>
    <row r="148" customFormat="false" ht="15" hidden="false" customHeight="false" outlineLevel="0" collapsed="false">
      <c r="A148" s="8" t="n">
        <f aca="false">A147+1</f>
        <v>45804</v>
      </c>
      <c r="B148" s="25" t="n">
        <f aca="false">YEAR(A148)</f>
        <v>2025</v>
      </c>
      <c r="C148" s="25" t="n">
        <f aca="false">MONTH(A148)</f>
        <v>5</v>
      </c>
      <c r="D148" s="0" t="str">
        <f aca="false">CHOOSE(C148,"Ene","Feb","Mar","Abr","May","Jun","Jul","Ago","Sep","Oct","Nov","Dic")</f>
        <v>May</v>
      </c>
      <c r="E148" s="0" t="str">
        <f aca="false">D148&amp;"-"&amp;RIGHT(B148,2)</f>
        <v>May-25</v>
      </c>
      <c r="F148" s="0" t="str">
        <f aca="false">"T"&amp;ROUNDUP(C148/3,0)</f>
        <v>T2</v>
      </c>
      <c r="G148" s="35" t="n">
        <f aca="false">DATE(B148,C148,1)</f>
        <v>45778</v>
      </c>
      <c r="H148" s="25" t="n">
        <f aca="false">IF(DAY(A148+1)=1,1,0)</f>
        <v>0</v>
      </c>
    </row>
    <row r="149" customFormat="false" ht="15" hidden="false" customHeight="false" outlineLevel="0" collapsed="false">
      <c r="A149" s="8" t="n">
        <f aca="false">A148+1</f>
        <v>45805</v>
      </c>
      <c r="B149" s="25" t="n">
        <f aca="false">YEAR(A149)</f>
        <v>2025</v>
      </c>
      <c r="C149" s="25" t="n">
        <f aca="false">MONTH(A149)</f>
        <v>5</v>
      </c>
      <c r="D149" s="0" t="str">
        <f aca="false">CHOOSE(C149,"Ene","Feb","Mar","Abr","May","Jun","Jul","Ago","Sep","Oct","Nov","Dic")</f>
        <v>May</v>
      </c>
      <c r="E149" s="0" t="str">
        <f aca="false">D149&amp;"-"&amp;RIGHT(B149,2)</f>
        <v>May-25</v>
      </c>
      <c r="F149" s="0" t="str">
        <f aca="false">"T"&amp;ROUNDUP(C149/3,0)</f>
        <v>T2</v>
      </c>
      <c r="G149" s="35" t="n">
        <f aca="false">DATE(B149,C149,1)</f>
        <v>45778</v>
      </c>
      <c r="H149" s="25" t="n">
        <f aca="false">IF(DAY(A149+1)=1,1,0)</f>
        <v>0</v>
      </c>
    </row>
    <row r="150" customFormat="false" ht="15" hidden="false" customHeight="false" outlineLevel="0" collapsed="false">
      <c r="A150" s="8" t="n">
        <f aca="false">A149+1</f>
        <v>45806</v>
      </c>
      <c r="B150" s="25" t="n">
        <f aca="false">YEAR(A150)</f>
        <v>2025</v>
      </c>
      <c r="C150" s="25" t="n">
        <f aca="false">MONTH(A150)</f>
        <v>5</v>
      </c>
      <c r="D150" s="0" t="str">
        <f aca="false">CHOOSE(C150,"Ene","Feb","Mar","Abr","May","Jun","Jul","Ago","Sep","Oct","Nov","Dic")</f>
        <v>May</v>
      </c>
      <c r="E150" s="0" t="str">
        <f aca="false">D150&amp;"-"&amp;RIGHT(B150,2)</f>
        <v>May-25</v>
      </c>
      <c r="F150" s="0" t="str">
        <f aca="false">"T"&amp;ROUNDUP(C150/3,0)</f>
        <v>T2</v>
      </c>
      <c r="G150" s="35" t="n">
        <f aca="false">DATE(B150,C150,1)</f>
        <v>45778</v>
      </c>
      <c r="H150" s="25" t="n">
        <f aca="false">IF(DAY(A150+1)=1,1,0)</f>
        <v>0</v>
      </c>
    </row>
    <row r="151" customFormat="false" ht="15" hidden="false" customHeight="false" outlineLevel="0" collapsed="false">
      <c r="A151" s="8" t="n">
        <f aca="false">A150+1</f>
        <v>45807</v>
      </c>
      <c r="B151" s="25" t="n">
        <f aca="false">YEAR(A151)</f>
        <v>2025</v>
      </c>
      <c r="C151" s="25" t="n">
        <f aca="false">MONTH(A151)</f>
        <v>5</v>
      </c>
      <c r="D151" s="0" t="str">
        <f aca="false">CHOOSE(C151,"Ene","Feb","Mar","Abr","May","Jun","Jul","Ago","Sep","Oct","Nov","Dic")</f>
        <v>May</v>
      </c>
      <c r="E151" s="0" t="str">
        <f aca="false">D151&amp;"-"&amp;RIGHT(B151,2)</f>
        <v>May-25</v>
      </c>
      <c r="F151" s="0" t="str">
        <f aca="false">"T"&amp;ROUNDUP(C151/3,0)</f>
        <v>T2</v>
      </c>
      <c r="G151" s="35" t="n">
        <f aca="false">DATE(B151,C151,1)</f>
        <v>45778</v>
      </c>
      <c r="H151" s="25" t="n">
        <f aca="false">IF(DAY(A151+1)=1,1,0)</f>
        <v>0</v>
      </c>
    </row>
    <row r="152" customFormat="false" ht="15" hidden="false" customHeight="false" outlineLevel="0" collapsed="false">
      <c r="A152" s="8" t="n">
        <f aca="false">A151+1</f>
        <v>45808</v>
      </c>
      <c r="B152" s="25" t="n">
        <f aca="false">YEAR(A152)</f>
        <v>2025</v>
      </c>
      <c r="C152" s="25" t="n">
        <f aca="false">MONTH(A152)</f>
        <v>5</v>
      </c>
      <c r="D152" s="0" t="str">
        <f aca="false">CHOOSE(C152,"Ene","Feb","Mar","Abr","May","Jun","Jul","Ago","Sep","Oct","Nov","Dic")</f>
        <v>May</v>
      </c>
      <c r="E152" s="0" t="str">
        <f aca="false">D152&amp;"-"&amp;RIGHT(B152,2)</f>
        <v>May-25</v>
      </c>
      <c r="F152" s="0" t="str">
        <f aca="false">"T"&amp;ROUNDUP(C152/3,0)</f>
        <v>T2</v>
      </c>
      <c r="G152" s="35" t="n">
        <f aca="false">DATE(B152,C152,1)</f>
        <v>45778</v>
      </c>
      <c r="H152" s="25" t="n">
        <f aca="false">IF(DAY(A152+1)=1,1,0)</f>
        <v>1</v>
      </c>
    </row>
    <row r="153" customFormat="false" ht="15" hidden="false" customHeight="false" outlineLevel="0" collapsed="false">
      <c r="A153" s="8" t="n">
        <f aca="false">A152+1</f>
        <v>45809</v>
      </c>
      <c r="B153" s="25" t="n">
        <f aca="false">YEAR(A153)</f>
        <v>2025</v>
      </c>
      <c r="C153" s="25" t="n">
        <f aca="false">MONTH(A153)</f>
        <v>6</v>
      </c>
      <c r="D153" s="0" t="str">
        <f aca="false">CHOOSE(C153,"Ene","Feb","Mar","Abr","May","Jun","Jul","Ago","Sep","Oct","Nov","Dic")</f>
        <v>Jun</v>
      </c>
      <c r="E153" s="0" t="str">
        <f aca="false">D153&amp;"-"&amp;RIGHT(B153,2)</f>
        <v>Jun-25</v>
      </c>
      <c r="F153" s="0" t="str">
        <f aca="false">"T"&amp;ROUNDUP(C153/3,0)</f>
        <v>T2</v>
      </c>
      <c r="G153" s="35" t="n">
        <f aca="false">DATE(B153,C153,1)</f>
        <v>45809</v>
      </c>
      <c r="H153" s="25" t="n">
        <f aca="false">IF(DAY(A153+1)=1,1,0)</f>
        <v>0</v>
      </c>
    </row>
    <row r="154" customFormat="false" ht="15" hidden="false" customHeight="false" outlineLevel="0" collapsed="false">
      <c r="A154" s="8" t="n">
        <f aca="false">A153+1</f>
        <v>45810</v>
      </c>
      <c r="B154" s="25" t="n">
        <f aca="false">YEAR(A154)</f>
        <v>2025</v>
      </c>
      <c r="C154" s="25" t="n">
        <f aca="false">MONTH(A154)</f>
        <v>6</v>
      </c>
      <c r="D154" s="0" t="str">
        <f aca="false">CHOOSE(C154,"Ene","Feb","Mar","Abr","May","Jun","Jul","Ago","Sep","Oct","Nov","Dic")</f>
        <v>Jun</v>
      </c>
      <c r="E154" s="0" t="str">
        <f aca="false">D154&amp;"-"&amp;RIGHT(B154,2)</f>
        <v>Jun-25</v>
      </c>
      <c r="F154" s="0" t="str">
        <f aca="false">"T"&amp;ROUNDUP(C154/3,0)</f>
        <v>T2</v>
      </c>
      <c r="G154" s="35" t="n">
        <f aca="false">DATE(B154,C154,1)</f>
        <v>45809</v>
      </c>
      <c r="H154" s="25" t="n">
        <f aca="false">IF(DAY(A154+1)=1,1,0)</f>
        <v>0</v>
      </c>
    </row>
    <row r="155" customFormat="false" ht="15" hidden="false" customHeight="false" outlineLevel="0" collapsed="false">
      <c r="A155" s="8" t="n">
        <f aca="false">A154+1</f>
        <v>45811</v>
      </c>
      <c r="B155" s="25" t="n">
        <f aca="false">YEAR(A155)</f>
        <v>2025</v>
      </c>
      <c r="C155" s="25" t="n">
        <f aca="false">MONTH(A155)</f>
        <v>6</v>
      </c>
      <c r="D155" s="0" t="str">
        <f aca="false">CHOOSE(C155,"Ene","Feb","Mar","Abr","May","Jun","Jul","Ago","Sep","Oct","Nov","Dic")</f>
        <v>Jun</v>
      </c>
      <c r="E155" s="0" t="str">
        <f aca="false">D155&amp;"-"&amp;RIGHT(B155,2)</f>
        <v>Jun-25</v>
      </c>
      <c r="F155" s="0" t="str">
        <f aca="false">"T"&amp;ROUNDUP(C155/3,0)</f>
        <v>T2</v>
      </c>
      <c r="G155" s="35" t="n">
        <f aca="false">DATE(B155,C155,1)</f>
        <v>45809</v>
      </c>
      <c r="H155" s="25" t="n">
        <f aca="false">IF(DAY(A155+1)=1,1,0)</f>
        <v>0</v>
      </c>
    </row>
    <row r="156" customFormat="false" ht="15" hidden="false" customHeight="false" outlineLevel="0" collapsed="false">
      <c r="A156" s="8" t="n">
        <f aca="false">A155+1</f>
        <v>45812</v>
      </c>
      <c r="B156" s="25" t="n">
        <f aca="false">YEAR(A156)</f>
        <v>2025</v>
      </c>
      <c r="C156" s="25" t="n">
        <f aca="false">MONTH(A156)</f>
        <v>6</v>
      </c>
      <c r="D156" s="0" t="str">
        <f aca="false">CHOOSE(C156,"Ene","Feb","Mar","Abr","May","Jun","Jul","Ago","Sep","Oct","Nov","Dic")</f>
        <v>Jun</v>
      </c>
      <c r="E156" s="0" t="str">
        <f aca="false">D156&amp;"-"&amp;RIGHT(B156,2)</f>
        <v>Jun-25</v>
      </c>
      <c r="F156" s="0" t="str">
        <f aca="false">"T"&amp;ROUNDUP(C156/3,0)</f>
        <v>T2</v>
      </c>
      <c r="G156" s="35" t="n">
        <f aca="false">DATE(B156,C156,1)</f>
        <v>45809</v>
      </c>
      <c r="H156" s="25" t="n">
        <f aca="false">IF(DAY(A156+1)=1,1,0)</f>
        <v>0</v>
      </c>
    </row>
    <row r="157" customFormat="false" ht="15" hidden="false" customHeight="false" outlineLevel="0" collapsed="false">
      <c r="A157" s="8" t="n">
        <f aca="false">A156+1</f>
        <v>45813</v>
      </c>
      <c r="B157" s="25" t="n">
        <f aca="false">YEAR(A157)</f>
        <v>2025</v>
      </c>
      <c r="C157" s="25" t="n">
        <f aca="false">MONTH(A157)</f>
        <v>6</v>
      </c>
      <c r="D157" s="0" t="str">
        <f aca="false">CHOOSE(C157,"Ene","Feb","Mar","Abr","May","Jun","Jul","Ago","Sep","Oct","Nov","Dic")</f>
        <v>Jun</v>
      </c>
      <c r="E157" s="0" t="str">
        <f aca="false">D157&amp;"-"&amp;RIGHT(B157,2)</f>
        <v>Jun-25</v>
      </c>
      <c r="F157" s="0" t="str">
        <f aca="false">"T"&amp;ROUNDUP(C157/3,0)</f>
        <v>T2</v>
      </c>
      <c r="G157" s="35" t="n">
        <f aca="false">DATE(B157,C157,1)</f>
        <v>45809</v>
      </c>
      <c r="H157" s="25" t="n">
        <f aca="false">IF(DAY(A157+1)=1,1,0)</f>
        <v>0</v>
      </c>
    </row>
    <row r="158" customFormat="false" ht="15" hidden="false" customHeight="false" outlineLevel="0" collapsed="false">
      <c r="A158" s="8" t="n">
        <f aca="false">A157+1</f>
        <v>45814</v>
      </c>
      <c r="B158" s="25" t="n">
        <f aca="false">YEAR(A158)</f>
        <v>2025</v>
      </c>
      <c r="C158" s="25" t="n">
        <f aca="false">MONTH(A158)</f>
        <v>6</v>
      </c>
      <c r="D158" s="0" t="str">
        <f aca="false">CHOOSE(C158,"Ene","Feb","Mar","Abr","May","Jun","Jul","Ago","Sep","Oct","Nov","Dic")</f>
        <v>Jun</v>
      </c>
      <c r="E158" s="0" t="str">
        <f aca="false">D158&amp;"-"&amp;RIGHT(B158,2)</f>
        <v>Jun-25</v>
      </c>
      <c r="F158" s="0" t="str">
        <f aca="false">"T"&amp;ROUNDUP(C158/3,0)</f>
        <v>T2</v>
      </c>
      <c r="G158" s="35" t="n">
        <f aca="false">DATE(B158,C158,1)</f>
        <v>45809</v>
      </c>
      <c r="H158" s="25" t="n">
        <f aca="false">IF(DAY(A158+1)=1,1,0)</f>
        <v>0</v>
      </c>
    </row>
    <row r="159" customFormat="false" ht="15" hidden="false" customHeight="false" outlineLevel="0" collapsed="false">
      <c r="A159" s="8" t="n">
        <f aca="false">A158+1</f>
        <v>45815</v>
      </c>
      <c r="B159" s="25" t="n">
        <f aca="false">YEAR(A159)</f>
        <v>2025</v>
      </c>
      <c r="C159" s="25" t="n">
        <f aca="false">MONTH(A159)</f>
        <v>6</v>
      </c>
      <c r="D159" s="0" t="str">
        <f aca="false">CHOOSE(C159,"Ene","Feb","Mar","Abr","May","Jun","Jul","Ago","Sep","Oct","Nov","Dic")</f>
        <v>Jun</v>
      </c>
      <c r="E159" s="0" t="str">
        <f aca="false">D159&amp;"-"&amp;RIGHT(B159,2)</f>
        <v>Jun-25</v>
      </c>
      <c r="F159" s="0" t="str">
        <f aca="false">"T"&amp;ROUNDUP(C159/3,0)</f>
        <v>T2</v>
      </c>
      <c r="G159" s="35" t="n">
        <f aca="false">DATE(B159,C159,1)</f>
        <v>45809</v>
      </c>
      <c r="H159" s="25" t="n">
        <f aca="false">IF(DAY(A159+1)=1,1,0)</f>
        <v>0</v>
      </c>
    </row>
    <row r="160" customFormat="false" ht="15" hidden="false" customHeight="false" outlineLevel="0" collapsed="false">
      <c r="A160" s="8" t="n">
        <f aca="false">A159+1</f>
        <v>45816</v>
      </c>
      <c r="B160" s="25" t="n">
        <f aca="false">YEAR(A160)</f>
        <v>2025</v>
      </c>
      <c r="C160" s="25" t="n">
        <f aca="false">MONTH(A160)</f>
        <v>6</v>
      </c>
      <c r="D160" s="0" t="str">
        <f aca="false">CHOOSE(C160,"Ene","Feb","Mar","Abr","May","Jun","Jul","Ago","Sep","Oct","Nov","Dic")</f>
        <v>Jun</v>
      </c>
      <c r="E160" s="0" t="str">
        <f aca="false">D160&amp;"-"&amp;RIGHT(B160,2)</f>
        <v>Jun-25</v>
      </c>
      <c r="F160" s="0" t="str">
        <f aca="false">"T"&amp;ROUNDUP(C160/3,0)</f>
        <v>T2</v>
      </c>
      <c r="G160" s="35" t="n">
        <f aca="false">DATE(B160,C160,1)</f>
        <v>45809</v>
      </c>
      <c r="H160" s="25" t="n">
        <f aca="false">IF(DAY(A160+1)=1,1,0)</f>
        <v>0</v>
      </c>
    </row>
    <row r="161" customFormat="false" ht="15" hidden="false" customHeight="false" outlineLevel="0" collapsed="false">
      <c r="A161" s="8" t="n">
        <f aca="false">A160+1</f>
        <v>45817</v>
      </c>
      <c r="B161" s="25" t="n">
        <f aca="false">YEAR(A161)</f>
        <v>2025</v>
      </c>
      <c r="C161" s="25" t="n">
        <f aca="false">MONTH(A161)</f>
        <v>6</v>
      </c>
      <c r="D161" s="0" t="str">
        <f aca="false">CHOOSE(C161,"Ene","Feb","Mar","Abr","May","Jun","Jul","Ago","Sep","Oct","Nov","Dic")</f>
        <v>Jun</v>
      </c>
      <c r="E161" s="0" t="str">
        <f aca="false">D161&amp;"-"&amp;RIGHT(B161,2)</f>
        <v>Jun-25</v>
      </c>
      <c r="F161" s="0" t="str">
        <f aca="false">"T"&amp;ROUNDUP(C161/3,0)</f>
        <v>T2</v>
      </c>
      <c r="G161" s="35" t="n">
        <f aca="false">DATE(B161,C161,1)</f>
        <v>45809</v>
      </c>
      <c r="H161" s="25" t="n">
        <f aca="false">IF(DAY(A161+1)=1,1,0)</f>
        <v>0</v>
      </c>
    </row>
    <row r="162" customFormat="false" ht="15" hidden="false" customHeight="false" outlineLevel="0" collapsed="false">
      <c r="A162" s="8" t="n">
        <f aca="false">A161+1</f>
        <v>45818</v>
      </c>
      <c r="B162" s="25" t="n">
        <f aca="false">YEAR(A162)</f>
        <v>2025</v>
      </c>
      <c r="C162" s="25" t="n">
        <f aca="false">MONTH(A162)</f>
        <v>6</v>
      </c>
      <c r="D162" s="0" t="str">
        <f aca="false">CHOOSE(C162,"Ene","Feb","Mar","Abr","May","Jun","Jul","Ago","Sep","Oct","Nov","Dic")</f>
        <v>Jun</v>
      </c>
      <c r="E162" s="0" t="str">
        <f aca="false">D162&amp;"-"&amp;RIGHT(B162,2)</f>
        <v>Jun-25</v>
      </c>
      <c r="F162" s="0" t="str">
        <f aca="false">"T"&amp;ROUNDUP(C162/3,0)</f>
        <v>T2</v>
      </c>
      <c r="G162" s="35" t="n">
        <f aca="false">DATE(B162,C162,1)</f>
        <v>45809</v>
      </c>
      <c r="H162" s="25" t="n">
        <f aca="false">IF(DAY(A162+1)=1,1,0)</f>
        <v>0</v>
      </c>
    </row>
    <row r="163" customFormat="false" ht="15" hidden="false" customHeight="false" outlineLevel="0" collapsed="false">
      <c r="A163" s="8" t="n">
        <f aca="false">A162+1</f>
        <v>45819</v>
      </c>
      <c r="B163" s="25" t="n">
        <f aca="false">YEAR(A163)</f>
        <v>2025</v>
      </c>
      <c r="C163" s="25" t="n">
        <f aca="false">MONTH(A163)</f>
        <v>6</v>
      </c>
      <c r="D163" s="0" t="str">
        <f aca="false">CHOOSE(C163,"Ene","Feb","Mar","Abr","May","Jun","Jul","Ago","Sep","Oct","Nov","Dic")</f>
        <v>Jun</v>
      </c>
      <c r="E163" s="0" t="str">
        <f aca="false">D163&amp;"-"&amp;RIGHT(B163,2)</f>
        <v>Jun-25</v>
      </c>
      <c r="F163" s="0" t="str">
        <f aca="false">"T"&amp;ROUNDUP(C163/3,0)</f>
        <v>T2</v>
      </c>
      <c r="G163" s="35" t="n">
        <f aca="false">DATE(B163,C163,1)</f>
        <v>45809</v>
      </c>
      <c r="H163" s="25" t="n">
        <f aca="false">IF(DAY(A163+1)=1,1,0)</f>
        <v>0</v>
      </c>
    </row>
    <row r="164" customFormat="false" ht="15" hidden="false" customHeight="false" outlineLevel="0" collapsed="false">
      <c r="A164" s="8" t="n">
        <f aca="false">A163+1</f>
        <v>45820</v>
      </c>
      <c r="B164" s="25" t="n">
        <f aca="false">YEAR(A164)</f>
        <v>2025</v>
      </c>
      <c r="C164" s="25" t="n">
        <f aca="false">MONTH(A164)</f>
        <v>6</v>
      </c>
      <c r="D164" s="0" t="str">
        <f aca="false">CHOOSE(C164,"Ene","Feb","Mar","Abr","May","Jun","Jul","Ago","Sep","Oct","Nov","Dic")</f>
        <v>Jun</v>
      </c>
      <c r="E164" s="0" t="str">
        <f aca="false">D164&amp;"-"&amp;RIGHT(B164,2)</f>
        <v>Jun-25</v>
      </c>
      <c r="F164" s="0" t="str">
        <f aca="false">"T"&amp;ROUNDUP(C164/3,0)</f>
        <v>T2</v>
      </c>
      <c r="G164" s="35" t="n">
        <f aca="false">DATE(B164,C164,1)</f>
        <v>45809</v>
      </c>
      <c r="H164" s="25" t="n">
        <f aca="false">IF(DAY(A164+1)=1,1,0)</f>
        <v>0</v>
      </c>
    </row>
    <row r="165" customFormat="false" ht="15" hidden="false" customHeight="false" outlineLevel="0" collapsed="false">
      <c r="A165" s="8" t="n">
        <f aca="false">A164+1</f>
        <v>45821</v>
      </c>
      <c r="B165" s="25" t="n">
        <f aca="false">YEAR(A165)</f>
        <v>2025</v>
      </c>
      <c r="C165" s="25" t="n">
        <f aca="false">MONTH(A165)</f>
        <v>6</v>
      </c>
      <c r="D165" s="0" t="str">
        <f aca="false">CHOOSE(C165,"Ene","Feb","Mar","Abr","May","Jun","Jul","Ago","Sep","Oct","Nov","Dic")</f>
        <v>Jun</v>
      </c>
      <c r="E165" s="0" t="str">
        <f aca="false">D165&amp;"-"&amp;RIGHT(B165,2)</f>
        <v>Jun-25</v>
      </c>
      <c r="F165" s="0" t="str">
        <f aca="false">"T"&amp;ROUNDUP(C165/3,0)</f>
        <v>T2</v>
      </c>
      <c r="G165" s="35" t="n">
        <f aca="false">DATE(B165,C165,1)</f>
        <v>45809</v>
      </c>
      <c r="H165" s="25" t="n">
        <f aca="false">IF(DAY(A165+1)=1,1,0)</f>
        <v>0</v>
      </c>
    </row>
    <row r="166" customFormat="false" ht="15" hidden="false" customHeight="false" outlineLevel="0" collapsed="false">
      <c r="A166" s="8" t="n">
        <f aca="false">A165+1</f>
        <v>45822</v>
      </c>
      <c r="B166" s="25" t="n">
        <f aca="false">YEAR(A166)</f>
        <v>2025</v>
      </c>
      <c r="C166" s="25" t="n">
        <f aca="false">MONTH(A166)</f>
        <v>6</v>
      </c>
      <c r="D166" s="0" t="str">
        <f aca="false">CHOOSE(C166,"Ene","Feb","Mar","Abr","May","Jun","Jul","Ago","Sep","Oct","Nov","Dic")</f>
        <v>Jun</v>
      </c>
      <c r="E166" s="0" t="str">
        <f aca="false">D166&amp;"-"&amp;RIGHT(B166,2)</f>
        <v>Jun-25</v>
      </c>
      <c r="F166" s="0" t="str">
        <f aca="false">"T"&amp;ROUNDUP(C166/3,0)</f>
        <v>T2</v>
      </c>
      <c r="G166" s="35" t="n">
        <f aca="false">DATE(B166,C166,1)</f>
        <v>45809</v>
      </c>
      <c r="H166" s="25" t="n">
        <f aca="false">IF(DAY(A166+1)=1,1,0)</f>
        <v>0</v>
      </c>
    </row>
    <row r="167" customFormat="false" ht="15" hidden="false" customHeight="false" outlineLevel="0" collapsed="false">
      <c r="A167" s="8" t="n">
        <f aca="false">A166+1</f>
        <v>45823</v>
      </c>
      <c r="B167" s="25" t="n">
        <f aca="false">YEAR(A167)</f>
        <v>2025</v>
      </c>
      <c r="C167" s="25" t="n">
        <f aca="false">MONTH(A167)</f>
        <v>6</v>
      </c>
      <c r="D167" s="0" t="str">
        <f aca="false">CHOOSE(C167,"Ene","Feb","Mar","Abr","May","Jun","Jul","Ago","Sep","Oct","Nov","Dic")</f>
        <v>Jun</v>
      </c>
      <c r="E167" s="0" t="str">
        <f aca="false">D167&amp;"-"&amp;RIGHT(B167,2)</f>
        <v>Jun-25</v>
      </c>
      <c r="F167" s="0" t="str">
        <f aca="false">"T"&amp;ROUNDUP(C167/3,0)</f>
        <v>T2</v>
      </c>
      <c r="G167" s="35" t="n">
        <f aca="false">DATE(B167,C167,1)</f>
        <v>45809</v>
      </c>
      <c r="H167" s="25" t="n">
        <f aca="false">IF(DAY(A167+1)=1,1,0)</f>
        <v>0</v>
      </c>
    </row>
    <row r="168" customFormat="false" ht="15" hidden="false" customHeight="false" outlineLevel="0" collapsed="false">
      <c r="A168" s="8" t="n">
        <f aca="false">A167+1</f>
        <v>45824</v>
      </c>
      <c r="B168" s="25" t="n">
        <f aca="false">YEAR(A168)</f>
        <v>2025</v>
      </c>
      <c r="C168" s="25" t="n">
        <f aca="false">MONTH(A168)</f>
        <v>6</v>
      </c>
      <c r="D168" s="0" t="str">
        <f aca="false">CHOOSE(C168,"Ene","Feb","Mar","Abr","May","Jun","Jul","Ago","Sep","Oct","Nov","Dic")</f>
        <v>Jun</v>
      </c>
      <c r="E168" s="0" t="str">
        <f aca="false">D168&amp;"-"&amp;RIGHT(B168,2)</f>
        <v>Jun-25</v>
      </c>
      <c r="F168" s="0" t="str">
        <f aca="false">"T"&amp;ROUNDUP(C168/3,0)</f>
        <v>T2</v>
      </c>
      <c r="G168" s="35" t="n">
        <f aca="false">DATE(B168,C168,1)</f>
        <v>45809</v>
      </c>
      <c r="H168" s="25" t="n">
        <f aca="false">IF(DAY(A168+1)=1,1,0)</f>
        <v>0</v>
      </c>
    </row>
    <row r="169" customFormat="false" ht="15" hidden="false" customHeight="false" outlineLevel="0" collapsed="false">
      <c r="A169" s="8" t="n">
        <f aca="false">A168+1</f>
        <v>45825</v>
      </c>
      <c r="B169" s="25" t="n">
        <f aca="false">YEAR(A169)</f>
        <v>2025</v>
      </c>
      <c r="C169" s="25" t="n">
        <f aca="false">MONTH(A169)</f>
        <v>6</v>
      </c>
      <c r="D169" s="0" t="str">
        <f aca="false">CHOOSE(C169,"Ene","Feb","Mar","Abr","May","Jun","Jul","Ago","Sep","Oct","Nov","Dic")</f>
        <v>Jun</v>
      </c>
      <c r="E169" s="0" t="str">
        <f aca="false">D169&amp;"-"&amp;RIGHT(B169,2)</f>
        <v>Jun-25</v>
      </c>
      <c r="F169" s="0" t="str">
        <f aca="false">"T"&amp;ROUNDUP(C169/3,0)</f>
        <v>T2</v>
      </c>
      <c r="G169" s="35" t="n">
        <f aca="false">DATE(B169,C169,1)</f>
        <v>45809</v>
      </c>
      <c r="H169" s="25" t="n">
        <f aca="false">IF(DAY(A169+1)=1,1,0)</f>
        <v>0</v>
      </c>
    </row>
    <row r="170" customFormat="false" ht="15" hidden="false" customHeight="false" outlineLevel="0" collapsed="false">
      <c r="A170" s="8" t="n">
        <f aca="false">A169+1</f>
        <v>45826</v>
      </c>
      <c r="B170" s="25" t="n">
        <f aca="false">YEAR(A170)</f>
        <v>2025</v>
      </c>
      <c r="C170" s="25" t="n">
        <f aca="false">MONTH(A170)</f>
        <v>6</v>
      </c>
      <c r="D170" s="0" t="str">
        <f aca="false">CHOOSE(C170,"Ene","Feb","Mar","Abr","May","Jun","Jul","Ago","Sep","Oct","Nov","Dic")</f>
        <v>Jun</v>
      </c>
      <c r="E170" s="0" t="str">
        <f aca="false">D170&amp;"-"&amp;RIGHT(B170,2)</f>
        <v>Jun-25</v>
      </c>
      <c r="F170" s="0" t="str">
        <f aca="false">"T"&amp;ROUNDUP(C170/3,0)</f>
        <v>T2</v>
      </c>
      <c r="G170" s="35" t="n">
        <f aca="false">DATE(B170,C170,1)</f>
        <v>45809</v>
      </c>
      <c r="H170" s="25" t="n">
        <f aca="false">IF(DAY(A170+1)=1,1,0)</f>
        <v>0</v>
      </c>
    </row>
    <row r="171" customFormat="false" ht="15" hidden="false" customHeight="false" outlineLevel="0" collapsed="false">
      <c r="A171" s="8" t="n">
        <f aca="false">A170+1</f>
        <v>45827</v>
      </c>
      <c r="B171" s="25" t="n">
        <f aca="false">YEAR(A171)</f>
        <v>2025</v>
      </c>
      <c r="C171" s="25" t="n">
        <f aca="false">MONTH(A171)</f>
        <v>6</v>
      </c>
      <c r="D171" s="0" t="str">
        <f aca="false">CHOOSE(C171,"Ene","Feb","Mar","Abr","May","Jun","Jul","Ago","Sep","Oct","Nov","Dic")</f>
        <v>Jun</v>
      </c>
      <c r="E171" s="0" t="str">
        <f aca="false">D171&amp;"-"&amp;RIGHT(B171,2)</f>
        <v>Jun-25</v>
      </c>
      <c r="F171" s="0" t="str">
        <f aca="false">"T"&amp;ROUNDUP(C171/3,0)</f>
        <v>T2</v>
      </c>
      <c r="G171" s="35" t="n">
        <f aca="false">DATE(B171,C171,1)</f>
        <v>45809</v>
      </c>
      <c r="H171" s="25" t="n">
        <f aca="false">IF(DAY(A171+1)=1,1,0)</f>
        <v>0</v>
      </c>
    </row>
    <row r="172" customFormat="false" ht="15" hidden="false" customHeight="false" outlineLevel="0" collapsed="false">
      <c r="A172" s="8" t="n">
        <f aca="false">A171+1</f>
        <v>45828</v>
      </c>
      <c r="B172" s="25" t="n">
        <f aca="false">YEAR(A172)</f>
        <v>2025</v>
      </c>
      <c r="C172" s="25" t="n">
        <f aca="false">MONTH(A172)</f>
        <v>6</v>
      </c>
      <c r="D172" s="0" t="str">
        <f aca="false">CHOOSE(C172,"Ene","Feb","Mar","Abr","May","Jun","Jul","Ago","Sep","Oct","Nov","Dic")</f>
        <v>Jun</v>
      </c>
      <c r="E172" s="0" t="str">
        <f aca="false">D172&amp;"-"&amp;RIGHT(B172,2)</f>
        <v>Jun-25</v>
      </c>
      <c r="F172" s="0" t="str">
        <f aca="false">"T"&amp;ROUNDUP(C172/3,0)</f>
        <v>T2</v>
      </c>
      <c r="G172" s="35" t="n">
        <f aca="false">DATE(B172,C172,1)</f>
        <v>45809</v>
      </c>
      <c r="H172" s="25" t="n">
        <f aca="false">IF(DAY(A172+1)=1,1,0)</f>
        <v>0</v>
      </c>
    </row>
    <row r="173" customFormat="false" ht="15" hidden="false" customHeight="false" outlineLevel="0" collapsed="false">
      <c r="A173" s="8" t="n">
        <f aca="false">A172+1</f>
        <v>45829</v>
      </c>
      <c r="B173" s="25" t="n">
        <f aca="false">YEAR(A173)</f>
        <v>2025</v>
      </c>
      <c r="C173" s="25" t="n">
        <f aca="false">MONTH(A173)</f>
        <v>6</v>
      </c>
      <c r="D173" s="0" t="str">
        <f aca="false">CHOOSE(C173,"Ene","Feb","Mar","Abr","May","Jun","Jul","Ago","Sep","Oct","Nov","Dic")</f>
        <v>Jun</v>
      </c>
      <c r="E173" s="0" t="str">
        <f aca="false">D173&amp;"-"&amp;RIGHT(B173,2)</f>
        <v>Jun-25</v>
      </c>
      <c r="F173" s="0" t="str">
        <f aca="false">"T"&amp;ROUNDUP(C173/3,0)</f>
        <v>T2</v>
      </c>
      <c r="G173" s="35" t="n">
        <f aca="false">DATE(B173,C173,1)</f>
        <v>45809</v>
      </c>
      <c r="H173" s="25" t="n">
        <f aca="false">IF(DAY(A173+1)=1,1,0)</f>
        <v>0</v>
      </c>
    </row>
    <row r="174" customFormat="false" ht="15" hidden="false" customHeight="false" outlineLevel="0" collapsed="false">
      <c r="A174" s="8" t="n">
        <f aca="false">A173+1</f>
        <v>45830</v>
      </c>
      <c r="B174" s="25" t="n">
        <f aca="false">YEAR(A174)</f>
        <v>2025</v>
      </c>
      <c r="C174" s="25" t="n">
        <f aca="false">MONTH(A174)</f>
        <v>6</v>
      </c>
      <c r="D174" s="0" t="str">
        <f aca="false">CHOOSE(C174,"Ene","Feb","Mar","Abr","May","Jun","Jul","Ago","Sep","Oct","Nov","Dic")</f>
        <v>Jun</v>
      </c>
      <c r="E174" s="0" t="str">
        <f aca="false">D174&amp;"-"&amp;RIGHT(B174,2)</f>
        <v>Jun-25</v>
      </c>
      <c r="F174" s="0" t="str">
        <f aca="false">"T"&amp;ROUNDUP(C174/3,0)</f>
        <v>T2</v>
      </c>
      <c r="G174" s="35" t="n">
        <f aca="false">DATE(B174,C174,1)</f>
        <v>45809</v>
      </c>
      <c r="H174" s="25" t="n">
        <f aca="false">IF(DAY(A174+1)=1,1,0)</f>
        <v>0</v>
      </c>
    </row>
    <row r="175" customFormat="false" ht="15" hidden="false" customHeight="false" outlineLevel="0" collapsed="false">
      <c r="A175" s="8" t="n">
        <f aca="false">A174+1</f>
        <v>45831</v>
      </c>
      <c r="B175" s="25" t="n">
        <f aca="false">YEAR(A175)</f>
        <v>2025</v>
      </c>
      <c r="C175" s="25" t="n">
        <f aca="false">MONTH(A175)</f>
        <v>6</v>
      </c>
      <c r="D175" s="0" t="str">
        <f aca="false">CHOOSE(C175,"Ene","Feb","Mar","Abr","May","Jun","Jul","Ago","Sep","Oct","Nov","Dic")</f>
        <v>Jun</v>
      </c>
      <c r="E175" s="0" t="str">
        <f aca="false">D175&amp;"-"&amp;RIGHT(B175,2)</f>
        <v>Jun-25</v>
      </c>
      <c r="F175" s="0" t="str">
        <f aca="false">"T"&amp;ROUNDUP(C175/3,0)</f>
        <v>T2</v>
      </c>
      <c r="G175" s="35" t="n">
        <f aca="false">DATE(B175,C175,1)</f>
        <v>45809</v>
      </c>
      <c r="H175" s="25" t="n">
        <f aca="false">IF(DAY(A175+1)=1,1,0)</f>
        <v>0</v>
      </c>
    </row>
    <row r="176" customFormat="false" ht="15" hidden="false" customHeight="false" outlineLevel="0" collapsed="false">
      <c r="A176" s="8" t="n">
        <f aca="false">A175+1</f>
        <v>45832</v>
      </c>
      <c r="B176" s="25" t="n">
        <f aca="false">YEAR(A176)</f>
        <v>2025</v>
      </c>
      <c r="C176" s="25" t="n">
        <f aca="false">MONTH(A176)</f>
        <v>6</v>
      </c>
      <c r="D176" s="0" t="str">
        <f aca="false">CHOOSE(C176,"Ene","Feb","Mar","Abr","May","Jun","Jul","Ago","Sep","Oct","Nov","Dic")</f>
        <v>Jun</v>
      </c>
      <c r="E176" s="0" t="str">
        <f aca="false">D176&amp;"-"&amp;RIGHT(B176,2)</f>
        <v>Jun-25</v>
      </c>
      <c r="F176" s="0" t="str">
        <f aca="false">"T"&amp;ROUNDUP(C176/3,0)</f>
        <v>T2</v>
      </c>
      <c r="G176" s="35" t="n">
        <f aca="false">DATE(B176,C176,1)</f>
        <v>45809</v>
      </c>
      <c r="H176" s="25" t="n">
        <f aca="false">IF(DAY(A176+1)=1,1,0)</f>
        <v>0</v>
      </c>
    </row>
    <row r="177" customFormat="false" ht="15" hidden="false" customHeight="false" outlineLevel="0" collapsed="false">
      <c r="A177" s="8" t="n">
        <f aca="false">A176+1</f>
        <v>45833</v>
      </c>
      <c r="B177" s="25" t="n">
        <f aca="false">YEAR(A177)</f>
        <v>2025</v>
      </c>
      <c r="C177" s="25" t="n">
        <f aca="false">MONTH(A177)</f>
        <v>6</v>
      </c>
      <c r="D177" s="0" t="str">
        <f aca="false">CHOOSE(C177,"Ene","Feb","Mar","Abr","May","Jun","Jul","Ago","Sep","Oct","Nov","Dic")</f>
        <v>Jun</v>
      </c>
      <c r="E177" s="0" t="str">
        <f aca="false">D177&amp;"-"&amp;RIGHT(B177,2)</f>
        <v>Jun-25</v>
      </c>
      <c r="F177" s="0" t="str">
        <f aca="false">"T"&amp;ROUNDUP(C177/3,0)</f>
        <v>T2</v>
      </c>
      <c r="G177" s="35" t="n">
        <f aca="false">DATE(B177,C177,1)</f>
        <v>45809</v>
      </c>
      <c r="H177" s="25" t="n">
        <f aca="false">IF(DAY(A177+1)=1,1,0)</f>
        <v>0</v>
      </c>
    </row>
    <row r="178" customFormat="false" ht="15" hidden="false" customHeight="false" outlineLevel="0" collapsed="false">
      <c r="A178" s="8" t="n">
        <f aca="false">A177+1</f>
        <v>45834</v>
      </c>
      <c r="B178" s="25" t="n">
        <f aca="false">YEAR(A178)</f>
        <v>2025</v>
      </c>
      <c r="C178" s="25" t="n">
        <f aca="false">MONTH(A178)</f>
        <v>6</v>
      </c>
      <c r="D178" s="0" t="str">
        <f aca="false">CHOOSE(C178,"Ene","Feb","Mar","Abr","May","Jun","Jul","Ago","Sep","Oct","Nov","Dic")</f>
        <v>Jun</v>
      </c>
      <c r="E178" s="0" t="str">
        <f aca="false">D178&amp;"-"&amp;RIGHT(B178,2)</f>
        <v>Jun-25</v>
      </c>
      <c r="F178" s="0" t="str">
        <f aca="false">"T"&amp;ROUNDUP(C178/3,0)</f>
        <v>T2</v>
      </c>
      <c r="G178" s="35" t="n">
        <f aca="false">DATE(B178,C178,1)</f>
        <v>45809</v>
      </c>
      <c r="H178" s="25" t="n">
        <f aca="false">IF(DAY(A178+1)=1,1,0)</f>
        <v>0</v>
      </c>
    </row>
    <row r="179" customFormat="false" ht="15" hidden="false" customHeight="false" outlineLevel="0" collapsed="false">
      <c r="A179" s="8" t="n">
        <f aca="false">A178+1</f>
        <v>45835</v>
      </c>
      <c r="B179" s="25" t="n">
        <f aca="false">YEAR(A179)</f>
        <v>2025</v>
      </c>
      <c r="C179" s="25" t="n">
        <f aca="false">MONTH(A179)</f>
        <v>6</v>
      </c>
      <c r="D179" s="0" t="str">
        <f aca="false">CHOOSE(C179,"Ene","Feb","Mar","Abr","May","Jun","Jul","Ago","Sep","Oct","Nov","Dic")</f>
        <v>Jun</v>
      </c>
      <c r="E179" s="0" t="str">
        <f aca="false">D179&amp;"-"&amp;RIGHT(B179,2)</f>
        <v>Jun-25</v>
      </c>
      <c r="F179" s="0" t="str">
        <f aca="false">"T"&amp;ROUNDUP(C179/3,0)</f>
        <v>T2</v>
      </c>
      <c r="G179" s="35" t="n">
        <f aca="false">DATE(B179,C179,1)</f>
        <v>45809</v>
      </c>
      <c r="H179" s="25" t="n">
        <f aca="false">IF(DAY(A179+1)=1,1,0)</f>
        <v>0</v>
      </c>
    </row>
    <row r="180" customFormat="false" ht="15" hidden="false" customHeight="false" outlineLevel="0" collapsed="false">
      <c r="A180" s="8" t="n">
        <f aca="false">A179+1</f>
        <v>45836</v>
      </c>
      <c r="B180" s="25" t="n">
        <f aca="false">YEAR(A180)</f>
        <v>2025</v>
      </c>
      <c r="C180" s="25" t="n">
        <f aca="false">MONTH(A180)</f>
        <v>6</v>
      </c>
      <c r="D180" s="0" t="str">
        <f aca="false">CHOOSE(C180,"Ene","Feb","Mar","Abr","May","Jun","Jul","Ago","Sep","Oct","Nov","Dic")</f>
        <v>Jun</v>
      </c>
      <c r="E180" s="0" t="str">
        <f aca="false">D180&amp;"-"&amp;RIGHT(B180,2)</f>
        <v>Jun-25</v>
      </c>
      <c r="F180" s="0" t="str">
        <f aca="false">"T"&amp;ROUNDUP(C180/3,0)</f>
        <v>T2</v>
      </c>
      <c r="G180" s="35" t="n">
        <f aca="false">DATE(B180,C180,1)</f>
        <v>45809</v>
      </c>
      <c r="H180" s="25" t="n">
        <f aca="false">IF(DAY(A180+1)=1,1,0)</f>
        <v>0</v>
      </c>
    </row>
    <row r="181" customFormat="false" ht="15" hidden="false" customHeight="false" outlineLevel="0" collapsed="false">
      <c r="A181" s="8" t="n">
        <f aca="false">A180+1</f>
        <v>45837</v>
      </c>
      <c r="B181" s="25" t="n">
        <f aca="false">YEAR(A181)</f>
        <v>2025</v>
      </c>
      <c r="C181" s="25" t="n">
        <f aca="false">MONTH(A181)</f>
        <v>6</v>
      </c>
      <c r="D181" s="0" t="str">
        <f aca="false">CHOOSE(C181,"Ene","Feb","Mar","Abr","May","Jun","Jul","Ago","Sep","Oct","Nov","Dic")</f>
        <v>Jun</v>
      </c>
      <c r="E181" s="0" t="str">
        <f aca="false">D181&amp;"-"&amp;RIGHT(B181,2)</f>
        <v>Jun-25</v>
      </c>
      <c r="F181" s="0" t="str">
        <f aca="false">"T"&amp;ROUNDUP(C181/3,0)</f>
        <v>T2</v>
      </c>
      <c r="G181" s="35" t="n">
        <f aca="false">DATE(B181,C181,1)</f>
        <v>45809</v>
      </c>
      <c r="H181" s="25" t="n">
        <f aca="false">IF(DAY(A181+1)=1,1,0)</f>
        <v>0</v>
      </c>
    </row>
    <row r="182" customFormat="false" ht="15" hidden="false" customHeight="false" outlineLevel="0" collapsed="false">
      <c r="A182" s="8" t="n">
        <f aca="false">A181+1</f>
        <v>45838</v>
      </c>
      <c r="B182" s="25" t="n">
        <f aca="false">YEAR(A182)</f>
        <v>2025</v>
      </c>
      <c r="C182" s="25" t="n">
        <f aca="false">MONTH(A182)</f>
        <v>6</v>
      </c>
      <c r="D182" s="0" t="str">
        <f aca="false">CHOOSE(C182,"Ene","Feb","Mar","Abr","May","Jun","Jul","Ago","Sep","Oct","Nov","Dic")</f>
        <v>Jun</v>
      </c>
      <c r="E182" s="0" t="str">
        <f aca="false">D182&amp;"-"&amp;RIGHT(B182,2)</f>
        <v>Jun-25</v>
      </c>
      <c r="F182" s="0" t="str">
        <f aca="false">"T"&amp;ROUNDUP(C182/3,0)</f>
        <v>T2</v>
      </c>
      <c r="G182" s="35" t="n">
        <f aca="false">DATE(B182,C182,1)</f>
        <v>45809</v>
      </c>
      <c r="H182" s="25" t="n">
        <f aca="false">IF(DAY(A182+1)=1,1,0)</f>
        <v>1</v>
      </c>
    </row>
    <row r="183" customFormat="false" ht="15" hidden="false" customHeight="false" outlineLevel="0" collapsed="false">
      <c r="A183" s="8" t="n">
        <f aca="false">A182+1</f>
        <v>45839</v>
      </c>
      <c r="B183" s="25" t="n">
        <f aca="false">YEAR(A183)</f>
        <v>2025</v>
      </c>
      <c r="C183" s="25" t="n">
        <f aca="false">MONTH(A183)</f>
        <v>7</v>
      </c>
      <c r="D183" s="0" t="str">
        <f aca="false">CHOOSE(C183,"Ene","Feb","Mar","Abr","May","Jun","Jul","Ago","Sep","Oct","Nov","Dic")</f>
        <v>Jul</v>
      </c>
      <c r="E183" s="0" t="str">
        <f aca="false">D183&amp;"-"&amp;RIGHT(B183,2)</f>
        <v>Jul-25</v>
      </c>
      <c r="F183" s="0" t="str">
        <f aca="false">"T"&amp;ROUNDUP(C183/3,0)</f>
        <v>T3</v>
      </c>
      <c r="G183" s="35" t="n">
        <f aca="false">DATE(B183,C183,1)</f>
        <v>45839</v>
      </c>
      <c r="H183" s="25" t="n">
        <f aca="false">IF(DAY(A183+1)=1,1,0)</f>
        <v>0</v>
      </c>
    </row>
    <row r="184" customFormat="false" ht="15" hidden="false" customHeight="false" outlineLevel="0" collapsed="false">
      <c r="A184" s="8" t="n">
        <f aca="false">A183+1</f>
        <v>45840</v>
      </c>
      <c r="B184" s="25" t="n">
        <f aca="false">YEAR(A184)</f>
        <v>2025</v>
      </c>
      <c r="C184" s="25" t="n">
        <f aca="false">MONTH(A184)</f>
        <v>7</v>
      </c>
      <c r="D184" s="0" t="str">
        <f aca="false">CHOOSE(C184,"Ene","Feb","Mar","Abr","May","Jun","Jul","Ago","Sep","Oct","Nov","Dic")</f>
        <v>Jul</v>
      </c>
      <c r="E184" s="0" t="str">
        <f aca="false">D184&amp;"-"&amp;RIGHT(B184,2)</f>
        <v>Jul-25</v>
      </c>
      <c r="F184" s="0" t="str">
        <f aca="false">"T"&amp;ROUNDUP(C184/3,0)</f>
        <v>T3</v>
      </c>
      <c r="G184" s="35" t="n">
        <f aca="false">DATE(B184,C184,1)</f>
        <v>45839</v>
      </c>
      <c r="H184" s="25" t="n">
        <f aca="false">IF(DAY(A184+1)=1,1,0)</f>
        <v>0</v>
      </c>
    </row>
    <row r="185" customFormat="false" ht="15" hidden="false" customHeight="false" outlineLevel="0" collapsed="false">
      <c r="A185" s="8" t="n">
        <f aca="false">A184+1</f>
        <v>45841</v>
      </c>
      <c r="B185" s="25" t="n">
        <f aca="false">YEAR(A185)</f>
        <v>2025</v>
      </c>
      <c r="C185" s="25" t="n">
        <f aca="false">MONTH(A185)</f>
        <v>7</v>
      </c>
      <c r="D185" s="0" t="str">
        <f aca="false">CHOOSE(C185,"Ene","Feb","Mar","Abr","May","Jun","Jul","Ago","Sep","Oct","Nov","Dic")</f>
        <v>Jul</v>
      </c>
      <c r="E185" s="0" t="str">
        <f aca="false">D185&amp;"-"&amp;RIGHT(B185,2)</f>
        <v>Jul-25</v>
      </c>
      <c r="F185" s="0" t="str">
        <f aca="false">"T"&amp;ROUNDUP(C185/3,0)</f>
        <v>T3</v>
      </c>
      <c r="G185" s="35" t="n">
        <f aca="false">DATE(B185,C185,1)</f>
        <v>45839</v>
      </c>
      <c r="H185" s="25" t="n">
        <f aca="false">IF(DAY(A185+1)=1,1,0)</f>
        <v>0</v>
      </c>
    </row>
    <row r="186" customFormat="false" ht="15" hidden="false" customHeight="false" outlineLevel="0" collapsed="false">
      <c r="A186" s="8" t="n">
        <f aca="false">A185+1</f>
        <v>45842</v>
      </c>
      <c r="B186" s="25" t="n">
        <f aca="false">YEAR(A186)</f>
        <v>2025</v>
      </c>
      <c r="C186" s="25" t="n">
        <f aca="false">MONTH(A186)</f>
        <v>7</v>
      </c>
      <c r="D186" s="0" t="str">
        <f aca="false">CHOOSE(C186,"Ene","Feb","Mar","Abr","May","Jun","Jul","Ago","Sep","Oct","Nov","Dic")</f>
        <v>Jul</v>
      </c>
      <c r="E186" s="0" t="str">
        <f aca="false">D186&amp;"-"&amp;RIGHT(B186,2)</f>
        <v>Jul-25</v>
      </c>
      <c r="F186" s="0" t="str">
        <f aca="false">"T"&amp;ROUNDUP(C186/3,0)</f>
        <v>T3</v>
      </c>
      <c r="G186" s="35" t="n">
        <f aca="false">DATE(B186,C186,1)</f>
        <v>45839</v>
      </c>
      <c r="H186" s="25" t="n">
        <f aca="false">IF(DAY(A186+1)=1,1,0)</f>
        <v>0</v>
      </c>
    </row>
    <row r="187" customFormat="false" ht="15" hidden="false" customHeight="false" outlineLevel="0" collapsed="false">
      <c r="A187" s="8" t="n">
        <f aca="false">A186+1</f>
        <v>45843</v>
      </c>
      <c r="B187" s="25" t="n">
        <f aca="false">YEAR(A187)</f>
        <v>2025</v>
      </c>
      <c r="C187" s="25" t="n">
        <f aca="false">MONTH(A187)</f>
        <v>7</v>
      </c>
      <c r="D187" s="0" t="str">
        <f aca="false">CHOOSE(C187,"Ene","Feb","Mar","Abr","May","Jun","Jul","Ago","Sep","Oct","Nov","Dic")</f>
        <v>Jul</v>
      </c>
      <c r="E187" s="0" t="str">
        <f aca="false">D187&amp;"-"&amp;RIGHT(B187,2)</f>
        <v>Jul-25</v>
      </c>
      <c r="F187" s="0" t="str">
        <f aca="false">"T"&amp;ROUNDUP(C187/3,0)</f>
        <v>T3</v>
      </c>
      <c r="G187" s="35" t="n">
        <f aca="false">DATE(B187,C187,1)</f>
        <v>45839</v>
      </c>
      <c r="H187" s="25" t="n">
        <f aca="false">IF(DAY(A187+1)=1,1,0)</f>
        <v>0</v>
      </c>
    </row>
    <row r="188" customFormat="false" ht="15" hidden="false" customHeight="false" outlineLevel="0" collapsed="false">
      <c r="A188" s="8" t="n">
        <f aca="false">A187+1</f>
        <v>45844</v>
      </c>
      <c r="B188" s="25" t="n">
        <f aca="false">YEAR(A188)</f>
        <v>2025</v>
      </c>
      <c r="C188" s="25" t="n">
        <f aca="false">MONTH(A188)</f>
        <v>7</v>
      </c>
      <c r="D188" s="0" t="str">
        <f aca="false">CHOOSE(C188,"Ene","Feb","Mar","Abr","May","Jun","Jul","Ago","Sep","Oct","Nov","Dic")</f>
        <v>Jul</v>
      </c>
      <c r="E188" s="0" t="str">
        <f aca="false">D188&amp;"-"&amp;RIGHT(B188,2)</f>
        <v>Jul-25</v>
      </c>
      <c r="F188" s="0" t="str">
        <f aca="false">"T"&amp;ROUNDUP(C188/3,0)</f>
        <v>T3</v>
      </c>
      <c r="G188" s="35" t="n">
        <f aca="false">DATE(B188,C188,1)</f>
        <v>45839</v>
      </c>
      <c r="H188" s="25" t="n">
        <f aca="false">IF(DAY(A188+1)=1,1,0)</f>
        <v>0</v>
      </c>
    </row>
    <row r="189" customFormat="false" ht="15" hidden="false" customHeight="false" outlineLevel="0" collapsed="false">
      <c r="A189" s="8" t="n">
        <f aca="false">A188+1</f>
        <v>45845</v>
      </c>
      <c r="B189" s="25" t="n">
        <f aca="false">YEAR(A189)</f>
        <v>2025</v>
      </c>
      <c r="C189" s="25" t="n">
        <f aca="false">MONTH(A189)</f>
        <v>7</v>
      </c>
      <c r="D189" s="0" t="str">
        <f aca="false">CHOOSE(C189,"Ene","Feb","Mar","Abr","May","Jun","Jul","Ago","Sep","Oct","Nov","Dic")</f>
        <v>Jul</v>
      </c>
      <c r="E189" s="0" t="str">
        <f aca="false">D189&amp;"-"&amp;RIGHT(B189,2)</f>
        <v>Jul-25</v>
      </c>
      <c r="F189" s="0" t="str">
        <f aca="false">"T"&amp;ROUNDUP(C189/3,0)</f>
        <v>T3</v>
      </c>
      <c r="G189" s="35" t="n">
        <f aca="false">DATE(B189,C189,1)</f>
        <v>45839</v>
      </c>
      <c r="H189" s="25" t="n">
        <f aca="false">IF(DAY(A189+1)=1,1,0)</f>
        <v>0</v>
      </c>
    </row>
    <row r="190" customFormat="false" ht="15" hidden="false" customHeight="false" outlineLevel="0" collapsed="false">
      <c r="A190" s="8" t="n">
        <f aca="false">A189+1</f>
        <v>45846</v>
      </c>
      <c r="B190" s="25" t="n">
        <f aca="false">YEAR(A190)</f>
        <v>2025</v>
      </c>
      <c r="C190" s="25" t="n">
        <f aca="false">MONTH(A190)</f>
        <v>7</v>
      </c>
      <c r="D190" s="0" t="str">
        <f aca="false">CHOOSE(C190,"Ene","Feb","Mar","Abr","May","Jun","Jul","Ago","Sep","Oct","Nov","Dic")</f>
        <v>Jul</v>
      </c>
      <c r="E190" s="0" t="str">
        <f aca="false">D190&amp;"-"&amp;RIGHT(B190,2)</f>
        <v>Jul-25</v>
      </c>
      <c r="F190" s="0" t="str">
        <f aca="false">"T"&amp;ROUNDUP(C190/3,0)</f>
        <v>T3</v>
      </c>
      <c r="G190" s="35" t="n">
        <f aca="false">DATE(B190,C190,1)</f>
        <v>45839</v>
      </c>
      <c r="H190" s="25" t="n">
        <f aca="false">IF(DAY(A190+1)=1,1,0)</f>
        <v>0</v>
      </c>
    </row>
    <row r="191" customFormat="false" ht="15" hidden="false" customHeight="false" outlineLevel="0" collapsed="false">
      <c r="A191" s="8" t="n">
        <f aca="false">A190+1</f>
        <v>45847</v>
      </c>
      <c r="B191" s="25" t="n">
        <f aca="false">YEAR(A191)</f>
        <v>2025</v>
      </c>
      <c r="C191" s="25" t="n">
        <f aca="false">MONTH(A191)</f>
        <v>7</v>
      </c>
      <c r="D191" s="0" t="str">
        <f aca="false">CHOOSE(C191,"Ene","Feb","Mar","Abr","May","Jun","Jul","Ago","Sep","Oct","Nov","Dic")</f>
        <v>Jul</v>
      </c>
      <c r="E191" s="0" t="str">
        <f aca="false">D191&amp;"-"&amp;RIGHT(B191,2)</f>
        <v>Jul-25</v>
      </c>
      <c r="F191" s="0" t="str">
        <f aca="false">"T"&amp;ROUNDUP(C191/3,0)</f>
        <v>T3</v>
      </c>
      <c r="G191" s="35" t="n">
        <f aca="false">DATE(B191,C191,1)</f>
        <v>45839</v>
      </c>
      <c r="H191" s="25" t="n">
        <f aca="false">IF(DAY(A191+1)=1,1,0)</f>
        <v>0</v>
      </c>
    </row>
    <row r="192" customFormat="false" ht="15" hidden="false" customHeight="false" outlineLevel="0" collapsed="false">
      <c r="A192" s="8" t="n">
        <f aca="false">A191+1</f>
        <v>45848</v>
      </c>
      <c r="B192" s="25" t="n">
        <f aca="false">YEAR(A192)</f>
        <v>2025</v>
      </c>
      <c r="C192" s="25" t="n">
        <f aca="false">MONTH(A192)</f>
        <v>7</v>
      </c>
      <c r="D192" s="0" t="str">
        <f aca="false">CHOOSE(C192,"Ene","Feb","Mar","Abr","May","Jun","Jul","Ago","Sep","Oct","Nov","Dic")</f>
        <v>Jul</v>
      </c>
      <c r="E192" s="0" t="str">
        <f aca="false">D192&amp;"-"&amp;RIGHT(B192,2)</f>
        <v>Jul-25</v>
      </c>
      <c r="F192" s="0" t="str">
        <f aca="false">"T"&amp;ROUNDUP(C192/3,0)</f>
        <v>T3</v>
      </c>
      <c r="G192" s="35" t="n">
        <f aca="false">DATE(B192,C192,1)</f>
        <v>45839</v>
      </c>
      <c r="H192" s="25" t="n">
        <f aca="false">IF(DAY(A192+1)=1,1,0)</f>
        <v>0</v>
      </c>
    </row>
    <row r="193" customFormat="false" ht="15" hidden="false" customHeight="false" outlineLevel="0" collapsed="false">
      <c r="A193" s="8" t="n">
        <f aca="false">A192+1</f>
        <v>45849</v>
      </c>
      <c r="B193" s="25" t="n">
        <f aca="false">YEAR(A193)</f>
        <v>2025</v>
      </c>
      <c r="C193" s="25" t="n">
        <f aca="false">MONTH(A193)</f>
        <v>7</v>
      </c>
      <c r="D193" s="0" t="str">
        <f aca="false">CHOOSE(C193,"Ene","Feb","Mar","Abr","May","Jun","Jul","Ago","Sep","Oct","Nov","Dic")</f>
        <v>Jul</v>
      </c>
      <c r="E193" s="0" t="str">
        <f aca="false">D193&amp;"-"&amp;RIGHT(B193,2)</f>
        <v>Jul-25</v>
      </c>
      <c r="F193" s="0" t="str">
        <f aca="false">"T"&amp;ROUNDUP(C193/3,0)</f>
        <v>T3</v>
      </c>
      <c r="G193" s="35" t="n">
        <f aca="false">DATE(B193,C193,1)</f>
        <v>45839</v>
      </c>
      <c r="H193" s="25" t="n">
        <f aca="false">IF(DAY(A193+1)=1,1,0)</f>
        <v>0</v>
      </c>
    </row>
    <row r="194" customFormat="false" ht="15" hidden="false" customHeight="false" outlineLevel="0" collapsed="false">
      <c r="A194" s="8" t="n">
        <f aca="false">A193+1</f>
        <v>45850</v>
      </c>
      <c r="B194" s="25" t="n">
        <f aca="false">YEAR(A194)</f>
        <v>2025</v>
      </c>
      <c r="C194" s="25" t="n">
        <f aca="false">MONTH(A194)</f>
        <v>7</v>
      </c>
      <c r="D194" s="0" t="str">
        <f aca="false">CHOOSE(C194,"Ene","Feb","Mar","Abr","May","Jun","Jul","Ago","Sep","Oct","Nov","Dic")</f>
        <v>Jul</v>
      </c>
      <c r="E194" s="0" t="str">
        <f aca="false">D194&amp;"-"&amp;RIGHT(B194,2)</f>
        <v>Jul-25</v>
      </c>
      <c r="F194" s="0" t="str">
        <f aca="false">"T"&amp;ROUNDUP(C194/3,0)</f>
        <v>T3</v>
      </c>
      <c r="G194" s="35" t="n">
        <f aca="false">DATE(B194,C194,1)</f>
        <v>45839</v>
      </c>
      <c r="H194" s="25" t="n">
        <f aca="false">IF(DAY(A194+1)=1,1,0)</f>
        <v>0</v>
      </c>
    </row>
    <row r="195" customFormat="false" ht="15" hidden="false" customHeight="false" outlineLevel="0" collapsed="false">
      <c r="A195" s="8" t="n">
        <f aca="false">A194+1</f>
        <v>45851</v>
      </c>
      <c r="B195" s="25" t="n">
        <f aca="false">YEAR(A195)</f>
        <v>2025</v>
      </c>
      <c r="C195" s="25" t="n">
        <f aca="false">MONTH(A195)</f>
        <v>7</v>
      </c>
      <c r="D195" s="0" t="str">
        <f aca="false">CHOOSE(C195,"Ene","Feb","Mar","Abr","May","Jun","Jul","Ago","Sep","Oct","Nov","Dic")</f>
        <v>Jul</v>
      </c>
      <c r="E195" s="0" t="str">
        <f aca="false">D195&amp;"-"&amp;RIGHT(B195,2)</f>
        <v>Jul-25</v>
      </c>
      <c r="F195" s="0" t="str">
        <f aca="false">"T"&amp;ROUNDUP(C195/3,0)</f>
        <v>T3</v>
      </c>
      <c r="G195" s="35" t="n">
        <f aca="false">DATE(B195,C195,1)</f>
        <v>45839</v>
      </c>
      <c r="H195" s="25" t="n">
        <f aca="false">IF(DAY(A195+1)=1,1,0)</f>
        <v>0</v>
      </c>
    </row>
    <row r="196" customFormat="false" ht="15" hidden="false" customHeight="false" outlineLevel="0" collapsed="false">
      <c r="A196" s="8" t="n">
        <f aca="false">A195+1</f>
        <v>45852</v>
      </c>
      <c r="B196" s="25" t="n">
        <f aca="false">YEAR(A196)</f>
        <v>2025</v>
      </c>
      <c r="C196" s="25" t="n">
        <f aca="false">MONTH(A196)</f>
        <v>7</v>
      </c>
      <c r="D196" s="0" t="str">
        <f aca="false">CHOOSE(C196,"Ene","Feb","Mar","Abr","May","Jun","Jul","Ago","Sep","Oct","Nov","Dic")</f>
        <v>Jul</v>
      </c>
      <c r="E196" s="0" t="str">
        <f aca="false">D196&amp;"-"&amp;RIGHT(B196,2)</f>
        <v>Jul-25</v>
      </c>
      <c r="F196" s="0" t="str">
        <f aca="false">"T"&amp;ROUNDUP(C196/3,0)</f>
        <v>T3</v>
      </c>
      <c r="G196" s="35" t="n">
        <f aca="false">DATE(B196,C196,1)</f>
        <v>45839</v>
      </c>
      <c r="H196" s="25" t="n">
        <f aca="false">IF(DAY(A196+1)=1,1,0)</f>
        <v>0</v>
      </c>
    </row>
    <row r="197" customFormat="false" ht="15" hidden="false" customHeight="false" outlineLevel="0" collapsed="false">
      <c r="A197" s="8" t="n">
        <f aca="false">A196+1</f>
        <v>45853</v>
      </c>
      <c r="B197" s="25" t="n">
        <f aca="false">YEAR(A197)</f>
        <v>2025</v>
      </c>
      <c r="C197" s="25" t="n">
        <f aca="false">MONTH(A197)</f>
        <v>7</v>
      </c>
      <c r="D197" s="0" t="str">
        <f aca="false">CHOOSE(C197,"Ene","Feb","Mar","Abr","May","Jun","Jul","Ago","Sep","Oct","Nov","Dic")</f>
        <v>Jul</v>
      </c>
      <c r="E197" s="0" t="str">
        <f aca="false">D197&amp;"-"&amp;RIGHT(B197,2)</f>
        <v>Jul-25</v>
      </c>
      <c r="F197" s="0" t="str">
        <f aca="false">"T"&amp;ROUNDUP(C197/3,0)</f>
        <v>T3</v>
      </c>
      <c r="G197" s="35" t="n">
        <f aca="false">DATE(B197,C197,1)</f>
        <v>45839</v>
      </c>
      <c r="H197" s="25" t="n">
        <f aca="false">IF(DAY(A197+1)=1,1,0)</f>
        <v>0</v>
      </c>
    </row>
    <row r="198" customFormat="false" ht="15" hidden="false" customHeight="false" outlineLevel="0" collapsed="false">
      <c r="A198" s="8" t="n">
        <f aca="false">A197+1</f>
        <v>45854</v>
      </c>
      <c r="B198" s="25" t="n">
        <f aca="false">YEAR(A198)</f>
        <v>2025</v>
      </c>
      <c r="C198" s="25" t="n">
        <f aca="false">MONTH(A198)</f>
        <v>7</v>
      </c>
      <c r="D198" s="0" t="str">
        <f aca="false">CHOOSE(C198,"Ene","Feb","Mar","Abr","May","Jun","Jul","Ago","Sep","Oct","Nov","Dic")</f>
        <v>Jul</v>
      </c>
      <c r="E198" s="0" t="str">
        <f aca="false">D198&amp;"-"&amp;RIGHT(B198,2)</f>
        <v>Jul-25</v>
      </c>
      <c r="F198" s="0" t="str">
        <f aca="false">"T"&amp;ROUNDUP(C198/3,0)</f>
        <v>T3</v>
      </c>
      <c r="G198" s="35" t="n">
        <f aca="false">DATE(B198,C198,1)</f>
        <v>45839</v>
      </c>
      <c r="H198" s="25" t="n">
        <f aca="false">IF(DAY(A198+1)=1,1,0)</f>
        <v>0</v>
      </c>
    </row>
    <row r="199" customFormat="false" ht="15" hidden="false" customHeight="false" outlineLevel="0" collapsed="false">
      <c r="A199" s="8" t="n">
        <f aca="false">A198+1</f>
        <v>45855</v>
      </c>
      <c r="B199" s="25" t="n">
        <f aca="false">YEAR(A199)</f>
        <v>2025</v>
      </c>
      <c r="C199" s="25" t="n">
        <f aca="false">MONTH(A199)</f>
        <v>7</v>
      </c>
      <c r="D199" s="0" t="str">
        <f aca="false">CHOOSE(C199,"Ene","Feb","Mar","Abr","May","Jun","Jul","Ago","Sep","Oct","Nov","Dic")</f>
        <v>Jul</v>
      </c>
      <c r="E199" s="0" t="str">
        <f aca="false">D199&amp;"-"&amp;RIGHT(B199,2)</f>
        <v>Jul-25</v>
      </c>
      <c r="F199" s="0" t="str">
        <f aca="false">"T"&amp;ROUNDUP(C199/3,0)</f>
        <v>T3</v>
      </c>
      <c r="G199" s="35" t="n">
        <f aca="false">DATE(B199,C199,1)</f>
        <v>45839</v>
      </c>
      <c r="H199" s="25" t="n">
        <f aca="false">IF(DAY(A199+1)=1,1,0)</f>
        <v>0</v>
      </c>
    </row>
    <row r="200" customFormat="false" ht="15" hidden="false" customHeight="false" outlineLevel="0" collapsed="false">
      <c r="A200" s="8" t="n">
        <f aca="false">A199+1</f>
        <v>45856</v>
      </c>
      <c r="B200" s="25" t="n">
        <f aca="false">YEAR(A200)</f>
        <v>2025</v>
      </c>
      <c r="C200" s="25" t="n">
        <f aca="false">MONTH(A200)</f>
        <v>7</v>
      </c>
      <c r="D200" s="0" t="str">
        <f aca="false">CHOOSE(C200,"Ene","Feb","Mar","Abr","May","Jun","Jul","Ago","Sep","Oct","Nov","Dic")</f>
        <v>Jul</v>
      </c>
      <c r="E200" s="0" t="str">
        <f aca="false">D200&amp;"-"&amp;RIGHT(B200,2)</f>
        <v>Jul-25</v>
      </c>
      <c r="F200" s="0" t="str">
        <f aca="false">"T"&amp;ROUNDUP(C200/3,0)</f>
        <v>T3</v>
      </c>
      <c r="G200" s="35" t="n">
        <f aca="false">DATE(B200,C200,1)</f>
        <v>45839</v>
      </c>
      <c r="H200" s="25" t="n">
        <f aca="false">IF(DAY(A200+1)=1,1,0)</f>
        <v>0</v>
      </c>
    </row>
    <row r="201" customFormat="false" ht="15" hidden="false" customHeight="false" outlineLevel="0" collapsed="false">
      <c r="A201" s="8" t="n">
        <f aca="false">A200+1</f>
        <v>45857</v>
      </c>
      <c r="B201" s="25" t="n">
        <f aca="false">YEAR(A201)</f>
        <v>2025</v>
      </c>
      <c r="C201" s="25" t="n">
        <f aca="false">MONTH(A201)</f>
        <v>7</v>
      </c>
      <c r="D201" s="0" t="str">
        <f aca="false">CHOOSE(C201,"Ene","Feb","Mar","Abr","May","Jun","Jul","Ago","Sep","Oct","Nov","Dic")</f>
        <v>Jul</v>
      </c>
      <c r="E201" s="0" t="str">
        <f aca="false">D201&amp;"-"&amp;RIGHT(B201,2)</f>
        <v>Jul-25</v>
      </c>
      <c r="F201" s="0" t="str">
        <f aca="false">"T"&amp;ROUNDUP(C201/3,0)</f>
        <v>T3</v>
      </c>
      <c r="G201" s="35" t="n">
        <f aca="false">DATE(B201,C201,1)</f>
        <v>45839</v>
      </c>
      <c r="H201" s="25" t="n">
        <f aca="false">IF(DAY(A201+1)=1,1,0)</f>
        <v>0</v>
      </c>
    </row>
    <row r="202" customFormat="false" ht="15" hidden="false" customHeight="false" outlineLevel="0" collapsed="false">
      <c r="A202" s="8" t="n">
        <f aca="false">A201+1</f>
        <v>45858</v>
      </c>
      <c r="B202" s="25" t="n">
        <f aca="false">YEAR(A202)</f>
        <v>2025</v>
      </c>
      <c r="C202" s="25" t="n">
        <f aca="false">MONTH(A202)</f>
        <v>7</v>
      </c>
      <c r="D202" s="0" t="str">
        <f aca="false">CHOOSE(C202,"Ene","Feb","Mar","Abr","May","Jun","Jul","Ago","Sep","Oct","Nov","Dic")</f>
        <v>Jul</v>
      </c>
      <c r="E202" s="0" t="str">
        <f aca="false">D202&amp;"-"&amp;RIGHT(B202,2)</f>
        <v>Jul-25</v>
      </c>
      <c r="F202" s="0" t="str">
        <f aca="false">"T"&amp;ROUNDUP(C202/3,0)</f>
        <v>T3</v>
      </c>
      <c r="G202" s="35" t="n">
        <f aca="false">DATE(B202,C202,1)</f>
        <v>45839</v>
      </c>
      <c r="H202" s="25" t="n">
        <f aca="false">IF(DAY(A202+1)=1,1,0)</f>
        <v>0</v>
      </c>
    </row>
    <row r="203" customFormat="false" ht="15" hidden="false" customHeight="false" outlineLevel="0" collapsed="false">
      <c r="A203" s="8" t="n">
        <f aca="false">A202+1</f>
        <v>45859</v>
      </c>
      <c r="B203" s="25" t="n">
        <f aca="false">YEAR(A203)</f>
        <v>2025</v>
      </c>
      <c r="C203" s="25" t="n">
        <f aca="false">MONTH(A203)</f>
        <v>7</v>
      </c>
      <c r="D203" s="0" t="str">
        <f aca="false">CHOOSE(C203,"Ene","Feb","Mar","Abr","May","Jun","Jul","Ago","Sep","Oct","Nov","Dic")</f>
        <v>Jul</v>
      </c>
      <c r="E203" s="0" t="str">
        <f aca="false">D203&amp;"-"&amp;RIGHT(B203,2)</f>
        <v>Jul-25</v>
      </c>
      <c r="F203" s="0" t="str">
        <f aca="false">"T"&amp;ROUNDUP(C203/3,0)</f>
        <v>T3</v>
      </c>
      <c r="G203" s="35" t="n">
        <f aca="false">DATE(B203,C203,1)</f>
        <v>45839</v>
      </c>
      <c r="H203" s="25" t="n">
        <f aca="false">IF(DAY(A203+1)=1,1,0)</f>
        <v>0</v>
      </c>
    </row>
    <row r="204" customFormat="false" ht="15" hidden="false" customHeight="false" outlineLevel="0" collapsed="false">
      <c r="A204" s="8" t="n">
        <f aca="false">A203+1</f>
        <v>45860</v>
      </c>
      <c r="B204" s="25" t="n">
        <f aca="false">YEAR(A204)</f>
        <v>2025</v>
      </c>
      <c r="C204" s="25" t="n">
        <f aca="false">MONTH(A204)</f>
        <v>7</v>
      </c>
      <c r="D204" s="0" t="str">
        <f aca="false">CHOOSE(C204,"Ene","Feb","Mar","Abr","May","Jun","Jul","Ago","Sep","Oct","Nov","Dic")</f>
        <v>Jul</v>
      </c>
      <c r="E204" s="0" t="str">
        <f aca="false">D204&amp;"-"&amp;RIGHT(B204,2)</f>
        <v>Jul-25</v>
      </c>
      <c r="F204" s="0" t="str">
        <f aca="false">"T"&amp;ROUNDUP(C204/3,0)</f>
        <v>T3</v>
      </c>
      <c r="G204" s="35" t="n">
        <f aca="false">DATE(B204,C204,1)</f>
        <v>45839</v>
      </c>
      <c r="H204" s="25" t="n">
        <f aca="false">IF(DAY(A204+1)=1,1,0)</f>
        <v>0</v>
      </c>
    </row>
    <row r="205" customFormat="false" ht="15" hidden="false" customHeight="false" outlineLevel="0" collapsed="false">
      <c r="A205" s="8" t="n">
        <f aca="false">A204+1</f>
        <v>45861</v>
      </c>
      <c r="B205" s="25" t="n">
        <f aca="false">YEAR(A205)</f>
        <v>2025</v>
      </c>
      <c r="C205" s="25" t="n">
        <f aca="false">MONTH(A205)</f>
        <v>7</v>
      </c>
      <c r="D205" s="0" t="str">
        <f aca="false">CHOOSE(C205,"Ene","Feb","Mar","Abr","May","Jun","Jul","Ago","Sep","Oct","Nov","Dic")</f>
        <v>Jul</v>
      </c>
      <c r="E205" s="0" t="str">
        <f aca="false">D205&amp;"-"&amp;RIGHT(B205,2)</f>
        <v>Jul-25</v>
      </c>
      <c r="F205" s="0" t="str">
        <f aca="false">"T"&amp;ROUNDUP(C205/3,0)</f>
        <v>T3</v>
      </c>
      <c r="G205" s="35" t="n">
        <f aca="false">DATE(B205,C205,1)</f>
        <v>45839</v>
      </c>
      <c r="H205" s="25" t="n">
        <f aca="false">IF(DAY(A205+1)=1,1,0)</f>
        <v>0</v>
      </c>
    </row>
    <row r="206" customFormat="false" ht="15" hidden="false" customHeight="false" outlineLevel="0" collapsed="false">
      <c r="A206" s="8" t="n">
        <f aca="false">A205+1</f>
        <v>45862</v>
      </c>
      <c r="B206" s="25" t="n">
        <f aca="false">YEAR(A206)</f>
        <v>2025</v>
      </c>
      <c r="C206" s="25" t="n">
        <f aca="false">MONTH(A206)</f>
        <v>7</v>
      </c>
      <c r="D206" s="0" t="str">
        <f aca="false">CHOOSE(C206,"Ene","Feb","Mar","Abr","May","Jun","Jul","Ago","Sep","Oct","Nov","Dic")</f>
        <v>Jul</v>
      </c>
      <c r="E206" s="0" t="str">
        <f aca="false">D206&amp;"-"&amp;RIGHT(B206,2)</f>
        <v>Jul-25</v>
      </c>
      <c r="F206" s="0" t="str">
        <f aca="false">"T"&amp;ROUNDUP(C206/3,0)</f>
        <v>T3</v>
      </c>
      <c r="G206" s="35" t="n">
        <f aca="false">DATE(B206,C206,1)</f>
        <v>45839</v>
      </c>
      <c r="H206" s="25" t="n">
        <f aca="false">IF(DAY(A206+1)=1,1,0)</f>
        <v>0</v>
      </c>
    </row>
    <row r="207" customFormat="false" ht="15" hidden="false" customHeight="false" outlineLevel="0" collapsed="false">
      <c r="A207" s="8" t="n">
        <f aca="false">A206+1</f>
        <v>45863</v>
      </c>
      <c r="B207" s="25" t="n">
        <f aca="false">YEAR(A207)</f>
        <v>2025</v>
      </c>
      <c r="C207" s="25" t="n">
        <f aca="false">MONTH(A207)</f>
        <v>7</v>
      </c>
      <c r="D207" s="0" t="str">
        <f aca="false">CHOOSE(C207,"Ene","Feb","Mar","Abr","May","Jun","Jul","Ago","Sep","Oct","Nov","Dic")</f>
        <v>Jul</v>
      </c>
      <c r="E207" s="0" t="str">
        <f aca="false">D207&amp;"-"&amp;RIGHT(B207,2)</f>
        <v>Jul-25</v>
      </c>
      <c r="F207" s="0" t="str">
        <f aca="false">"T"&amp;ROUNDUP(C207/3,0)</f>
        <v>T3</v>
      </c>
      <c r="G207" s="35" t="n">
        <f aca="false">DATE(B207,C207,1)</f>
        <v>45839</v>
      </c>
      <c r="H207" s="25" t="n">
        <f aca="false">IF(DAY(A207+1)=1,1,0)</f>
        <v>0</v>
      </c>
    </row>
    <row r="208" customFormat="false" ht="15" hidden="false" customHeight="false" outlineLevel="0" collapsed="false">
      <c r="A208" s="8" t="n">
        <f aca="false">A207+1</f>
        <v>45864</v>
      </c>
      <c r="B208" s="25" t="n">
        <f aca="false">YEAR(A208)</f>
        <v>2025</v>
      </c>
      <c r="C208" s="25" t="n">
        <f aca="false">MONTH(A208)</f>
        <v>7</v>
      </c>
      <c r="D208" s="0" t="str">
        <f aca="false">CHOOSE(C208,"Ene","Feb","Mar","Abr","May","Jun","Jul","Ago","Sep","Oct","Nov","Dic")</f>
        <v>Jul</v>
      </c>
      <c r="E208" s="0" t="str">
        <f aca="false">D208&amp;"-"&amp;RIGHT(B208,2)</f>
        <v>Jul-25</v>
      </c>
      <c r="F208" s="0" t="str">
        <f aca="false">"T"&amp;ROUNDUP(C208/3,0)</f>
        <v>T3</v>
      </c>
      <c r="G208" s="35" t="n">
        <f aca="false">DATE(B208,C208,1)</f>
        <v>45839</v>
      </c>
      <c r="H208" s="25" t="n">
        <f aca="false">IF(DAY(A208+1)=1,1,0)</f>
        <v>0</v>
      </c>
    </row>
    <row r="209" customFormat="false" ht="15" hidden="false" customHeight="false" outlineLevel="0" collapsed="false">
      <c r="A209" s="8" t="n">
        <f aca="false">A208+1</f>
        <v>45865</v>
      </c>
      <c r="B209" s="25" t="n">
        <f aca="false">YEAR(A209)</f>
        <v>2025</v>
      </c>
      <c r="C209" s="25" t="n">
        <f aca="false">MONTH(A209)</f>
        <v>7</v>
      </c>
      <c r="D209" s="0" t="str">
        <f aca="false">CHOOSE(C209,"Ene","Feb","Mar","Abr","May","Jun","Jul","Ago","Sep","Oct","Nov","Dic")</f>
        <v>Jul</v>
      </c>
      <c r="E209" s="0" t="str">
        <f aca="false">D209&amp;"-"&amp;RIGHT(B209,2)</f>
        <v>Jul-25</v>
      </c>
      <c r="F209" s="0" t="str">
        <f aca="false">"T"&amp;ROUNDUP(C209/3,0)</f>
        <v>T3</v>
      </c>
      <c r="G209" s="35" t="n">
        <f aca="false">DATE(B209,C209,1)</f>
        <v>45839</v>
      </c>
      <c r="H209" s="25" t="n">
        <f aca="false">IF(DAY(A209+1)=1,1,0)</f>
        <v>0</v>
      </c>
    </row>
    <row r="210" customFormat="false" ht="15" hidden="false" customHeight="false" outlineLevel="0" collapsed="false">
      <c r="A210" s="8" t="n">
        <f aca="false">A209+1</f>
        <v>45866</v>
      </c>
      <c r="B210" s="25" t="n">
        <f aca="false">YEAR(A210)</f>
        <v>2025</v>
      </c>
      <c r="C210" s="25" t="n">
        <f aca="false">MONTH(A210)</f>
        <v>7</v>
      </c>
      <c r="D210" s="0" t="str">
        <f aca="false">CHOOSE(C210,"Ene","Feb","Mar","Abr","May","Jun","Jul","Ago","Sep","Oct","Nov","Dic")</f>
        <v>Jul</v>
      </c>
      <c r="E210" s="0" t="str">
        <f aca="false">D210&amp;"-"&amp;RIGHT(B210,2)</f>
        <v>Jul-25</v>
      </c>
      <c r="F210" s="0" t="str">
        <f aca="false">"T"&amp;ROUNDUP(C210/3,0)</f>
        <v>T3</v>
      </c>
      <c r="G210" s="35" t="n">
        <f aca="false">DATE(B210,C210,1)</f>
        <v>45839</v>
      </c>
      <c r="H210" s="25" t="n">
        <f aca="false">IF(DAY(A210+1)=1,1,0)</f>
        <v>0</v>
      </c>
    </row>
    <row r="211" customFormat="false" ht="15" hidden="false" customHeight="false" outlineLevel="0" collapsed="false">
      <c r="A211" s="8" t="n">
        <f aca="false">A210+1</f>
        <v>45867</v>
      </c>
      <c r="B211" s="25" t="n">
        <f aca="false">YEAR(A211)</f>
        <v>2025</v>
      </c>
      <c r="C211" s="25" t="n">
        <f aca="false">MONTH(A211)</f>
        <v>7</v>
      </c>
      <c r="D211" s="0" t="str">
        <f aca="false">CHOOSE(C211,"Ene","Feb","Mar","Abr","May","Jun","Jul","Ago","Sep","Oct","Nov","Dic")</f>
        <v>Jul</v>
      </c>
      <c r="E211" s="0" t="str">
        <f aca="false">D211&amp;"-"&amp;RIGHT(B211,2)</f>
        <v>Jul-25</v>
      </c>
      <c r="F211" s="0" t="str">
        <f aca="false">"T"&amp;ROUNDUP(C211/3,0)</f>
        <v>T3</v>
      </c>
      <c r="G211" s="35" t="n">
        <f aca="false">DATE(B211,C211,1)</f>
        <v>45839</v>
      </c>
      <c r="H211" s="25" t="n">
        <f aca="false">IF(DAY(A211+1)=1,1,0)</f>
        <v>0</v>
      </c>
    </row>
    <row r="212" customFormat="false" ht="15" hidden="false" customHeight="false" outlineLevel="0" collapsed="false">
      <c r="A212" s="8" t="n">
        <f aca="false">A211+1</f>
        <v>45868</v>
      </c>
      <c r="B212" s="25" t="n">
        <f aca="false">YEAR(A212)</f>
        <v>2025</v>
      </c>
      <c r="C212" s="25" t="n">
        <f aca="false">MONTH(A212)</f>
        <v>7</v>
      </c>
      <c r="D212" s="0" t="str">
        <f aca="false">CHOOSE(C212,"Ene","Feb","Mar","Abr","May","Jun","Jul","Ago","Sep","Oct","Nov","Dic")</f>
        <v>Jul</v>
      </c>
      <c r="E212" s="0" t="str">
        <f aca="false">D212&amp;"-"&amp;RIGHT(B212,2)</f>
        <v>Jul-25</v>
      </c>
      <c r="F212" s="0" t="str">
        <f aca="false">"T"&amp;ROUNDUP(C212/3,0)</f>
        <v>T3</v>
      </c>
      <c r="G212" s="35" t="n">
        <f aca="false">DATE(B212,C212,1)</f>
        <v>45839</v>
      </c>
      <c r="H212" s="25" t="n">
        <f aca="false">IF(DAY(A212+1)=1,1,0)</f>
        <v>0</v>
      </c>
    </row>
    <row r="213" customFormat="false" ht="15" hidden="false" customHeight="false" outlineLevel="0" collapsed="false">
      <c r="A213" s="8" t="n">
        <f aca="false">A212+1</f>
        <v>45869</v>
      </c>
      <c r="B213" s="25" t="n">
        <f aca="false">YEAR(A213)</f>
        <v>2025</v>
      </c>
      <c r="C213" s="25" t="n">
        <f aca="false">MONTH(A213)</f>
        <v>7</v>
      </c>
      <c r="D213" s="0" t="str">
        <f aca="false">CHOOSE(C213,"Ene","Feb","Mar","Abr","May","Jun","Jul","Ago","Sep","Oct","Nov","Dic")</f>
        <v>Jul</v>
      </c>
      <c r="E213" s="0" t="str">
        <f aca="false">D213&amp;"-"&amp;RIGHT(B213,2)</f>
        <v>Jul-25</v>
      </c>
      <c r="F213" s="0" t="str">
        <f aca="false">"T"&amp;ROUNDUP(C213/3,0)</f>
        <v>T3</v>
      </c>
      <c r="G213" s="35" t="n">
        <f aca="false">DATE(B213,C213,1)</f>
        <v>45839</v>
      </c>
      <c r="H213" s="25" t="n">
        <f aca="false">IF(DAY(A213+1)=1,1,0)</f>
        <v>1</v>
      </c>
    </row>
    <row r="214" customFormat="false" ht="15" hidden="false" customHeight="false" outlineLevel="0" collapsed="false">
      <c r="A214" s="8" t="n">
        <f aca="false">A213+1</f>
        <v>45870</v>
      </c>
      <c r="B214" s="25" t="n">
        <f aca="false">YEAR(A214)</f>
        <v>2025</v>
      </c>
      <c r="C214" s="25" t="n">
        <f aca="false">MONTH(A214)</f>
        <v>8</v>
      </c>
      <c r="D214" s="0" t="str">
        <f aca="false">CHOOSE(C214,"Ene","Feb","Mar","Abr","May","Jun","Jul","Ago","Sep","Oct","Nov","Dic")</f>
        <v>Ago</v>
      </c>
      <c r="E214" s="0" t="str">
        <f aca="false">D214&amp;"-"&amp;RIGHT(B214,2)</f>
        <v>Ago-25</v>
      </c>
      <c r="F214" s="0" t="str">
        <f aca="false">"T"&amp;ROUNDUP(C214/3,0)</f>
        <v>T3</v>
      </c>
      <c r="G214" s="35" t="n">
        <f aca="false">DATE(B214,C214,1)</f>
        <v>45870</v>
      </c>
      <c r="H214" s="25" t="n">
        <f aca="false">IF(DAY(A214+1)=1,1,0)</f>
        <v>0</v>
      </c>
    </row>
    <row r="215" customFormat="false" ht="15" hidden="false" customHeight="false" outlineLevel="0" collapsed="false">
      <c r="A215" s="8" t="n">
        <f aca="false">A214+1</f>
        <v>45871</v>
      </c>
      <c r="B215" s="25" t="n">
        <f aca="false">YEAR(A215)</f>
        <v>2025</v>
      </c>
      <c r="C215" s="25" t="n">
        <f aca="false">MONTH(A215)</f>
        <v>8</v>
      </c>
      <c r="D215" s="0" t="str">
        <f aca="false">CHOOSE(C215,"Ene","Feb","Mar","Abr","May","Jun","Jul","Ago","Sep","Oct","Nov","Dic")</f>
        <v>Ago</v>
      </c>
      <c r="E215" s="0" t="str">
        <f aca="false">D215&amp;"-"&amp;RIGHT(B215,2)</f>
        <v>Ago-25</v>
      </c>
      <c r="F215" s="0" t="str">
        <f aca="false">"T"&amp;ROUNDUP(C215/3,0)</f>
        <v>T3</v>
      </c>
      <c r="G215" s="35" t="n">
        <f aca="false">DATE(B215,C215,1)</f>
        <v>45870</v>
      </c>
      <c r="H215" s="25" t="n">
        <f aca="false">IF(DAY(A215+1)=1,1,0)</f>
        <v>0</v>
      </c>
    </row>
    <row r="216" customFormat="false" ht="15" hidden="false" customHeight="false" outlineLevel="0" collapsed="false">
      <c r="A216" s="8" t="n">
        <f aca="false">A215+1</f>
        <v>45872</v>
      </c>
      <c r="B216" s="25" t="n">
        <f aca="false">YEAR(A216)</f>
        <v>2025</v>
      </c>
      <c r="C216" s="25" t="n">
        <f aca="false">MONTH(A216)</f>
        <v>8</v>
      </c>
      <c r="D216" s="0" t="str">
        <f aca="false">CHOOSE(C216,"Ene","Feb","Mar","Abr","May","Jun","Jul","Ago","Sep","Oct","Nov","Dic")</f>
        <v>Ago</v>
      </c>
      <c r="E216" s="0" t="str">
        <f aca="false">D216&amp;"-"&amp;RIGHT(B216,2)</f>
        <v>Ago-25</v>
      </c>
      <c r="F216" s="0" t="str">
        <f aca="false">"T"&amp;ROUNDUP(C216/3,0)</f>
        <v>T3</v>
      </c>
      <c r="G216" s="35" t="n">
        <f aca="false">DATE(B216,C216,1)</f>
        <v>45870</v>
      </c>
      <c r="H216" s="25" t="n">
        <f aca="false">IF(DAY(A216+1)=1,1,0)</f>
        <v>0</v>
      </c>
    </row>
    <row r="217" customFormat="false" ht="15" hidden="false" customHeight="false" outlineLevel="0" collapsed="false">
      <c r="A217" s="8" t="n">
        <f aca="false">A216+1</f>
        <v>45873</v>
      </c>
      <c r="B217" s="25" t="n">
        <f aca="false">YEAR(A217)</f>
        <v>2025</v>
      </c>
      <c r="C217" s="25" t="n">
        <f aca="false">MONTH(A217)</f>
        <v>8</v>
      </c>
      <c r="D217" s="0" t="str">
        <f aca="false">CHOOSE(C217,"Ene","Feb","Mar","Abr","May","Jun","Jul","Ago","Sep","Oct","Nov","Dic")</f>
        <v>Ago</v>
      </c>
      <c r="E217" s="0" t="str">
        <f aca="false">D217&amp;"-"&amp;RIGHT(B217,2)</f>
        <v>Ago-25</v>
      </c>
      <c r="F217" s="0" t="str">
        <f aca="false">"T"&amp;ROUNDUP(C217/3,0)</f>
        <v>T3</v>
      </c>
      <c r="G217" s="35" t="n">
        <f aca="false">DATE(B217,C217,1)</f>
        <v>45870</v>
      </c>
      <c r="H217" s="25" t="n">
        <f aca="false">IF(DAY(A217+1)=1,1,0)</f>
        <v>0</v>
      </c>
    </row>
    <row r="218" customFormat="false" ht="15" hidden="false" customHeight="false" outlineLevel="0" collapsed="false">
      <c r="A218" s="8" t="n">
        <f aca="false">A217+1</f>
        <v>45874</v>
      </c>
      <c r="B218" s="25" t="n">
        <f aca="false">YEAR(A218)</f>
        <v>2025</v>
      </c>
      <c r="C218" s="25" t="n">
        <f aca="false">MONTH(A218)</f>
        <v>8</v>
      </c>
      <c r="D218" s="0" t="str">
        <f aca="false">CHOOSE(C218,"Ene","Feb","Mar","Abr","May","Jun","Jul","Ago","Sep","Oct","Nov","Dic")</f>
        <v>Ago</v>
      </c>
      <c r="E218" s="0" t="str">
        <f aca="false">D218&amp;"-"&amp;RIGHT(B218,2)</f>
        <v>Ago-25</v>
      </c>
      <c r="F218" s="0" t="str">
        <f aca="false">"T"&amp;ROUNDUP(C218/3,0)</f>
        <v>T3</v>
      </c>
      <c r="G218" s="35" t="n">
        <f aca="false">DATE(B218,C218,1)</f>
        <v>45870</v>
      </c>
      <c r="H218" s="25" t="n">
        <f aca="false">IF(DAY(A218+1)=1,1,0)</f>
        <v>0</v>
      </c>
    </row>
    <row r="219" customFormat="false" ht="15" hidden="false" customHeight="false" outlineLevel="0" collapsed="false">
      <c r="A219" s="8" t="n">
        <f aca="false">A218+1</f>
        <v>45875</v>
      </c>
      <c r="B219" s="25" t="n">
        <f aca="false">YEAR(A219)</f>
        <v>2025</v>
      </c>
      <c r="C219" s="25" t="n">
        <f aca="false">MONTH(A219)</f>
        <v>8</v>
      </c>
      <c r="D219" s="0" t="str">
        <f aca="false">CHOOSE(C219,"Ene","Feb","Mar","Abr","May","Jun","Jul","Ago","Sep","Oct","Nov","Dic")</f>
        <v>Ago</v>
      </c>
      <c r="E219" s="0" t="str">
        <f aca="false">D219&amp;"-"&amp;RIGHT(B219,2)</f>
        <v>Ago-25</v>
      </c>
      <c r="F219" s="0" t="str">
        <f aca="false">"T"&amp;ROUNDUP(C219/3,0)</f>
        <v>T3</v>
      </c>
      <c r="G219" s="35" t="n">
        <f aca="false">DATE(B219,C219,1)</f>
        <v>45870</v>
      </c>
      <c r="H219" s="25" t="n">
        <f aca="false">IF(DAY(A219+1)=1,1,0)</f>
        <v>0</v>
      </c>
    </row>
    <row r="220" customFormat="false" ht="15" hidden="false" customHeight="false" outlineLevel="0" collapsed="false">
      <c r="A220" s="8" t="n">
        <f aca="false">A219+1</f>
        <v>45876</v>
      </c>
      <c r="B220" s="25" t="n">
        <f aca="false">YEAR(A220)</f>
        <v>2025</v>
      </c>
      <c r="C220" s="25" t="n">
        <f aca="false">MONTH(A220)</f>
        <v>8</v>
      </c>
      <c r="D220" s="0" t="str">
        <f aca="false">CHOOSE(C220,"Ene","Feb","Mar","Abr","May","Jun","Jul","Ago","Sep","Oct","Nov","Dic")</f>
        <v>Ago</v>
      </c>
      <c r="E220" s="0" t="str">
        <f aca="false">D220&amp;"-"&amp;RIGHT(B220,2)</f>
        <v>Ago-25</v>
      </c>
      <c r="F220" s="0" t="str">
        <f aca="false">"T"&amp;ROUNDUP(C220/3,0)</f>
        <v>T3</v>
      </c>
      <c r="G220" s="35" t="n">
        <f aca="false">DATE(B220,C220,1)</f>
        <v>45870</v>
      </c>
      <c r="H220" s="25" t="n">
        <f aca="false">IF(DAY(A220+1)=1,1,0)</f>
        <v>0</v>
      </c>
    </row>
    <row r="221" customFormat="false" ht="15" hidden="false" customHeight="false" outlineLevel="0" collapsed="false">
      <c r="A221" s="8" t="n">
        <f aca="false">A220+1</f>
        <v>45877</v>
      </c>
      <c r="B221" s="25" t="n">
        <f aca="false">YEAR(A221)</f>
        <v>2025</v>
      </c>
      <c r="C221" s="25" t="n">
        <f aca="false">MONTH(A221)</f>
        <v>8</v>
      </c>
      <c r="D221" s="0" t="str">
        <f aca="false">CHOOSE(C221,"Ene","Feb","Mar","Abr","May","Jun","Jul","Ago","Sep","Oct","Nov","Dic")</f>
        <v>Ago</v>
      </c>
      <c r="E221" s="0" t="str">
        <f aca="false">D221&amp;"-"&amp;RIGHT(B221,2)</f>
        <v>Ago-25</v>
      </c>
      <c r="F221" s="0" t="str">
        <f aca="false">"T"&amp;ROUNDUP(C221/3,0)</f>
        <v>T3</v>
      </c>
      <c r="G221" s="35" t="n">
        <f aca="false">DATE(B221,C221,1)</f>
        <v>45870</v>
      </c>
      <c r="H221" s="25" t="n">
        <f aca="false">IF(DAY(A221+1)=1,1,0)</f>
        <v>0</v>
      </c>
    </row>
    <row r="222" customFormat="false" ht="15" hidden="false" customHeight="false" outlineLevel="0" collapsed="false">
      <c r="A222" s="8" t="n">
        <f aca="false">A221+1</f>
        <v>45878</v>
      </c>
      <c r="B222" s="25" t="n">
        <f aca="false">YEAR(A222)</f>
        <v>2025</v>
      </c>
      <c r="C222" s="25" t="n">
        <f aca="false">MONTH(A222)</f>
        <v>8</v>
      </c>
      <c r="D222" s="0" t="str">
        <f aca="false">CHOOSE(C222,"Ene","Feb","Mar","Abr","May","Jun","Jul","Ago","Sep","Oct","Nov","Dic")</f>
        <v>Ago</v>
      </c>
      <c r="E222" s="0" t="str">
        <f aca="false">D222&amp;"-"&amp;RIGHT(B222,2)</f>
        <v>Ago-25</v>
      </c>
      <c r="F222" s="0" t="str">
        <f aca="false">"T"&amp;ROUNDUP(C222/3,0)</f>
        <v>T3</v>
      </c>
      <c r="G222" s="35" t="n">
        <f aca="false">DATE(B222,C222,1)</f>
        <v>45870</v>
      </c>
      <c r="H222" s="25" t="n">
        <f aca="false">IF(DAY(A222+1)=1,1,0)</f>
        <v>0</v>
      </c>
    </row>
    <row r="223" customFormat="false" ht="15" hidden="false" customHeight="false" outlineLevel="0" collapsed="false">
      <c r="A223" s="8" t="n">
        <f aca="false">A222+1</f>
        <v>45879</v>
      </c>
      <c r="B223" s="25" t="n">
        <f aca="false">YEAR(A223)</f>
        <v>2025</v>
      </c>
      <c r="C223" s="25" t="n">
        <f aca="false">MONTH(A223)</f>
        <v>8</v>
      </c>
      <c r="D223" s="0" t="str">
        <f aca="false">CHOOSE(C223,"Ene","Feb","Mar","Abr","May","Jun","Jul","Ago","Sep","Oct","Nov","Dic")</f>
        <v>Ago</v>
      </c>
      <c r="E223" s="0" t="str">
        <f aca="false">D223&amp;"-"&amp;RIGHT(B223,2)</f>
        <v>Ago-25</v>
      </c>
      <c r="F223" s="0" t="str">
        <f aca="false">"T"&amp;ROUNDUP(C223/3,0)</f>
        <v>T3</v>
      </c>
      <c r="G223" s="35" t="n">
        <f aca="false">DATE(B223,C223,1)</f>
        <v>45870</v>
      </c>
      <c r="H223" s="25" t="n">
        <f aca="false">IF(DAY(A223+1)=1,1,0)</f>
        <v>0</v>
      </c>
    </row>
    <row r="224" customFormat="false" ht="15" hidden="false" customHeight="false" outlineLevel="0" collapsed="false">
      <c r="A224" s="8" t="n">
        <f aca="false">A223+1</f>
        <v>45880</v>
      </c>
      <c r="B224" s="25" t="n">
        <f aca="false">YEAR(A224)</f>
        <v>2025</v>
      </c>
      <c r="C224" s="25" t="n">
        <f aca="false">MONTH(A224)</f>
        <v>8</v>
      </c>
      <c r="D224" s="0" t="str">
        <f aca="false">CHOOSE(C224,"Ene","Feb","Mar","Abr","May","Jun","Jul","Ago","Sep","Oct","Nov","Dic")</f>
        <v>Ago</v>
      </c>
      <c r="E224" s="0" t="str">
        <f aca="false">D224&amp;"-"&amp;RIGHT(B224,2)</f>
        <v>Ago-25</v>
      </c>
      <c r="F224" s="0" t="str">
        <f aca="false">"T"&amp;ROUNDUP(C224/3,0)</f>
        <v>T3</v>
      </c>
      <c r="G224" s="35" t="n">
        <f aca="false">DATE(B224,C224,1)</f>
        <v>45870</v>
      </c>
      <c r="H224" s="25" t="n">
        <f aca="false">IF(DAY(A224+1)=1,1,0)</f>
        <v>0</v>
      </c>
    </row>
    <row r="225" customFormat="false" ht="15" hidden="false" customHeight="false" outlineLevel="0" collapsed="false">
      <c r="A225" s="8" t="n">
        <f aca="false">A224+1</f>
        <v>45881</v>
      </c>
      <c r="B225" s="25" t="n">
        <f aca="false">YEAR(A225)</f>
        <v>2025</v>
      </c>
      <c r="C225" s="25" t="n">
        <f aca="false">MONTH(A225)</f>
        <v>8</v>
      </c>
      <c r="D225" s="0" t="str">
        <f aca="false">CHOOSE(C225,"Ene","Feb","Mar","Abr","May","Jun","Jul","Ago","Sep","Oct","Nov","Dic")</f>
        <v>Ago</v>
      </c>
      <c r="E225" s="0" t="str">
        <f aca="false">D225&amp;"-"&amp;RIGHT(B225,2)</f>
        <v>Ago-25</v>
      </c>
      <c r="F225" s="0" t="str">
        <f aca="false">"T"&amp;ROUNDUP(C225/3,0)</f>
        <v>T3</v>
      </c>
      <c r="G225" s="35" t="n">
        <f aca="false">DATE(B225,C225,1)</f>
        <v>45870</v>
      </c>
      <c r="H225" s="25" t="n">
        <f aca="false">IF(DAY(A225+1)=1,1,0)</f>
        <v>0</v>
      </c>
    </row>
    <row r="226" customFormat="false" ht="15" hidden="false" customHeight="false" outlineLevel="0" collapsed="false">
      <c r="A226" s="8" t="n">
        <f aca="false">A225+1</f>
        <v>45882</v>
      </c>
      <c r="B226" s="25" t="n">
        <f aca="false">YEAR(A226)</f>
        <v>2025</v>
      </c>
      <c r="C226" s="25" t="n">
        <f aca="false">MONTH(A226)</f>
        <v>8</v>
      </c>
      <c r="D226" s="0" t="str">
        <f aca="false">CHOOSE(C226,"Ene","Feb","Mar","Abr","May","Jun","Jul","Ago","Sep","Oct","Nov","Dic")</f>
        <v>Ago</v>
      </c>
      <c r="E226" s="0" t="str">
        <f aca="false">D226&amp;"-"&amp;RIGHT(B226,2)</f>
        <v>Ago-25</v>
      </c>
      <c r="F226" s="0" t="str">
        <f aca="false">"T"&amp;ROUNDUP(C226/3,0)</f>
        <v>T3</v>
      </c>
      <c r="G226" s="35" t="n">
        <f aca="false">DATE(B226,C226,1)</f>
        <v>45870</v>
      </c>
      <c r="H226" s="25" t="n">
        <f aca="false">IF(DAY(A226+1)=1,1,0)</f>
        <v>0</v>
      </c>
    </row>
    <row r="227" customFormat="false" ht="15" hidden="false" customHeight="false" outlineLevel="0" collapsed="false">
      <c r="A227" s="8" t="n">
        <f aca="false">A226+1</f>
        <v>45883</v>
      </c>
      <c r="B227" s="25" t="n">
        <f aca="false">YEAR(A227)</f>
        <v>2025</v>
      </c>
      <c r="C227" s="25" t="n">
        <f aca="false">MONTH(A227)</f>
        <v>8</v>
      </c>
      <c r="D227" s="0" t="str">
        <f aca="false">CHOOSE(C227,"Ene","Feb","Mar","Abr","May","Jun","Jul","Ago","Sep","Oct","Nov","Dic")</f>
        <v>Ago</v>
      </c>
      <c r="E227" s="0" t="str">
        <f aca="false">D227&amp;"-"&amp;RIGHT(B227,2)</f>
        <v>Ago-25</v>
      </c>
      <c r="F227" s="0" t="str">
        <f aca="false">"T"&amp;ROUNDUP(C227/3,0)</f>
        <v>T3</v>
      </c>
      <c r="G227" s="35" t="n">
        <f aca="false">DATE(B227,C227,1)</f>
        <v>45870</v>
      </c>
      <c r="H227" s="25" t="n">
        <f aca="false">IF(DAY(A227+1)=1,1,0)</f>
        <v>0</v>
      </c>
    </row>
    <row r="228" customFormat="false" ht="15" hidden="false" customHeight="false" outlineLevel="0" collapsed="false">
      <c r="A228" s="8" t="n">
        <f aca="false">A227+1</f>
        <v>45884</v>
      </c>
      <c r="B228" s="25" t="n">
        <f aca="false">YEAR(A228)</f>
        <v>2025</v>
      </c>
      <c r="C228" s="25" t="n">
        <f aca="false">MONTH(A228)</f>
        <v>8</v>
      </c>
      <c r="D228" s="0" t="str">
        <f aca="false">CHOOSE(C228,"Ene","Feb","Mar","Abr","May","Jun","Jul","Ago","Sep","Oct","Nov","Dic")</f>
        <v>Ago</v>
      </c>
      <c r="E228" s="0" t="str">
        <f aca="false">D228&amp;"-"&amp;RIGHT(B228,2)</f>
        <v>Ago-25</v>
      </c>
      <c r="F228" s="0" t="str">
        <f aca="false">"T"&amp;ROUNDUP(C228/3,0)</f>
        <v>T3</v>
      </c>
      <c r="G228" s="35" t="n">
        <f aca="false">DATE(B228,C228,1)</f>
        <v>45870</v>
      </c>
      <c r="H228" s="25" t="n">
        <f aca="false">IF(DAY(A228+1)=1,1,0)</f>
        <v>0</v>
      </c>
    </row>
    <row r="229" customFormat="false" ht="15" hidden="false" customHeight="false" outlineLevel="0" collapsed="false">
      <c r="A229" s="8" t="n">
        <f aca="false">A228+1</f>
        <v>45885</v>
      </c>
      <c r="B229" s="25" t="n">
        <f aca="false">YEAR(A229)</f>
        <v>2025</v>
      </c>
      <c r="C229" s="25" t="n">
        <f aca="false">MONTH(A229)</f>
        <v>8</v>
      </c>
      <c r="D229" s="0" t="str">
        <f aca="false">CHOOSE(C229,"Ene","Feb","Mar","Abr","May","Jun","Jul","Ago","Sep","Oct","Nov","Dic")</f>
        <v>Ago</v>
      </c>
      <c r="E229" s="0" t="str">
        <f aca="false">D229&amp;"-"&amp;RIGHT(B229,2)</f>
        <v>Ago-25</v>
      </c>
      <c r="F229" s="0" t="str">
        <f aca="false">"T"&amp;ROUNDUP(C229/3,0)</f>
        <v>T3</v>
      </c>
      <c r="G229" s="35" t="n">
        <f aca="false">DATE(B229,C229,1)</f>
        <v>45870</v>
      </c>
      <c r="H229" s="25" t="n">
        <f aca="false">IF(DAY(A229+1)=1,1,0)</f>
        <v>0</v>
      </c>
    </row>
    <row r="230" customFormat="false" ht="15" hidden="false" customHeight="false" outlineLevel="0" collapsed="false">
      <c r="A230" s="8" t="n">
        <f aca="false">A229+1</f>
        <v>45886</v>
      </c>
      <c r="B230" s="25" t="n">
        <f aca="false">YEAR(A230)</f>
        <v>2025</v>
      </c>
      <c r="C230" s="25" t="n">
        <f aca="false">MONTH(A230)</f>
        <v>8</v>
      </c>
      <c r="D230" s="0" t="str">
        <f aca="false">CHOOSE(C230,"Ene","Feb","Mar","Abr","May","Jun","Jul","Ago","Sep","Oct","Nov","Dic")</f>
        <v>Ago</v>
      </c>
      <c r="E230" s="0" t="str">
        <f aca="false">D230&amp;"-"&amp;RIGHT(B230,2)</f>
        <v>Ago-25</v>
      </c>
      <c r="F230" s="0" t="str">
        <f aca="false">"T"&amp;ROUNDUP(C230/3,0)</f>
        <v>T3</v>
      </c>
      <c r="G230" s="35" t="n">
        <f aca="false">DATE(B230,C230,1)</f>
        <v>45870</v>
      </c>
      <c r="H230" s="25" t="n">
        <f aca="false">IF(DAY(A230+1)=1,1,0)</f>
        <v>0</v>
      </c>
    </row>
    <row r="231" customFormat="false" ht="15" hidden="false" customHeight="false" outlineLevel="0" collapsed="false">
      <c r="A231" s="8" t="n">
        <f aca="false">A230+1</f>
        <v>45887</v>
      </c>
      <c r="B231" s="25" t="n">
        <f aca="false">YEAR(A231)</f>
        <v>2025</v>
      </c>
      <c r="C231" s="25" t="n">
        <f aca="false">MONTH(A231)</f>
        <v>8</v>
      </c>
      <c r="D231" s="0" t="str">
        <f aca="false">CHOOSE(C231,"Ene","Feb","Mar","Abr","May","Jun","Jul","Ago","Sep","Oct","Nov","Dic")</f>
        <v>Ago</v>
      </c>
      <c r="E231" s="0" t="str">
        <f aca="false">D231&amp;"-"&amp;RIGHT(B231,2)</f>
        <v>Ago-25</v>
      </c>
      <c r="F231" s="0" t="str">
        <f aca="false">"T"&amp;ROUNDUP(C231/3,0)</f>
        <v>T3</v>
      </c>
      <c r="G231" s="35" t="n">
        <f aca="false">DATE(B231,C231,1)</f>
        <v>45870</v>
      </c>
      <c r="H231" s="25" t="n">
        <f aca="false">IF(DAY(A231+1)=1,1,0)</f>
        <v>0</v>
      </c>
    </row>
    <row r="232" customFormat="false" ht="15" hidden="false" customHeight="false" outlineLevel="0" collapsed="false">
      <c r="A232" s="8" t="n">
        <f aca="false">A231+1</f>
        <v>45888</v>
      </c>
      <c r="B232" s="25" t="n">
        <f aca="false">YEAR(A232)</f>
        <v>2025</v>
      </c>
      <c r="C232" s="25" t="n">
        <f aca="false">MONTH(A232)</f>
        <v>8</v>
      </c>
      <c r="D232" s="0" t="str">
        <f aca="false">CHOOSE(C232,"Ene","Feb","Mar","Abr","May","Jun","Jul","Ago","Sep","Oct","Nov","Dic")</f>
        <v>Ago</v>
      </c>
      <c r="E232" s="0" t="str">
        <f aca="false">D232&amp;"-"&amp;RIGHT(B232,2)</f>
        <v>Ago-25</v>
      </c>
      <c r="F232" s="0" t="str">
        <f aca="false">"T"&amp;ROUNDUP(C232/3,0)</f>
        <v>T3</v>
      </c>
      <c r="G232" s="35" t="n">
        <f aca="false">DATE(B232,C232,1)</f>
        <v>45870</v>
      </c>
      <c r="H232" s="25" t="n">
        <f aca="false">IF(DAY(A232+1)=1,1,0)</f>
        <v>0</v>
      </c>
    </row>
    <row r="233" customFormat="false" ht="15" hidden="false" customHeight="false" outlineLevel="0" collapsed="false">
      <c r="A233" s="8" t="n">
        <f aca="false">A232+1</f>
        <v>45889</v>
      </c>
      <c r="B233" s="25" t="n">
        <f aca="false">YEAR(A233)</f>
        <v>2025</v>
      </c>
      <c r="C233" s="25" t="n">
        <f aca="false">MONTH(A233)</f>
        <v>8</v>
      </c>
      <c r="D233" s="0" t="str">
        <f aca="false">CHOOSE(C233,"Ene","Feb","Mar","Abr","May","Jun","Jul","Ago","Sep","Oct","Nov","Dic")</f>
        <v>Ago</v>
      </c>
      <c r="E233" s="0" t="str">
        <f aca="false">D233&amp;"-"&amp;RIGHT(B233,2)</f>
        <v>Ago-25</v>
      </c>
      <c r="F233" s="0" t="str">
        <f aca="false">"T"&amp;ROUNDUP(C233/3,0)</f>
        <v>T3</v>
      </c>
      <c r="G233" s="35" t="n">
        <f aca="false">DATE(B233,C233,1)</f>
        <v>45870</v>
      </c>
      <c r="H233" s="25" t="n">
        <f aca="false">IF(DAY(A233+1)=1,1,0)</f>
        <v>0</v>
      </c>
    </row>
    <row r="234" customFormat="false" ht="15" hidden="false" customHeight="false" outlineLevel="0" collapsed="false">
      <c r="A234" s="8" t="n">
        <f aca="false">A233+1</f>
        <v>45890</v>
      </c>
      <c r="B234" s="25" t="n">
        <f aca="false">YEAR(A234)</f>
        <v>2025</v>
      </c>
      <c r="C234" s="25" t="n">
        <f aca="false">MONTH(A234)</f>
        <v>8</v>
      </c>
      <c r="D234" s="0" t="str">
        <f aca="false">CHOOSE(C234,"Ene","Feb","Mar","Abr","May","Jun","Jul","Ago","Sep","Oct","Nov","Dic")</f>
        <v>Ago</v>
      </c>
      <c r="E234" s="0" t="str">
        <f aca="false">D234&amp;"-"&amp;RIGHT(B234,2)</f>
        <v>Ago-25</v>
      </c>
      <c r="F234" s="0" t="str">
        <f aca="false">"T"&amp;ROUNDUP(C234/3,0)</f>
        <v>T3</v>
      </c>
      <c r="G234" s="35" t="n">
        <f aca="false">DATE(B234,C234,1)</f>
        <v>45870</v>
      </c>
      <c r="H234" s="25" t="n">
        <f aca="false">IF(DAY(A234+1)=1,1,0)</f>
        <v>0</v>
      </c>
    </row>
    <row r="235" customFormat="false" ht="15" hidden="false" customHeight="false" outlineLevel="0" collapsed="false">
      <c r="A235" s="8" t="n">
        <f aca="false">A234+1</f>
        <v>45891</v>
      </c>
      <c r="B235" s="25" t="n">
        <f aca="false">YEAR(A235)</f>
        <v>2025</v>
      </c>
      <c r="C235" s="25" t="n">
        <f aca="false">MONTH(A235)</f>
        <v>8</v>
      </c>
      <c r="D235" s="0" t="str">
        <f aca="false">CHOOSE(C235,"Ene","Feb","Mar","Abr","May","Jun","Jul","Ago","Sep","Oct","Nov","Dic")</f>
        <v>Ago</v>
      </c>
      <c r="E235" s="0" t="str">
        <f aca="false">D235&amp;"-"&amp;RIGHT(B235,2)</f>
        <v>Ago-25</v>
      </c>
      <c r="F235" s="0" t="str">
        <f aca="false">"T"&amp;ROUNDUP(C235/3,0)</f>
        <v>T3</v>
      </c>
      <c r="G235" s="35" t="n">
        <f aca="false">DATE(B235,C235,1)</f>
        <v>45870</v>
      </c>
      <c r="H235" s="25" t="n">
        <f aca="false">IF(DAY(A235+1)=1,1,0)</f>
        <v>0</v>
      </c>
    </row>
    <row r="236" customFormat="false" ht="15" hidden="false" customHeight="false" outlineLevel="0" collapsed="false">
      <c r="A236" s="8" t="n">
        <f aca="false">A235+1</f>
        <v>45892</v>
      </c>
      <c r="B236" s="25" t="n">
        <f aca="false">YEAR(A236)</f>
        <v>2025</v>
      </c>
      <c r="C236" s="25" t="n">
        <f aca="false">MONTH(A236)</f>
        <v>8</v>
      </c>
      <c r="D236" s="0" t="str">
        <f aca="false">CHOOSE(C236,"Ene","Feb","Mar","Abr","May","Jun","Jul","Ago","Sep","Oct","Nov","Dic")</f>
        <v>Ago</v>
      </c>
      <c r="E236" s="0" t="str">
        <f aca="false">D236&amp;"-"&amp;RIGHT(B236,2)</f>
        <v>Ago-25</v>
      </c>
      <c r="F236" s="0" t="str">
        <f aca="false">"T"&amp;ROUNDUP(C236/3,0)</f>
        <v>T3</v>
      </c>
      <c r="G236" s="35" t="n">
        <f aca="false">DATE(B236,C236,1)</f>
        <v>45870</v>
      </c>
      <c r="H236" s="25" t="n">
        <f aca="false">IF(DAY(A236+1)=1,1,0)</f>
        <v>0</v>
      </c>
    </row>
    <row r="237" customFormat="false" ht="15" hidden="false" customHeight="false" outlineLevel="0" collapsed="false">
      <c r="A237" s="8" t="n">
        <f aca="false">A236+1</f>
        <v>45893</v>
      </c>
      <c r="B237" s="25" t="n">
        <f aca="false">YEAR(A237)</f>
        <v>2025</v>
      </c>
      <c r="C237" s="25" t="n">
        <f aca="false">MONTH(A237)</f>
        <v>8</v>
      </c>
      <c r="D237" s="0" t="str">
        <f aca="false">CHOOSE(C237,"Ene","Feb","Mar","Abr","May","Jun","Jul","Ago","Sep","Oct","Nov","Dic")</f>
        <v>Ago</v>
      </c>
      <c r="E237" s="0" t="str">
        <f aca="false">D237&amp;"-"&amp;RIGHT(B237,2)</f>
        <v>Ago-25</v>
      </c>
      <c r="F237" s="0" t="str">
        <f aca="false">"T"&amp;ROUNDUP(C237/3,0)</f>
        <v>T3</v>
      </c>
      <c r="G237" s="35" t="n">
        <f aca="false">DATE(B237,C237,1)</f>
        <v>45870</v>
      </c>
      <c r="H237" s="25" t="n">
        <f aca="false">IF(DAY(A237+1)=1,1,0)</f>
        <v>0</v>
      </c>
    </row>
    <row r="238" customFormat="false" ht="15" hidden="false" customHeight="false" outlineLevel="0" collapsed="false">
      <c r="A238" s="8" t="n">
        <f aca="false">A237+1</f>
        <v>45894</v>
      </c>
      <c r="B238" s="25" t="n">
        <f aca="false">YEAR(A238)</f>
        <v>2025</v>
      </c>
      <c r="C238" s="25" t="n">
        <f aca="false">MONTH(A238)</f>
        <v>8</v>
      </c>
      <c r="D238" s="0" t="str">
        <f aca="false">CHOOSE(C238,"Ene","Feb","Mar","Abr","May","Jun","Jul","Ago","Sep","Oct","Nov","Dic")</f>
        <v>Ago</v>
      </c>
      <c r="E238" s="0" t="str">
        <f aca="false">D238&amp;"-"&amp;RIGHT(B238,2)</f>
        <v>Ago-25</v>
      </c>
      <c r="F238" s="0" t="str">
        <f aca="false">"T"&amp;ROUNDUP(C238/3,0)</f>
        <v>T3</v>
      </c>
      <c r="G238" s="35" t="n">
        <f aca="false">DATE(B238,C238,1)</f>
        <v>45870</v>
      </c>
      <c r="H238" s="25" t="n">
        <f aca="false">IF(DAY(A238+1)=1,1,0)</f>
        <v>0</v>
      </c>
    </row>
    <row r="239" customFormat="false" ht="15" hidden="false" customHeight="false" outlineLevel="0" collapsed="false">
      <c r="A239" s="8" t="n">
        <f aca="false">A238+1</f>
        <v>45895</v>
      </c>
      <c r="B239" s="25" t="n">
        <f aca="false">YEAR(A239)</f>
        <v>2025</v>
      </c>
      <c r="C239" s="25" t="n">
        <f aca="false">MONTH(A239)</f>
        <v>8</v>
      </c>
      <c r="D239" s="0" t="str">
        <f aca="false">CHOOSE(C239,"Ene","Feb","Mar","Abr","May","Jun","Jul","Ago","Sep","Oct","Nov","Dic")</f>
        <v>Ago</v>
      </c>
      <c r="E239" s="0" t="str">
        <f aca="false">D239&amp;"-"&amp;RIGHT(B239,2)</f>
        <v>Ago-25</v>
      </c>
      <c r="F239" s="0" t="str">
        <f aca="false">"T"&amp;ROUNDUP(C239/3,0)</f>
        <v>T3</v>
      </c>
      <c r="G239" s="35" t="n">
        <f aca="false">DATE(B239,C239,1)</f>
        <v>45870</v>
      </c>
      <c r="H239" s="25" t="n">
        <f aca="false">IF(DAY(A239+1)=1,1,0)</f>
        <v>0</v>
      </c>
    </row>
    <row r="240" customFormat="false" ht="15" hidden="false" customHeight="false" outlineLevel="0" collapsed="false">
      <c r="A240" s="8" t="n">
        <f aca="false">A239+1</f>
        <v>45896</v>
      </c>
      <c r="B240" s="25" t="n">
        <f aca="false">YEAR(A240)</f>
        <v>2025</v>
      </c>
      <c r="C240" s="25" t="n">
        <f aca="false">MONTH(A240)</f>
        <v>8</v>
      </c>
      <c r="D240" s="0" t="str">
        <f aca="false">CHOOSE(C240,"Ene","Feb","Mar","Abr","May","Jun","Jul","Ago","Sep","Oct","Nov","Dic")</f>
        <v>Ago</v>
      </c>
      <c r="E240" s="0" t="str">
        <f aca="false">D240&amp;"-"&amp;RIGHT(B240,2)</f>
        <v>Ago-25</v>
      </c>
      <c r="F240" s="0" t="str">
        <f aca="false">"T"&amp;ROUNDUP(C240/3,0)</f>
        <v>T3</v>
      </c>
      <c r="G240" s="35" t="n">
        <f aca="false">DATE(B240,C240,1)</f>
        <v>45870</v>
      </c>
      <c r="H240" s="25" t="n">
        <f aca="false">IF(DAY(A240+1)=1,1,0)</f>
        <v>0</v>
      </c>
    </row>
    <row r="241" customFormat="false" ht="15" hidden="false" customHeight="false" outlineLevel="0" collapsed="false">
      <c r="A241" s="8" t="n">
        <f aca="false">A240+1</f>
        <v>45897</v>
      </c>
      <c r="B241" s="25" t="n">
        <f aca="false">YEAR(A241)</f>
        <v>2025</v>
      </c>
      <c r="C241" s="25" t="n">
        <f aca="false">MONTH(A241)</f>
        <v>8</v>
      </c>
      <c r="D241" s="0" t="str">
        <f aca="false">CHOOSE(C241,"Ene","Feb","Mar","Abr","May","Jun","Jul","Ago","Sep","Oct","Nov","Dic")</f>
        <v>Ago</v>
      </c>
      <c r="E241" s="0" t="str">
        <f aca="false">D241&amp;"-"&amp;RIGHT(B241,2)</f>
        <v>Ago-25</v>
      </c>
      <c r="F241" s="0" t="str">
        <f aca="false">"T"&amp;ROUNDUP(C241/3,0)</f>
        <v>T3</v>
      </c>
      <c r="G241" s="35" t="n">
        <f aca="false">DATE(B241,C241,1)</f>
        <v>45870</v>
      </c>
      <c r="H241" s="25" t="n">
        <f aca="false">IF(DAY(A241+1)=1,1,0)</f>
        <v>0</v>
      </c>
    </row>
    <row r="242" customFormat="false" ht="15" hidden="false" customHeight="false" outlineLevel="0" collapsed="false">
      <c r="A242" s="8" t="n">
        <f aca="false">A241+1</f>
        <v>45898</v>
      </c>
      <c r="B242" s="25" t="n">
        <f aca="false">YEAR(A242)</f>
        <v>2025</v>
      </c>
      <c r="C242" s="25" t="n">
        <f aca="false">MONTH(A242)</f>
        <v>8</v>
      </c>
      <c r="D242" s="0" t="str">
        <f aca="false">CHOOSE(C242,"Ene","Feb","Mar","Abr","May","Jun","Jul","Ago","Sep","Oct","Nov","Dic")</f>
        <v>Ago</v>
      </c>
      <c r="E242" s="0" t="str">
        <f aca="false">D242&amp;"-"&amp;RIGHT(B242,2)</f>
        <v>Ago-25</v>
      </c>
      <c r="F242" s="0" t="str">
        <f aca="false">"T"&amp;ROUNDUP(C242/3,0)</f>
        <v>T3</v>
      </c>
      <c r="G242" s="35" t="n">
        <f aca="false">DATE(B242,C242,1)</f>
        <v>45870</v>
      </c>
      <c r="H242" s="25" t="n">
        <f aca="false">IF(DAY(A242+1)=1,1,0)</f>
        <v>0</v>
      </c>
    </row>
    <row r="243" customFormat="false" ht="15" hidden="false" customHeight="false" outlineLevel="0" collapsed="false">
      <c r="A243" s="8" t="n">
        <f aca="false">A242+1</f>
        <v>45899</v>
      </c>
      <c r="B243" s="25" t="n">
        <f aca="false">YEAR(A243)</f>
        <v>2025</v>
      </c>
      <c r="C243" s="25" t="n">
        <f aca="false">MONTH(A243)</f>
        <v>8</v>
      </c>
      <c r="D243" s="0" t="str">
        <f aca="false">CHOOSE(C243,"Ene","Feb","Mar","Abr","May","Jun","Jul","Ago","Sep","Oct","Nov","Dic")</f>
        <v>Ago</v>
      </c>
      <c r="E243" s="0" t="str">
        <f aca="false">D243&amp;"-"&amp;RIGHT(B243,2)</f>
        <v>Ago-25</v>
      </c>
      <c r="F243" s="0" t="str">
        <f aca="false">"T"&amp;ROUNDUP(C243/3,0)</f>
        <v>T3</v>
      </c>
      <c r="G243" s="35" t="n">
        <f aca="false">DATE(B243,C243,1)</f>
        <v>45870</v>
      </c>
      <c r="H243" s="25" t="n">
        <f aca="false">IF(DAY(A243+1)=1,1,0)</f>
        <v>0</v>
      </c>
    </row>
    <row r="244" customFormat="false" ht="15" hidden="false" customHeight="false" outlineLevel="0" collapsed="false">
      <c r="A244" s="8" t="n">
        <f aca="false">A243+1</f>
        <v>45900</v>
      </c>
      <c r="B244" s="25" t="n">
        <f aca="false">YEAR(A244)</f>
        <v>2025</v>
      </c>
      <c r="C244" s="25" t="n">
        <f aca="false">MONTH(A244)</f>
        <v>8</v>
      </c>
      <c r="D244" s="0" t="str">
        <f aca="false">CHOOSE(C244,"Ene","Feb","Mar","Abr","May","Jun","Jul","Ago","Sep","Oct","Nov","Dic")</f>
        <v>Ago</v>
      </c>
      <c r="E244" s="0" t="str">
        <f aca="false">D244&amp;"-"&amp;RIGHT(B244,2)</f>
        <v>Ago-25</v>
      </c>
      <c r="F244" s="0" t="str">
        <f aca="false">"T"&amp;ROUNDUP(C244/3,0)</f>
        <v>T3</v>
      </c>
      <c r="G244" s="35" t="n">
        <f aca="false">DATE(B244,C244,1)</f>
        <v>45870</v>
      </c>
      <c r="H244" s="25" t="n">
        <f aca="false">IF(DAY(A244+1)=1,1,0)</f>
        <v>1</v>
      </c>
    </row>
    <row r="245" customFormat="false" ht="15" hidden="false" customHeight="false" outlineLevel="0" collapsed="false">
      <c r="A245" s="8" t="n">
        <f aca="false">A244+1</f>
        <v>45901</v>
      </c>
      <c r="B245" s="25" t="n">
        <f aca="false">YEAR(A245)</f>
        <v>2025</v>
      </c>
      <c r="C245" s="25" t="n">
        <f aca="false">MONTH(A245)</f>
        <v>9</v>
      </c>
      <c r="D245" s="0" t="str">
        <f aca="false">CHOOSE(C245,"Ene","Feb","Mar","Abr","May","Jun","Jul","Ago","Sep","Oct","Nov","Dic")</f>
        <v>Sep</v>
      </c>
      <c r="E245" s="0" t="str">
        <f aca="false">D245&amp;"-"&amp;RIGHT(B245,2)</f>
        <v>Sep-25</v>
      </c>
      <c r="F245" s="0" t="str">
        <f aca="false">"T"&amp;ROUNDUP(C245/3,0)</f>
        <v>T3</v>
      </c>
      <c r="G245" s="35" t="n">
        <f aca="false">DATE(B245,C245,1)</f>
        <v>45901</v>
      </c>
      <c r="H245" s="25" t="n">
        <f aca="false">IF(DAY(A245+1)=1,1,0)</f>
        <v>0</v>
      </c>
    </row>
    <row r="246" customFormat="false" ht="15" hidden="false" customHeight="false" outlineLevel="0" collapsed="false">
      <c r="A246" s="8" t="n">
        <f aca="false">A245+1</f>
        <v>45902</v>
      </c>
      <c r="B246" s="25" t="n">
        <f aca="false">YEAR(A246)</f>
        <v>2025</v>
      </c>
      <c r="C246" s="25" t="n">
        <f aca="false">MONTH(A246)</f>
        <v>9</v>
      </c>
      <c r="D246" s="0" t="str">
        <f aca="false">CHOOSE(C246,"Ene","Feb","Mar","Abr","May","Jun","Jul","Ago","Sep","Oct","Nov","Dic")</f>
        <v>Sep</v>
      </c>
      <c r="E246" s="0" t="str">
        <f aca="false">D246&amp;"-"&amp;RIGHT(B246,2)</f>
        <v>Sep-25</v>
      </c>
      <c r="F246" s="0" t="str">
        <f aca="false">"T"&amp;ROUNDUP(C246/3,0)</f>
        <v>T3</v>
      </c>
      <c r="G246" s="35" t="n">
        <f aca="false">DATE(B246,C246,1)</f>
        <v>45901</v>
      </c>
      <c r="H246" s="25" t="n">
        <f aca="false">IF(DAY(A246+1)=1,1,0)</f>
        <v>0</v>
      </c>
    </row>
    <row r="247" customFormat="false" ht="15" hidden="false" customHeight="false" outlineLevel="0" collapsed="false">
      <c r="A247" s="8" t="n">
        <f aca="false">A246+1</f>
        <v>45903</v>
      </c>
      <c r="B247" s="25" t="n">
        <f aca="false">YEAR(A247)</f>
        <v>2025</v>
      </c>
      <c r="C247" s="25" t="n">
        <f aca="false">MONTH(A247)</f>
        <v>9</v>
      </c>
      <c r="D247" s="0" t="str">
        <f aca="false">CHOOSE(C247,"Ene","Feb","Mar","Abr","May","Jun","Jul","Ago","Sep","Oct","Nov","Dic")</f>
        <v>Sep</v>
      </c>
      <c r="E247" s="0" t="str">
        <f aca="false">D247&amp;"-"&amp;RIGHT(B247,2)</f>
        <v>Sep-25</v>
      </c>
      <c r="F247" s="0" t="str">
        <f aca="false">"T"&amp;ROUNDUP(C247/3,0)</f>
        <v>T3</v>
      </c>
      <c r="G247" s="35" t="n">
        <f aca="false">DATE(B247,C247,1)</f>
        <v>45901</v>
      </c>
      <c r="H247" s="25" t="n">
        <f aca="false">IF(DAY(A247+1)=1,1,0)</f>
        <v>0</v>
      </c>
    </row>
    <row r="248" customFormat="false" ht="15" hidden="false" customHeight="false" outlineLevel="0" collapsed="false">
      <c r="A248" s="8" t="n">
        <f aca="false">A247+1</f>
        <v>45904</v>
      </c>
      <c r="B248" s="25" t="n">
        <f aca="false">YEAR(A248)</f>
        <v>2025</v>
      </c>
      <c r="C248" s="25" t="n">
        <f aca="false">MONTH(A248)</f>
        <v>9</v>
      </c>
      <c r="D248" s="0" t="str">
        <f aca="false">CHOOSE(C248,"Ene","Feb","Mar","Abr","May","Jun","Jul","Ago","Sep","Oct","Nov","Dic")</f>
        <v>Sep</v>
      </c>
      <c r="E248" s="0" t="str">
        <f aca="false">D248&amp;"-"&amp;RIGHT(B248,2)</f>
        <v>Sep-25</v>
      </c>
      <c r="F248" s="0" t="str">
        <f aca="false">"T"&amp;ROUNDUP(C248/3,0)</f>
        <v>T3</v>
      </c>
      <c r="G248" s="35" t="n">
        <f aca="false">DATE(B248,C248,1)</f>
        <v>45901</v>
      </c>
      <c r="H248" s="25" t="n">
        <f aca="false">IF(DAY(A248+1)=1,1,0)</f>
        <v>0</v>
      </c>
    </row>
    <row r="249" customFormat="false" ht="15" hidden="false" customHeight="false" outlineLevel="0" collapsed="false">
      <c r="A249" s="8" t="n">
        <f aca="false">A248+1</f>
        <v>45905</v>
      </c>
      <c r="B249" s="25" t="n">
        <f aca="false">YEAR(A249)</f>
        <v>2025</v>
      </c>
      <c r="C249" s="25" t="n">
        <f aca="false">MONTH(A249)</f>
        <v>9</v>
      </c>
      <c r="D249" s="0" t="str">
        <f aca="false">CHOOSE(C249,"Ene","Feb","Mar","Abr","May","Jun","Jul","Ago","Sep","Oct","Nov","Dic")</f>
        <v>Sep</v>
      </c>
      <c r="E249" s="0" t="str">
        <f aca="false">D249&amp;"-"&amp;RIGHT(B249,2)</f>
        <v>Sep-25</v>
      </c>
      <c r="F249" s="0" t="str">
        <f aca="false">"T"&amp;ROUNDUP(C249/3,0)</f>
        <v>T3</v>
      </c>
      <c r="G249" s="35" t="n">
        <f aca="false">DATE(B249,C249,1)</f>
        <v>45901</v>
      </c>
      <c r="H249" s="25" t="n">
        <f aca="false">IF(DAY(A249+1)=1,1,0)</f>
        <v>0</v>
      </c>
    </row>
    <row r="250" customFormat="false" ht="15" hidden="false" customHeight="false" outlineLevel="0" collapsed="false">
      <c r="A250" s="8" t="n">
        <f aca="false">A249+1</f>
        <v>45906</v>
      </c>
      <c r="B250" s="25" t="n">
        <f aca="false">YEAR(A250)</f>
        <v>2025</v>
      </c>
      <c r="C250" s="25" t="n">
        <f aca="false">MONTH(A250)</f>
        <v>9</v>
      </c>
      <c r="D250" s="0" t="str">
        <f aca="false">CHOOSE(C250,"Ene","Feb","Mar","Abr","May","Jun","Jul","Ago","Sep","Oct","Nov","Dic")</f>
        <v>Sep</v>
      </c>
      <c r="E250" s="0" t="str">
        <f aca="false">D250&amp;"-"&amp;RIGHT(B250,2)</f>
        <v>Sep-25</v>
      </c>
      <c r="F250" s="0" t="str">
        <f aca="false">"T"&amp;ROUNDUP(C250/3,0)</f>
        <v>T3</v>
      </c>
      <c r="G250" s="35" t="n">
        <f aca="false">DATE(B250,C250,1)</f>
        <v>45901</v>
      </c>
      <c r="H250" s="25" t="n">
        <f aca="false">IF(DAY(A250+1)=1,1,0)</f>
        <v>0</v>
      </c>
    </row>
    <row r="251" customFormat="false" ht="15" hidden="false" customHeight="false" outlineLevel="0" collapsed="false">
      <c r="A251" s="8" t="n">
        <f aca="false">A250+1</f>
        <v>45907</v>
      </c>
      <c r="B251" s="25" t="n">
        <f aca="false">YEAR(A251)</f>
        <v>2025</v>
      </c>
      <c r="C251" s="25" t="n">
        <f aca="false">MONTH(A251)</f>
        <v>9</v>
      </c>
      <c r="D251" s="0" t="str">
        <f aca="false">CHOOSE(C251,"Ene","Feb","Mar","Abr","May","Jun","Jul","Ago","Sep","Oct","Nov","Dic")</f>
        <v>Sep</v>
      </c>
      <c r="E251" s="0" t="str">
        <f aca="false">D251&amp;"-"&amp;RIGHT(B251,2)</f>
        <v>Sep-25</v>
      </c>
      <c r="F251" s="0" t="str">
        <f aca="false">"T"&amp;ROUNDUP(C251/3,0)</f>
        <v>T3</v>
      </c>
      <c r="G251" s="35" t="n">
        <f aca="false">DATE(B251,C251,1)</f>
        <v>45901</v>
      </c>
      <c r="H251" s="25" t="n">
        <f aca="false">IF(DAY(A251+1)=1,1,0)</f>
        <v>0</v>
      </c>
    </row>
    <row r="252" customFormat="false" ht="15" hidden="false" customHeight="false" outlineLevel="0" collapsed="false">
      <c r="A252" s="8" t="n">
        <f aca="false">A251+1</f>
        <v>45908</v>
      </c>
      <c r="B252" s="25" t="n">
        <f aca="false">YEAR(A252)</f>
        <v>2025</v>
      </c>
      <c r="C252" s="25" t="n">
        <f aca="false">MONTH(A252)</f>
        <v>9</v>
      </c>
      <c r="D252" s="0" t="str">
        <f aca="false">CHOOSE(C252,"Ene","Feb","Mar","Abr","May","Jun","Jul","Ago","Sep","Oct","Nov","Dic")</f>
        <v>Sep</v>
      </c>
      <c r="E252" s="0" t="str">
        <f aca="false">D252&amp;"-"&amp;RIGHT(B252,2)</f>
        <v>Sep-25</v>
      </c>
      <c r="F252" s="0" t="str">
        <f aca="false">"T"&amp;ROUNDUP(C252/3,0)</f>
        <v>T3</v>
      </c>
      <c r="G252" s="35" t="n">
        <f aca="false">DATE(B252,C252,1)</f>
        <v>45901</v>
      </c>
      <c r="H252" s="25" t="n">
        <f aca="false">IF(DAY(A252+1)=1,1,0)</f>
        <v>0</v>
      </c>
    </row>
    <row r="253" customFormat="false" ht="15" hidden="false" customHeight="false" outlineLevel="0" collapsed="false">
      <c r="A253" s="8" t="n">
        <f aca="false">A252+1</f>
        <v>45909</v>
      </c>
      <c r="B253" s="25" t="n">
        <f aca="false">YEAR(A253)</f>
        <v>2025</v>
      </c>
      <c r="C253" s="25" t="n">
        <f aca="false">MONTH(A253)</f>
        <v>9</v>
      </c>
      <c r="D253" s="0" t="str">
        <f aca="false">CHOOSE(C253,"Ene","Feb","Mar","Abr","May","Jun","Jul","Ago","Sep","Oct","Nov","Dic")</f>
        <v>Sep</v>
      </c>
      <c r="E253" s="0" t="str">
        <f aca="false">D253&amp;"-"&amp;RIGHT(B253,2)</f>
        <v>Sep-25</v>
      </c>
      <c r="F253" s="0" t="str">
        <f aca="false">"T"&amp;ROUNDUP(C253/3,0)</f>
        <v>T3</v>
      </c>
      <c r="G253" s="35" t="n">
        <f aca="false">DATE(B253,C253,1)</f>
        <v>45901</v>
      </c>
      <c r="H253" s="25" t="n">
        <f aca="false">IF(DAY(A253+1)=1,1,0)</f>
        <v>0</v>
      </c>
    </row>
    <row r="254" customFormat="false" ht="15" hidden="false" customHeight="false" outlineLevel="0" collapsed="false">
      <c r="A254" s="8" t="n">
        <f aca="false">A253+1</f>
        <v>45910</v>
      </c>
      <c r="B254" s="25" t="n">
        <f aca="false">YEAR(A254)</f>
        <v>2025</v>
      </c>
      <c r="C254" s="25" t="n">
        <f aca="false">MONTH(A254)</f>
        <v>9</v>
      </c>
      <c r="D254" s="0" t="str">
        <f aca="false">CHOOSE(C254,"Ene","Feb","Mar","Abr","May","Jun","Jul","Ago","Sep","Oct","Nov","Dic")</f>
        <v>Sep</v>
      </c>
      <c r="E254" s="0" t="str">
        <f aca="false">D254&amp;"-"&amp;RIGHT(B254,2)</f>
        <v>Sep-25</v>
      </c>
      <c r="F254" s="0" t="str">
        <f aca="false">"T"&amp;ROUNDUP(C254/3,0)</f>
        <v>T3</v>
      </c>
      <c r="G254" s="35" t="n">
        <f aca="false">DATE(B254,C254,1)</f>
        <v>45901</v>
      </c>
      <c r="H254" s="25" t="n">
        <f aca="false">IF(DAY(A254+1)=1,1,0)</f>
        <v>0</v>
      </c>
    </row>
    <row r="255" customFormat="false" ht="15" hidden="false" customHeight="false" outlineLevel="0" collapsed="false">
      <c r="A255" s="8" t="n">
        <f aca="false">A254+1</f>
        <v>45911</v>
      </c>
      <c r="B255" s="25" t="n">
        <f aca="false">YEAR(A255)</f>
        <v>2025</v>
      </c>
      <c r="C255" s="25" t="n">
        <f aca="false">MONTH(A255)</f>
        <v>9</v>
      </c>
      <c r="D255" s="0" t="str">
        <f aca="false">CHOOSE(C255,"Ene","Feb","Mar","Abr","May","Jun","Jul","Ago","Sep","Oct","Nov","Dic")</f>
        <v>Sep</v>
      </c>
      <c r="E255" s="0" t="str">
        <f aca="false">D255&amp;"-"&amp;RIGHT(B255,2)</f>
        <v>Sep-25</v>
      </c>
      <c r="F255" s="0" t="str">
        <f aca="false">"T"&amp;ROUNDUP(C255/3,0)</f>
        <v>T3</v>
      </c>
      <c r="G255" s="35" t="n">
        <f aca="false">DATE(B255,C255,1)</f>
        <v>45901</v>
      </c>
      <c r="H255" s="25" t="n">
        <f aca="false">IF(DAY(A255+1)=1,1,0)</f>
        <v>0</v>
      </c>
    </row>
    <row r="256" customFormat="false" ht="15" hidden="false" customHeight="false" outlineLevel="0" collapsed="false">
      <c r="A256" s="8" t="n">
        <f aca="false">A255+1</f>
        <v>45912</v>
      </c>
      <c r="B256" s="25" t="n">
        <f aca="false">YEAR(A256)</f>
        <v>2025</v>
      </c>
      <c r="C256" s="25" t="n">
        <f aca="false">MONTH(A256)</f>
        <v>9</v>
      </c>
      <c r="D256" s="0" t="str">
        <f aca="false">CHOOSE(C256,"Ene","Feb","Mar","Abr","May","Jun","Jul","Ago","Sep","Oct","Nov","Dic")</f>
        <v>Sep</v>
      </c>
      <c r="E256" s="0" t="str">
        <f aca="false">D256&amp;"-"&amp;RIGHT(B256,2)</f>
        <v>Sep-25</v>
      </c>
      <c r="F256" s="0" t="str">
        <f aca="false">"T"&amp;ROUNDUP(C256/3,0)</f>
        <v>T3</v>
      </c>
      <c r="G256" s="35" t="n">
        <f aca="false">DATE(B256,C256,1)</f>
        <v>45901</v>
      </c>
      <c r="H256" s="25" t="n">
        <f aca="false">IF(DAY(A256+1)=1,1,0)</f>
        <v>0</v>
      </c>
    </row>
    <row r="257" customFormat="false" ht="15" hidden="false" customHeight="false" outlineLevel="0" collapsed="false">
      <c r="A257" s="8" t="n">
        <f aca="false">A256+1</f>
        <v>45913</v>
      </c>
      <c r="B257" s="25" t="n">
        <f aca="false">YEAR(A257)</f>
        <v>2025</v>
      </c>
      <c r="C257" s="25" t="n">
        <f aca="false">MONTH(A257)</f>
        <v>9</v>
      </c>
      <c r="D257" s="0" t="str">
        <f aca="false">CHOOSE(C257,"Ene","Feb","Mar","Abr","May","Jun","Jul","Ago","Sep","Oct","Nov","Dic")</f>
        <v>Sep</v>
      </c>
      <c r="E257" s="0" t="str">
        <f aca="false">D257&amp;"-"&amp;RIGHT(B257,2)</f>
        <v>Sep-25</v>
      </c>
      <c r="F257" s="0" t="str">
        <f aca="false">"T"&amp;ROUNDUP(C257/3,0)</f>
        <v>T3</v>
      </c>
      <c r="G257" s="35" t="n">
        <f aca="false">DATE(B257,C257,1)</f>
        <v>45901</v>
      </c>
      <c r="H257" s="25" t="n">
        <f aca="false">IF(DAY(A257+1)=1,1,0)</f>
        <v>0</v>
      </c>
    </row>
    <row r="258" customFormat="false" ht="15" hidden="false" customHeight="false" outlineLevel="0" collapsed="false">
      <c r="A258" s="8" t="n">
        <f aca="false">A257+1</f>
        <v>45914</v>
      </c>
      <c r="B258" s="25" t="n">
        <f aca="false">YEAR(A258)</f>
        <v>2025</v>
      </c>
      <c r="C258" s="25" t="n">
        <f aca="false">MONTH(A258)</f>
        <v>9</v>
      </c>
      <c r="D258" s="0" t="str">
        <f aca="false">CHOOSE(C258,"Ene","Feb","Mar","Abr","May","Jun","Jul","Ago","Sep","Oct","Nov","Dic")</f>
        <v>Sep</v>
      </c>
      <c r="E258" s="0" t="str">
        <f aca="false">D258&amp;"-"&amp;RIGHT(B258,2)</f>
        <v>Sep-25</v>
      </c>
      <c r="F258" s="0" t="str">
        <f aca="false">"T"&amp;ROUNDUP(C258/3,0)</f>
        <v>T3</v>
      </c>
      <c r="G258" s="35" t="n">
        <f aca="false">DATE(B258,C258,1)</f>
        <v>45901</v>
      </c>
      <c r="H258" s="25" t="n">
        <f aca="false">IF(DAY(A258+1)=1,1,0)</f>
        <v>0</v>
      </c>
    </row>
    <row r="259" customFormat="false" ht="15" hidden="false" customHeight="false" outlineLevel="0" collapsed="false">
      <c r="A259" s="8" t="n">
        <f aca="false">A258+1</f>
        <v>45915</v>
      </c>
      <c r="B259" s="25" t="n">
        <f aca="false">YEAR(A259)</f>
        <v>2025</v>
      </c>
      <c r="C259" s="25" t="n">
        <f aca="false">MONTH(A259)</f>
        <v>9</v>
      </c>
      <c r="D259" s="0" t="str">
        <f aca="false">CHOOSE(C259,"Ene","Feb","Mar","Abr","May","Jun","Jul","Ago","Sep","Oct","Nov","Dic")</f>
        <v>Sep</v>
      </c>
      <c r="E259" s="0" t="str">
        <f aca="false">D259&amp;"-"&amp;RIGHT(B259,2)</f>
        <v>Sep-25</v>
      </c>
      <c r="F259" s="0" t="str">
        <f aca="false">"T"&amp;ROUNDUP(C259/3,0)</f>
        <v>T3</v>
      </c>
      <c r="G259" s="35" t="n">
        <f aca="false">DATE(B259,C259,1)</f>
        <v>45901</v>
      </c>
      <c r="H259" s="25" t="n">
        <f aca="false">IF(DAY(A259+1)=1,1,0)</f>
        <v>0</v>
      </c>
    </row>
    <row r="260" customFormat="false" ht="15" hidden="false" customHeight="false" outlineLevel="0" collapsed="false">
      <c r="A260" s="8" t="n">
        <f aca="false">A259+1</f>
        <v>45916</v>
      </c>
      <c r="B260" s="25" t="n">
        <f aca="false">YEAR(A260)</f>
        <v>2025</v>
      </c>
      <c r="C260" s="25" t="n">
        <f aca="false">MONTH(A260)</f>
        <v>9</v>
      </c>
      <c r="D260" s="0" t="str">
        <f aca="false">CHOOSE(C260,"Ene","Feb","Mar","Abr","May","Jun","Jul","Ago","Sep","Oct","Nov","Dic")</f>
        <v>Sep</v>
      </c>
      <c r="E260" s="0" t="str">
        <f aca="false">D260&amp;"-"&amp;RIGHT(B260,2)</f>
        <v>Sep-25</v>
      </c>
      <c r="F260" s="0" t="str">
        <f aca="false">"T"&amp;ROUNDUP(C260/3,0)</f>
        <v>T3</v>
      </c>
      <c r="G260" s="35" t="n">
        <f aca="false">DATE(B260,C260,1)</f>
        <v>45901</v>
      </c>
      <c r="H260" s="25" t="n">
        <f aca="false">IF(DAY(A260+1)=1,1,0)</f>
        <v>0</v>
      </c>
    </row>
    <row r="261" customFormat="false" ht="15" hidden="false" customHeight="false" outlineLevel="0" collapsed="false">
      <c r="A261" s="8" t="n">
        <f aca="false">A260+1</f>
        <v>45917</v>
      </c>
      <c r="B261" s="25" t="n">
        <f aca="false">YEAR(A261)</f>
        <v>2025</v>
      </c>
      <c r="C261" s="25" t="n">
        <f aca="false">MONTH(A261)</f>
        <v>9</v>
      </c>
      <c r="D261" s="0" t="str">
        <f aca="false">CHOOSE(C261,"Ene","Feb","Mar","Abr","May","Jun","Jul","Ago","Sep","Oct","Nov","Dic")</f>
        <v>Sep</v>
      </c>
      <c r="E261" s="0" t="str">
        <f aca="false">D261&amp;"-"&amp;RIGHT(B261,2)</f>
        <v>Sep-25</v>
      </c>
      <c r="F261" s="0" t="str">
        <f aca="false">"T"&amp;ROUNDUP(C261/3,0)</f>
        <v>T3</v>
      </c>
      <c r="G261" s="35" t="n">
        <f aca="false">DATE(B261,C261,1)</f>
        <v>45901</v>
      </c>
      <c r="H261" s="25" t="n">
        <f aca="false">IF(DAY(A261+1)=1,1,0)</f>
        <v>0</v>
      </c>
    </row>
    <row r="262" customFormat="false" ht="15" hidden="false" customHeight="false" outlineLevel="0" collapsed="false">
      <c r="A262" s="8" t="n">
        <f aca="false">A261+1</f>
        <v>45918</v>
      </c>
      <c r="B262" s="25" t="n">
        <f aca="false">YEAR(A262)</f>
        <v>2025</v>
      </c>
      <c r="C262" s="25" t="n">
        <f aca="false">MONTH(A262)</f>
        <v>9</v>
      </c>
      <c r="D262" s="0" t="str">
        <f aca="false">CHOOSE(C262,"Ene","Feb","Mar","Abr","May","Jun","Jul","Ago","Sep","Oct","Nov","Dic")</f>
        <v>Sep</v>
      </c>
      <c r="E262" s="0" t="str">
        <f aca="false">D262&amp;"-"&amp;RIGHT(B262,2)</f>
        <v>Sep-25</v>
      </c>
      <c r="F262" s="0" t="str">
        <f aca="false">"T"&amp;ROUNDUP(C262/3,0)</f>
        <v>T3</v>
      </c>
      <c r="G262" s="35" t="n">
        <f aca="false">DATE(B262,C262,1)</f>
        <v>45901</v>
      </c>
      <c r="H262" s="25" t="n">
        <f aca="false">IF(DAY(A262+1)=1,1,0)</f>
        <v>0</v>
      </c>
    </row>
    <row r="263" customFormat="false" ht="15" hidden="false" customHeight="false" outlineLevel="0" collapsed="false">
      <c r="A263" s="8" t="n">
        <f aca="false">A262+1</f>
        <v>45919</v>
      </c>
      <c r="B263" s="25" t="n">
        <f aca="false">YEAR(A263)</f>
        <v>2025</v>
      </c>
      <c r="C263" s="25" t="n">
        <f aca="false">MONTH(A263)</f>
        <v>9</v>
      </c>
      <c r="D263" s="0" t="str">
        <f aca="false">CHOOSE(C263,"Ene","Feb","Mar","Abr","May","Jun","Jul","Ago","Sep","Oct","Nov","Dic")</f>
        <v>Sep</v>
      </c>
      <c r="E263" s="0" t="str">
        <f aca="false">D263&amp;"-"&amp;RIGHT(B263,2)</f>
        <v>Sep-25</v>
      </c>
      <c r="F263" s="0" t="str">
        <f aca="false">"T"&amp;ROUNDUP(C263/3,0)</f>
        <v>T3</v>
      </c>
      <c r="G263" s="35" t="n">
        <f aca="false">DATE(B263,C263,1)</f>
        <v>45901</v>
      </c>
      <c r="H263" s="25" t="n">
        <f aca="false">IF(DAY(A263+1)=1,1,0)</f>
        <v>0</v>
      </c>
    </row>
    <row r="264" customFormat="false" ht="15" hidden="false" customHeight="false" outlineLevel="0" collapsed="false">
      <c r="A264" s="8" t="n">
        <f aca="false">A263+1</f>
        <v>45920</v>
      </c>
      <c r="B264" s="25" t="n">
        <f aca="false">YEAR(A264)</f>
        <v>2025</v>
      </c>
      <c r="C264" s="25" t="n">
        <f aca="false">MONTH(A264)</f>
        <v>9</v>
      </c>
      <c r="D264" s="0" t="str">
        <f aca="false">CHOOSE(C264,"Ene","Feb","Mar","Abr","May","Jun","Jul","Ago","Sep","Oct","Nov","Dic")</f>
        <v>Sep</v>
      </c>
      <c r="E264" s="0" t="str">
        <f aca="false">D264&amp;"-"&amp;RIGHT(B264,2)</f>
        <v>Sep-25</v>
      </c>
      <c r="F264" s="0" t="str">
        <f aca="false">"T"&amp;ROUNDUP(C264/3,0)</f>
        <v>T3</v>
      </c>
      <c r="G264" s="35" t="n">
        <f aca="false">DATE(B264,C264,1)</f>
        <v>45901</v>
      </c>
      <c r="H264" s="25" t="n">
        <f aca="false">IF(DAY(A264+1)=1,1,0)</f>
        <v>0</v>
      </c>
    </row>
    <row r="265" customFormat="false" ht="15" hidden="false" customHeight="false" outlineLevel="0" collapsed="false">
      <c r="A265" s="8" t="n">
        <f aca="false">A264+1</f>
        <v>45921</v>
      </c>
      <c r="B265" s="25" t="n">
        <f aca="false">YEAR(A265)</f>
        <v>2025</v>
      </c>
      <c r="C265" s="25" t="n">
        <f aca="false">MONTH(A265)</f>
        <v>9</v>
      </c>
      <c r="D265" s="0" t="str">
        <f aca="false">CHOOSE(C265,"Ene","Feb","Mar","Abr","May","Jun","Jul","Ago","Sep","Oct","Nov","Dic")</f>
        <v>Sep</v>
      </c>
      <c r="E265" s="0" t="str">
        <f aca="false">D265&amp;"-"&amp;RIGHT(B265,2)</f>
        <v>Sep-25</v>
      </c>
      <c r="F265" s="0" t="str">
        <f aca="false">"T"&amp;ROUNDUP(C265/3,0)</f>
        <v>T3</v>
      </c>
      <c r="G265" s="35" t="n">
        <f aca="false">DATE(B265,C265,1)</f>
        <v>45901</v>
      </c>
      <c r="H265" s="25" t="n">
        <f aca="false">IF(DAY(A265+1)=1,1,0)</f>
        <v>0</v>
      </c>
    </row>
    <row r="266" customFormat="false" ht="15" hidden="false" customHeight="false" outlineLevel="0" collapsed="false">
      <c r="A266" s="8" t="n">
        <f aca="false">A265+1</f>
        <v>45922</v>
      </c>
      <c r="B266" s="25" t="n">
        <f aca="false">YEAR(A266)</f>
        <v>2025</v>
      </c>
      <c r="C266" s="25" t="n">
        <f aca="false">MONTH(A266)</f>
        <v>9</v>
      </c>
      <c r="D266" s="0" t="str">
        <f aca="false">CHOOSE(C266,"Ene","Feb","Mar","Abr","May","Jun","Jul","Ago","Sep","Oct","Nov","Dic")</f>
        <v>Sep</v>
      </c>
      <c r="E266" s="0" t="str">
        <f aca="false">D266&amp;"-"&amp;RIGHT(B266,2)</f>
        <v>Sep-25</v>
      </c>
      <c r="F266" s="0" t="str">
        <f aca="false">"T"&amp;ROUNDUP(C266/3,0)</f>
        <v>T3</v>
      </c>
      <c r="G266" s="35" t="n">
        <f aca="false">DATE(B266,C266,1)</f>
        <v>45901</v>
      </c>
      <c r="H266" s="25" t="n">
        <f aca="false">IF(DAY(A266+1)=1,1,0)</f>
        <v>0</v>
      </c>
    </row>
    <row r="267" customFormat="false" ht="15" hidden="false" customHeight="false" outlineLevel="0" collapsed="false">
      <c r="A267" s="8" t="n">
        <f aca="false">A266+1</f>
        <v>45923</v>
      </c>
      <c r="B267" s="25" t="n">
        <f aca="false">YEAR(A267)</f>
        <v>2025</v>
      </c>
      <c r="C267" s="25" t="n">
        <f aca="false">MONTH(A267)</f>
        <v>9</v>
      </c>
      <c r="D267" s="0" t="str">
        <f aca="false">CHOOSE(C267,"Ene","Feb","Mar","Abr","May","Jun","Jul","Ago","Sep","Oct","Nov","Dic")</f>
        <v>Sep</v>
      </c>
      <c r="E267" s="0" t="str">
        <f aca="false">D267&amp;"-"&amp;RIGHT(B267,2)</f>
        <v>Sep-25</v>
      </c>
      <c r="F267" s="0" t="str">
        <f aca="false">"T"&amp;ROUNDUP(C267/3,0)</f>
        <v>T3</v>
      </c>
      <c r="G267" s="35" t="n">
        <f aca="false">DATE(B267,C267,1)</f>
        <v>45901</v>
      </c>
      <c r="H267" s="25" t="n">
        <f aca="false">IF(DAY(A267+1)=1,1,0)</f>
        <v>0</v>
      </c>
    </row>
    <row r="268" customFormat="false" ht="15" hidden="false" customHeight="false" outlineLevel="0" collapsed="false">
      <c r="A268" s="8" t="n">
        <f aca="false">A267+1</f>
        <v>45924</v>
      </c>
      <c r="B268" s="25" t="n">
        <f aca="false">YEAR(A268)</f>
        <v>2025</v>
      </c>
      <c r="C268" s="25" t="n">
        <f aca="false">MONTH(A268)</f>
        <v>9</v>
      </c>
      <c r="D268" s="0" t="str">
        <f aca="false">CHOOSE(C268,"Ene","Feb","Mar","Abr","May","Jun","Jul","Ago","Sep","Oct","Nov","Dic")</f>
        <v>Sep</v>
      </c>
      <c r="E268" s="0" t="str">
        <f aca="false">D268&amp;"-"&amp;RIGHT(B268,2)</f>
        <v>Sep-25</v>
      </c>
      <c r="F268" s="0" t="str">
        <f aca="false">"T"&amp;ROUNDUP(C268/3,0)</f>
        <v>T3</v>
      </c>
      <c r="G268" s="35" t="n">
        <f aca="false">DATE(B268,C268,1)</f>
        <v>45901</v>
      </c>
      <c r="H268" s="25" t="n">
        <f aca="false">IF(DAY(A268+1)=1,1,0)</f>
        <v>0</v>
      </c>
    </row>
    <row r="269" customFormat="false" ht="15" hidden="false" customHeight="false" outlineLevel="0" collapsed="false">
      <c r="A269" s="8" t="n">
        <f aca="false">A268+1</f>
        <v>45925</v>
      </c>
      <c r="B269" s="25" t="n">
        <f aca="false">YEAR(A269)</f>
        <v>2025</v>
      </c>
      <c r="C269" s="25" t="n">
        <f aca="false">MONTH(A269)</f>
        <v>9</v>
      </c>
      <c r="D269" s="0" t="str">
        <f aca="false">CHOOSE(C269,"Ene","Feb","Mar","Abr","May","Jun","Jul","Ago","Sep","Oct","Nov","Dic")</f>
        <v>Sep</v>
      </c>
      <c r="E269" s="0" t="str">
        <f aca="false">D269&amp;"-"&amp;RIGHT(B269,2)</f>
        <v>Sep-25</v>
      </c>
      <c r="F269" s="0" t="str">
        <f aca="false">"T"&amp;ROUNDUP(C269/3,0)</f>
        <v>T3</v>
      </c>
      <c r="G269" s="35" t="n">
        <f aca="false">DATE(B269,C269,1)</f>
        <v>45901</v>
      </c>
      <c r="H269" s="25" t="n">
        <f aca="false">IF(DAY(A269+1)=1,1,0)</f>
        <v>0</v>
      </c>
    </row>
    <row r="270" customFormat="false" ht="15" hidden="false" customHeight="false" outlineLevel="0" collapsed="false">
      <c r="A270" s="8" t="n">
        <f aca="false">A269+1</f>
        <v>45926</v>
      </c>
      <c r="B270" s="25" t="n">
        <f aca="false">YEAR(A270)</f>
        <v>2025</v>
      </c>
      <c r="C270" s="25" t="n">
        <f aca="false">MONTH(A270)</f>
        <v>9</v>
      </c>
      <c r="D270" s="0" t="str">
        <f aca="false">CHOOSE(C270,"Ene","Feb","Mar","Abr","May","Jun","Jul","Ago","Sep","Oct","Nov","Dic")</f>
        <v>Sep</v>
      </c>
      <c r="E270" s="0" t="str">
        <f aca="false">D270&amp;"-"&amp;RIGHT(B270,2)</f>
        <v>Sep-25</v>
      </c>
      <c r="F270" s="0" t="str">
        <f aca="false">"T"&amp;ROUNDUP(C270/3,0)</f>
        <v>T3</v>
      </c>
      <c r="G270" s="35" t="n">
        <f aca="false">DATE(B270,C270,1)</f>
        <v>45901</v>
      </c>
      <c r="H270" s="25" t="n">
        <f aca="false">IF(DAY(A270+1)=1,1,0)</f>
        <v>0</v>
      </c>
    </row>
    <row r="271" customFormat="false" ht="15" hidden="false" customHeight="false" outlineLevel="0" collapsed="false">
      <c r="A271" s="8" t="n">
        <f aca="false">A270+1</f>
        <v>45927</v>
      </c>
      <c r="B271" s="25" t="n">
        <f aca="false">YEAR(A271)</f>
        <v>2025</v>
      </c>
      <c r="C271" s="25" t="n">
        <f aca="false">MONTH(A271)</f>
        <v>9</v>
      </c>
      <c r="D271" s="0" t="str">
        <f aca="false">CHOOSE(C271,"Ene","Feb","Mar","Abr","May","Jun","Jul","Ago","Sep","Oct","Nov","Dic")</f>
        <v>Sep</v>
      </c>
      <c r="E271" s="0" t="str">
        <f aca="false">D271&amp;"-"&amp;RIGHT(B271,2)</f>
        <v>Sep-25</v>
      </c>
      <c r="F271" s="0" t="str">
        <f aca="false">"T"&amp;ROUNDUP(C271/3,0)</f>
        <v>T3</v>
      </c>
      <c r="G271" s="35" t="n">
        <f aca="false">DATE(B271,C271,1)</f>
        <v>45901</v>
      </c>
      <c r="H271" s="25" t="n">
        <f aca="false">IF(DAY(A271+1)=1,1,0)</f>
        <v>0</v>
      </c>
    </row>
    <row r="272" customFormat="false" ht="15" hidden="false" customHeight="false" outlineLevel="0" collapsed="false">
      <c r="A272" s="8" t="n">
        <f aca="false">A271+1</f>
        <v>45928</v>
      </c>
      <c r="B272" s="25" t="n">
        <f aca="false">YEAR(A272)</f>
        <v>2025</v>
      </c>
      <c r="C272" s="25" t="n">
        <f aca="false">MONTH(A272)</f>
        <v>9</v>
      </c>
      <c r="D272" s="0" t="str">
        <f aca="false">CHOOSE(C272,"Ene","Feb","Mar","Abr","May","Jun","Jul","Ago","Sep","Oct","Nov","Dic")</f>
        <v>Sep</v>
      </c>
      <c r="E272" s="0" t="str">
        <f aca="false">D272&amp;"-"&amp;RIGHT(B272,2)</f>
        <v>Sep-25</v>
      </c>
      <c r="F272" s="0" t="str">
        <f aca="false">"T"&amp;ROUNDUP(C272/3,0)</f>
        <v>T3</v>
      </c>
      <c r="G272" s="35" t="n">
        <f aca="false">DATE(B272,C272,1)</f>
        <v>45901</v>
      </c>
      <c r="H272" s="25" t="n">
        <f aca="false">IF(DAY(A272+1)=1,1,0)</f>
        <v>0</v>
      </c>
    </row>
    <row r="273" customFormat="false" ht="15" hidden="false" customHeight="false" outlineLevel="0" collapsed="false">
      <c r="A273" s="8" t="n">
        <f aca="false">A272+1</f>
        <v>45929</v>
      </c>
      <c r="B273" s="25" t="n">
        <f aca="false">YEAR(A273)</f>
        <v>2025</v>
      </c>
      <c r="C273" s="25" t="n">
        <f aca="false">MONTH(A273)</f>
        <v>9</v>
      </c>
      <c r="D273" s="0" t="str">
        <f aca="false">CHOOSE(C273,"Ene","Feb","Mar","Abr","May","Jun","Jul","Ago","Sep","Oct","Nov","Dic")</f>
        <v>Sep</v>
      </c>
      <c r="E273" s="0" t="str">
        <f aca="false">D273&amp;"-"&amp;RIGHT(B273,2)</f>
        <v>Sep-25</v>
      </c>
      <c r="F273" s="0" t="str">
        <f aca="false">"T"&amp;ROUNDUP(C273/3,0)</f>
        <v>T3</v>
      </c>
      <c r="G273" s="35" t="n">
        <f aca="false">DATE(B273,C273,1)</f>
        <v>45901</v>
      </c>
      <c r="H273" s="25" t="n">
        <f aca="false">IF(DAY(A273+1)=1,1,0)</f>
        <v>0</v>
      </c>
    </row>
    <row r="274" customFormat="false" ht="15" hidden="false" customHeight="false" outlineLevel="0" collapsed="false">
      <c r="A274" s="8" t="n">
        <f aca="false">A273+1</f>
        <v>45930</v>
      </c>
      <c r="B274" s="25" t="n">
        <f aca="false">YEAR(A274)</f>
        <v>2025</v>
      </c>
      <c r="C274" s="25" t="n">
        <f aca="false">MONTH(A274)</f>
        <v>9</v>
      </c>
      <c r="D274" s="0" t="str">
        <f aca="false">CHOOSE(C274,"Ene","Feb","Mar","Abr","May","Jun","Jul","Ago","Sep","Oct","Nov","Dic")</f>
        <v>Sep</v>
      </c>
      <c r="E274" s="0" t="str">
        <f aca="false">D274&amp;"-"&amp;RIGHT(B274,2)</f>
        <v>Sep-25</v>
      </c>
      <c r="F274" s="0" t="str">
        <f aca="false">"T"&amp;ROUNDUP(C274/3,0)</f>
        <v>T3</v>
      </c>
      <c r="G274" s="35" t="n">
        <f aca="false">DATE(B274,C274,1)</f>
        <v>45901</v>
      </c>
      <c r="H274" s="25" t="n">
        <f aca="false">IF(DAY(A274+1)=1,1,0)</f>
        <v>1</v>
      </c>
    </row>
    <row r="275" customFormat="false" ht="15" hidden="false" customHeight="false" outlineLevel="0" collapsed="false">
      <c r="A275" s="8" t="n">
        <f aca="false">A274+1</f>
        <v>45931</v>
      </c>
      <c r="B275" s="25" t="n">
        <f aca="false">YEAR(A275)</f>
        <v>2025</v>
      </c>
      <c r="C275" s="25" t="n">
        <f aca="false">MONTH(A275)</f>
        <v>10</v>
      </c>
      <c r="D275" s="0" t="str">
        <f aca="false">CHOOSE(C275,"Ene","Feb","Mar","Abr","May","Jun","Jul","Ago","Sep","Oct","Nov","Dic")</f>
        <v>Oct</v>
      </c>
      <c r="E275" s="0" t="str">
        <f aca="false">D275&amp;"-"&amp;RIGHT(B275,2)</f>
        <v>Oct-25</v>
      </c>
      <c r="F275" s="0" t="str">
        <f aca="false">"T"&amp;ROUNDUP(C275/3,0)</f>
        <v>T4</v>
      </c>
      <c r="G275" s="35" t="n">
        <f aca="false">DATE(B275,C275,1)</f>
        <v>45931</v>
      </c>
      <c r="H275" s="25" t="n">
        <f aca="false">IF(DAY(A275+1)=1,1,0)</f>
        <v>0</v>
      </c>
    </row>
    <row r="276" customFormat="false" ht="15" hidden="false" customHeight="false" outlineLevel="0" collapsed="false">
      <c r="A276" s="8" t="n">
        <f aca="false">A275+1</f>
        <v>45932</v>
      </c>
      <c r="B276" s="25" t="n">
        <f aca="false">YEAR(A276)</f>
        <v>2025</v>
      </c>
      <c r="C276" s="25" t="n">
        <f aca="false">MONTH(A276)</f>
        <v>10</v>
      </c>
      <c r="D276" s="0" t="str">
        <f aca="false">CHOOSE(C276,"Ene","Feb","Mar","Abr","May","Jun","Jul","Ago","Sep","Oct","Nov","Dic")</f>
        <v>Oct</v>
      </c>
      <c r="E276" s="0" t="str">
        <f aca="false">D276&amp;"-"&amp;RIGHT(B276,2)</f>
        <v>Oct-25</v>
      </c>
      <c r="F276" s="0" t="str">
        <f aca="false">"T"&amp;ROUNDUP(C276/3,0)</f>
        <v>T4</v>
      </c>
      <c r="G276" s="35" t="n">
        <f aca="false">DATE(B276,C276,1)</f>
        <v>45931</v>
      </c>
      <c r="H276" s="25" t="n">
        <f aca="false">IF(DAY(A276+1)=1,1,0)</f>
        <v>0</v>
      </c>
    </row>
    <row r="277" customFormat="false" ht="15" hidden="false" customHeight="false" outlineLevel="0" collapsed="false">
      <c r="A277" s="8" t="n">
        <f aca="false">A276+1</f>
        <v>45933</v>
      </c>
      <c r="B277" s="25" t="n">
        <f aca="false">YEAR(A277)</f>
        <v>2025</v>
      </c>
      <c r="C277" s="25" t="n">
        <f aca="false">MONTH(A277)</f>
        <v>10</v>
      </c>
      <c r="D277" s="0" t="str">
        <f aca="false">CHOOSE(C277,"Ene","Feb","Mar","Abr","May","Jun","Jul","Ago","Sep","Oct","Nov","Dic")</f>
        <v>Oct</v>
      </c>
      <c r="E277" s="0" t="str">
        <f aca="false">D277&amp;"-"&amp;RIGHT(B277,2)</f>
        <v>Oct-25</v>
      </c>
      <c r="F277" s="0" t="str">
        <f aca="false">"T"&amp;ROUNDUP(C277/3,0)</f>
        <v>T4</v>
      </c>
      <c r="G277" s="35" t="n">
        <f aca="false">DATE(B277,C277,1)</f>
        <v>45931</v>
      </c>
      <c r="H277" s="25" t="n">
        <f aca="false">IF(DAY(A277+1)=1,1,0)</f>
        <v>0</v>
      </c>
    </row>
    <row r="278" customFormat="false" ht="15" hidden="false" customHeight="false" outlineLevel="0" collapsed="false">
      <c r="A278" s="8" t="n">
        <f aca="false">A277+1</f>
        <v>45934</v>
      </c>
      <c r="B278" s="25" t="n">
        <f aca="false">YEAR(A278)</f>
        <v>2025</v>
      </c>
      <c r="C278" s="25" t="n">
        <f aca="false">MONTH(A278)</f>
        <v>10</v>
      </c>
      <c r="D278" s="0" t="str">
        <f aca="false">CHOOSE(C278,"Ene","Feb","Mar","Abr","May","Jun","Jul","Ago","Sep","Oct","Nov","Dic")</f>
        <v>Oct</v>
      </c>
      <c r="E278" s="0" t="str">
        <f aca="false">D278&amp;"-"&amp;RIGHT(B278,2)</f>
        <v>Oct-25</v>
      </c>
      <c r="F278" s="0" t="str">
        <f aca="false">"T"&amp;ROUNDUP(C278/3,0)</f>
        <v>T4</v>
      </c>
      <c r="G278" s="35" t="n">
        <f aca="false">DATE(B278,C278,1)</f>
        <v>45931</v>
      </c>
      <c r="H278" s="25" t="n">
        <f aca="false">IF(DAY(A278+1)=1,1,0)</f>
        <v>0</v>
      </c>
    </row>
    <row r="279" customFormat="false" ht="15" hidden="false" customHeight="false" outlineLevel="0" collapsed="false">
      <c r="A279" s="8" t="n">
        <f aca="false">A278+1</f>
        <v>45935</v>
      </c>
      <c r="B279" s="25" t="n">
        <f aca="false">YEAR(A279)</f>
        <v>2025</v>
      </c>
      <c r="C279" s="25" t="n">
        <f aca="false">MONTH(A279)</f>
        <v>10</v>
      </c>
      <c r="D279" s="0" t="str">
        <f aca="false">CHOOSE(C279,"Ene","Feb","Mar","Abr","May","Jun","Jul","Ago","Sep","Oct","Nov","Dic")</f>
        <v>Oct</v>
      </c>
      <c r="E279" s="0" t="str">
        <f aca="false">D279&amp;"-"&amp;RIGHT(B279,2)</f>
        <v>Oct-25</v>
      </c>
      <c r="F279" s="0" t="str">
        <f aca="false">"T"&amp;ROUNDUP(C279/3,0)</f>
        <v>T4</v>
      </c>
      <c r="G279" s="35" t="n">
        <f aca="false">DATE(B279,C279,1)</f>
        <v>45931</v>
      </c>
      <c r="H279" s="25" t="n">
        <f aca="false">IF(DAY(A279+1)=1,1,0)</f>
        <v>0</v>
      </c>
    </row>
    <row r="280" customFormat="false" ht="15" hidden="false" customHeight="false" outlineLevel="0" collapsed="false">
      <c r="A280" s="8" t="n">
        <f aca="false">A279+1</f>
        <v>45936</v>
      </c>
      <c r="B280" s="25" t="n">
        <f aca="false">YEAR(A280)</f>
        <v>2025</v>
      </c>
      <c r="C280" s="25" t="n">
        <f aca="false">MONTH(A280)</f>
        <v>10</v>
      </c>
      <c r="D280" s="0" t="str">
        <f aca="false">CHOOSE(C280,"Ene","Feb","Mar","Abr","May","Jun","Jul","Ago","Sep","Oct","Nov","Dic")</f>
        <v>Oct</v>
      </c>
      <c r="E280" s="0" t="str">
        <f aca="false">D280&amp;"-"&amp;RIGHT(B280,2)</f>
        <v>Oct-25</v>
      </c>
      <c r="F280" s="0" t="str">
        <f aca="false">"T"&amp;ROUNDUP(C280/3,0)</f>
        <v>T4</v>
      </c>
      <c r="G280" s="35" t="n">
        <f aca="false">DATE(B280,C280,1)</f>
        <v>45931</v>
      </c>
      <c r="H280" s="25" t="n">
        <f aca="false">IF(DAY(A280+1)=1,1,0)</f>
        <v>0</v>
      </c>
    </row>
    <row r="281" customFormat="false" ht="15" hidden="false" customHeight="false" outlineLevel="0" collapsed="false">
      <c r="A281" s="8" t="n">
        <f aca="false">A280+1</f>
        <v>45937</v>
      </c>
      <c r="B281" s="25" t="n">
        <f aca="false">YEAR(A281)</f>
        <v>2025</v>
      </c>
      <c r="C281" s="25" t="n">
        <f aca="false">MONTH(A281)</f>
        <v>10</v>
      </c>
      <c r="D281" s="0" t="str">
        <f aca="false">CHOOSE(C281,"Ene","Feb","Mar","Abr","May","Jun","Jul","Ago","Sep","Oct","Nov","Dic")</f>
        <v>Oct</v>
      </c>
      <c r="E281" s="0" t="str">
        <f aca="false">D281&amp;"-"&amp;RIGHT(B281,2)</f>
        <v>Oct-25</v>
      </c>
      <c r="F281" s="0" t="str">
        <f aca="false">"T"&amp;ROUNDUP(C281/3,0)</f>
        <v>T4</v>
      </c>
      <c r="G281" s="35" t="n">
        <f aca="false">DATE(B281,C281,1)</f>
        <v>45931</v>
      </c>
      <c r="H281" s="25" t="n">
        <f aca="false">IF(DAY(A281+1)=1,1,0)</f>
        <v>0</v>
      </c>
    </row>
    <row r="282" customFormat="false" ht="15" hidden="false" customHeight="false" outlineLevel="0" collapsed="false">
      <c r="A282" s="8" t="n">
        <f aca="false">A281+1</f>
        <v>45938</v>
      </c>
      <c r="B282" s="25" t="n">
        <f aca="false">YEAR(A282)</f>
        <v>2025</v>
      </c>
      <c r="C282" s="25" t="n">
        <f aca="false">MONTH(A282)</f>
        <v>10</v>
      </c>
      <c r="D282" s="0" t="str">
        <f aca="false">CHOOSE(C282,"Ene","Feb","Mar","Abr","May","Jun","Jul","Ago","Sep","Oct","Nov","Dic")</f>
        <v>Oct</v>
      </c>
      <c r="E282" s="0" t="str">
        <f aca="false">D282&amp;"-"&amp;RIGHT(B282,2)</f>
        <v>Oct-25</v>
      </c>
      <c r="F282" s="0" t="str">
        <f aca="false">"T"&amp;ROUNDUP(C282/3,0)</f>
        <v>T4</v>
      </c>
      <c r="G282" s="35" t="n">
        <f aca="false">DATE(B282,C282,1)</f>
        <v>45931</v>
      </c>
      <c r="H282" s="25" t="n">
        <f aca="false">IF(DAY(A282+1)=1,1,0)</f>
        <v>0</v>
      </c>
    </row>
    <row r="283" customFormat="false" ht="15" hidden="false" customHeight="false" outlineLevel="0" collapsed="false">
      <c r="A283" s="8" t="n">
        <f aca="false">A282+1</f>
        <v>45939</v>
      </c>
      <c r="B283" s="25" t="n">
        <f aca="false">YEAR(A283)</f>
        <v>2025</v>
      </c>
      <c r="C283" s="25" t="n">
        <f aca="false">MONTH(A283)</f>
        <v>10</v>
      </c>
      <c r="D283" s="0" t="str">
        <f aca="false">CHOOSE(C283,"Ene","Feb","Mar","Abr","May","Jun","Jul","Ago","Sep","Oct","Nov","Dic")</f>
        <v>Oct</v>
      </c>
      <c r="E283" s="0" t="str">
        <f aca="false">D283&amp;"-"&amp;RIGHT(B283,2)</f>
        <v>Oct-25</v>
      </c>
      <c r="F283" s="0" t="str">
        <f aca="false">"T"&amp;ROUNDUP(C283/3,0)</f>
        <v>T4</v>
      </c>
      <c r="G283" s="35" t="n">
        <f aca="false">DATE(B283,C283,1)</f>
        <v>45931</v>
      </c>
      <c r="H283" s="25" t="n">
        <f aca="false">IF(DAY(A283+1)=1,1,0)</f>
        <v>0</v>
      </c>
    </row>
    <row r="284" customFormat="false" ht="15" hidden="false" customHeight="false" outlineLevel="0" collapsed="false">
      <c r="A284" s="8" t="n">
        <f aca="false">A283+1</f>
        <v>45940</v>
      </c>
      <c r="B284" s="25" t="n">
        <f aca="false">YEAR(A284)</f>
        <v>2025</v>
      </c>
      <c r="C284" s="25" t="n">
        <f aca="false">MONTH(A284)</f>
        <v>10</v>
      </c>
      <c r="D284" s="0" t="str">
        <f aca="false">CHOOSE(C284,"Ene","Feb","Mar","Abr","May","Jun","Jul","Ago","Sep","Oct","Nov","Dic")</f>
        <v>Oct</v>
      </c>
      <c r="E284" s="0" t="str">
        <f aca="false">D284&amp;"-"&amp;RIGHT(B284,2)</f>
        <v>Oct-25</v>
      </c>
      <c r="F284" s="0" t="str">
        <f aca="false">"T"&amp;ROUNDUP(C284/3,0)</f>
        <v>T4</v>
      </c>
      <c r="G284" s="35" t="n">
        <f aca="false">DATE(B284,C284,1)</f>
        <v>45931</v>
      </c>
      <c r="H284" s="25" t="n">
        <f aca="false">IF(DAY(A284+1)=1,1,0)</f>
        <v>0</v>
      </c>
    </row>
    <row r="285" customFormat="false" ht="15" hidden="false" customHeight="false" outlineLevel="0" collapsed="false">
      <c r="A285" s="8" t="n">
        <f aca="false">A284+1</f>
        <v>45941</v>
      </c>
      <c r="B285" s="25" t="n">
        <f aca="false">YEAR(A285)</f>
        <v>2025</v>
      </c>
      <c r="C285" s="25" t="n">
        <f aca="false">MONTH(A285)</f>
        <v>10</v>
      </c>
      <c r="D285" s="0" t="str">
        <f aca="false">CHOOSE(C285,"Ene","Feb","Mar","Abr","May","Jun","Jul","Ago","Sep","Oct","Nov","Dic")</f>
        <v>Oct</v>
      </c>
      <c r="E285" s="0" t="str">
        <f aca="false">D285&amp;"-"&amp;RIGHT(B285,2)</f>
        <v>Oct-25</v>
      </c>
      <c r="F285" s="0" t="str">
        <f aca="false">"T"&amp;ROUNDUP(C285/3,0)</f>
        <v>T4</v>
      </c>
      <c r="G285" s="35" t="n">
        <f aca="false">DATE(B285,C285,1)</f>
        <v>45931</v>
      </c>
      <c r="H285" s="25" t="n">
        <f aca="false">IF(DAY(A285+1)=1,1,0)</f>
        <v>0</v>
      </c>
    </row>
    <row r="286" customFormat="false" ht="15" hidden="false" customHeight="false" outlineLevel="0" collapsed="false">
      <c r="A286" s="8" t="n">
        <f aca="false">A285+1</f>
        <v>45942</v>
      </c>
      <c r="B286" s="25" t="n">
        <f aca="false">YEAR(A286)</f>
        <v>2025</v>
      </c>
      <c r="C286" s="25" t="n">
        <f aca="false">MONTH(A286)</f>
        <v>10</v>
      </c>
      <c r="D286" s="0" t="str">
        <f aca="false">CHOOSE(C286,"Ene","Feb","Mar","Abr","May","Jun","Jul","Ago","Sep","Oct","Nov","Dic")</f>
        <v>Oct</v>
      </c>
      <c r="E286" s="0" t="str">
        <f aca="false">D286&amp;"-"&amp;RIGHT(B286,2)</f>
        <v>Oct-25</v>
      </c>
      <c r="F286" s="0" t="str">
        <f aca="false">"T"&amp;ROUNDUP(C286/3,0)</f>
        <v>T4</v>
      </c>
      <c r="G286" s="35" t="n">
        <f aca="false">DATE(B286,C286,1)</f>
        <v>45931</v>
      </c>
      <c r="H286" s="25" t="n">
        <f aca="false">IF(DAY(A286+1)=1,1,0)</f>
        <v>0</v>
      </c>
    </row>
    <row r="287" customFormat="false" ht="15" hidden="false" customHeight="false" outlineLevel="0" collapsed="false">
      <c r="A287" s="8" t="n">
        <f aca="false">A286+1</f>
        <v>45943</v>
      </c>
      <c r="B287" s="25" t="n">
        <f aca="false">YEAR(A287)</f>
        <v>2025</v>
      </c>
      <c r="C287" s="25" t="n">
        <f aca="false">MONTH(A287)</f>
        <v>10</v>
      </c>
      <c r="D287" s="0" t="str">
        <f aca="false">CHOOSE(C287,"Ene","Feb","Mar","Abr","May","Jun","Jul","Ago","Sep","Oct","Nov","Dic")</f>
        <v>Oct</v>
      </c>
      <c r="E287" s="0" t="str">
        <f aca="false">D287&amp;"-"&amp;RIGHT(B287,2)</f>
        <v>Oct-25</v>
      </c>
      <c r="F287" s="0" t="str">
        <f aca="false">"T"&amp;ROUNDUP(C287/3,0)</f>
        <v>T4</v>
      </c>
      <c r="G287" s="35" t="n">
        <f aca="false">DATE(B287,C287,1)</f>
        <v>45931</v>
      </c>
      <c r="H287" s="25" t="n">
        <f aca="false">IF(DAY(A287+1)=1,1,0)</f>
        <v>0</v>
      </c>
    </row>
    <row r="288" customFormat="false" ht="15" hidden="false" customHeight="false" outlineLevel="0" collapsed="false">
      <c r="A288" s="8" t="n">
        <f aca="false">A287+1</f>
        <v>45944</v>
      </c>
      <c r="B288" s="25" t="n">
        <f aca="false">YEAR(A288)</f>
        <v>2025</v>
      </c>
      <c r="C288" s="25" t="n">
        <f aca="false">MONTH(A288)</f>
        <v>10</v>
      </c>
      <c r="D288" s="0" t="str">
        <f aca="false">CHOOSE(C288,"Ene","Feb","Mar","Abr","May","Jun","Jul","Ago","Sep","Oct","Nov","Dic")</f>
        <v>Oct</v>
      </c>
      <c r="E288" s="0" t="str">
        <f aca="false">D288&amp;"-"&amp;RIGHT(B288,2)</f>
        <v>Oct-25</v>
      </c>
      <c r="F288" s="0" t="str">
        <f aca="false">"T"&amp;ROUNDUP(C288/3,0)</f>
        <v>T4</v>
      </c>
      <c r="G288" s="35" t="n">
        <f aca="false">DATE(B288,C288,1)</f>
        <v>45931</v>
      </c>
      <c r="H288" s="25" t="n">
        <f aca="false">IF(DAY(A288+1)=1,1,0)</f>
        <v>0</v>
      </c>
    </row>
    <row r="289" customFormat="false" ht="15" hidden="false" customHeight="false" outlineLevel="0" collapsed="false">
      <c r="A289" s="8" t="n">
        <f aca="false">A288+1</f>
        <v>45945</v>
      </c>
      <c r="B289" s="25" t="n">
        <f aca="false">YEAR(A289)</f>
        <v>2025</v>
      </c>
      <c r="C289" s="25" t="n">
        <f aca="false">MONTH(A289)</f>
        <v>10</v>
      </c>
      <c r="D289" s="0" t="str">
        <f aca="false">CHOOSE(C289,"Ene","Feb","Mar","Abr","May","Jun","Jul","Ago","Sep","Oct","Nov","Dic")</f>
        <v>Oct</v>
      </c>
      <c r="E289" s="0" t="str">
        <f aca="false">D289&amp;"-"&amp;RIGHT(B289,2)</f>
        <v>Oct-25</v>
      </c>
      <c r="F289" s="0" t="str">
        <f aca="false">"T"&amp;ROUNDUP(C289/3,0)</f>
        <v>T4</v>
      </c>
      <c r="G289" s="35" t="n">
        <f aca="false">DATE(B289,C289,1)</f>
        <v>45931</v>
      </c>
      <c r="H289" s="25" t="n">
        <f aca="false">IF(DAY(A289+1)=1,1,0)</f>
        <v>0</v>
      </c>
    </row>
    <row r="290" customFormat="false" ht="15" hidden="false" customHeight="false" outlineLevel="0" collapsed="false">
      <c r="A290" s="8" t="n">
        <f aca="false">A289+1</f>
        <v>45946</v>
      </c>
      <c r="B290" s="25" t="n">
        <f aca="false">YEAR(A290)</f>
        <v>2025</v>
      </c>
      <c r="C290" s="25" t="n">
        <f aca="false">MONTH(A290)</f>
        <v>10</v>
      </c>
      <c r="D290" s="0" t="str">
        <f aca="false">CHOOSE(C290,"Ene","Feb","Mar","Abr","May","Jun","Jul","Ago","Sep","Oct","Nov","Dic")</f>
        <v>Oct</v>
      </c>
      <c r="E290" s="0" t="str">
        <f aca="false">D290&amp;"-"&amp;RIGHT(B290,2)</f>
        <v>Oct-25</v>
      </c>
      <c r="F290" s="0" t="str">
        <f aca="false">"T"&amp;ROUNDUP(C290/3,0)</f>
        <v>T4</v>
      </c>
      <c r="G290" s="35" t="n">
        <f aca="false">DATE(B290,C290,1)</f>
        <v>45931</v>
      </c>
      <c r="H290" s="25" t="n">
        <f aca="false">IF(DAY(A290+1)=1,1,0)</f>
        <v>0</v>
      </c>
    </row>
    <row r="291" customFormat="false" ht="15" hidden="false" customHeight="false" outlineLevel="0" collapsed="false">
      <c r="A291" s="8" t="n">
        <f aca="false">A290+1</f>
        <v>45947</v>
      </c>
      <c r="B291" s="25" t="n">
        <f aca="false">YEAR(A291)</f>
        <v>2025</v>
      </c>
      <c r="C291" s="25" t="n">
        <f aca="false">MONTH(A291)</f>
        <v>10</v>
      </c>
      <c r="D291" s="0" t="str">
        <f aca="false">CHOOSE(C291,"Ene","Feb","Mar","Abr","May","Jun","Jul","Ago","Sep","Oct","Nov","Dic")</f>
        <v>Oct</v>
      </c>
      <c r="E291" s="0" t="str">
        <f aca="false">D291&amp;"-"&amp;RIGHT(B291,2)</f>
        <v>Oct-25</v>
      </c>
      <c r="F291" s="0" t="str">
        <f aca="false">"T"&amp;ROUNDUP(C291/3,0)</f>
        <v>T4</v>
      </c>
      <c r="G291" s="35" t="n">
        <f aca="false">DATE(B291,C291,1)</f>
        <v>45931</v>
      </c>
      <c r="H291" s="25" t="n">
        <f aca="false">IF(DAY(A291+1)=1,1,0)</f>
        <v>0</v>
      </c>
    </row>
    <row r="292" customFormat="false" ht="15" hidden="false" customHeight="false" outlineLevel="0" collapsed="false">
      <c r="A292" s="8" t="n">
        <f aca="false">A291+1</f>
        <v>45948</v>
      </c>
      <c r="B292" s="25" t="n">
        <f aca="false">YEAR(A292)</f>
        <v>2025</v>
      </c>
      <c r="C292" s="25" t="n">
        <f aca="false">MONTH(A292)</f>
        <v>10</v>
      </c>
      <c r="D292" s="0" t="str">
        <f aca="false">CHOOSE(C292,"Ene","Feb","Mar","Abr","May","Jun","Jul","Ago","Sep","Oct","Nov","Dic")</f>
        <v>Oct</v>
      </c>
      <c r="E292" s="0" t="str">
        <f aca="false">D292&amp;"-"&amp;RIGHT(B292,2)</f>
        <v>Oct-25</v>
      </c>
      <c r="F292" s="0" t="str">
        <f aca="false">"T"&amp;ROUNDUP(C292/3,0)</f>
        <v>T4</v>
      </c>
      <c r="G292" s="35" t="n">
        <f aca="false">DATE(B292,C292,1)</f>
        <v>45931</v>
      </c>
      <c r="H292" s="25" t="n">
        <f aca="false">IF(DAY(A292+1)=1,1,0)</f>
        <v>0</v>
      </c>
    </row>
    <row r="293" customFormat="false" ht="15" hidden="false" customHeight="false" outlineLevel="0" collapsed="false">
      <c r="A293" s="8" t="n">
        <f aca="false">A292+1</f>
        <v>45949</v>
      </c>
      <c r="B293" s="25" t="n">
        <f aca="false">YEAR(A293)</f>
        <v>2025</v>
      </c>
      <c r="C293" s="25" t="n">
        <f aca="false">MONTH(A293)</f>
        <v>10</v>
      </c>
      <c r="D293" s="0" t="str">
        <f aca="false">CHOOSE(C293,"Ene","Feb","Mar","Abr","May","Jun","Jul","Ago","Sep","Oct","Nov","Dic")</f>
        <v>Oct</v>
      </c>
      <c r="E293" s="0" t="str">
        <f aca="false">D293&amp;"-"&amp;RIGHT(B293,2)</f>
        <v>Oct-25</v>
      </c>
      <c r="F293" s="0" t="str">
        <f aca="false">"T"&amp;ROUNDUP(C293/3,0)</f>
        <v>T4</v>
      </c>
      <c r="G293" s="35" t="n">
        <f aca="false">DATE(B293,C293,1)</f>
        <v>45931</v>
      </c>
      <c r="H293" s="25" t="n">
        <f aca="false">IF(DAY(A293+1)=1,1,0)</f>
        <v>0</v>
      </c>
    </row>
    <row r="294" customFormat="false" ht="15" hidden="false" customHeight="false" outlineLevel="0" collapsed="false">
      <c r="A294" s="8" t="n">
        <f aca="false">A293+1</f>
        <v>45950</v>
      </c>
      <c r="B294" s="25" t="n">
        <f aca="false">YEAR(A294)</f>
        <v>2025</v>
      </c>
      <c r="C294" s="25" t="n">
        <f aca="false">MONTH(A294)</f>
        <v>10</v>
      </c>
      <c r="D294" s="0" t="str">
        <f aca="false">CHOOSE(C294,"Ene","Feb","Mar","Abr","May","Jun","Jul","Ago","Sep","Oct","Nov","Dic")</f>
        <v>Oct</v>
      </c>
      <c r="E294" s="0" t="str">
        <f aca="false">D294&amp;"-"&amp;RIGHT(B294,2)</f>
        <v>Oct-25</v>
      </c>
      <c r="F294" s="0" t="str">
        <f aca="false">"T"&amp;ROUNDUP(C294/3,0)</f>
        <v>T4</v>
      </c>
      <c r="G294" s="35" t="n">
        <f aca="false">DATE(B294,C294,1)</f>
        <v>45931</v>
      </c>
      <c r="H294" s="25" t="n">
        <f aca="false">IF(DAY(A294+1)=1,1,0)</f>
        <v>0</v>
      </c>
    </row>
    <row r="295" customFormat="false" ht="15" hidden="false" customHeight="false" outlineLevel="0" collapsed="false">
      <c r="A295" s="8" t="n">
        <f aca="false">A294+1</f>
        <v>45951</v>
      </c>
      <c r="B295" s="25" t="n">
        <f aca="false">YEAR(A295)</f>
        <v>2025</v>
      </c>
      <c r="C295" s="25" t="n">
        <f aca="false">MONTH(A295)</f>
        <v>10</v>
      </c>
      <c r="D295" s="0" t="str">
        <f aca="false">CHOOSE(C295,"Ene","Feb","Mar","Abr","May","Jun","Jul","Ago","Sep","Oct","Nov","Dic")</f>
        <v>Oct</v>
      </c>
      <c r="E295" s="0" t="str">
        <f aca="false">D295&amp;"-"&amp;RIGHT(B295,2)</f>
        <v>Oct-25</v>
      </c>
      <c r="F295" s="0" t="str">
        <f aca="false">"T"&amp;ROUNDUP(C295/3,0)</f>
        <v>T4</v>
      </c>
      <c r="G295" s="35" t="n">
        <f aca="false">DATE(B295,C295,1)</f>
        <v>45931</v>
      </c>
      <c r="H295" s="25" t="n">
        <f aca="false">IF(DAY(A295+1)=1,1,0)</f>
        <v>0</v>
      </c>
    </row>
    <row r="296" customFormat="false" ht="15" hidden="false" customHeight="false" outlineLevel="0" collapsed="false">
      <c r="A296" s="8" t="n">
        <f aca="false">A295+1</f>
        <v>45952</v>
      </c>
      <c r="B296" s="25" t="n">
        <f aca="false">YEAR(A296)</f>
        <v>2025</v>
      </c>
      <c r="C296" s="25" t="n">
        <f aca="false">MONTH(A296)</f>
        <v>10</v>
      </c>
      <c r="D296" s="0" t="str">
        <f aca="false">CHOOSE(C296,"Ene","Feb","Mar","Abr","May","Jun","Jul","Ago","Sep","Oct","Nov","Dic")</f>
        <v>Oct</v>
      </c>
      <c r="E296" s="0" t="str">
        <f aca="false">D296&amp;"-"&amp;RIGHT(B296,2)</f>
        <v>Oct-25</v>
      </c>
      <c r="F296" s="0" t="str">
        <f aca="false">"T"&amp;ROUNDUP(C296/3,0)</f>
        <v>T4</v>
      </c>
      <c r="G296" s="35" t="n">
        <f aca="false">DATE(B296,C296,1)</f>
        <v>45931</v>
      </c>
      <c r="H296" s="25" t="n">
        <f aca="false">IF(DAY(A296+1)=1,1,0)</f>
        <v>0</v>
      </c>
    </row>
    <row r="297" customFormat="false" ht="15" hidden="false" customHeight="false" outlineLevel="0" collapsed="false">
      <c r="A297" s="8" t="n">
        <f aca="false">A296+1</f>
        <v>45953</v>
      </c>
      <c r="B297" s="25" t="n">
        <f aca="false">YEAR(A297)</f>
        <v>2025</v>
      </c>
      <c r="C297" s="25" t="n">
        <f aca="false">MONTH(A297)</f>
        <v>10</v>
      </c>
      <c r="D297" s="0" t="str">
        <f aca="false">CHOOSE(C297,"Ene","Feb","Mar","Abr","May","Jun","Jul","Ago","Sep","Oct","Nov","Dic")</f>
        <v>Oct</v>
      </c>
      <c r="E297" s="0" t="str">
        <f aca="false">D297&amp;"-"&amp;RIGHT(B297,2)</f>
        <v>Oct-25</v>
      </c>
      <c r="F297" s="0" t="str">
        <f aca="false">"T"&amp;ROUNDUP(C297/3,0)</f>
        <v>T4</v>
      </c>
      <c r="G297" s="35" t="n">
        <f aca="false">DATE(B297,C297,1)</f>
        <v>45931</v>
      </c>
      <c r="H297" s="25" t="n">
        <f aca="false">IF(DAY(A297+1)=1,1,0)</f>
        <v>0</v>
      </c>
    </row>
    <row r="298" customFormat="false" ht="15" hidden="false" customHeight="false" outlineLevel="0" collapsed="false">
      <c r="A298" s="8" t="n">
        <f aca="false">A297+1</f>
        <v>45954</v>
      </c>
      <c r="B298" s="25" t="n">
        <f aca="false">YEAR(A298)</f>
        <v>2025</v>
      </c>
      <c r="C298" s="25" t="n">
        <f aca="false">MONTH(A298)</f>
        <v>10</v>
      </c>
      <c r="D298" s="0" t="str">
        <f aca="false">CHOOSE(C298,"Ene","Feb","Mar","Abr","May","Jun","Jul","Ago","Sep","Oct","Nov","Dic")</f>
        <v>Oct</v>
      </c>
      <c r="E298" s="0" t="str">
        <f aca="false">D298&amp;"-"&amp;RIGHT(B298,2)</f>
        <v>Oct-25</v>
      </c>
      <c r="F298" s="0" t="str">
        <f aca="false">"T"&amp;ROUNDUP(C298/3,0)</f>
        <v>T4</v>
      </c>
      <c r="G298" s="35" t="n">
        <f aca="false">DATE(B298,C298,1)</f>
        <v>45931</v>
      </c>
      <c r="H298" s="25" t="n">
        <f aca="false">IF(DAY(A298+1)=1,1,0)</f>
        <v>0</v>
      </c>
    </row>
    <row r="299" customFormat="false" ht="15" hidden="false" customHeight="false" outlineLevel="0" collapsed="false">
      <c r="A299" s="8" t="n">
        <f aca="false">A298+1</f>
        <v>45955</v>
      </c>
      <c r="B299" s="25" t="n">
        <f aca="false">YEAR(A299)</f>
        <v>2025</v>
      </c>
      <c r="C299" s="25" t="n">
        <f aca="false">MONTH(A299)</f>
        <v>10</v>
      </c>
      <c r="D299" s="0" t="str">
        <f aca="false">CHOOSE(C299,"Ene","Feb","Mar","Abr","May","Jun","Jul","Ago","Sep","Oct","Nov","Dic")</f>
        <v>Oct</v>
      </c>
      <c r="E299" s="0" t="str">
        <f aca="false">D299&amp;"-"&amp;RIGHT(B299,2)</f>
        <v>Oct-25</v>
      </c>
      <c r="F299" s="0" t="str">
        <f aca="false">"T"&amp;ROUNDUP(C299/3,0)</f>
        <v>T4</v>
      </c>
      <c r="G299" s="35" t="n">
        <f aca="false">DATE(B299,C299,1)</f>
        <v>45931</v>
      </c>
      <c r="H299" s="25" t="n">
        <f aca="false">IF(DAY(A299+1)=1,1,0)</f>
        <v>0</v>
      </c>
    </row>
    <row r="300" customFormat="false" ht="15" hidden="false" customHeight="false" outlineLevel="0" collapsed="false">
      <c r="A300" s="8" t="n">
        <f aca="false">A299+1</f>
        <v>45956</v>
      </c>
      <c r="B300" s="25" t="n">
        <f aca="false">YEAR(A300)</f>
        <v>2025</v>
      </c>
      <c r="C300" s="25" t="n">
        <f aca="false">MONTH(A300)</f>
        <v>10</v>
      </c>
      <c r="D300" s="0" t="str">
        <f aca="false">CHOOSE(C300,"Ene","Feb","Mar","Abr","May","Jun","Jul","Ago","Sep","Oct","Nov","Dic")</f>
        <v>Oct</v>
      </c>
      <c r="E300" s="0" t="str">
        <f aca="false">D300&amp;"-"&amp;RIGHT(B300,2)</f>
        <v>Oct-25</v>
      </c>
      <c r="F300" s="0" t="str">
        <f aca="false">"T"&amp;ROUNDUP(C300/3,0)</f>
        <v>T4</v>
      </c>
      <c r="G300" s="35" t="n">
        <f aca="false">DATE(B300,C300,1)</f>
        <v>45931</v>
      </c>
      <c r="H300" s="25" t="n">
        <f aca="false">IF(DAY(A300+1)=1,1,0)</f>
        <v>0</v>
      </c>
    </row>
    <row r="301" customFormat="false" ht="15" hidden="false" customHeight="false" outlineLevel="0" collapsed="false">
      <c r="A301" s="8" t="n">
        <f aca="false">A300+1</f>
        <v>45957</v>
      </c>
      <c r="B301" s="25" t="n">
        <f aca="false">YEAR(A301)</f>
        <v>2025</v>
      </c>
      <c r="C301" s="25" t="n">
        <f aca="false">MONTH(A301)</f>
        <v>10</v>
      </c>
      <c r="D301" s="0" t="str">
        <f aca="false">CHOOSE(C301,"Ene","Feb","Mar","Abr","May","Jun","Jul","Ago","Sep","Oct","Nov","Dic")</f>
        <v>Oct</v>
      </c>
      <c r="E301" s="0" t="str">
        <f aca="false">D301&amp;"-"&amp;RIGHT(B301,2)</f>
        <v>Oct-25</v>
      </c>
      <c r="F301" s="0" t="str">
        <f aca="false">"T"&amp;ROUNDUP(C301/3,0)</f>
        <v>T4</v>
      </c>
      <c r="G301" s="35" t="n">
        <f aca="false">DATE(B301,C301,1)</f>
        <v>45931</v>
      </c>
      <c r="H301" s="25" t="n">
        <f aca="false">IF(DAY(A301+1)=1,1,0)</f>
        <v>0</v>
      </c>
    </row>
    <row r="302" customFormat="false" ht="15" hidden="false" customHeight="false" outlineLevel="0" collapsed="false">
      <c r="A302" s="8" t="n">
        <f aca="false">A301+1</f>
        <v>45958</v>
      </c>
      <c r="B302" s="25" t="n">
        <f aca="false">YEAR(A302)</f>
        <v>2025</v>
      </c>
      <c r="C302" s="25" t="n">
        <f aca="false">MONTH(A302)</f>
        <v>10</v>
      </c>
      <c r="D302" s="0" t="str">
        <f aca="false">CHOOSE(C302,"Ene","Feb","Mar","Abr","May","Jun","Jul","Ago","Sep","Oct","Nov","Dic")</f>
        <v>Oct</v>
      </c>
      <c r="E302" s="0" t="str">
        <f aca="false">D302&amp;"-"&amp;RIGHT(B302,2)</f>
        <v>Oct-25</v>
      </c>
      <c r="F302" s="0" t="str">
        <f aca="false">"T"&amp;ROUNDUP(C302/3,0)</f>
        <v>T4</v>
      </c>
      <c r="G302" s="35" t="n">
        <f aca="false">DATE(B302,C302,1)</f>
        <v>45931</v>
      </c>
      <c r="H302" s="25" t="n">
        <f aca="false">IF(DAY(A302+1)=1,1,0)</f>
        <v>0</v>
      </c>
    </row>
    <row r="303" customFormat="false" ht="15" hidden="false" customHeight="false" outlineLevel="0" collapsed="false">
      <c r="A303" s="8" t="n">
        <f aca="false">A302+1</f>
        <v>45959</v>
      </c>
      <c r="B303" s="25" t="n">
        <f aca="false">YEAR(A303)</f>
        <v>2025</v>
      </c>
      <c r="C303" s="25" t="n">
        <f aca="false">MONTH(A303)</f>
        <v>10</v>
      </c>
      <c r="D303" s="0" t="str">
        <f aca="false">CHOOSE(C303,"Ene","Feb","Mar","Abr","May","Jun","Jul","Ago","Sep","Oct","Nov","Dic")</f>
        <v>Oct</v>
      </c>
      <c r="E303" s="0" t="str">
        <f aca="false">D303&amp;"-"&amp;RIGHT(B303,2)</f>
        <v>Oct-25</v>
      </c>
      <c r="F303" s="0" t="str">
        <f aca="false">"T"&amp;ROUNDUP(C303/3,0)</f>
        <v>T4</v>
      </c>
      <c r="G303" s="35" t="n">
        <f aca="false">DATE(B303,C303,1)</f>
        <v>45931</v>
      </c>
      <c r="H303" s="25" t="n">
        <f aca="false">IF(DAY(A303+1)=1,1,0)</f>
        <v>0</v>
      </c>
    </row>
    <row r="304" customFormat="false" ht="15" hidden="false" customHeight="false" outlineLevel="0" collapsed="false">
      <c r="A304" s="8" t="n">
        <f aca="false">A303+1</f>
        <v>45960</v>
      </c>
      <c r="B304" s="25" t="n">
        <f aca="false">YEAR(A304)</f>
        <v>2025</v>
      </c>
      <c r="C304" s="25" t="n">
        <f aca="false">MONTH(A304)</f>
        <v>10</v>
      </c>
      <c r="D304" s="0" t="str">
        <f aca="false">CHOOSE(C304,"Ene","Feb","Mar","Abr","May","Jun","Jul","Ago","Sep","Oct","Nov","Dic")</f>
        <v>Oct</v>
      </c>
      <c r="E304" s="0" t="str">
        <f aca="false">D304&amp;"-"&amp;RIGHT(B304,2)</f>
        <v>Oct-25</v>
      </c>
      <c r="F304" s="0" t="str">
        <f aca="false">"T"&amp;ROUNDUP(C304/3,0)</f>
        <v>T4</v>
      </c>
      <c r="G304" s="35" t="n">
        <f aca="false">DATE(B304,C304,1)</f>
        <v>45931</v>
      </c>
      <c r="H304" s="25" t="n">
        <f aca="false">IF(DAY(A304+1)=1,1,0)</f>
        <v>0</v>
      </c>
    </row>
    <row r="305" customFormat="false" ht="15" hidden="false" customHeight="false" outlineLevel="0" collapsed="false">
      <c r="A305" s="8" t="n">
        <f aca="false">A304+1</f>
        <v>45961</v>
      </c>
      <c r="B305" s="25" t="n">
        <f aca="false">YEAR(A305)</f>
        <v>2025</v>
      </c>
      <c r="C305" s="25" t="n">
        <f aca="false">MONTH(A305)</f>
        <v>10</v>
      </c>
      <c r="D305" s="0" t="str">
        <f aca="false">CHOOSE(C305,"Ene","Feb","Mar","Abr","May","Jun","Jul","Ago","Sep","Oct","Nov","Dic")</f>
        <v>Oct</v>
      </c>
      <c r="E305" s="0" t="str">
        <f aca="false">D305&amp;"-"&amp;RIGHT(B305,2)</f>
        <v>Oct-25</v>
      </c>
      <c r="F305" s="0" t="str">
        <f aca="false">"T"&amp;ROUNDUP(C305/3,0)</f>
        <v>T4</v>
      </c>
      <c r="G305" s="35" t="n">
        <f aca="false">DATE(B305,C305,1)</f>
        <v>45931</v>
      </c>
      <c r="H305" s="25" t="n">
        <f aca="false">IF(DAY(A305+1)=1,1,0)</f>
        <v>1</v>
      </c>
    </row>
    <row r="306" customFormat="false" ht="15" hidden="false" customHeight="false" outlineLevel="0" collapsed="false">
      <c r="A306" s="8" t="n">
        <f aca="false">A305+1</f>
        <v>45962</v>
      </c>
      <c r="B306" s="25" t="n">
        <f aca="false">YEAR(A306)</f>
        <v>2025</v>
      </c>
      <c r="C306" s="25" t="n">
        <f aca="false">MONTH(A306)</f>
        <v>11</v>
      </c>
      <c r="D306" s="0" t="str">
        <f aca="false">CHOOSE(C306,"Ene","Feb","Mar","Abr","May","Jun","Jul","Ago","Sep","Oct","Nov","Dic")</f>
        <v>Nov</v>
      </c>
      <c r="E306" s="0" t="str">
        <f aca="false">D306&amp;"-"&amp;RIGHT(B306,2)</f>
        <v>Nov-25</v>
      </c>
      <c r="F306" s="0" t="str">
        <f aca="false">"T"&amp;ROUNDUP(C306/3,0)</f>
        <v>T4</v>
      </c>
      <c r="G306" s="35" t="n">
        <f aca="false">DATE(B306,C306,1)</f>
        <v>45962</v>
      </c>
      <c r="H306" s="25" t="n">
        <f aca="false">IF(DAY(A306+1)=1,1,0)</f>
        <v>0</v>
      </c>
    </row>
    <row r="307" customFormat="false" ht="15" hidden="false" customHeight="false" outlineLevel="0" collapsed="false">
      <c r="A307" s="8" t="n">
        <f aca="false">A306+1</f>
        <v>45963</v>
      </c>
      <c r="B307" s="25" t="n">
        <f aca="false">YEAR(A307)</f>
        <v>2025</v>
      </c>
      <c r="C307" s="25" t="n">
        <f aca="false">MONTH(A307)</f>
        <v>11</v>
      </c>
      <c r="D307" s="0" t="str">
        <f aca="false">CHOOSE(C307,"Ene","Feb","Mar","Abr","May","Jun","Jul","Ago","Sep","Oct","Nov","Dic")</f>
        <v>Nov</v>
      </c>
      <c r="E307" s="0" t="str">
        <f aca="false">D307&amp;"-"&amp;RIGHT(B307,2)</f>
        <v>Nov-25</v>
      </c>
      <c r="F307" s="0" t="str">
        <f aca="false">"T"&amp;ROUNDUP(C307/3,0)</f>
        <v>T4</v>
      </c>
      <c r="G307" s="35" t="n">
        <f aca="false">DATE(B307,C307,1)</f>
        <v>45962</v>
      </c>
      <c r="H307" s="25" t="n">
        <f aca="false">IF(DAY(A307+1)=1,1,0)</f>
        <v>0</v>
      </c>
    </row>
    <row r="308" customFormat="false" ht="15" hidden="false" customHeight="false" outlineLevel="0" collapsed="false">
      <c r="A308" s="8" t="n">
        <f aca="false">A307+1</f>
        <v>45964</v>
      </c>
      <c r="B308" s="25" t="n">
        <f aca="false">YEAR(A308)</f>
        <v>2025</v>
      </c>
      <c r="C308" s="25" t="n">
        <f aca="false">MONTH(A308)</f>
        <v>11</v>
      </c>
      <c r="D308" s="0" t="str">
        <f aca="false">CHOOSE(C308,"Ene","Feb","Mar","Abr","May","Jun","Jul","Ago","Sep","Oct","Nov","Dic")</f>
        <v>Nov</v>
      </c>
      <c r="E308" s="0" t="str">
        <f aca="false">D308&amp;"-"&amp;RIGHT(B308,2)</f>
        <v>Nov-25</v>
      </c>
      <c r="F308" s="0" t="str">
        <f aca="false">"T"&amp;ROUNDUP(C308/3,0)</f>
        <v>T4</v>
      </c>
      <c r="G308" s="35" t="n">
        <f aca="false">DATE(B308,C308,1)</f>
        <v>45962</v>
      </c>
      <c r="H308" s="25" t="n">
        <f aca="false">IF(DAY(A308+1)=1,1,0)</f>
        <v>0</v>
      </c>
    </row>
    <row r="309" customFormat="false" ht="15" hidden="false" customHeight="false" outlineLevel="0" collapsed="false">
      <c r="A309" s="8" t="n">
        <f aca="false">A308+1</f>
        <v>45965</v>
      </c>
      <c r="B309" s="25" t="n">
        <f aca="false">YEAR(A309)</f>
        <v>2025</v>
      </c>
      <c r="C309" s="25" t="n">
        <f aca="false">MONTH(A309)</f>
        <v>11</v>
      </c>
      <c r="D309" s="0" t="str">
        <f aca="false">CHOOSE(C309,"Ene","Feb","Mar","Abr","May","Jun","Jul","Ago","Sep","Oct","Nov","Dic")</f>
        <v>Nov</v>
      </c>
      <c r="E309" s="0" t="str">
        <f aca="false">D309&amp;"-"&amp;RIGHT(B309,2)</f>
        <v>Nov-25</v>
      </c>
      <c r="F309" s="0" t="str">
        <f aca="false">"T"&amp;ROUNDUP(C309/3,0)</f>
        <v>T4</v>
      </c>
      <c r="G309" s="35" t="n">
        <f aca="false">DATE(B309,C309,1)</f>
        <v>45962</v>
      </c>
      <c r="H309" s="25" t="n">
        <f aca="false">IF(DAY(A309+1)=1,1,0)</f>
        <v>0</v>
      </c>
    </row>
    <row r="310" customFormat="false" ht="15" hidden="false" customHeight="false" outlineLevel="0" collapsed="false">
      <c r="A310" s="8" t="n">
        <f aca="false">A309+1</f>
        <v>45966</v>
      </c>
      <c r="B310" s="25" t="n">
        <f aca="false">YEAR(A310)</f>
        <v>2025</v>
      </c>
      <c r="C310" s="25" t="n">
        <f aca="false">MONTH(A310)</f>
        <v>11</v>
      </c>
      <c r="D310" s="0" t="str">
        <f aca="false">CHOOSE(C310,"Ene","Feb","Mar","Abr","May","Jun","Jul","Ago","Sep","Oct","Nov","Dic")</f>
        <v>Nov</v>
      </c>
      <c r="E310" s="0" t="str">
        <f aca="false">D310&amp;"-"&amp;RIGHT(B310,2)</f>
        <v>Nov-25</v>
      </c>
      <c r="F310" s="0" t="str">
        <f aca="false">"T"&amp;ROUNDUP(C310/3,0)</f>
        <v>T4</v>
      </c>
      <c r="G310" s="35" t="n">
        <f aca="false">DATE(B310,C310,1)</f>
        <v>45962</v>
      </c>
      <c r="H310" s="25" t="n">
        <f aca="false">IF(DAY(A310+1)=1,1,0)</f>
        <v>0</v>
      </c>
    </row>
    <row r="311" customFormat="false" ht="15" hidden="false" customHeight="false" outlineLevel="0" collapsed="false">
      <c r="A311" s="8" t="n">
        <f aca="false">A310+1</f>
        <v>45967</v>
      </c>
      <c r="B311" s="25" t="n">
        <f aca="false">YEAR(A311)</f>
        <v>2025</v>
      </c>
      <c r="C311" s="25" t="n">
        <f aca="false">MONTH(A311)</f>
        <v>11</v>
      </c>
      <c r="D311" s="0" t="str">
        <f aca="false">CHOOSE(C311,"Ene","Feb","Mar","Abr","May","Jun","Jul","Ago","Sep","Oct","Nov","Dic")</f>
        <v>Nov</v>
      </c>
      <c r="E311" s="0" t="str">
        <f aca="false">D311&amp;"-"&amp;RIGHT(B311,2)</f>
        <v>Nov-25</v>
      </c>
      <c r="F311" s="0" t="str">
        <f aca="false">"T"&amp;ROUNDUP(C311/3,0)</f>
        <v>T4</v>
      </c>
      <c r="G311" s="35" t="n">
        <f aca="false">DATE(B311,C311,1)</f>
        <v>45962</v>
      </c>
      <c r="H311" s="25" t="n">
        <f aca="false">IF(DAY(A311+1)=1,1,0)</f>
        <v>0</v>
      </c>
    </row>
    <row r="312" customFormat="false" ht="15" hidden="false" customHeight="false" outlineLevel="0" collapsed="false">
      <c r="A312" s="8" t="n">
        <f aca="false">A311+1</f>
        <v>45968</v>
      </c>
      <c r="B312" s="25" t="n">
        <f aca="false">YEAR(A312)</f>
        <v>2025</v>
      </c>
      <c r="C312" s="25" t="n">
        <f aca="false">MONTH(A312)</f>
        <v>11</v>
      </c>
      <c r="D312" s="0" t="str">
        <f aca="false">CHOOSE(C312,"Ene","Feb","Mar","Abr","May","Jun","Jul","Ago","Sep","Oct","Nov","Dic")</f>
        <v>Nov</v>
      </c>
      <c r="E312" s="0" t="str">
        <f aca="false">D312&amp;"-"&amp;RIGHT(B312,2)</f>
        <v>Nov-25</v>
      </c>
      <c r="F312" s="0" t="str">
        <f aca="false">"T"&amp;ROUNDUP(C312/3,0)</f>
        <v>T4</v>
      </c>
      <c r="G312" s="35" t="n">
        <f aca="false">DATE(B312,C312,1)</f>
        <v>45962</v>
      </c>
      <c r="H312" s="25" t="n">
        <f aca="false">IF(DAY(A312+1)=1,1,0)</f>
        <v>0</v>
      </c>
    </row>
    <row r="313" customFormat="false" ht="15" hidden="false" customHeight="false" outlineLevel="0" collapsed="false">
      <c r="A313" s="8" t="n">
        <f aca="false">A312+1</f>
        <v>45969</v>
      </c>
      <c r="B313" s="25" t="n">
        <f aca="false">YEAR(A313)</f>
        <v>2025</v>
      </c>
      <c r="C313" s="25" t="n">
        <f aca="false">MONTH(A313)</f>
        <v>11</v>
      </c>
      <c r="D313" s="0" t="str">
        <f aca="false">CHOOSE(C313,"Ene","Feb","Mar","Abr","May","Jun","Jul","Ago","Sep","Oct","Nov","Dic")</f>
        <v>Nov</v>
      </c>
      <c r="E313" s="0" t="str">
        <f aca="false">D313&amp;"-"&amp;RIGHT(B313,2)</f>
        <v>Nov-25</v>
      </c>
      <c r="F313" s="0" t="str">
        <f aca="false">"T"&amp;ROUNDUP(C313/3,0)</f>
        <v>T4</v>
      </c>
      <c r="G313" s="35" t="n">
        <f aca="false">DATE(B313,C313,1)</f>
        <v>45962</v>
      </c>
      <c r="H313" s="25" t="n">
        <f aca="false">IF(DAY(A313+1)=1,1,0)</f>
        <v>0</v>
      </c>
    </row>
    <row r="314" customFormat="false" ht="15" hidden="false" customHeight="false" outlineLevel="0" collapsed="false">
      <c r="A314" s="8" t="n">
        <f aca="false">A313+1</f>
        <v>45970</v>
      </c>
      <c r="B314" s="25" t="n">
        <f aca="false">YEAR(A314)</f>
        <v>2025</v>
      </c>
      <c r="C314" s="25" t="n">
        <f aca="false">MONTH(A314)</f>
        <v>11</v>
      </c>
      <c r="D314" s="0" t="str">
        <f aca="false">CHOOSE(C314,"Ene","Feb","Mar","Abr","May","Jun","Jul","Ago","Sep","Oct","Nov","Dic")</f>
        <v>Nov</v>
      </c>
      <c r="E314" s="0" t="str">
        <f aca="false">D314&amp;"-"&amp;RIGHT(B314,2)</f>
        <v>Nov-25</v>
      </c>
      <c r="F314" s="0" t="str">
        <f aca="false">"T"&amp;ROUNDUP(C314/3,0)</f>
        <v>T4</v>
      </c>
      <c r="G314" s="35" t="n">
        <f aca="false">DATE(B314,C314,1)</f>
        <v>45962</v>
      </c>
      <c r="H314" s="25" t="n">
        <f aca="false">IF(DAY(A314+1)=1,1,0)</f>
        <v>0</v>
      </c>
    </row>
    <row r="315" customFormat="false" ht="15" hidden="false" customHeight="false" outlineLevel="0" collapsed="false">
      <c r="A315" s="8" t="n">
        <f aca="false">A314+1</f>
        <v>45971</v>
      </c>
      <c r="B315" s="25" t="n">
        <f aca="false">YEAR(A315)</f>
        <v>2025</v>
      </c>
      <c r="C315" s="25" t="n">
        <f aca="false">MONTH(A315)</f>
        <v>11</v>
      </c>
      <c r="D315" s="0" t="str">
        <f aca="false">CHOOSE(C315,"Ene","Feb","Mar","Abr","May","Jun","Jul","Ago","Sep","Oct","Nov","Dic")</f>
        <v>Nov</v>
      </c>
      <c r="E315" s="0" t="str">
        <f aca="false">D315&amp;"-"&amp;RIGHT(B315,2)</f>
        <v>Nov-25</v>
      </c>
      <c r="F315" s="0" t="str">
        <f aca="false">"T"&amp;ROUNDUP(C315/3,0)</f>
        <v>T4</v>
      </c>
      <c r="G315" s="35" t="n">
        <f aca="false">DATE(B315,C315,1)</f>
        <v>45962</v>
      </c>
      <c r="H315" s="25" t="n">
        <f aca="false">IF(DAY(A315+1)=1,1,0)</f>
        <v>0</v>
      </c>
    </row>
    <row r="316" customFormat="false" ht="15" hidden="false" customHeight="false" outlineLevel="0" collapsed="false">
      <c r="A316" s="8" t="n">
        <f aca="false">A315+1</f>
        <v>45972</v>
      </c>
      <c r="B316" s="25" t="n">
        <f aca="false">YEAR(A316)</f>
        <v>2025</v>
      </c>
      <c r="C316" s="25" t="n">
        <f aca="false">MONTH(A316)</f>
        <v>11</v>
      </c>
      <c r="D316" s="0" t="str">
        <f aca="false">CHOOSE(C316,"Ene","Feb","Mar","Abr","May","Jun","Jul","Ago","Sep","Oct","Nov","Dic")</f>
        <v>Nov</v>
      </c>
      <c r="E316" s="0" t="str">
        <f aca="false">D316&amp;"-"&amp;RIGHT(B316,2)</f>
        <v>Nov-25</v>
      </c>
      <c r="F316" s="0" t="str">
        <f aca="false">"T"&amp;ROUNDUP(C316/3,0)</f>
        <v>T4</v>
      </c>
      <c r="G316" s="35" t="n">
        <f aca="false">DATE(B316,C316,1)</f>
        <v>45962</v>
      </c>
      <c r="H316" s="25" t="n">
        <f aca="false">IF(DAY(A316+1)=1,1,0)</f>
        <v>0</v>
      </c>
    </row>
    <row r="317" customFormat="false" ht="15" hidden="false" customHeight="false" outlineLevel="0" collapsed="false">
      <c r="A317" s="8" t="n">
        <f aca="false">A316+1</f>
        <v>45973</v>
      </c>
      <c r="B317" s="25" t="n">
        <f aca="false">YEAR(A317)</f>
        <v>2025</v>
      </c>
      <c r="C317" s="25" t="n">
        <f aca="false">MONTH(A317)</f>
        <v>11</v>
      </c>
      <c r="D317" s="0" t="str">
        <f aca="false">CHOOSE(C317,"Ene","Feb","Mar","Abr","May","Jun","Jul","Ago","Sep","Oct","Nov","Dic")</f>
        <v>Nov</v>
      </c>
      <c r="E317" s="0" t="str">
        <f aca="false">D317&amp;"-"&amp;RIGHT(B317,2)</f>
        <v>Nov-25</v>
      </c>
      <c r="F317" s="0" t="str">
        <f aca="false">"T"&amp;ROUNDUP(C317/3,0)</f>
        <v>T4</v>
      </c>
      <c r="G317" s="35" t="n">
        <f aca="false">DATE(B317,C317,1)</f>
        <v>45962</v>
      </c>
      <c r="H317" s="25" t="n">
        <f aca="false">IF(DAY(A317+1)=1,1,0)</f>
        <v>0</v>
      </c>
    </row>
    <row r="318" customFormat="false" ht="15" hidden="false" customHeight="false" outlineLevel="0" collapsed="false">
      <c r="A318" s="8" t="n">
        <f aca="false">A317+1</f>
        <v>45974</v>
      </c>
      <c r="B318" s="25" t="n">
        <f aca="false">YEAR(A318)</f>
        <v>2025</v>
      </c>
      <c r="C318" s="25" t="n">
        <f aca="false">MONTH(A318)</f>
        <v>11</v>
      </c>
      <c r="D318" s="0" t="str">
        <f aca="false">CHOOSE(C318,"Ene","Feb","Mar","Abr","May","Jun","Jul","Ago","Sep","Oct","Nov","Dic")</f>
        <v>Nov</v>
      </c>
      <c r="E318" s="0" t="str">
        <f aca="false">D318&amp;"-"&amp;RIGHT(B318,2)</f>
        <v>Nov-25</v>
      </c>
      <c r="F318" s="0" t="str">
        <f aca="false">"T"&amp;ROUNDUP(C318/3,0)</f>
        <v>T4</v>
      </c>
      <c r="G318" s="35" t="n">
        <f aca="false">DATE(B318,C318,1)</f>
        <v>45962</v>
      </c>
      <c r="H318" s="25" t="n">
        <f aca="false">IF(DAY(A318+1)=1,1,0)</f>
        <v>0</v>
      </c>
    </row>
    <row r="319" customFormat="false" ht="15" hidden="false" customHeight="false" outlineLevel="0" collapsed="false">
      <c r="A319" s="8" t="n">
        <f aca="false">A318+1</f>
        <v>45975</v>
      </c>
      <c r="B319" s="25" t="n">
        <f aca="false">YEAR(A319)</f>
        <v>2025</v>
      </c>
      <c r="C319" s="25" t="n">
        <f aca="false">MONTH(A319)</f>
        <v>11</v>
      </c>
      <c r="D319" s="0" t="str">
        <f aca="false">CHOOSE(C319,"Ene","Feb","Mar","Abr","May","Jun","Jul","Ago","Sep","Oct","Nov","Dic")</f>
        <v>Nov</v>
      </c>
      <c r="E319" s="0" t="str">
        <f aca="false">D319&amp;"-"&amp;RIGHT(B319,2)</f>
        <v>Nov-25</v>
      </c>
      <c r="F319" s="0" t="str">
        <f aca="false">"T"&amp;ROUNDUP(C319/3,0)</f>
        <v>T4</v>
      </c>
      <c r="G319" s="35" t="n">
        <f aca="false">DATE(B319,C319,1)</f>
        <v>45962</v>
      </c>
      <c r="H319" s="25" t="n">
        <f aca="false">IF(DAY(A319+1)=1,1,0)</f>
        <v>0</v>
      </c>
    </row>
    <row r="320" customFormat="false" ht="15" hidden="false" customHeight="false" outlineLevel="0" collapsed="false">
      <c r="A320" s="8" t="n">
        <f aca="false">A319+1</f>
        <v>45976</v>
      </c>
      <c r="B320" s="25" t="n">
        <f aca="false">YEAR(A320)</f>
        <v>2025</v>
      </c>
      <c r="C320" s="25" t="n">
        <f aca="false">MONTH(A320)</f>
        <v>11</v>
      </c>
      <c r="D320" s="0" t="str">
        <f aca="false">CHOOSE(C320,"Ene","Feb","Mar","Abr","May","Jun","Jul","Ago","Sep","Oct","Nov","Dic")</f>
        <v>Nov</v>
      </c>
      <c r="E320" s="0" t="str">
        <f aca="false">D320&amp;"-"&amp;RIGHT(B320,2)</f>
        <v>Nov-25</v>
      </c>
      <c r="F320" s="0" t="str">
        <f aca="false">"T"&amp;ROUNDUP(C320/3,0)</f>
        <v>T4</v>
      </c>
      <c r="G320" s="35" t="n">
        <f aca="false">DATE(B320,C320,1)</f>
        <v>45962</v>
      </c>
      <c r="H320" s="25" t="n">
        <f aca="false">IF(DAY(A320+1)=1,1,0)</f>
        <v>0</v>
      </c>
    </row>
    <row r="321" customFormat="false" ht="15" hidden="false" customHeight="false" outlineLevel="0" collapsed="false">
      <c r="A321" s="8" t="n">
        <f aca="false">A320+1</f>
        <v>45977</v>
      </c>
      <c r="B321" s="25" t="n">
        <f aca="false">YEAR(A321)</f>
        <v>2025</v>
      </c>
      <c r="C321" s="25" t="n">
        <f aca="false">MONTH(A321)</f>
        <v>11</v>
      </c>
      <c r="D321" s="0" t="str">
        <f aca="false">CHOOSE(C321,"Ene","Feb","Mar","Abr","May","Jun","Jul","Ago","Sep","Oct","Nov","Dic")</f>
        <v>Nov</v>
      </c>
      <c r="E321" s="0" t="str">
        <f aca="false">D321&amp;"-"&amp;RIGHT(B321,2)</f>
        <v>Nov-25</v>
      </c>
      <c r="F321" s="0" t="str">
        <f aca="false">"T"&amp;ROUNDUP(C321/3,0)</f>
        <v>T4</v>
      </c>
      <c r="G321" s="35" t="n">
        <f aca="false">DATE(B321,C321,1)</f>
        <v>45962</v>
      </c>
      <c r="H321" s="25" t="n">
        <f aca="false">IF(DAY(A321+1)=1,1,0)</f>
        <v>0</v>
      </c>
    </row>
    <row r="322" customFormat="false" ht="15" hidden="false" customHeight="false" outlineLevel="0" collapsed="false">
      <c r="A322" s="8" t="n">
        <f aca="false">A321+1</f>
        <v>45978</v>
      </c>
      <c r="B322" s="25" t="n">
        <f aca="false">YEAR(A322)</f>
        <v>2025</v>
      </c>
      <c r="C322" s="25" t="n">
        <f aca="false">MONTH(A322)</f>
        <v>11</v>
      </c>
      <c r="D322" s="0" t="str">
        <f aca="false">CHOOSE(C322,"Ene","Feb","Mar","Abr","May","Jun","Jul","Ago","Sep","Oct","Nov","Dic")</f>
        <v>Nov</v>
      </c>
      <c r="E322" s="0" t="str">
        <f aca="false">D322&amp;"-"&amp;RIGHT(B322,2)</f>
        <v>Nov-25</v>
      </c>
      <c r="F322" s="0" t="str">
        <f aca="false">"T"&amp;ROUNDUP(C322/3,0)</f>
        <v>T4</v>
      </c>
      <c r="G322" s="35" t="n">
        <f aca="false">DATE(B322,C322,1)</f>
        <v>45962</v>
      </c>
      <c r="H322" s="25" t="n">
        <f aca="false">IF(DAY(A322+1)=1,1,0)</f>
        <v>0</v>
      </c>
    </row>
    <row r="323" customFormat="false" ht="15" hidden="false" customHeight="false" outlineLevel="0" collapsed="false">
      <c r="A323" s="8" t="n">
        <f aca="false">A322+1</f>
        <v>45979</v>
      </c>
      <c r="B323" s="25" t="n">
        <f aca="false">YEAR(A323)</f>
        <v>2025</v>
      </c>
      <c r="C323" s="25" t="n">
        <f aca="false">MONTH(A323)</f>
        <v>11</v>
      </c>
      <c r="D323" s="0" t="str">
        <f aca="false">CHOOSE(C323,"Ene","Feb","Mar","Abr","May","Jun","Jul","Ago","Sep","Oct","Nov","Dic")</f>
        <v>Nov</v>
      </c>
      <c r="E323" s="0" t="str">
        <f aca="false">D323&amp;"-"&amp;RIGHT(B323,2)</f>
        <v>Nov-25</v>
      </c>
      <c r="F323" s="0" t="str">
        <f aca="false">"T"&amp;ROUNDUP(C323/3,0)</f>
        <v>T4</v>
      </c>
      <c r="G323" s="35" t="n">
        <f aca="false">DATE(B323,C323,1)</f>
        <v>45962</v>
      </c>
      <c r="H323" s="25" t="n">
        <f aca="false">IF(DAY(A323+1)=1,1,0)</f>
        <v>0</v>
      </c>
    </row>
    <row r="324" customFormat="false" ht="15" hidden="false" customHeight="false" outlineLevel="0" collapsed="false">
      <c r="A324" s="8" t="n">
        <f aca="false">A323+1</f>
        <v>45980</v>
      </c>
      <c r="B324" s="25" t="n">
        <f aca="false">YEAR(A324)</f>
        <v>2025</v>
      </c>
      <c r="C324" s="25" t="n">
        <f aca="false">MONTH(A324)</f>
        <v>11</v>
      </c>
      <c r="D324" s="0" t="str">
        <f aca="false">CHOOSE(C324,"Ene","Feb","Mar","Abr","May","Jun","Jul","Ago","Sep","Oct","Nov","Dic")</f>
        <v>Nov</v>
      </c>
      <c r="E324" s="0" t="str">
        <f aca="false">D324&amp;"-"&amp;RIGHT(B324,2)</f>
        <v>Nov-25</v>
      </c>
      <c r="F324" s="0" t="str">
        <f aca="false">"T"&amp;ROUNDUP(C324/3,0)</f>
        <v>T4</v>
      </c>
      <c r="G324" s="35" t="n">
        <f aca="false">DATE(B324,C324,1)</f>
        <v>45962</v>
      </c>
      <c r="H324" s="25" t="n">
        <f aca="false">IF(DAY(A324+1)=1,1,0)</f>
        <v>0</v>
      </c>
    </row>
    <row r="325" customFormat="false" ht="15" hidden="false" customHeight="false" outlineLevel="0" collapsed="false">
      <c r="A325" s="8" t="n">
        <f aca="false">A324+1</f>
        <v>45981</v>
      </c>
      <c r="B325" s="25" t="n">
        <f aca="false">YEAR(A325)</f>
        <v>2025</v>
      </c>
      <c r="C325" s="25" t="n">
        <f aca="false">MONTH(A325)</f>
        <v>11</v>
      </c>
      <c r="D325" s="0" t="str">
        <f aca="false">CHOOSE(C325,"Ene","Feb","Mar","Abr","May","Jun","Jul","Ago","Sep","Oct","Nov","Dic")</f>
        <v>Nov</v>
      </c>
      <c r="E325" s="0" t="str">
        <f aca="false">D325&amp;"-"&amp;RIGHT(B325,2)</f>
        <v>Nov-25</v>
      </c>
      <c r="F325" s="0" t="str">
        <f aca="false">"T"&amp;ROUNDUP(C325/3,0)</f>
        <v>T4</v>
      </c>
      <c r="G325" s="35" t="n">
        <f aca="false">DATE(B325,C325,1)</f>
        <v>45962</v>
      </c>
      <c r="H325" s="25" t="n">
        <f aca="false">IF(DAY(A325+1)=1,1,0)</f>
        <v>0</v>
      </c>
    </row>
    <row r="326" customFormat="false" ht="15" hidden="false" customHeight="false" outlineLevel="0" collapsed="false">
      <c r="A326" s="8" t="n">
        <f aca="false">A325+1</f>
        <v>45982</v>
      </c>
      <c r="B326" s="25" t="n">
        <f aca="false">YEAR(A326)</f>
        <v>2025</v>
      </c>
      <c r="C326" s="25" t="n">
        <f aca="false">MONTH(A326)</f>
        <v>11</v>
      </c>
      <c r="D326" s="0" t="str">
        <f aca="false">CHOOSE(C326,"Ene","Feb","Mar","Abr","May","Jun","Jul","Ago","Sep","Oct","Nov","Dic")</f>
        <v>Nov</v>
      </c>
      <c r="E326" s="0" t="str">
        <f aca="false">D326&amp;"-"&amp;RIGHT(B326,2)</f>
        <v>Nov-25</v>
      </c>
      <c r="F326" s="0" t="str">
        <f aca="false">"T"&amp;ROUNDUP(C326/3,0)</f>
        <v>T4</v>
      </c>
      <c r="G326" s="35" t="n">
        <f aca="false">DATE(B326,C326,1)</f>
        <v>45962</v>
      </c>
      <c r="H326" s="25" t="n">
        <f aca="false">IF(DAY(A326+1)=1,1,0)</f>
        <v>0</v>
      </c>
    </row>
    <row r="327" customFormat="false" ht="15" hidden="false" customHeight="false" outlineLevel="0" collapsed="false">
      <c r="A327" s="8" t="n">
        <f aca="false">A326+1</f>
        <v>45983</v>
      </c>
      <c r="B327" s="25" t="n">
        <f aca="false">YEAR(A327)</f>
        <v>2025</v>
      </c>
      <c r="C327" s="25" t="n">
        <f aca="false">MONTH(A327)</f>
        <v>11</v>
      </c>
      <c r="D327" s="0" t="str">
        <f aca="false">CHOOSE(C327,"Ene","Feb","Mar","Abr","May","Jun","Jul","Ago","Sep","Oct","Nov","Dic")</f>
        <v>Nov</v>
      </c>
      <c r="E327" s="0" t="str">
        <f aca="false">D327&amp;"-"&amp;RIGHT(B327,2)</f>
        <v>Nov-25</v>
      </c>
      <c r="F327" s="0" t="str">
        <f aca="false">"T"&amp;ROUNDUP(C327/3,0)</f>
        <v>T4</v>
      </c>
      <c r="G327" s="35" t="n">
        <f aca="false">DATE(B327,C327,1)</f>
        <v>45962</v>
      </c>
      <c r="H327" s="25" t="n">
        <f aca="false">IF(DAY(A327+1)=1,1,0)</f>
        <v>0</v>
      </c>
    </row>
    <row r="328" customFormat="false" ht="15" hidden="false" customHeight="false" outlineLevel="0" collapsed="false">
      <c r="A328" s="8" t="n">
        <f aca="false">A327+1</f>
        <v>45984</v>
      </c>
      <c r="B328" s="25" t="n">
        <f aca="false">YEAR(A328)</f>
        <v>2025</v>
      </c>
      <c r="C328" s="25" t="n">
        <f aca="false">MONTH(A328)</f>
        <v>11</v>
      </c>
      <c r="D328" s="0" t="str">
        <f aca="false">CHOOSE(C328,"Ene","Feb","Mar","Abr","May","Jun","Jul","Ago","Sep","Oct","Nov","Dic")</f>
        <v>Nov</v>
      </c>
      <c r="E328" s="0" t="str">
        <f aca="false">D328&amp;"-"&amp;RIGHT(B328,2)</f>
        <v>Nov-25</v>
      </c>
      <c r="F328" s="0" t="str">
        <f aca="false">"T"&amp;ROUNDUP(C328/3,0)</f>
        <v>T4</v>
      </c>
      <c r="G328" s="35" t="n">
        <f aca="false">DATE(B328,C328,1)</f>
        <v>45962</v>
      </c>
      <c r="H328" s="25" t="n">
        <f aca="false">IF(DAY(A328+1)=1,1,0)</f>
        <v>0</v>
      </c>
    </row>
    <row r="329" customFormat="false" ht="15" hidden="false" customHeight="false" outlineLevel="0" collapsed="false">
      <c r="A329" s="8" t="n">
        <f aca="false">A328+1</f>
        <v>45985</v>
      </c>
      <c r="B329" s="25" t="n">
        <f aca="false">YEAR(A329)</f>
        <v>2025</v>
      </c>
      <c r="C329" s="25" t="n">
        <f aca="false">MONTH(A329)</f>
        <v>11</v>
      </c>
      <c r="D329" s="0" t="str">
        <f aca="false">CHOOSE(C329,"Ene","Feb","Mar","Abr","May","Jun","Jul","Ago","Sep","Oct","Nov","Dic")</f>
        <v>Nov</v>
      </c>
      <c r="E329" s="0" t="str">
        <f aca="false">D329&amp;"-"&amp;RIGHT(B329,2)</f>
        <v>Nov-25</v>
      </c>
      <c r="F329" s="0" t="str">
        <f aca="false">"T"&amp;ROUNDUP(C329/3,0)</f>
        <v>T4</v>
      </c>
      <c r="G329" s="35" t="n">
        <f aca="false">DATE(B329,C329,1)</f>
        <v>45962</v>
      </c>
      <c r="H329" s="25" t="n">
        <f aca="false">IF(DAY(A329+1)=1,1,0)</f>
        <v>0</v>
      </c>
    </row>
    <row r="330" customFormat="false" ht="15" hidden="false" customHeight="false" outlineLevel="0" collapsed="false">
      <c r="A330" s="8" t="n">
        <f aca="false">A329+1</f>
        <v>45986</v>
      </c>
      <c r="B330" s="25" t="n">
        <f aca="false">YEAR(A330)</f>
        <v>2025</v>
      </c>
      <c r="C330" s="25" t="n">
        <f aca="false">MONTH(A330)</f>
        <v>11</v>
      </c>
      <c r="D330" s="0" t="str">
        <f aca="false">CHOOSE(C330,"Ene","Feb","Mar","Abr","May","Jun","Jul","Ago","Sep","Oct","Nov","Dic")</f>
        <v>Nov</v>
      </c>
      <c r="E330" s="0" t="str">
        <f aca="false">D330&amp;"-"&amp;RIGHT(B330,2)</f>
        <v>Nov-25</v>
      </c>
      <c r="F330" s="0" t="str">
        <f aca="false">"T"&amp;ROUNDUP(C330/3,0)</f>
        <v>T4</v>
      </c>
      <c r="G330" s="35" t="n">
        <f aca="false">DATE(B330,C330,1)</f>
        <v>45962</v>
      </c>
      <c r="H330" s="25" t="n">
        <f aca="false">IF(DAY(A330+1)=1,1,0)</f>
        <v>0</v>
      </c>
    </row>
    <row r="331" customFormat="false" ht="15" hidden="false" customHeight="false" outlineLevel="0" collapsed="false">
      <c r="A331" s="8" t="n">
        <f aca="false">A330+1</f>
        <v>45987</v>
      </c>
      <c r="B331" s="25" t="n">
        <f aca="false">YEAR(A331)</f>
        <v>2025</v>
      </c>
      <c r="C331" s="25" t="n">
        <f aca="false">MONTH(A331)</f>
        <v>11</v>
      </c>
      <c r="D331" s="0" t="str">
        <f aca="false">CHOOSE(C331,"Ene","Feb","Mar","Abr","May","Jun","Jul","Ago","Sep","Oct","Nov","Dic")</f>
        <v>Nov</v>
      </c>
      <c r="E331" s="0" t="str">
        <f aca="false">D331&amp;"-"&amp;RIGHT(B331,2)</f>
        <v>Nov-25</v>
      </c>
      <c r="F331" s="0" t="str">
        <f aca="false">"T"&amp;ROUNDUP(C331/3,0)</f>
        <v>T4</v>
      </c>
      <c r="G331" s="35" t="n">
        <f aca="false">DATE(B331,C331,1)</f>
        <v>45962</v>
      </c>
      <c r="H331" s="25" t="n">
        <f aca="false">IF(DAY(A331+1)=1,1,0)</f>
        <v>0</v>
      </c>
    </row>
    <row r="332" customFormat="false" ht="15" hidden="false" customHeight="false" outlineLevel="0" collapsed="false">
      <c r="A332" s="8" t="n">
        <f aca="false">A331+1</f>
        <v>45988</v>
      </c>
      <c r="B332" s="25" t="n">
        <f aca="false">YEAR(A332)</f>
        <v>2025</v>
      </c>
      <c r="C332" s="25" t="n">
        <f aca="false">MONTH(A332)</f>
        <v>11</v>
      </c>
      <c r="D332" s="0" t="str">
        <f aca="false">CHOOSE(C332,"Ene","Feb","Mar","Abr","May","Jun","Jul","Ago","Sep","Oct","Nov","Dic")</f>
        <v>Nov</v>
      </c>
      <c r="E332" s="0" t="str">
        <f aca="false">D332&amp;"-"&amp;RIGHT(B332,2)</f>
        <v>Nov-25</v>
      </c>
      <c r="F332" s="0" t="str">
        <f aca="false">"T"&amp;ROUNDUP(C332/3,0)</f>
        <v>T4</v>
      </c>
      <c r="G332" s="35" t="n">
        <f aca="false">DATE(B332,C332,1)</f>
        <v>45962</v>
      </c>
      <c r="H332" s="25" t="n">
        <f aca="false">IF(DAY(A332+1)=1,1,0)</f>
        <v>0</v>
      </c>
    </row>
    <row r="333" customFormat="false" ht="15" hidden="false" customHeight="false" outlineLevel="0" collapsed="false">
      <c r="A333" s="8" t="n">
        <f aca="false">A332+1</f>
        <v>45989</v>
      </c>
      <c r="B333" s="25" t="n">
        <f aca="false">YEAR(A333)</f>
        <v>2025</v>
      </c>
      <c r="C333" s="25" t="n">
        <f aca="false">MONTH(A333)</f>
        <v>11</v>
      </c>
      <c r="D333" s="0" t="str">
        <f aca="false">CHOOSE(C333,"Ene","Feb","Mar","Abr","May","Jun","Jul","Ago","Sep","Oct","Nov","Dic")</f>
        <v>Nov</v>
      </c>
      <c r="E333" s="0" t="str">
        <f aca="false">D333&amp;"-"&amp;RIGHT(B333,2)</f>
        <v>Nov-25</v>
      </c>
      <c r="F333" s="0" t="str">
        <f aca="false">"T"&amp;ROUNDUP(C333/3,0)</f>
        <v>T4</v>
      </c>
      <c r="G333" s="35" t="n">
        <f aca="false">DATE(B333,C333,1)</f>
        <v>45962</v>
      </c>
      <c r="H333" s="25" t="n">
        <f aca="false">IF(DAY(A333+1)=1,1,0)</f>
        <v>0</v>
      </c>
    </row>
    <row r="334" customFormat="false" ht="15" hidden="false" customHeight="false" outlineLevel="0" collapsed="false">
      <c r="A334" s="8" t="n">
        <f aca="false">A333+1</f>
        <v>45990</v>
      </c>
      <c r="B334" s="25" t="n">
        <f aca="false">YEAR(A334)</f>
        <v>2025</v>
      </c>
      <c r="C334" s="25" t="n">
        <f aca="false">MONTH(A334)</f>
        <v>11</v>
      </c>
      <c r="D334" s="0" t="str">
        <f aca="false">CHOOSE(C334,"Ene","Feb","Mar","Abr","May","Jun","Jul","Ago","Sep","Oct","Nov","Dic")</f>
        <v>Nov</v>
      </c>
      <c r="E334" s="0" t="str">
        <f aca="false">D334&amp;"-"&amp;RIGHT(B334,2)</f>
        <v>Nov-25</v>
      </c>
      <c r="F334" s="0" t="str">
        <f aca="false">"T"&amp;ROUNDUP(C334/3,0)</f>
        <v>T4</v>
      </c>
      <c r="G334" s="35" t="n">
        <f aca="false">DATE(B334,C334,1)</f>
        <v>45962</v>
      </c>
      <c r="H334" s="25" t="n">
        <f aca="false">IF(DAY(A334+1)=1,1,0)</f>
        <v>0</v>
      </c>
    </row>
    <row r="335" customFormat="false" ht="15" hidden="false" customHeight="false" outlineLevel="0" collapsed="false">
      <c r="A335" s="8" t="n">
        <f aca="false">A334+1</f>
        <v>45991</v>
      </c>
      <c r="B335" s="25" t="n">
        <f aca="false">YEAR(A335)</f>
        <v>2025</v>
      </c>
      <c r="C335" s="25" t="n">
        <f aca="false">MONTH(A335)</f>
        <v>11</v>
      </c>
      <c r="D335" s="0" t="str">
        <f aca="false">CHOOSE(C335,"Ene","Feb","Mar","Abr","May","Jun","Jul","Ago","Sep","Oct","Nov","Dic")</f>
        <v>Nov</v>
      </c>
      <c r="E335" s="0" t="str">
        <f aca="false">D335&amp;"-"&amp;RIGHT(B335,2)</f>
        <v>Nov-25</v>
      </c>
      <c r="F335" s="0" t="str">
        <f aca="false">"T"&amp;ROUNDUP(C335/3,0)</f>
        <v>T4</v>
      </c>
      <c r="G335" s="35" t="n">
        <f aca="false">DATE(B335,C335,1)</f>
        <v>45962</v>
      </c>
      <c r="H335" s="25" t="n">
        <f aca="false">IF(DAY(A335+1)=1,1,0)</f>
        <v>1</v>
      </c>
    </row>
    <row r="336" customFormat="false" ht="15" hidden="false" customHeight="false" outlineLevel="0" collapsed="false">
      <c r="A336" s="8" t="n">
        <f aca="false">A335+1</f>
        <v>45992</v>
      </c>
      <c r="B336" s="25" t="n">
        <f aca="false">YEAR(A336)</f>
        <v>2025</v>
      </c>
      <c r="C336" s="25" t="n">
        <f aca="false">MONTH(A336)</f>
        <v>12</v>
      </c>
      <c r="D336" s="0" t="str">
        <f aca="false">CHOOSE(C336,"Ene","Feb","Mar","Abr","May","Jun","Jul","Ago","Sep","Oct","Nov","Dic")</f>
        <v>Dic</v>
      </c>
      <c r="E336" s="0" t="str">
        <f aca="false">D336&amp;"-"&amp;RIGHT(B336,2)</f>
        <v>Dic-25</v>
      </c>
      <c r="F336" s="0" t="str">
        <f aca="false">"T"&amp;ROUNDUP(C336/3,0)</f>
        <v>T4</v>
      </c>
      <c r="G336" s="35" t="n">
        <f aca="false">DATE(B336,C336,1)</f>
        <v>45992</v>
      </c>
      <c r="H336" s="25" t="n">
        <f aca="false">IF(DAY(A336+1)=1,1,0)</f>
        <v>0</v>
      </c>
    </row>
    <row r="337" customFormat="false" ht="15" hidden="false" customHeight="false" outlineLevel="0" collapsed="false">
      <c r="A337" s="8" t="n">
        <f aca="false">A336+1</f>
        <v>45993</v>
      </c>
      <c r="B337" s="25" t="n">
        <f aca="false">YEAR(A337)</f>
        <v>2025</v>
      </c>
      <c r="C337" s="25" t="n">
        <f aca="false">MONTH(A337)</f>
        <v>12</v>
      </c>
      <c r="D337" s="0" t="str">
        <f aca="false">CHOOSE(C337,"Ene","Feb","Mar","Abr","May","Jun","Jul","Ago","Sep","Oct","Nov","Dic")</f>
        <v>Dic</v>
      </c>
      <c r="E337" s="0" t="str">
        <f aca="false">D337&amp;"-"&amp;RIGHT(B337,2)</f>
        <v>Dic-25</v>
      </c>
      <c r="F337" s="0" t="str">
        <f aca="false">"T"&amp;ROUNDUP(C337/3,0)</f>
        <v>T4</v>
      </c>
      <c r="G337" s="35" t="n">
        <f aca="false">DATE(B337,C337,1)</f>
        <v>45992</v>
      </c>
      <c r="H337" s="25" t="n">
        <f aca="false">IF(DAY(A337+1)=1,1,0)</f>
        <v>0</v>
      </c>
    </row>
    <row r="338" customFormat="false" ht="15" hidden="false" customHeight="false" outlineLevel="0" collapsed="false">
      <c r="A338" s="8" t="n">
        <f aca="false">A337+1</f>
        <v>45994</v>
      </c>
      <c r="B338" s="25" t="n">
        <f aca="false">YEAR(A338)</f>
        <v>2025</v>
      </c>
      <c r="C338" s="25" t="n">
        <f aca="false">MONTH(A338)</f>
        <v>12</v>
      </c>
      <c r="D338" s="0" t="str">
        <f aca="false">CHOOSE(C338,"Ene","Feb","Mar","Abr","May","Jun","Jul","Ago","Sep","Oct","Nov","Dic")</f>
        <v>Dic</v>
      </c>
      <c r="E338" s="0" t="str">
        <f aca="false">D338&amp;"-"&amp;RIGHT(B338,2)</f>
        <v>Dic-25</v>
      </c>
      <c r="F338" s="0" t="str">
        <f aca="false">"T"&amp;ROUNDUP(C338/3,0)</f>
        <v>T4</v>
      </c>
      <c r="G338" s="35" t="n">
        <f aca="false">DATE(B338,C338,1)</f>
        <v>45992</v>
      </c>
      <c r="H338" s="25" t="n">
        <f aca="false">IF(DAY(A338+1)=1,1,0)</f>
        <v>0</v>
      </c>
    </row>
    <row r="339" customFormat="false" ht="15" hidden="false" customHeight="false" outlineLevel="0" collapsed="false">
      <c r="A339" s="8" t="n">
        <f aca="false">A338+1</f>
        <v>45995</v>
      </c>
      <c r="B339" s="25" t="n">
        <f aca="false">YEAR(A339)</f>
        <v>2025</v>
      </c>
      <c r="C339" s="25" t="n">
        <f aca="false">MONTH(A339)</f>
        <v>12</v>
      </c>
      <c r="D339" s="0" t="str">
        <f aca="false">CHOOSE(C339,"Ene","Feb","Mar","Abr","May","Jun","Jul","Ago","Sep","Oct","Nov","Dic")</f>
        <v>Dic</v>
      </c>
      <c r="E339" s="0" t="str">
        <f aca="false">D339&amp;"-"&amp;RIGHT(B339,2)</f>
        <v>Dic-25</v>
      </c>
      <c r="F339" s="0" t="str">
        <f aca="false">"T"&amp;ROUNDUP(C339/3,0)</f>
        <v>T4</v>
      </c>
      <c r="G339" s="35" t="n">
        <f aca="false">DATE(B339,C339,1)</f>
        <v>45992</v>
      </c>
      <c r="H339" s="25" t="n">
        <f aca="false">IF(DAY(A339+1)=1,1,0)</f>
        <v>0</v>
      </c>
    </row>
    <row r="340" customFormat="false" ht="15" hidden="false" customHeight="false" outlineLevel="0" collapsed="false">
      <c r="A340" s="8" t="n">
        <f aca="false">A339+1</f>
        <v>45996</v>
      </c>
      <c r="B340" s="25" t="n">
        <f aca="false">YEAR(A340)</f>
        <v>2025</v>
      </c>
      <c r="C340" s="25" t="n">
        <f aca="false">MONTH(A340)</f>
        <v>12</v>
      </c>
      <c r="D340" s="0" t="str">
        <f aca="false">CHOOSE(C340,"Ene","Feb","Mar","Abr","May","Jun","Jul","Ago","Sep","Oct","Nov","Dic")</f>
        <v>Dic</v>
      </c>
      <c r="E340" s="0" t="str">
        <f aca="false">D340&amp;"-"&amp;RIGHT(B340,2)</f>
        <v>Dic-25</v>
      </c>
      <c r="F340" s="0" t="str">
        <f aca="false">"T"&amp;ROUNDUP(C340/3,0)</f>
        <v>T4</v>
      </c>
      <c r="G340" s="35" t="n">
        <f aca="false">DATE(B340,C340,1)</f>
        <v>45992</v>
      </c>
      <c r="H340" s="25" t="n">
        <f aca="false">IF(DAY(A340+1)=1,1,0)</f>
        <v>0</v>
      </c>
    </row>
    <row r="341" customFormat="false" ht="15" hidden="false" customHeight="false" outlineLevel="0" collapsed="false">
      <c r="A341" s="8" t="n">
        <f aca="false">A340+1</f>
        <v>45997</v>
      </c>
      <c r="B341" s="25" t="n">
        <f aca="false">YEAR(A341)</f>
        <v>2025</v>
      </c>
      <c r="C341" s="25" t="n">
        <f aca="false">MONTH(A341)</f>
        <v>12</v>
      </c>
      <c r="D341" s="0" t="str">
        <f aca="false">CHOOSE(C341,"Ene","Feb","Mar","Abr","May","Jun","Jul","Ago","Sep","Oct","Nov","Dic")</f>
        <v>Dic</v>
      </c>
      <c r="E341" s="0" t="str">
        <f aca="false">D341&amp;"-"&amp;RIGHT(B341,2)</f>
        <v>Dic-25</v>
      </c>
      <c r="F341" s="0" t="str">
        <f aca="false">"T"&amp;ROUNDUP(C341/3,0)</f>
        <v>T4</v>
      </c>
      <c r="G341" s="35" t="n">
        <f aca="false">DATE(B341,C341,1)</f>
        <v>45992</v>
      </c>
      <c r="H341" s="25" t="n">
        <f aca="false">IF(DAY(A341+1)=1,1,0)</f>
        <v>0</v>
      </c>
    </row>
    <row r="342" customFormat="false" ht="15" hidden="false" customHeight="false" outlineLevel="0" collapsed="false">
      <c r="A342" s="8" t="n">
        <f aca="false">A341+1</f>
        <v>45998</v>
      </c>
      <c r="B342" s="25" t="n">
        <f aca="false">YEAR(A342)</f>
        <v>2025</v>
      </c>
      <c r="C342" s="25" t="n">
        <f aca="false">MONTH(A342)</f>
        <v>12</v>
      </c>
      <c r="D342" s="0" t="str">
        <f aca="false">CHOOSE(C342,"Ene","Feb","Mar","Abr","May","Jun","Jul","Ago","Sep","Oct","Nov","Dic")</f>
        <v>Dic</v>
      </c>
      <c r="E342" s="0" t="str">
        <f aca="false">D342&amp;"-"&amp;RIGHT(B342,2)</f>
        <v>Dic-25</v>
      </c>
      <c r="F342" s="0" t="str">
        <f aca="false">"T"&amp;ROUNDUP(C342/3,0)</f>
        <v>T4</v>
      </c>
      <c r="G342" s="35" t="n">
        <f aca="false">DATE(B342,C342,1)</f>
        <v>45992</v>
      </c>
      <c r="H342" s="25" t="n">
        <f aca="false">IF(DAY(A342+1)=1,1,0)</f>
        <v>0</v>
      </c>
    </row>
    <row r="343" customFormat="false" ht="15" hidden="false" customHeight="false" outlineLevel="0" collapsed="false">
      <c r="A343" s="8" t="n">
        <f aca="false">A342+1</f>
        <v>45999</v>
      </c>
      <c r="B343" s="25" t="n">
        <f aca="false">YEAR(A343)</f>
        <v>2025</v>
      </c>
      <c r="C343" s="25" t="n">
        <f aca="false">MONTH(A343)</f>
        <v>12</v>
      </c>
      <c r="D343" s="0" t="str">
        <f aca="false">CHOOSE(C343,"Ene","Feb","Mar","Abr","May","Jun","Jul","Ago","Sep","Oct","Nov","Dic")</f>
        <v>Dic</v>
      </c>
      <c r="E343" s="0" t="str">
        <f aca="false">D343&amp;"-"&amp;RIGHT(B343,2)</f>
        <v>Dic-25</v>
      </c>
      <c r="F343" s="0" t="str">
        <f aca="false">"T"&amp;ROUNDUP(C343/3,0)</f>
        <v>T4</v>
      </c>
      <c r="G343" s="35" t="n">
        <f aca="false">DATE(B343,C343,1)</f>
        <v>45992</v>
      </c>
      <c r="H343" s="25" t="n">
        <f aca="false">IF(DAY(A343+1)=1,1,0)</f>
        <v>0</v>
      </c>
    </row>
    <row r="344" customFormat="false" ht="15" hidden="false" customHeight="false" outlineLevel="0" collapsed="false">
      <c r="A344" s="8" t="n">
        <f aca="false">A343+1</f>
        <v>46000</v>
      </c>
      <c r="B344" s="25" t="n">
        <f aca="false">YEAR(A344)</f>
        <v>2025</v>
      </c>
      <c r="C344" s="25" t="n">
        <f aca="false">MONTH(A344)</f>
        <v>12</v>
      </c>
      <c r="D344" s="0" t="str">
        <f aca="false">CHOOSE(C344,"Ene","Feb","Mar","Abr","May","Jun","Jul","Ago","Sep","Oct","Nov","Dic")</f>
        <v>Dic</v>
      </c>
      <c r="E344" s="0" t="str">
        <f aca="false">D344&amp;"-"&amp;RIGHT(B344,2)</f>
        <v>Dic-25</v>
      </c>
      <c r="F344" s="0" t="str">
        <f aca="false">"T"&amp;ROUNDUP(C344/3,0)</f>
        <v>T4</v>
      </c>
      <c r="G344" s="35" t="n">
        <f aca="false">DATE(B344,C344,1)</f>
        <v>45992</v>
      </c>
      <c r="H344" s="25" t="n">
        <f aca="false">IF(DAY(A344+1)=1,1,0)</f>
        <v>0</v>
      </c>
    </row>
    <row r="345" customFormat="false" ht="15" hidden="false" customHeight="false" outlineLevel="0" collapsed="false">
      <c r="A345" s="8" t="n">
        <f aca="false">A344+1</f>
        <v>46001</v>
      </c>
      <c r="B345" s="25" t="n">
        <f aca="false">YEAR(A345)</f>
        <v>2025</v>
      </c>
      <c r="C345" s="25" t="n">
        <f aca="false">MONTH(A345)</f>
        <v>12</v>
      </c>
      <c r="D345" s="0" t="str">
        <f aca="false">CHOOSE(C345,"Ene","Feb","Mar","Abr","May","Jun","Jul","Ago","Sep","Oct","Nov","Dic")</f>
        <v>Dic</v>
      </c>
      <c r="E345" s="0" t="str">
        <f aca="false">D345&amp;"-"&amp;RIGHT(B345,2)</f>
        <v>Dic-25</v>
      </c>
      <c r="F345" s="0" t="str">
        <f aca="false">"T"&amp;ROUNDUP(C345/3,0)</f>
        <v>T4</v>
      </c>
      <c r="G345" s="35" t="n">
        <f aca="false">DATE(B345,C345,1)</f>
        <v>45992</v>
      </c>
      <c r="H345" s="25" t="n">
        <f aca="false">IF(DAY(A345+1)=1,1,0)</f>
        <v>0</v>
      </c>
    </row>
    <row r="346" customFormat="false" ht="15" hidden="false" customHeight="false" outlineLevel="0" collapsed="false">
      <c r="A346" s="8" t="n">
        <f aca="false">A345+1</f>
        <v>46002</v>
      </c>
      <c r="B346" s="25" t="n">
        <f aca="false">YEAR(A346)</f>
        <v>2025</v>
      </c>
      <c r="C346" s="25" t="n">
        <f aca="false">MONTH(A346)</f>
        <v>12</v>
      </c>
      <c r="D346" s="0" t="str">
        <f aca="false">CHOOSE(C346,"Ene","Feb","Mar","Abr","May","Jun","Jul","Ago","Sep","Oct","Nov","Dic")</f>
        <v>Dic</v>
      </c>
      <c r="E346" s="0" t="str">
        <f aca="false">D346&amp;"-"&amp;RIGHT(B346,2)</f>
        <v>Dic-25</v>
      </c>
      <c r="F346" s="0" t="str">
        <f aca="false">"T"&amp;ROUNDUP(C346/3,0)</f>
        <v>T4</v>
      </c>
      <c r="G346" s="35" t="n">
        <f aca="false">DATE(B346,C346,1)</f>
        <v>45992</v>
      </c>
      <c r="H346" s="25" t="n">
        <f aca="false">IF(DAY(A346+1)=1,1,0)</f>
        <v>0</v>
      </c>
    </row>
    <row r="347" customFormat="false" ht="15" hidden="false" customHeight="false" outlineLevel="0" collapsed="false">
      <c r="A347" s="8" t="n">
        <f aca="false">A346+1</f>
        <v>46003</v>
      </c>
      <c r="B347" s="25" t="n">
        <f aca="false">YEAR(A347)</f>
        <v>2025</v>
      </c>
      <c r="C347" s="25" t="n">
        <f aca="false">MONTH(A347)</f>
        <v>12</v>
      </c>
      <c r="D347" s="0" t="str">
        <f aca="false">CHOOSE(C347,"Ene","Feb","Mar","Abr","May","Jun","Jul","Ago","Sep","Oct","Nov","Dic")</f>
        <v>Dic</v>
      </c>
      <c r="E347" s="0" t="str">
        <f aca="false">D347&amp;"-"&amp;RIGHT(B347,2)</f>
        <v>Dic-25</v>
      </c>
      <c r="F347" s="0" t="str">
        <f aca="false">"T"&amp;ROUNDUP(C347/3,0)</f>
        <v>T4</v>
      </c>
      <c r="G347" s="35" t="n">
        <f aca="false">DATE(B347,C347,1)</f>
        <v>45992</v>
      </c>
      <c r="H347" s="25" t="n">
        <f aca="false">IF(DAY(A347+1)=1,1,0)</f>
        <v>0</v>
      </c>
    </row>
    <row r="348" customFormat="false" ht="15" hidden="false" customHeight="false" outlineLevel="0" collapsed="false">
      <c r="A348" s="8" t="n">
        <f aca="false">A347+1</f>
        <v>46004</v>
      </c>
      <c r="B348" s="25" t="n">
        <f aca="false">YEAR(A348)</f>
        <v>2025</v>
      </c>
      <c r="C348" s="25" t="n">
        <f aca="false">MONTH(A348)</f>
        <v>12</v>
      </c>
      <c r="D348" s="0" t="str">
        <f aca="false">CHOOSE(C348,"Ene","Feb","Mar","Abr","May","Jun","Jul","Ago","Sep","Oct","Nov","Dic")</f>
        <v>Dic</v>
      </c>
      <c r="E348" s="0" t="str">
        <f aca="false">D348&amp;"-"&amp;RIGHT(B348,2)</f>
        <v>Dic-25</v>
      </c>
      <c r="F348" s="0" t="str">
        <f aca="false">"T"&amp;ROUNDUP(C348/3,0)</f>
        <v>T4</v>
      </c>
      <c r="G348" s="35" t="n">
        <f aca="false">DATE(B348,C348,1)</f>
        <v>45992</v>
      </c>
      <c r="H348" s="25" t="n">
        <f aca="false">IF(DAY(A348+1)=1,1,0)</f>
        <v>0</v>
      </c>
    </row>
    <row r="349" customFormat="false" ht="15" hidden="false" customHeight="false" outlineLevel="0" collapsed="false">
      <c r="A349" s="8" t="n">
        <f aca="false">A348+1</f>
        <v>46005</v>
      </c>
      <c r="B349" s="25" t="n">
        <f aca="false">YEAR(A349)</f>
        <v>2025</v>
      </c>
      <c r="C349" s="25" t="n">
        <f aca="false">MONTH(A349)</f>
        <v>12</v>
      </c>
      <c r="D349" s="0" t="str">
        <f aca="false">CHOOSE(C349,"Ene","Feb","Mar","Abr","May","Jun","Jul","Ago","Sep","Oct","Nov","Dic")</f>
        <v>Dic</v>
      </c>
      <c r="E349" s="0" t="str">
        <f aca="false">D349&amp;"-"&amp;RIGHT(B349,2)</f>
        <v>Dic-25</v>
      </c>
      <c r="F349" s="0" t="str">
        <f aca="false">"T"&amp;ROUNDUP(C349/3,0)</f>
        <v>T4</v>
      </c>
      <c r="G349" s="35" t="n">
        <f aca="false">DATE(B349,C349,1)</f>
        <v>45992</v>
      </c>
      <c r="H349" s="25" t="n">
        <f aca="false">IF(DAY(A349+1)=1,1,0)</f>
        <v>0</v>
      </c>
    </row>
    <row r="350" customFormat="false" ht="15" hidden="false" customHeight="false" outlineLevel="0" collapsed="false">
      <c r="A350" s="8" t="n">
        <f aca="false">A349+1</f>
        <v>46006</v>
      </c>
      <c r="B350" s="25" t="n">
        <f aca="false">YEAR(A350)</f>
        <v>2025</v>
      </c>
      <c r="C350" s="25" t="n">
        <f aca="false">MONTH(A350)</f>
        <v>12</v>
      </c>
      <c r="D350" s="0" t="str">
        <f aca="false">CHOOSE(C350,"Ene","Feb","Mar","Abr","May","Jun","Jul","Ago","Sep","Oct","Nov","Dic")</f>
        <v>Dic</v>
      </c>
      <c r="E350" s="0" t="str">
        <f aca="false">D350&amp;"-"&amp;RIGHT(B350,2)</f>
        <v>Dic-25</v>
      </c>
      <c r="F350" s="0" t="str">
        <f aca="false">"T"&amp;ROUNDUP(C350/3,0)</f>
        <v>T4</v>
      </c>
      <c r="G350" s="35" t="n">
        <f aca="false">DATE(B350,C350,1)</f>
        <v>45992</v>
      </c>
      <c r="H350" s="25" t="n">
        <f aca="false">IF(DAY(A350+1)=1,1,0)</f>
        <v>0</v>
      </c>
    </row>
    <row r="351" customFormat="false" ht="15" hidden="false" customHeight="false" outlineLevel="0" collapsed="false">
      <c r="A351" s="8" t="n">
        <f aca="false">A350+1</f>
        <v>46007</v>
      </c>
      <c r="B351" s="25" t="n">
        <f aca="false">YEAR(A351)</f>
        <v>2025</v>
      </c>
      <c r="C351" s="25" t="n">
        <f aca="false">MONTH(A351)</f>
        <v>12</v>
      </c>
      <c r="D351" s="0" t="str">
        <f aca="false">CHOOSE(C351,"Ene","Feb","Mar","Abr","May","Jun","Jul","Ago","Sep","Oct","Nov","Dic")</f>
        <v>Dic</v>
      </c>
      <c r="E351" s="0" t="str">
        <f aca="false">D351&amp;"-"&amp;RIGHT(B351,2)</f>
        <v>Dic-25</v>
      </c>
      <c r="F351" s="0" t="str">
        <f aca="false">"T"&amp;ROUNDUP(C351/3,0)</f>
        <v>T4</v>
      </c>
      <c r="G351" s="35" t="n">
        <f aca="false">DATE(B351,C351,1)</f>
        <v>45992</v>
      </c>
      <c r="H351" s="25" t="n">
        <f aca="false">IF(DAY(A351+1)=1,1,0)</f>
        <v>0</v>
      </c>
    </row>
    <row r="352" customFormat="false" ht="15" hidden="false" customHeight="false" outlineLevel="0" collapsed="false">
      <c r="A352" s="8" t="n">
        <f aca="false">A351+1</f>
        <v>46008</v>
      </c>
      <c r="B352" s="25" t="n">
        <f aca="false">YEAR(A352)</f>
        <v>2025</v>
      </c>
      <c r="C352" s="25" t="n">
        <f aca="false">MONTH(A352)</f>
        <v>12</v>
      </c>
      <c r="D352" s="0" t="str">
        <f aca="false">CHOOSE(C352,"Ene","Feb","Mar","Abr","May","Jun","Jul","Ago","Sep","Oct","Nov","Dic")</f>
        <v>Dic</v>
      </c>
      <c r="E352" s="0" t="str">
        <f aca="false">D352&amp;"-"&amp;RIGHT(B352,2)</f>
        <v>Dic-25</v>
      </c>
      <c r="F352" s="0" t="str">
        <f aca="false">"T"&amp;ROUNDUP(C352/3,0)</f>
        <v>T4</v>
      </c>
      <c r="G352" s="35" t="n">
        <f aca="false">DATE(B352,C352,1)</f>
        <v>45992</v>
      </c>
      <c r="H352" s="25" t="n">
        <f aca="false">IF(DAY(A352+1)=1,1,0)</f>
        <v>0</v>
      </c>
    </row>
    <row r="353" customFormat="false" ht="15" hidden="false" customHeight="false" outlineLevel="0" collapsed="false">
      <c r="A353" s="8" t="n">
        <f aca="false">A352+1</f>
        <v>46009</v>
      </c>
      <c r="B353" s="25" t="n">
        <f aca="false">YEAR(A353)</f>
        <v>2025</v>
      </c>
      <c r="C353" s="25" t="n">
        <f aca="false">MONTH(A353)</f>
        <v>12</v>
      </c>
      <c r="D353" s="0" t="str">
        <f aca="false">CHOOSE(C353,"Ene","Feb","Mar","Abr","May","Jun","Jul","Ago","Sep","Oct","Nov","Dic")</f>
        <v>Dic</v>
      </c>
      <c r="E353" s="0" t="str">
        <f aca="false">D353&amp;"-"&amp;RIGHT(B353,2)</f>
        <v>Dic-25</v>
      </c>
      <c r="F353" s="0" t="str">
        <f aca="false">"T"&amp;ROUNDUP(C353/3,0)</f>
        <v>T4</v>
      </c>
      <c r="G353" s="35" t="n">
        <f aca="false">DATE(B353,C353,1)</f>
        <v>45992</v>
      </c>
      <c r="H353" s="25" t="n">
        <f aca="false">IF(DAY(A353+1)=1,1,0)</f>
        <v>0</v>
      </c>
    </row>
    <row r="354" customFormat="false" ht="15" hidden="false" customHeight="false" outlineLevel="0" collapsed="false">
      <c r="A354" s="8" t="n">
        <f aca="false">A353+1</f>
        <v>46010</v>
      </c>
      <c r="B354" s="25" t="n">
        <f aca="false">YEAR(A354)</f>
        <v>2025</v>
      </c>
      <c r="C354" s="25" t="n">
        <f aca="false">MONTH(A354)</f>
        <v>12</v>
      </c>
      <c r="D354" s="0" t="str">
        <f aca="false">CHOOSE(C354,"Ene","Feb","Mar","Abr","May","Jun","Jul","Ago","Sep","Oct","Nov","Dic")</f>
        <v>Dic</v>
      </c>
      <c r="E354" s="0" t="str">
        <f aca="false">D354&amp;"-"&amp;RIGHT(B354,2)</f>
        <v>Dic-25</v>
      </c>
      <c r="F354" s="0" t="str">
        <f aca="false">"T"&amp;ROUNDUP(C354/3,0)</f>
        <v>T4</v>
      </c>
      <c r="G354" s="35" t="n">
        <f aca="false">DATE(B354,C354,1)</f>
        <v>45992</v>
      </c>
      <c r="H354" s="25" t="n">
        <f aca="false">IF(DAY(A354+1)=1,1,0)</f>
        <v>0</v>
      </c>
    </row>
    <row r="355" customFormat="false" ht="15" hidden="false" customHeight="false" outlineLevel="0" collapsed="false">
      <c r="A355" s="8" t="n">
        <f aca="false">A354+1</f>
        <v>46011</v>
      </c>
      <c r="B355" s="25" t="n">
        <f aca="false">YEAR(A355)</f>
        <v>2025</v>
      </c>
      <c r="C355" s="25" t="n">
        <f aca="false">MONTH(A355)</f>
        <v>12</v>
      </c>
      <c r="D355" s="0" t="str">
        <f aca="false">CHOOSE(C355,"Ene","Feb","Mar","Abr","May","Jun","Jul","Ago","Sep","Oct","Nov","Dic")</f>
        <v>Dic</v>
      </c>
      <c r="E355" s="0" t="str">
        <f aca="false">D355&amp;"-"&amp;RIGHT(B355,2)</f>
        <v>Dic-25</v>
      </c>
      <c r="F355" s="0" t="str">
        <f aca="false">"T"&amp;ROUNDUP(C355/3,0)</f>
        <v>T4</v>
      </c>
      <c r="G355" s="35" t="n">
        <f aca="false">DATE(B355,C355,1)</f>
        <v>45992</v>
      </c>
      <c r="H355" s="25" t="n">
        <f aca="false">IF(DAY(A355+1)=1,1,0)</f>
        <v>0</v>
      </c>
    </row>
    <row r="356" customFormat="false" ht="15" hidden="false" customHeight="false" outlineLevel="0" collapsed="false">
      <c r="A356" s="8" t="n">
        <f aca="false">A355+1</f>
        <v>46012</v>
      </c>
      <c r="B356" s="25" t="n">
        <f aca="false">YEAR(A356)</f>
        <v>2025</v>
      </c>
      <c r="C356" s="25" t="n">
        <f aca="false">MONTH(A356)</f>
        <v>12</v>
      </c>
      <c r="D356" s="0" t="str">
        <f aca="false">CHOOSE(C356,"Ene","Feb","Mar","Abr","May","Jun","Jul","Ago","Sep","Oct","Nov","Dic")</f>
        <v>Dic</v>
      </c>
      <c r="E356" s="0" t="str">
        <f aca="false">D356&amp;"-"&amp;RIGHT(B356,2)</f>
        <v>Dic-25</v>
      </c>
      <c r="F356" s="0" t="str">
        <f aca="false">"T"&amp;ROUNDUP(C356/3,0)</f>
        <v>T4</v>
      </c>
      <c r="G356" s="35" t="n">
        <f aca="false">DATE(B356,C356,1)</f>
        <v>45992</v>
      </c>
      <c r="H356" s="25" t="n">
        <f aca="false">IF(DAY(A356+1)=1,1,0)</f>
        <v>0</v>
      </c>
    </row>
    <row r="357" customFormat="false" ht="15" hidden="false" customHeight="false" outlineLevel="0" collapsed="false">
      <c r="A357" s="8" t="n">
        <f aca="false">A356+1</f>
        <v>46013</v>
      </c>
      <c r="B357" s="25" t="n">
        <f aca="false">YEAR(A357)</f>
        <v>2025</v>
      </c>
      <c r="C357" s="25" t="n">
        <f aca="false">MONTH(A357)</f>
        <v>12</v>
      </c>
      <c r="D357" s="0" t="str">
        <f aca="false">CHOOSE(C357,"Ene","Feb","Mar","Abr","May","Jun","Jul","Ago","Sep","Oct","Nov","Dic")</f>
        <v>Dic</v>
      </c>
      <c r="E357" s="0" t="str">
        <f aca="false">D357&amp;"-"&amp;RIGHT(B357,2)</f>
        <v>Dic-25</v>
      </c>
      <c r="F357" s="0" t="str">
        <f aca="false">"T"&amp;ROUNDUP(C357/3,0)</f>
        <v>T4</v>
      </c>
      <c r="G357" s="35" t="n">
        <f aca="false">DATE(B357,C357,1)</f>
        <v>45992</v>
      </c>
      <c r="H357" s="25" t="n">
        <f aca="false">IF(DAY(A357+1)=1,1,0)</f>
        <v>0</v>
      </c>
    </row>
    <row r="358" customFormat="false" ht="15" hidden="false" customHeight="false" outlineLevel="0" collapsed="false">
      <c r="A358" s="8" t="n">
        <f aca="false">A357+1</f>
        <v>46014</v>
      </c>
      <c r="B358" s="25" t="n">
        <f aca="false">YEAR(A358)</f>
        <v>2025</v>
      </c>
      <c r="C358" s="25" t="n">
        <f aca="false">MONTH(A358)</f>
        <v>12</v>
      </c>
      <c r="D358" s="0" t="str">
        <f aca="false">CHOOSE(C358,"Ene","Feb","Mar","Abr","May","Jun","Jul","Ago","Sep","Oct","Nov","Dic")</f>
        <v>Dic</v>
      </c>
      <c r="E358" s="0" t="str">
        <f aca="false">D358&amp;"-"&amp;RIGHT(B358,2)</f>
        <v>Dic-25</v>
      </c>
      <c r="F358" s="0" t="str">
        <f aca="false">"T"&amp;ROUNDUP(C358/3,0)</f>
        <v>T4</v>
      </c>
      <c r="G358" s="35" t="n">
        <f aca="false">DATE(B358,C358,1)</f>
        <v>45992</v>
      </c>
      <c r="H358" s="25" t="n">
        <f aca="false">IF(DAY(A358+1)=1,1,0)</f>
        <v>0</v>
      </c>
    </row>
    <row r="359" customFormat="false" ht="15" hidden="false" customHeight="false" outlineLevel="0" collapsed="false">
      <c r="A359" s="8" t="n">
        <f aca="false">A358+1</f>
        <v>46015</v>
      </c>
      <c r="B359" s="25" t="n">
        <f aca="false">YEAR(A359)</f>
        <v>2025</v>
      </c>
      <c r="C359" s="25" t="n">
        <f aca="false">MONTH(A359)</f>
        <v>12</v>
      </c>
      <c r="D359" s="0" t="str">
        <f aca="false">CHOOSE(C359,"Ene","Feb","Mar","Abr","May","Jun","Jul","Ago","Sep","Oct","Nov","Dic")</f>
        <v>Dic</v>
      </c>
      <c r="E359" s="0" t="str">
        <f aca="false">D359&amp;"-"&amp;RIGHT(B359,2)</f>
        <v>Dic-25</v>
      </c>
      <c r="F359" s="0" t="str">
        <f aca="false">"T"&amp;ROUNDUP(C359/3,0)</f>
        <v>T4</v>
      </c>
      <c r="G359" s="35" t="n">
        <f aca="false">DATE(B359,C359,1)</f>
        <v>45992</v>
      </c>
      <c r="H359" s="25" t="n">
        <f aca="false">IF(DAY(A359+1)=1,1,0)</f>
        <v>0</v>
      </c>
    </row>
    <row r="360" customFormat="false" ht="15" hidden="false" customHeight="false" outlineLevel="0" collapsed="false">
      <c r="A360" s="8" t="n">
        <f aca="false">A359+1</f>
        <v>46016</v>
      </c>
      <c r="B360" s="25" t="n">
        <f aca="false">YEAR(A360)</f>
        <v>2025</v>
      </c>
      <c r="C360" s="25" t="n">
        <f aca="false">MONTH(A360)</f>
        <v>12</v>
      </c>
      <c r="D360" s="0" t="str">
        <f aca="false">CHOOSE(C360,"Ene","Feb","Mar","Abr","May","Jun","Jul","Ago","Sep","Oct","Nov","Dic")</f>
        <v>Dic</v>
      </c>
      <c r="E360" s="0" t="str">
        <f aca="false">D360&amp;"-"&amp;RIGHT(B360,2)</f>
        <v>Dic-25</v>
      </c>
      <c r="F360" s="0" t="str">
        <f aca="false">"T"&amp;ROUNDUP(C360/3,0)</f>
        <v>T4</v>
      </c>
      <c r="G360" s="35" t="n">
        <f aca="false">DATE(B360,C360,1)</f>
        <v>45992</v>
      </c>
      <c r="H360" s="25" t="n">
        <f aca="false">IF(DAY(A360+1)=1,1,0)</f>
        <v>0</v>
      </c>
    </row>
    <row r="361" customFormat="false" ht="15" hidden="false" customHeight="false" outlineLevel="0" collapsed="false">
      <c r="A361" s="8" t="n">
        <f aca="false">A360+1</f>
        <v>46017</v>
      </c>
      <c r="B361" s="25" t="n">
        <f aca="false">YEAR(A361)</f>
        <v>2025</v>
      </c>
      <c r="C361" s="25" t="n">
        <f aca="false">MONTH(A361)</f>
        <v>12</v>
      </c>
      <c r="D361" s="0" t="str">
        <f aca="false">CHOOSE(C361,"Ene","Feb","Mar","Abr","May","Jun","Jul","Ago","Sep","Oct","Nov","Dic")</f>
        <v>Dic</v>
      </c>
      <c r="E361" s="0" t="str">
        <f aca="false">D361&amp;"-"&amp;RIGHT(B361,2)</f>
        <v>Dic-25</v>
      </c>
      <c r="F361" s="0" t="str">
        <f aca="false">"T"&amp;ROUNDUP(C361/3,0)</f>
        <v>T4</v>
      </c>
      <c r="G361" s="35" t="n">
        <f aca="false">DATE(B361,C361,1)</f>
        <v>45992</v>
      </c>
      <c r="H361" s="25" t="n">
        <f aca="false">IF(DAY(A361+1)=1,1,0)</f>
        <v>0</v>
      </c>
    </row>
    <row r="362" customFormat="false" ht="15" hidden="false" customHeight="false" outlineLevel="0" collapsed="false">
      <c r="A362" s="8" t="n">
        <f aca="false">A361+1</f>
        <v>46018</v>
      </c>
      <c r="B362" s="25" t="n">
        <f aca="false">YEAR(A362)</f>
        <v>2025</v>
      </c>
      <c r="C362" s="25" t="n">
        <f aca="false">MONTH(A362)</f>
        <v>12</v>
      </c>
      <c r="D362" s="0" t="str">
        <f aca="false">CHOOSE(C362,"Ene","Feb","Mar","Abr","May","Jun","Jul","Ago","Sep","Oct","Nov","Dic")</f>
        <v>Dic</v>
      </c>
      <c r="E362" s="0" t="str">
        <f aca="false">D362&amp;"-"&amp;RIGHT(B362,2)</f>
        <v>Dic-25</v>
      </c>
      <c r="F362" s="0" t="str">
        <f aca="false">"T"&amp;ROUNDUP(C362/3,0)</f>
        <v>T4</v>
      </c>
      <c r="G362" s="35" t="n">
        <f aca="false">DATE(B362,C362,1)</f>
        <v>45992</v>
      </c>
      <c r="H362" s="25" t="n">
        <f aca="false">IF(DAY(A362+1)=1,1,0)</f>
        <v>0</v>
      </c>
    </row>
    <row r="363" customFormat="false" ht="15" hidden="false" customHeight="false" outlineLevel="0" collapsed="false">
      <c r="A363" s="8" t="n">
        <f aca="false">A362+1</f>
        <v>46019</v>
      </c>
      <c r="B363" s="25" t="n">
        <f aca="false">YEAR(A363)</f>
        <v>2025</v>
      </c>
      <c r="C363" s="25" t="n">
        <f aca="false">MONTH(A363)</f>
        <v>12</v>
      </c>
      <c r="D363" s="0" t="str">
        <f aca="false">CHOOSE(C363,"Ene","Feb","Mar","Abr","May","Jun","Jul","Ago","Sep","Oct","Nov","Dic")</f>
        <v>Dic</v>
      </c>
      <c r="E363" s="0" t="str">
        <f aca="false">D363&amp;"-"&amp;RIGHT(B363,2)</f>
        <v>Dic-25</v>
      </c>
      <c r="F363" s="0" t="str">
        <f aca="false">"T"&amp;ROUNDUP(C363/3,0)</f>
        <v>T4</v>
      </c>
      <c r="G363" s="35" t="n">
        <f aca="false">DATE(B363,C363,1)</f>
        <v>45992</v>
      </c>
      <c r="H363" s="25" t="n">
        <f aca="false">IF(DAY(A363+1)=1,1,0)</f>
        <v>0</v>
      </c>
    </row>
    <row r="364" customFormat="false" ht="15" hidden="false" customHeight="false" outlineLevel="0" collapsed="false">
      <c r="A364" s="8" t="n">
        <f aca="false">A363+1</f>
        <v>46020</v>
      </c>
      <c r="B364" s="25" t="n">
        <f aca="false">YEAR(A364)</f>
        <v>2025</v>
      </c>
      <c r="C364" s="25" t="n">
        <f aca="false">MONTH(A364)</f>
        <v>12</v>
      </c>
      <c r="D364" s="0" t="str">
        <f aca="false">CHOOSE(C364,"Ene","Feb","Mar","Abr","May","Jun","Jul","Ago","Sep","Oct","Nov","Dic")</f>
        <v>Dic</v>
      </c>
      <c r="E364" s="0" t="str">
        <f aca="false">D364&amp;"-"&amp;RIGHT(B364,2)</f>
        <v>Dic-25</v>
      </c>
      <c r="F364" s="0" t="str">
        <f aca="false">"T"&amp;ROUNDUP(C364/3,0)</f>
        <v>T4</v>
      </c>
      <c r="G364" s="35" t="n">
        <f aca="false">DATE(B364,C364,1)</f>
        <v>45992</v>
      </c>
      <c r="H364" s="25" t="n">
        <f aca="false">IF(DAY(A364+1)=1,1,0)</f>
        <v>0</v>
      </c>
    </row>
    <row r="365" customFormat="false" ht="15" hidden="false" customHeight="false" outlineLevel="0" collapsed="false">
      <c r="A365" s="8" t="n">
        <f aca="false">A364+1</f>
        <v>46021</v>
      </c>
      <c r="B365" s="25" t="n">
        <f aca="false">YEAR(A365)</f>
        <v>2025</v>
      </c>
      <c r="C365" s="25" t="n">
        <f aca="false">MONTH(A365)</f>
        <v>12</v>
      </c>
      <c r="D365" s="0" t="str">
        <f aca="false">CHOOSE(C365,"Ene","Feb","Mar","Abr","May","Jun","Jul","Ago","Sep","Oct","Nov","Dic")</f>
        <v>Dic</v>
      </c>
      <c r="E365" s="0" t="str">
        <f aca="false">D365&amp;"-"&amp;RIGHT(B365,2)</f>
        <v>Dic-25</v>
      </c>
      <c r="F365" s="0" t="str">
        <f aca="false">"T"&amp;ROUNDUP(C365/3,0)</f>
        <v>T4</v>
      </c>
      <c r="G365" s="35" t="n">
        <f aca="false">DATE(B365,C365,1)</f>
        <v>45992</v>
      </c>
      <c r="H365" s="25" t="n">
        <f aca="false">IF(DAY(A365+1)=1,1,0)</f>
        <v>0</v>
      </c>
    </row>
    <row r="366" customFormat="false" ht="15" hidden="false" customHeight="false" outlineLevel="0" collapsed="false">
      <c r="A366" s="8" t="n">
        <f aca="false">A365+1</f>
        <v>46022</v>
      </c>
      <c r="B366" s="25" t="n">
        <f aca="false">YEAR(A366)</f>
        <v>2025</v>
      </c>
      <c r="C366" s="25" t="n">
        <f aca="false">MONTH(A366)</f>
        <v>12</v>
      </c>
      <c r="D366" s="0" t="str">
        <f aca="false">CHOOSE(C366,"Ene","Feb","Mar","Abr","May","Jun","Jul","Ago","Sep","Oct","Nov","Dic")</f>
        <v>Dic</v>
      </c>
      <c r="E366" s="0" t="str">
        <f aca="false">D366&amp;"-"&amp;RIGHT(B366,2)</f>
        <v>Dic-25</v>
      </c>
      <c r="F366" s="0" t="str">
        <f aca="false">"T"&amp;ROUNDUP(C366/3,0)</f>
        <v>T4</v>
      </c>
      <c r="G366" s="35" t="n">
        <f aca="false">DATE(B366,C366,1)</f>
        <v>45992</v>
      </c>
      <c r="H366" s="25" t="n">
        <f aca="false">IF(DAY(A366+1)=1,1,0)</f>
        <v>1</v>
      </c>
    </row>
    <row r="367" customFormat="false" ht="15" hidden="false" customHeight="false" outlineLevel="0" collapsed="false">
      <c r="A367" s="8" t="n">
        <f aca="false">A366+1</f>
        <v>46023</v>
      </c>
      <c r="B367" s="25" t="n">
        <f aca="false">YEAR(A367)</f>
        <v>2026</v>
      </c>
      <c r="C367" s="25" t="n">
        <f aca="false">MONTH(A367)</f>
        <v>1</v>
      </c>
      <c r="D367" s="0" t="str">
        <f aca="false">CHOOSE(C367,"Ene","Feb","Mar","Abr","May","Jun","Jul","Ago","Sep","Oct","Nov","Dic")</f>
        <v>Ene</v>
      </c>
      <c r="E367" s="0" t="str">
        <f aca="false">D367&amp;"-"&amp;RIGHT(B367,2)</f>
        <v>Ene-26</v>
      </c>
      <c r="F367" s="0" t="str">
        <f aca="false">"T"&amp;ROUNDUP(C367/3,0)</f>
        <v>T1</v>
      </c>
      <c r="G367" s="35" t="n">
        <f aca="false">DATE(B367,C367,1)</f>
        <v>46023</v>
      </c>
      <c r="H367" s="25" t="n">
        <f aca="false">IF(DAY(A367+1)=1,1,0)</f>
        <v>0</v>
      </c>
    </row>
    <row r="368" customFormat="false" ht="15" hidden="false" customHeight="false" outlineLevel="0" collapsed="false">
      <c r="A368" s="8" t="n">
        <f aca="false">A367+1</f>
        <v>46024</v>
      </c>
      <c r="B368" s="25" t="n">
        <f aca="false">YEAR(A368)</f>
        <v>2026</v>
      </c>
      <c r="C368" s="25" t="n">
        <f aca="false">MONTH(A368)</f>
        <v>1</v>
      </c>
      <c r="D368" s="0" t="str">
        <f aca="false">CHOOSE(C368,"Ene","Feb","Mar","Abr","May","Jun","Jul","Ago","Sep","Oct","Nov","Dic")</f>
        <v>Ene</v>
      </c>
      <c r="E368" s="0" t="str">
        <f aca="false">D368&amp;"-"&amp;RIGHT(B368,2)</f>
        <v>Ene-26</v>
      </c>
      <c r="F368" s="0" t="str">
        <f aca="false">"T"&amp;ROUNDUP(C368/3,0)</f>
        <v>T1</v>
      </c>
      <c r="G368" s="35" t="n">
        <f aca="false">DATE(B368,C368,1)</f>
        <v>46023</v>
      </c>
      <c r="H368" s="25" t="n">
        <f aca="false">IF(DAY(A368+1)=1,1,0)</f>
        <v>0</v>
      </c>
    </row>
    <row r="369" customFormat="false" ht="15" hidden="false" customHeight="false" outlineLevel="0" collapsed="false">
      <c r="A369" s="8" t="n">
        <f aca="false">A368+1</f>
        <v>46025</v>
      </c>
      <c r="B369" s="25" t="n">
        <f aca="false">YEAR(A369)</f>
        <v>2026</v>
      </c>
      <c r="C369" s="25" t="n">
        <f aca="false">MONTH(A369)</f>
        <v>1</v>
      </c>
      <c r="D369" s="0" t="str">
        <f aca="false">CHOOSE(C369,"Ene","Feb","Mar","Abr","May","Jun","Jul","Ago","Sep","Oct","Nov","Dic")</f>
        <v>Ene</v>
      </c>
      <c r="E369" s="0" t="str">
        <f aca="false">D369&amp;"-"&amp;RIGHT(B369,2)</f>
        <v>Ene-26</v>
      </c>
      <c r="F369" s="0" t="str">
        <f aca="false">"T"&amp;ROUNDUP(C369/3,0)</f>
        <v>T1</v>
      </c>
      <c r="G369" s="35" t="n">
        <f aca="false">DATE(B369,C369,1)</f>
        <v>46023</v>
      </c>
      <c r="H369" s="25" t="n">
        <f aca="false">IF(DAY(A369+1)=1,1,0)</f>
        <v>0</v>
      </c>
    </row>
    <row r="370" customFormat="false" ht="15" hidden="false" customHeight="false" outlineLevel="0" collapsed="false">
      <c r="A370" s="8" t="n">
        <f aca="false">A369+1</f>
        <v>46026</v>
      </c>
      <c r="B370" s="25" t="n">
        <f aca="false">YEAR(A370)</f>
        <v>2026</v>
      </c>
      <c r="C370" s="25" t="n">
        <f aca="false">MONTH(A370)</f>
        <v>1</v>
      </c>
      <c r="D370" s="0" t="str">
        <f aca="false">CHOOSE(C370,"Ene","Feb","Mar","Abr","May","Jun","Jul","Ago","Sep","Oct","Nov","Dic")</f>
        <v>Ene</v>
      </c>
      <c r="E370" s="0" t="str">
        <f aca="false">D370&amp;"-"&amp;RIGHT(B370,2)</f>
        <v>Ene-26</v>
      </c>
      <c r="F370" s="0" t="str">
        <f aca="false">"T"&amp;ROUNDUP(C370/3,0)</f>
        <v>T1</v>
      </c>
      <c r="G370" s="35" t="n">
        <f aca="false">DATE(B370,C370,1)</f>
        <v>46023</v>
      </c>
      <c r="H370" s="25" t="n">
        <f aca="false">IF(DAY(A370+1)=1,1,0)</f>
        <v>0</v>
      </c>
    </row>
    <row r="371" customFormat="false" ht="15" hidden="false" customHeight="false" outlineLevel="0" collapsed="false">
      <c r="A371" s="8" t="n">
        <f aca="false">A370+1</f>
        <v>46027</v>
      </c>
      <c r="B371" s="25" t="n">
        <f aca="false">YEAR(A371)</f>
        <v>2026</v>
      </c>
      <c r="C371" s="25" t="n">
        <f aca="false">MONTH(A371)</f>
        <v>1</v>
      </c>
      <c r="D371" s="0" t="str">
        <f aca="false">CHOOSE(C371,"Ene","Feb","Mar","Abr","May","Jun","Jul","Ago","Sep","Oct","Nov","Dic")</f>
        <v>Ene</v>
      </c>
      <c r="E371" s="0" t="str">
        <f aca="false">D371&amp;"-"&amp;RIGHT(B371,2)</f>
        <v>Ene-26</v>
      </c>
      <c r="F371" s="0" t="str">
        <f aca="false">"T"&amp;ROUNDUP(C371/3,0)</f>
        <v>T1</v>
      </c>
      <c r="G371" s="35" t="n">
        <f aca="false">DATE(B371,C371,1)</f>
        <v>46023</v>
      </c>
      <c r="H371" s="25" t="n">
        <f aca="false">IF(DAY(A371+1)=1,1,0)</f>
        <v>0</v>
      </c>
    </row>
    <row r="372" customFormat="false" ht="15" hidden="false" customHeight="false" outlineLevel="0" collapsed="false">
      <c r="A372" s="8" t="n">
        <f aca="false">A371+1</f>
        <v>46028</v>
      </c>
      <c r="B372" s="25" t="n">
        <f aca="false">YEAR(A372)</f>
        <v>2026</v>
      </c>
      <c r="C372" s="25" t="n">
        <f aca="false">MONTH(A372)</f>
        <v>1</v>
      </c>
      <c r="D372" s="0" t="str">
        <f aca="false">CHOOSE(C372,"Ene","Feb","Mar","Abr","May","Jun","Jul","Ago","Sep","Oct","Nov","Dic")</f>
        <v>Ene</v>
      </c>
      <c r="E372" s="0" t="str">
        <f aca="false">D372&amp;"-"&amp;RIGHT(B372,2)</f>
        <v>Ene-26</v>
      </c>
      <c r="F372" s="0" t="str">
        <f aca="false">"T"&amp;ROUNDUP(C372/3,0)</f>
        <v>T1</v>
      </c>
      <c r="G372" s="35" t="n">
        <f aca="false">DATE(B372,C372,1)</f>
        <v>46023</v>
      </c>
      <c r="H372" s="25" t="n">
        <f aca="false">IF(DAY(A372+1)=1,1,0)</f>
        <v>0</v>
      </c>
    </row>
    <row r="373" customFormat="false" ht="15" hidden="false" customHeight="false" outlineLevel="0" collapsed="false">
      <c r="A373" s="8" t="n">
        <f aca="false">A372+1</f>
        <v>46029</v>
      </c>
      <c r="B373" s="25" t="n">
        <f aca="false">YEAR(A373)</f>
        <v>2026</v>
      </c>
      <c r="C373" s="25" t="n">
        <f aca="false">MONTH(A373)</f>
        <v>1</v>
      </c>
      <c r="D373" s="0" t="str">
        <f aca="false">CHOOSE(C373,"Ene","Feb","Mar","Abr","May","Jun","Jul","Ago","Sep","Oct","Nov","Dic")</f>
        <v>Ene</v>
      </c>
      <c r="E373" s="0" t="str">
        <f aca="false">D373&amp;"-"&amp;RIGHT(B373,2)</f>
        <v>Ene-26</v>
      </c>
      <c r="F373" s="0" t="str">
        <f aca="false">"T"&amp;ROUNDUP(C373/3,0)</f>
        <v>T1</v>
      </c>
      <c r="G373" s="35" t="n">
        <f aca="false">DATE(B373,C373,1)</f>
        <v>46023</v>
      </c>
      <c r="H373" s="25" t="n">
        <f aca="false">IF(DAY(A373+1)=1,1,0)</f>
        <v>0</v>
      </c>
    </row>
    <row r="374" customFormat="false" ht="15" hidden="false" customHeight="false" outlineLevel="0" collapsed="false">
      <c r="A374" s="8" t="n">
        <f aca="false">A373+1</f>
        <v>46030</v>
      </c>
      <c r="B374" s="25" t="n">
        <f aca="false">YEAR(A374)</f>
        <v>2026</v>
      </c>
      <c r="C374" s="25" t="n">
        <f aca="false">MONTH(A374)</f>
        <v>1</v>
      </c>
      <c r="D374" s="0" t="str">
        <f aca="false">CHOOSE(C374,"Ene","Feb","Mar","Abr","May","Jun","Jul","Ago","Sep","Oct","Nov","Dic")</f>
        <v>Ene</v>
      </c>
      <c r="E374" s="0" t="str">
        <f aca="false">D374&amp;"-"&amp;RIGHT(B374,2)</f>
        <v>Ene-26</v>
      </c>
      <c r="F374" s="0" t="str">
        <f aca="false">"T"&amp;ROUNDUP(C374/3,0)</f>
        <v>T1</v>
      </c>
      <c r="G374" s="35" t="n">
        <f aca="false">DATE(B374,C374,1)</f>
        <v>46023</v>
      </c>
      <c r="H374" s="25" t="n">
        <f aca="false">IF(DAY(A374+1)=1,1,0)</f>
        <v>0</v>
      </c>
    </row>
    <row r="375" customFormat="false" ht="15" hidden="false" customHeight="false" outlineLevel="0" collapsed="false">
      <c r="A375" s="8" t="n">
        <f aca="false">A374+1</f>
        <v>46031</v>
      </c>
      <c r="B375" s="25" t="n">
        <f aca="false">YEAR(A375)</f>
        <v>2026</v>
      </c>
      <c r="C375" s="25" t="n">
        <f aca="false">MONTH(A375)</f>
        <v>1</v>
      </c>
      <c r="D375" s="0" t="str">
        <f aca="false">CHOOSE(C375,"Ene","Feb","Mar","Abr","May","Jun","Jul","Ago","Sep","Oct","Nov","Dic")</f>
        <v>Ene</v>
      </c>
      <c r="E375" s="0" t="str">
        <f aca="false">D375&amp;"-"&amp;RIGHT(B375,2)</f>
        <v>Ene-26</v>
      </c>
      <c r="F375" s="0" t="str">
        <f aca="false">"T"&amp;ROUNDUP(C375/3,0)</f>
        <v>T1</v>
      </c>
      <c r="G375" s="35" t="n">
        <f aca="false">DATE(B375,C375,1)</f>
        <v>46023</v>
      </c>
      <c r="H375" s="25" t="n">
        <f aca="false">IF(DAY(A375+1)=1,1,0)</f>
        <v>0</v>
      </c>
    </row>
    <row r="376" customFormat="false" ht="15" hidden="false" customHeight="false" outlineLevel="0" collapsed="false">
      <c r="A376" s="8" t="n">
        <f aca="false">A375+1</f>
        <v>46032</v>
      </c>
      <c r="B376" s="25" t="n">
        <f aca="false">YEAR(A376)</f>
        <v>2026</v>
      </c>
      <c r="C376" s="25" t="n">
        <f aca="false">MONTH(A376)</f>
        <v>1</v>
      </c>
      <c r="D376" s="0" t="str">
        <f aca="false">CHOOSE(C376,"Ene","Feb","Mar","Abr","May","Jun","Jul","Ago","Sep","Oct","Nov","Dic")</f>
        <v>Ene</v>
      </c>
      <c r="E376" s="0" t="str">
        <f aca="false">D376&amp;"-"&amp;RIGHT(B376,2)</f>
        <v>Ene-26</v>
      </c>
      <c r="F376" s="0" t="str">
        <f aca="false">"T"&amp;ROUNDUP(C376/3,0)</f>
        <v>T1</v>
      </c>
      <c r="G376" s="35" t="n">
        <f aca="false">DATE(B376,C376,1)</f>
        <v>46023</v>
      </c>
      <c r="H376" s="25" t="n">
        <f aca="false">IF(DAY(A376+1)=1,1,0)</f>
        <v>0</v>
      </c>
    </row>
    <row r="377" customFormat="false" ht="15" hidden="false" customHeight="false" outlineLevel="0" collapsed="false">
      <c r="A377" s="8" t="n">
        <f aca="false">A376+1</f>
        <v>46033</v>
      </c>
      <c r="B377" s="25" t="n">
        <f aca="false">YEAR(A377)</f>
        <v>2026</v>
      </c>
      <c r="C377" s="25" t="n">
        <f aca="false">MONTH(A377)</f>
        <v>1</v>
      </c>
      <c r="D377" s="0" t="str">
        <f aca="false">CHOOSE(C377,"Ene","Feb","Mar","Abr","May","Jun","Jul","Ago","Sep","Oct","Nov","Dic")</f>
        <v>Ene</v>
      </c>
      <c r="E377" s="0" t="str">
        <f aca="false">D377&amp;"-"&amp;RIGHT(B377,2)</f>
        <v>Ene-26</v>
      </c>
      <c r="F377" s="0" t="str">
        <f aca="false">"T"&amp;ROUNDUP(C377/3,0)</f>
        <v>T1</v>
      </c>
      <c r="G377" s="35" t="n">
        <f aca="false">DATE(B377,C377,1)</f>
        <v>46023</v>
      </c>
      <c r="H377" s="25" t="n">
        <f aca="false">IF(DAY(A377+1)=1,1,0)</f>
        <v>0</v>
      </c>
    </row>
    <row r="378" customFormat="false" ht="15" hidden="false" customHeight="false" outlineLevel="0" collapsed="false">
      <c r="A378" s="8" t="n">
        <f aca="false">A377+1</f>
        <v>46034</v>
      </c>
      <c r="B378" s="25" t="n">
        <f aca="false">YEAR(A378)</f>
        <v>2026</v>
      </c>
      <c r="C378" s="25" t="n">
        <f aca="false">MONTH(A378)</f>
        <v>1</v>
      </c>
      <c r="D378" s="0" t="str">
        <f aca="false">CHOOSE(C378,"Ene","Feb","Mar","Abr","May","Jun","Jul","Ago","Sep","Oct","Nov","Dic")</f>
        <v>Ene</v>
      </c>
      <c r="E378" s="0" t="str">
        <f aca="false">D378&amp;"-"&amp;RIGHT(B378,2)</f>
        <v>Ene-26</v>
      </c>
      <c r="F378" s="0" t="str">
        <f aca="false">"T"&amp;ROUNDUP(C378/3,0)</f>
        <v>T1</v>
      </c>
      <c r="G378" s="35" t="n">
        <f aca="false">DATE(B378,C378,1)</f>
        <v>46023</v>
      </c>
      <c r="H378" s="25" t="n">
        <f aca="false">IF(DAY(A378+1)=1,1,0)</f>
        <v>0</v>
      </c>
    </row>
    <row r="379" customFormat="false" ht="15" hidden="false" customHeight="false" outlineLevel="0" collapsed="false">
      <c r="A379" s="8" t="n">
        <f aca="false">A378+1</f>
        <v>46035</v>
      </c>
      <c r="B379" s="25" t="n">
        <f aca="false">YEAR(A379)</f>
        <v>2026</v>
      </c>
      <c r="C379" s="25" t="n">
        <f aca="false">MONTH(A379)</f>
        <v>1</v>
      </c>
      <c r="D379" s="0" t="str">
        <f aca="false">CHOOSE(C379,"Ene","Feb","Mar","Abr","May","Jun","Jul","Ago","Sep","Oct","Nov","Dic")</f>
        <v>Ene</v>
      </c>
      <c r="E379" s="0" t="str">
        <f aca="false">D379&amp;"-"&amp;RIGHT(B379,2)</f>
        <v>Ene-26</v>
      </c>
      <c r="F379" s="0" t="str">
        <f aca="false">"T"&amp;ROUNDUP(C379/3,0)</f>
        <v>T1</v>
      </c>
      <c r="G379" s="35" t="n">
        <f aca="false">DATE(B379,C379,1)</f>
        <v>46023</v>
      </c>
      <c r="H379" s="25" t="n">
        <f aca="false">IF(DAY(A379+1)=1,1,0)</f>
        <v>0</v>
      </c>
    </row>
    <row r="380" customFormat="false" ht="15" hidden="false" customHeight="false" outlineLevel="0" collapsed="false">
      <c r="A380" s="8" t="n">
        <f aca="false">A379+1</f>
        <v>46036</v>
      </c>
      <c r="B380" s="25" t="n">
        <f aca="false">YEAR(A380)</f>
        <v>2026</v>
      </c>
      <c r="C380" s="25" t="n">
        <f aca="false">MONTH(A380)</f>
        <v>1</v>
      </c>
      <c r="D380" s="0" t="str">
        <f aca="false">CHOOSE(C380,"Ene","Feb","Mar","Abr","May","Jun","Jul","Ago","Sep","Oct","Nov","Dic")</f>
        <v>Ene</v>
      </c>
      <c r="E380" s="0" t="str">
        <f aca="false">D380&amp;"-"&amp;RIGHT(B380,2)</f>
        <v>Ene-26</v>
      </c>
      <c r="F380" s="0" t="str">
        <f aca="false">"T"&amp;ROUNDUP(C380/3,0)</f>
        <v>T1</v>
      </c>
      <c r="G380" s="35" t="n">
        <f aca="false">DATE(B380,C380,1)</f>
        <v>46023</v>
      </c>
      <c r="H380" s="25" t="n">
        <f aca="false">IF(DAY(A380+1)=1,1,0)</f>
        <v>0</v>
      </c>
    </row>
    <row r="381" customFormat="false" ht="15" hidden="false" customHeight="false" outlineLevel="0" collapsed="false">
      <c r="A381" s="8" t="n">
        <f aca="false">A380+1</f>
        <v>46037</v>
      </c>
      <c r="B381" s="25" t="n">
        <f aca="false">YEAR(A381)</f>
        <v>2026</v>
      </c>
      <c r="C381" s="25" t="n">
        <f aca="false">MONTH(A381)</f>
        <v>1</v>
      </c>
      <c r="D381" s="0" t="str">
        <f aca="false">CHOOSE(C381,"Ene","Feb","Mar","Abr","May","Jun","Jul","Ago","Sep","Oct","Nov","Dic")</f>
        <v>Ene</v>
      </c>
      <c r="E381" s="0" t="str">
        <f aca="false">D381&amp;"-"&amp;RIGHT(B381,2)</f>
        <v>Ene-26</v>
      </c>
      <c r="F381" s="0" t="str">
        <f aca="false">"T"&amp;ROUNDUP(C381/3,0)</f>
        <v>T1</v>
      </c>
      <c r="G381" s="35" t="n">
        <f aca="false">DATE(B381,C381,1)</f>
        <v>46023</v>
      </c>
      <c r="H381" s="25" t="n">
        <f aca="false">IF(DAY(A381+1)=1,1,0)</f>
        <v>0</v>
      </c>
    </row>
    <row r="382" customFormat="false" ht="15" hidden="false" customHeight="false" outlineLevel="0" collapsed="false">
      <c r="A382" s="8" t="n">
        <f aca="false">A381+1</f>
        <v>46038</v>
      </c>
      <c r="B382" s="25" t="n">
        <f aca="false">YEAR(A382)</f>
        <v>2026</v>
      </c>
      <c r="C382" s="25" t="n">
        <f aca="false">MONTH(A382)</f>
        <v>1</v>
      </c>
      <c r="D382" s="0" t="str">
        <f aca="false">CHOOSE(C382,"Ene","Feb","Mar","Abr","May","Jun","Jul","Ago","Sep","Oct","Nov","Dic")</f>
        <v>Ene</v>
      </c>
      <c r="E382" s="0" t="str">
        <f aca="false">D382&amp;"-"&amp;RIGHT(B382,2)</f>
        <v>Ene-26</v>
      </c>
      <c r="F382" s="0" t="str">
        <f aca="false">"T"&amp;ROUNDUP(C382/3,0)</f>
        <v>T1</v>
      </c>
      <c r="G382" s="35" t="n">
        <f aca="false">DATE(B382,C382,1)</f>
        <v>46023</v>
      </c>
      <c r="H382" s="25" t="n">
        <f aca="false">IF(DAY(A382+1)=1,1,0)</f>
        <v>0</v>
      </c>
    </row>
    <row r="383" customFormat="false" ht="15" hidden="false" customHeight="false" outlineLevel="0" collapsed="false">
      <c r="A383" s="8" t="n">
        <f aca="false">A382+1</f>
        <v>46039</v>
      </c>
      <c r="B383" s="25" t="n">
        <f aca="false">YEAR(A383)</f>
        <v>2026</v>
      </c>
      <c r="C383" s="25" t="n">
        <f aca="false">MONTH(A383)</f>
        <v>1</v>
      </c>
      <c r="D383" s="0" t="str">
        <f aca="false">CHOOSE(C383,"Ene","Feb","Mar","Abr","May","Jun","Jul","Ago","Sep","Oct","Nov","Dic")</f>
        <v>Ene</v>
      </c>
      <c r="E383" s="0" t="str">
        <f aca="false">D383&amp;"-"&amp;RIGHT(B383,2)</f>
        <v>Ene-26</v>
      </c>
      <c r="F383" s="0" t="str">
        <f aca="false">"T"&amp;ROUNDUP(C383/3,0)</f>
        <v>T1</v>
      </c>
      <c r="G383" s="35" t="n">
        <f aca="false">DATE(B383,C383,1)</f>
        <v>46023</v>
      </c>
      <c r="H383" s="25" t="n">
        <f aca="false">IF(DAY(A383+1)=1,1,0)</f>
        <v>0</v>
      </c>
    </row>
    <row r="384" customFormat="false" ht="15" hidden="false" customHeight="false" outlineLevel="0" collapsed="false">
      <c r="A384" s="8" t="n">
        <f aca="false">A383+1</f>
        <v>46040</v>
      </c>
      <c r="B384" s="25" t="n">
        <f aca="false">YEAR(A384)</f>
        <v>2026</v>
      </c>
      <c r="C384" s="25" t="n">
        <f aca="false">MONTH(A384)</f>
        <v>1</v>
      </c>
      <c r="D384" s="0" t="str">
        <f aca="false">CHOOSE(C384,"Ene","Feb","Mar","Abr","May","Jun","Jul","Ago","Sep","Oct","Nov","Dic")</f>
        <v>Ene</v>
      </c>
      <c r="E384" s="0" t="str">
        <f aca="false">D384&amp;"-"&amp;RIGHT(B384,2)</f>
        <v>Ene-26</v>
      </c>
      <c r="F384" s="0" t="str">
        <f aca="false">"T"&amp;ROUNDUP(C384/3,0)</f>
        <v>T1</v>
      </c>
      <c r="G384" s="35" t="n">
        <f aca="false">DATE(B384,C384,1)</f>
        <v>46023</v>
      </c>
      <c r="H384" s="25" t="n">
        <f aca="false">IF(DAY(A384+1)=1,1,0)</f>
        <v>0</v>
      </c>
    </row>
    <row r="385" customFormat="false" ht="15" hidden="false" customHeight="false" outlineLevel="0" collapsed="false">
      <c r="A385" s="8" t="n">
        <f aca="false">A384+1</f>
        <v>46041</v>
      </c>
      <c r="B385" s="25" t="n">
        <f aca="false">YEAR(A385)</f>
        <v>2026</v>
      </c>
      <c r="C385" s="25" t="n">
        <f aca="false">MONTH(A385)</f>
        <v>1</v>
      </c>
      <c r="D385" s="0" t="str">
        <f aca="false">CHOOSE(C385,"Ene","Feb","Mar","Abr","May","Jun","Jul","Ago","Sep","Oct","Nov","Dic")</f>
        <v>Ene</v>
      </c>
      <c r="E385" s="0" t="str">
        <f aca="false">D385&amp;"-"&amp;RIGHT(B385,2)</f>
        <v>Ene-26</v>
      </c>
      <c r="F385" s="0" t="str">
        <f aca="false">"T"&amp;ROUNDUP(C385/3,0)</f>
        <v>T1</v>
      </c>
      <c r="G385" s="35" t="n">
        <f aca="false">DATE(B385,C385,1)</f>
        <v>46023</v>
      </c>
      <c r="H385" s="25" t="n">
        <f aca="false">IF(DAY(A385+1)=1,1,0)</f>
        <v>0</v>
      </c>
    </row>
    <row r="386" customFormat="false" ht="15" hidden="false" customHeight="false" outlineLevel="0" collapsed="false">
      <c r="A386" s="8" t="n">
        <f aca="false">A385+1</f>
        <v>46042</v>
      </c>
      <c r="B386" s="25" t="n">
        <f aca="false">YEAR(A386)</f>
        <v>2026</v>
      </c>
      <c r="C386" s="25" t="n">
        <f aca="false">MONTH(A386)</f>
        <v>1</v>
      </c>
      <c r="D386" s="0" t="str">
        <f aca="false">CHOOSE(C386,"Ene","Feb","Mar","Abr","May","Jun","Jul","Ago","Sep","Oct","Nov","Dic")</f>
        <v>Ene</v>
      </c>
      <c r="E386" s="0" t="str">
        <f aca="false">D386&amp;"-"&amp;RIGHT(B386,2)</f>
        <v>Ene-26</v>
      </c>
      <c r="F386" s="0" t="str">
        <f aca="false">"T"&amp;ROUNDUP(C386/3,0)</f>
        <v>T1</v>
      </c>
      <c r="G386" s="35" t="n">
        <f aca="false">DATE(B386,C386,1)</f>
        <v>46023</v>
      </c>
      <c r="H386" s="25" t="n">
        <f aca="false">IF(DAY(A386+1)=1,1,0)</f>
        <v>0</v>
      </c>
    </row>
    <row r="387" customFormat="false" ht="15" hidden="false" customHeight="false" outlineLevel="0" collapsed="false">
      <c r="A387" s="8" t="n">
        <f aca="false">A386+1</f>
        <v>46043</v>
      </c>
      <c r="B387" s="25" t="n">
        <f aca="false">YEAR(A387)</f>
        <v>2026</v>
      </c>
      <c r="C387" s="25" t="n">
        <f aca="false">MONTH(A387)</f>
        <v>1</v>
      </c>
      <c r="D387" s="0" t="str">
        <f aca="false">CHOOSE(C387,"Ene","Feb","Mar","Abr","May","Jun","Jul","Ago","Sep","Oct","Nov","Dic")</f>
        <v>Ene</v>
      </c>
      <c r="E387" s="0" t="str">
        <f aca="false">D387&amp;"-"&amp;RIGHT(B387,2)</f>
        <v>Ene-26</v>
      </c>
      <c r="F387" s="0" t="str">
        <f aca="false">"T"&amp;ROUNDUP(C387/3,0)</f>
        <v>T1</v>
      </c>
      <c r="G387" s="35" t="n">
        <f aca="false">DATE(B387,C387,1)</f>
        <v>46023</v>
      </c>
      <c r="H387" s="25" t="n">
        <f aca="false">IF(DAY(A387+1)=1,1,0)</f>
        <v>0</v>
      </c>
    </row>
    <row r="388" customFormat="false" ht="15" hidden="false" customHeight="false" outlineLevel="0" collapsed="false">
      <c r="A388" s="8" t="n">
        <f aca="false">A387+1</f>
        <v>46044</v>
      </c>
      <c r="B388" s="25" t="n">
        <f aca="false">YEAR(A388)</f>
        <v>2026</v>
      </c>
      <c r="C388" s="25" t="n">
        <f aca="false">MONTH(A388)</f>
        <v>1</v>
      </c>
      <c r="D388" s="0" t="str">
        <f aca="false">CHOOSE(C388,"Ene","Feb","Mar","Abr","May","Jun","Jul","Ago","Sep","Oct","Nov","Dic")</f>
        <v>Ene</v>
      </c>
      <c r="E388" s="0" t="str">
        <f aca="false">D388&amp;"-"&amp;RIGHT(B388,2)</f>
        <v>Ene-26</v>
      </c>
      <c r="F388" s="0" t="str">
        <f aca="false">"T"&amp;ROUNDUP(C388/3,0)</f>
        <v>T1</v>
      </c>
      <c r="G388" s="35" t="n">
        <f aca="false">DATE(B388,C388,1)</f>
        <v>46023</v>
      </c>
      <c r="H388" s="25" t="n">
        <f aca="false">IF(DAY(A388+1)=1,1,0)</f>
        <v>0</v>
      </c>
    </row>
    <row r="389" customFormat="false" ht="15" hidden="false" customHeight="false" outlineLevel="0" collapsed="false">
      <c r="A389" s="8" t="n">
        <f aca="false">A388+1</f>
        <v>46045</v>
      </c>
      <c r="B389" s="25" t="n">
        <f aca="false">YEAR(A389)</f>
        <v>2026</v>
      </c>
      <c r="C389" s="25" t="n">
        <f aca="false">MONTH(A389)</f>
        <v>1</v>
      </c>
      <c r="D389" s="0" t="str">
        <f aca="false">CHOOSE(C389,"Ene","Feb","Mar","Abr","May","Jun","Jul","Ago","Sep","Oct","Nov","Dic")</f>
        <v>Ene</v>
      </c>
      <c r="E389" s="0" t="str">
        <f aca="false">D389&amp;"-"&amp;RIGHT(B389,2)</f>
        <v>Ene-26</v>
      </c>
      <c r="F389" s="0" t="str">
        <f aca="false">"T"&amp;ROUNDUP(C389/3,0)</f>
        <v>T1</v>
      </c>
      <c r="G389" s="35" t="n">
        <f aca="false">DATE(B389,C389,1)</f>
        <v>46023</v>
      </c>
      <c r="H389" s="25" t="n">
        <f aca="false">IF(DAY(A389+1)=1,1,0)</f>
        <v>0</v>
      </c>
    </row>
    <row r="390" customFormat="false" ht="15" hidden="false" customHeight="false" outlineLevel="0" collapsed="false">
      <c r="A390" s="8" t="n">
        <f aca="false">A389+1</f>
        <v>46046</v>
      </c>
      <c r="B390" s="25" t="n">
        <f aca="false">YEAR(A390)</f>
        <v>2026</v>
      </c>
      <c r="C390" s="25" t="n">
        <f aca="false">MONTH(A390)</f>
        <v>1</v>
      </c>
      <c r="D390" s="0" t="str">
        <f aca="false">CHOOSE(C390,"Ene","Feb","Mar","Abr","May","Jun","Jul","Ago","Sep","Oct","Nov","Dic")</f>
        <v>Ene</v>
      </c>
      <c r="E390" s="0" t="str">
        <f aca="false">D390&amp;"-"&amp;RIGHT(B390,2)</f>
        <v>Ene-26</v>
      </c>
      <c r="F390" s="0" t="str">
        <f aca="false">"T"&amp;ROUNDUP(C390/3,0)</f>
        <v>T1</v>
      </c>
      <c r="G390" s="35" t="n">
        <f aca="false">DATE(B390,C390,1)</f>
        <v>46023</v>
      </c>
      <c r="H390" s="25" t="n">
        <f aca="false">IF(DAY(A390+1)=1,1,0)</f>
        <v>0</v>
      </c>
    </row>
    <row r="391" customFormat="false" ht="15" hidden="false" customHeight="false" outlineLevel="0" collapsed="false">
      <c r="A391" s="8" t="n">
        <f aca="false">A390+1</f>
        <v>46047</v>
      </c>
      <c r="B391" s="25" t="n">
        <f aca="false">YEAR(A391)</f>
        <v>2026</v>
      </c>
      <c r="C391" s="25" t="n">
        <f aca="false">MONTH(A391)</f>
        <v>1</v>
      </c>
      <c r="D391" s="0" t="str">
        <f aca="false">CHOOSE(C391,"Ene","Feb","Mar","Abr","May","Jun","Jul","Ago","Sep","Oct","Nov","Dic")</f>
        <v>Ene</v>
      </c>
      <c r="E391" s="0" t="str">
        <f aca="false">D391&amp;"-"&amp;RIGHT(B391,2)</f>
        <v>Ene-26</v>
      </c>
      <c r="F391" s="0" t="str">
        <f aca="false">"T"&amp;ROUNDUP(C391/3,0)</f>
        <v>T1</v>
      </c>
      <c r="G391" s="35" t="n">
        <f aca="false">DATE(B391,C391,1)</f>
        <v>46023</v>
      </c>
      <c r="H391" s="25" t="n">
        <f aca="false">IF(DAY(A391+1)=1,1,0)</f>
        <v>0</v>
      </c>
    </row>
    <row r="392" customFormat="false" ht="15" hidden="false" customHeight="false" outlineLevel="0" collapsed="false">
      <c r="A392" s="8" t="n">
        <f aca="false">A391+1</f>
        <v>46048</v>
      </c>
      <c r="B392" s="25" t="n">
        <f aca="false">YEAR(A392)</f>
        <v>2026</v>
      </c>
      <c r="C392" s="25" t="n">
        <f aca="false">MONTH(A392)</f>
        <v>1</v>
      </c>
      <c r="D392" s="0" t="str">
        <f aca="false">CHOOSE(C392,"Ene","Feb","Mar","Abr","May","Jun","Jul","Ago","Sep","Oct","Nov","Dic")</f>
        <v>Ene</v>
      </c>
      <c r="E392" s="0" t="str">
        <f aca="false">D392&amp;"-"&amp;RIGHT(B392,2)</f>
        <v>Ene-26</v>
      </c>
      <c r="F392" s="0" t="str">
        <f aca="false">"T"&amp;ROUNDUP(C392/3,0)</f>
        <v>T1</v>
      </c>
      <c r="G392" s="35" t="n">
        <f aca="false">DATE(B392,C392,1)</f>
        <v>46023</v>
      </c>
      <c r="H392" s="25" t="n">
        <f aca="false">IF(DAY(A392+1)=1,1,0)</f>
        <v>0</v>
      </c>
    </row>
    <row r="393" customFormat="false" ht="15" hidden="false" customHeight="false" outlineLevel="0" collapsed="false">
      <c r="A393" s="8" t="n">
        <f aca="false">A392+1</f>
        <v>46049</v>
      </c>
      <c r="B393" s="25" t="n">
        <f aca="false">YEAR(A393)</f>
        <v>2026</v>
      </c>
      <c r="C393" s="25" t="n">
        <f aca="false">MONTH(A393)</f>
        <v>1</v>
      </c>
      <c r="D393" s="0" t="str">
        <f aca="false">CHOOSE(C393,"Ene","Feb","Mar","Abr","May","Jun","Jul","Ago","Sep","Oct","Nov","Dic")</f>
        <v>Ene</v>
      </c>
      <c r="E393" s="0" t="str">
        <f aca="false">D393&amp;"-"&amp;RIGHT(B393,2)</f>
        <v>Ene-26</v>
      </c>
      <c r="F393" s="0" t="str">
        <f aca="false">"T"&amp;ROUNDUP(C393/3,0)</f>
        <v>T1</v>
      </c>
      <c r="G393" s="35" t="n">
        <f aca="false">DATE(B393,C393,1)</f>
        <v>46023</v>
      </c>
      <c r="H393" s="25" t="n">
        <f aca="false">IF(DAY(A393+1)=1,1,0)</f>
        <v>0</v>
      </c>
    </row>
    <row r="394" customFormat="false" ht="15" hidden="false" customHeight="false" outlineLevel="0" collapsed="false">
      <c r="A394" s="8" t="n">
        <f aca="false">A393+1</f>
        <v>46050</v>
      </c>
      <c r="B394" s="25" t="n">
        <f aca="false">YEAR(A394)</f>
        <v>2026</v>
      </c>
      <c r="C394" s="25" t="n">
        <f aca="false">MONTH(A394)</f>
        <v>1</v>
      </c>
      <c r="D394" s="0" t="str">
        <f aca="false">CHOOSE(C394,"Ene","Feb","Mar","Abr","May","Jun","Jul","Ago","Sep","Oct","Nov","Dic")</f>
        <v>Ene</v>
      </c>
      <c r="E394" s="0" t="str">
        <f aca="false">D394&amp;"-"&amp;RIGHT(B394,2)</f>
        <v>Ene-26</v>
      </c>
      <c r="F394" s="0" t="str">
        <f aca="false">"T"&amp;ROUNDUP(C394/3,0)</f>
        <v>T1</v>
      </c>
      <c r="G394" s="35" t="n">
        <f aca="false">DATE(B394,C394,1)</f>
        <v>46023</v>
      </c>
      <c r="H394" s="25" t="n">
        <f aca="false">IF(DAY(A394+1)=1,1,0)</f>
        <v>0</v>
      </c>
    </row>
    <row r="395" customFormat="false" ht="15" hidden="false" customHeight="false" outlineLevel="0" collapsed="false">
      <c r="A395" s="8" t="n">
        <f aca="false">A394+1</f>
        <v>46051</v>
      </c>
      <c r="B395" s="25" t="n">
        <f aca="false">YEAR(A395)</f>
        <v>2026</v>
      </c>
      <c r="C395" s="25" t="n">
        <f aca="false">MONTH(A395)</f>
        <v>1</v>
      </c>
      <c r="D395" s="0" t="str">
        <f aca="false">CHOOSE(C395,"Ene","Feb","Mar","Abr","May","Jun","Jul","Ago","Sep","Oct","Nov","Dic")</f>
        <v>Ene</v>
      </c>
      <c r="E395" s="0" t="str">
        <f aca="false">D395&amp;"-"&amp;RIGHT(B395,2)</f>
        <v>Ene-26</v>
      </c>
      <c r="F395" s="0" t="str">
        <f aca="false">"T"&amp;ROUNDUP(C395/3,0)</f>
        <v>T1</v>
      </c>
      <c r="G395" s="35" t="n">
        <f aca="false">DATE(B395,C395,1)</f>
        <v>46023</v>
      </c>
      <c r="H395" s="25" t="n">
        <f aca="false">IF(DAY(A395+1)=1,1,0)</f>
        <v>0</v>
      </c>
    </row>
    <row r="396" customFormat="false" ht="15" hidden="false" customHeight="false" outlineLevel="0" collapsed="false">
      <c r="A396" s="8" t="n">
        <f aca="false">A395+1</f>
        <v>46052</v>
      </c>
      <c r="B396" s="25" t="n">
        <f aca="false">YEAR(A396)</f>
        <v>2026</v>
      </c>
      <c r="C396" s="25" t="n">
        <f aca="false">MONTH(A396)</f>
        <v>1</v>
      </c>
      <c r="D396" s="0" t="str">
        <f aca="false">CHOOSE(C396,"Ene","Feb","Mar","Abr","May","Jun","Jul","Ago","Sep","Oct","Nov","Dic")</f>
        <v>Ene</v>
      </c>
      <c r="E396" s="0" t="str">
        <f aca="false">D396&amp;"-"&amp;RIGHT(B396,2)</f>
        <v>Ene-26</v>
      </c>
      <c r="F396" s="0" t="str">
        <f aca="false">"T"&amp;ROUNDUP(C396/3,0)</f>
        <v>T1</v>
      </c>
      <c r="G396" s="35" t="n">
        <f aca="false">DATE(B396,C396,1)</f>
        <v>46023</v>
      </c>
      <c r="H396" s="25" t="n">
        <f aca="false">IF(DAY(A396+1)=1,1,0)</f>
        <v>0</v>
      </c>
    </row>
    <row r="397" customFormat="false" ht="15" hidden="false" customHeight="false" outlineLevel="0" collapsed="false">
      <c r="A397" s="8" t="n">
        <f aca="false">A396+1</f>
        <v>46053</v>
      </c>
      <c r="B397" s="25" t="n">
        <f aca="false">YEAR(A397)</f>
        <v>2026</v>
      </c>
      <c r="C397" s="25" t="n">
        <f aca="false">MONTH(A397)</f>
        <v>1</v>
      </c>
      <c r="D397" s="0" t="str">
        <f aca="false">CHOOSE(C397,"Ene","Feb","Mar","Abr","May","Jun","Jul","Ago","Sep","Oct","Nov","Dic")</f>
        <v>Ene</v>
      </c>
      <c r="E397" s="0" t="str">
        <f aca="false">D397&amp;"-"&amp;RIGHT(B397,2)</f>
        <v>Ene-26</v>
      </c>
      <c r="F397" s="0" t="str">
        <f aca="false">"T"&amp;ROUNDUP(C397/3,0)</f>
        <v>T1</v>
      </c>
      <c r="G397" s="35" t="n">
        <f aca="false">DATE(B397,C397,1)</f>
        <v>46023</v>
      </c>
      <c r="H397" s="25" t="n">
        <f aca="false">IF(DAY(A397+1)=1,1,0)</f>
        <v>1</v>
      </c>
    </row>
    <row r="398" customFormat="false" ht="15" hidden="false" customHeight="false" outlineLevel="0" collapsed="false">
      <c r="A398" s="8" t="n">
        <f aca="false">A397+1</f>
        <v>46054</v>
      </c>
      <c r="B398" s="25" t="n">
        <f aca="false">YEAR(A398)</f>
        <v>2026</v>
      </c>
      <c r="C398" s="25" t="n">
        <f aca="false">MONTH(A398)</f>
        <v>2</v>
      </c>
      <c r="D398" s="0" t="str">
        <f aca="false">CHOOSE(C398,"Ene","Feb","Mar","Abr","May","Jun","Jul","Ago","Sep","Oct","Nov","Dic")</f>
        <v>Feb</v>
      </c>
      <c r="E398" s="0" t="str">
        <f aca="false">D398&amp;"-"&amp;RIGHT(B398,2)</f>
        <v>Feb-26</v>
      </c>
      <c r="F398" s="0" t="str">
        <f aca="false">"T"&amp;ROUNDUP(C398/3,0)</f>
        <v>T1</v>
      </c>
      <c r="G398" s="35" t="n">
        <f aca="false">DATE(B398,C398,1)</f>
        <v>46054</v>
      </c>
      <c r="H398" s="25" t="n">
        <f aca="false">IF(DAY(A398+1)=1,1,0)</f>
        <v>0</v>
      </c>
    </row>
    <row r="399" customFormat="false" ht="15" hidden="false" customHeight="false" outlineLevel="0" collapsed="false">
      <c r="A399" s="8" t="n">
        <f aca="false">A398+1</f>
        <v>46055</v>
      </c>
      <c r="B399" s="25" t="n">
        <f aca="false">YEAR(A399)</f>
        <v>2026</v>
      </c>
      <c r="C399" s="25" t="n">
        <f aca="false">MONTH(A399)</f>
        <v>2</v>
      </c>
      <c r="D399" s="0" t="str">
        <f aca="false">CHOOSE(C399,"Ene","Feb","Mar","Abr","May","Jun","Jul","Ago","Sep","Oct","Nov","Dic")</f>
        <v>Feb</v>
      </c>
      <c r="E399" s="0" t="str">
        <f aca="false">D399&amp;"-"&amp;RIGHT(B399,2)</f>
        <v>Feb-26</v>
      </c>
      <c r="F399" s="0" t="str">
        <f aca="false">"T"&amp;ROUNDUP(C399/3,0)</f>
        <v>T1</v>
      </c>
      <c r="G399" s="35" t="n">
        <f aca="false">DATE(B399,C399,1)</f>
        <v>46054</v>
      </c>
      <c r="H399" s="25" t="n">
        <f aca="false">IF(DAY(A399+1)=1,1,0)</f>
        <v>0</v>
      </c>
    </row>
    <row r="400" customFormat="false" ht="15" hidden="false" customHeight="false" outlineLevel="0" collapsed="false">
      <c r="A400" s="8" t="n">
        <f aca="false">A399+1</f>
        <v>46056</v>
      </c>
      <c r="B400" s="25" t="n">
        <f aca="false">YEAR(A400)</f>
        <v>2026</v>
      </c>
      <c r="C400" s="25" t="n">
        <f aca="false">MONTH(A400)</f>
        <v>2</v>
      </c>
      <c r="D400" s="0" t="str">
        <f aca="false">CHOOSE(C400,"Ene","Feb","Mar","Abr","May","Jun","Jul","Ago","Sep","Oct","Nov","Dic")</f>
        <v>Feb</v>
      </c>
      <c r="E400" s="0" t="str">
        <f aca="false">D400&amp;"-"&amp;RIGHT(B400,2)</f>
        <v>Feb-26</v>
      </c>
      <c r="F400" s="0" t="str">
        <f aca="false">"T"&amp;ROUNDUP(C400/3,0)</f>
        <v>T1</v>
      </c>
      <c r="G400" s="35" t="n">
        <f aca="false">DATE(B400,C400,1)</f>
        <v>46054</v>
      </c>
      <c r="H400" s="25" t="n">
        <f aca="false">IF(DAY(A400+1)=1,1,0)</f>
        <v>0</v>
      </c>
    </row>
    <row r="401" customFormat="false" ht="15" hidden="false" customHeight="false" outlineLevel="0" collapsed="false">
      <c r="A401" s="8" t="n">
        <f aca="false">A400+1</f>
        <v>46057</v>
      </c>
      <c r="B401" s="25" t="n">
        <f aca="false">YEAR(A401)</f>
        <v>2026</v>
      </c>
      <c r="C401" s="25" t="n">
        <f aca="false">MONTH(A401)</f>
        <v>2</v>
      </c>
      <c r="D401" s="0" t="str">
        <f aca="false">CHOOSE(C401,"Ene","Feb","Mar","Abr","May","Jun","Jul","Ago","Sep","Oct","Nov","Dic")</f>
        <v>Feb</v>
      </c>
      <c r="E401" s="0" t="str">
        <f aca="false">D401&amp;"-"&amp;RIGHT(B401,2)</f>
        <v>Feb-26</v>
      </c>
      <c r="F401" s="0" t="str">
        <f aca="false">"T"&amp;ROUNDUP(C401/3,0)</f>
        <v>T1</v>
      </c>
      <c r="G401" s="35" t="n">
        <f aca="false">DATE(B401,C401,1)</f>
        <v>46054</v>
      </c>
      <c r="H401" s="25" t="n">
        <f aca="false">IF(DAY(A401+1)=1,1,0)</f>
        <v>0</v>
      </c>
    </row>
    <row r="402" customFormat="false" ht="15" hidden="false" customHeight="false" outlineLevel="0" collapsed="false">
      <c r="A402" s="8" t="n">
        <f aca="false">A401+1</f>
        <v>46058</v>
      </c>
      <c r="B402" s="25" t="n">
        <f aca="false">YEAR(A402)</f>
        <v>2026</v>
      </c>
      <c r="C402" s="25" t="n">
        <f aca="false">MONTH(A402)</f>
        <v>2</v>
      </c>
      <c r="D402" s="0" t="str">
        <f aca="false">CHOOSE(C402,"Ene","Feb","Mar","Abr","May","Jun","Jul","Ago","Sep","Oct","Nov","Dic")</f>
        <v>Feb</v>
      </c>
      <c r="E402" s="0" t="str">
        <f aca="false">D402&amp;"-"&amp;RIGHT(B402,2)</f>
        <v>Feb-26</v>
      </c>
      <c r="F402" s="0" t="str">
        <f aca="false">"T"&amp;ROUNDUP(C402/3,0)</f>
        <v>T1</v>
      </c>
      <c r="G402" s="35" t="n">
        <f aca="false">DATE(B402,C402,1)</f>
        <v>46054</v>
      </c>
      <c r="H402" s="25" t="n">
        <f aca="false">IF(DAY(A402+1)=1,1,0)</f>
        <v>0</v>
      </c>
    </row>
    <row r="403" customFormat="false" ht="15" hidden="false" customHeight="false" outlineLevel="0" collapsed="false">
      <c r="A403" s="8" t="n">
        <f aca="false">A402+1</f>
        <v>46059</v>
      </c>
      <c r="B403" s="25" t="n">
        <f aca="false">YEAR(A403)</f>
        <v>2026</v>
      </c>
      <c r="C403" s="25" t="n">
        <f aca="false">MONTH(A403)</f>
        <v>2</v>
      </c>
      <c r="D403" s="0" t="str">
        <f aca="false">CHOOSE(C403,"Ene","Feb","Mar","Abr","May","Jun","Jul","Ago","Sep","Oct","Nov","Dic")</f>
        <v>Feb</v>
      </c>
      <c r="E403" s="0" t="str">
        <f aca="false">D403&amp;"-"&amp;RIGHT(B403,2)</f>
        <v>Feb-26</v>
      </c>
      <c r="F403" s="0" t="str">
        <f aca="false">"T"&amp;ROUNDUP(C403/3,0)</f>
        <v>T1</v>
      </c>
      <c r="G403" s="35" t="n">
        <f aca="false">DATE(B403,C403,1)</f>
        <v>46054</v>
      </c>
      <c r="H403" s="25" t="n">
        <f aca="false">IF(DAY(A403+1)=1,1,0)</f>
        <v>0</v>
      </c>
    </row>
    <row r="404" customFormat="false" ht="15" hidden="false" customHeight="false" outlineLevel="0" collapsed="false">
      <c r="A404" s="8" t="n">
        <f aca="false">A403+1</f>
        <v>46060</v>
      </c>
      <c r="B404" s="25" t="n">
        <f aca="false">YEAR(A404)</f>
        <v>2026</v>
      </c>
      <c r="C404" s="25" t="n">
        <f aca="false">MONTH(A404)</f>
        <v>2</v>
      </c>
      <c r="D404" s="0" t="str">
        <f aca="false">CHOOSE(C404,"Ene","Feb","Mar","Abr","May","Jun","Jul","Ago","Sep","Oct","Nov","Dic")</f>
        <v>Feb</v>
      </c>
      <c r="E404" s="0" t="str">
        <f aca="false">D404&amp;"-"&amp;RIGHT(B404,2)</f>
        <v>Feb-26</v>
      </c>
      <c r="F404" s="0" t="str">
        <f aca="false">"T"&amp;ROUNDUP(C404/3,0)</f>
        <v>T1</v>
      </c>
      <c r="G404" s="35" t="n">
        <f aca="false">DATE(B404,C404,1)</f>
        <v>46054</v>
      </c>
      <c r="H404" s="25" t="n">
        <f aca="false">IF(DAY(A404+1)=1,1,0)</f>
        <v>0</v>
      </c>
    </row>
    <row r="405" customFormat="false" ht="15" hidden="false" customHeight="false" outlineLevel="0" collapsed="false">
      <c r="A405" s="8" t="n">
        <f aca="false">A404+1</f>
        <v>46061</v>
      </c>
      <c r="B405" s="25" t="n">
        <f aca="false">YEAR(A405)</f>
        <v>2026</v>
      </c>
      <c r="C405" s="25" t="n">
        <f aca="false">MONTH(A405)</f>
        <v>2</v>
      </c>
      <c r="D405" s="0" t="str">
        <f aca="false">CHOOSE(C405,"Ene","Feb","Mar","Abr","May","Jun","Jul","Ago","Sep","Oct","Nov","Dic")</f>
        <v>Feb</v>
      </c>
      <c r="E405" s="0" t="str">
        <f aca="false">D405&amp;"-"&amp;RIGHT(B405,2)</f>
        <v>Feb-26</v>
      </c>
      <c r="F405" s="0" t="str">
        <f aca="false">"T"&amp;ROUNDUP(C405/3,0)</f>
        <v>T1</v>
      </c>
      <c r="G405" s="35" t="n">
        <f aca="false">DATE(B405,C405,1)</f>
        <v>46054</v>
      </c>
      <c r="H405" s="25" t="n">
        <f aca="false">IF(DAY(A405+1)=1,1,0)</f>
        <v>0</v>
      </c>
    </row>
    <row r="406" customFormat="false" ht="15" hidden="false" customHeight="false" outlineLevel="0" collapsed="false">
      <c r="A406" s="8" t="n">
        <f aca="false">A405+1</f>
        <v>46062</v>
      </c>
      <c r="B406" s="25" t="n">
        <f aca="false">YEAR(A406)</f>
        <v>2026</v>
      </c>
      <c r="C406" s="25" t="n">
        <f aca="false">MONTH(A406)</f>
        <v>2</v>
      </c>
      <c r="D406" s="0" t="str">
        <f aca="false">CHOOSE(C406,"Ene","Feb","Mar","Abr","May","Jun","Jul","Ago","Sep","Oct","Nov","Dic")</f>
        <v>Feb</v>
      </c>
      <c r="E406" s="0" t="str">
        <f aca="false">D406&amp;"-"&amp;RIGHT(B406,2)</f>
        <v>Feb-26</v>
      </c>
      <c r="F406" s="0" t="str">
        <f aca="false">"T"&amp;ROUNDUP(C406/3,0)</f>
        <v>T1</v>
      </c>
      <c r="G406" s="35" t="n">
        <f aca="false">DATE(B406,C406,1)</f>
        <v>46054</v>
      </c>
      <c r="H406" s="25" t="n">
        <f aca="false">IF(DAY(A406+1)=1,1,0)</f>
        <v>0</v>
      </c>
    </row>
    <row r="407" customFormat="false" ht="15" hidden="false" customHeight="false" outlineLevel="0" collapsed="false">
      <c r="A407" s="8" t="n">
        <f aca="false">A406+1</f>
        <v>46063</v>
      </c>
      <c r="B407" s="25" t="n">
        <f aca="false">YEAR(A407)</f>
        <v>2026</v>
      </c>
      <c r="C407" s="25" t="n">
        <f aca="false">MONTH(A407)</f>
        <v>2</v>
      </c>
      <c r="D407" s="0" t="str">
        <f aca="false">CHOOSE(C407,"Ene","Feb","Mar","Abr","May","Jun","Jul","Ago","Sep","Oct","Nov","Dic")</f>
        <v>Feb</v>
      </c>
      <c r="E407" s="0" t="str">
        <f aca="false">D407&amp;"-"&amp;RIGHT(B407,2)</f>
        <v>Feb-26</v>
      </c>
      <c r="F407" s="0" t="str">
        <f aca="false">"T"&amp;ROUNDUP(C407/3,0)</f>
        <v>T1</v>
      </c>
      <c r="G407" s="35" t="n">
        <f aca="false">DATE(B407,C407,1)</f>
        <v>46054</v>
      </c>
      <c r="H407" s="25" t="n">
        <f aca="false">IF(DAY(A407+1)=1,1,0)</f>
        <v>0</v>
      </c>
    </row>
    <row r="408" customFormat="false" ht="15" hidden="false" customHeight="false" outlineLevel="0" collapsed="false">
      <c r="A408" s="8" t="n">
        <f aca="false">A407+1</f>
        <v>46064</v>
      </c>
      <c r="B408" s="25" t="n">
        <f aca="false">YEAR(A408)</f>
        <v>2026</v>
      </c>
      <c r="C408" s="25" t="n">
        <f aca="false">MONTH(A408)</f>
        <v>2</v>
      </c>
      <c r="D408" s="0" t="str">
        <f aca="false">CHOOSE(C408,"Ene","Feb","Mar","Abr","May","Jun","Jul","Ago","Sep","Oct","Nov","Dic")</f>
        <v>Feb</v>
      </c>
      <c r="E408" s="0" t="str">
        <f aca="false">D408&amp;"-"&amp;RIGHT(B408,2)</f>
        <v>Feb-26</v>
      </c>
      <c r="F408" s="0" t="str">
        <f aca="false">"T"&amp;ROUNDUP(C408/3,0)</f>
        <v>T1</v>
      </c>
      <c r="G408" s="35" t="n">
        <f aca="false">DATE(B408,C408,1)</f>
        <v>46054</v>
      </c>
      <c r="H408" s="25" t="n">
        <f aca="false">IF(DAY(A408+1)=1,1,0)</f>
        <v>0</v>
      </c>
    </row>
    <row r="409" customFormat="false" ht="15" hidden="false" customHeight="false" outlineLevel="0" collapsed="false">
      <c r="A409" s="8" t="n">
        <f aca="false">A408+1</f>
        <v>46065</v>
      </c>
      <c r="B409" s="25" t="n">
        <f aca="false">YEAR(A409)</f>
        <v>2026</v>
      </c>
      <c r="C409" s="25" t="n">
        <f aca="false">MONTH(A409)</f>
        <v>2</v>
      </c>
      <c r="D409" s="0" t="str">
        <f aca="false">CHOOSE(C409,"Ene","Feb","Mar","Abr","May","Jun","Jul","Ago","Sep","Oct","Nov","Dic")</f>
        <v>Feb</v>
      </c>
      <c r="E409" s="0" t="str">
        <f aca="false">D409&amp;"-"&amp;RIGHT(B409,2)</f>
        <v>Feb-26</v>
      </c>
      <c r="F409" s="0" t="str">
        <f aca="false">"T"&amp;ROUNDUP(C409/3,0)</f>
        <v>T1</v>
      </c>
      <c r="G409" s="35" t="n">
        <f aca="false">DATE(B409,C409,1)</f>
        <v>46054</v>
      </c>
      <c r="H409" s="25" t="n">
        <f aca="false">IF(DAY(A409+1)=1,1,0)</f>
        <v>0</v>
      </c>
    </row>
    <row r="410" customFormat="false" ht="15" hidden="false" customHeight="false" outlineLevel="0" collapsed="false">
      <c r="A410" s="8" t="n">
        <f aca="false">A409+1</f>
        <v>46066</v>
      </c>
      <c r="B410" s="25" t="n">
        <f aca="false">YEAR(A410)</f>
        <v>2026</v>
      </c>
      <c r="C410" s="25" t="n">
        <f aca="false">MONTH(A410)</f>
        <v>2</v>
      </c>
      <c r="D410" s="0" t="str">
        <f aca="false">CHOOSE(C410,"Ene","Feb","Mar","Abr","May","Jun","Jul","Ago","Sep","Oct","Nov","Dic")</f>
        <v>Feb</v>
      </c>
      <c r="E410" s="0" t="str">
        <f aca="false">D410&amp;"-"&amp;RIGHT(B410,2)</f>
        <v>Feb-26</v>
      </c>
      <c r="F410" s="0" t="str">
        <f aca="false">"T"&amp;ROUNDUP(C410/3,0)</f>
        <v>T1</v>
      </c>
      <c r="G410" s="35" t="n">
        <f aca="false">DATE(B410,C410,1)</f>
        <v>46054</v>
      </c>
      <c r="H410" s="25" t="n">
        <f aca="false">IF(DAY(A410+1)=1,1,0)</f>
        <v>0</v>
      </c>
    </row>
    <row r="411" customFormat="false" ht="15" hidden="false" customHeight="false" outlineLevel="0" collapsed="false">
      <c r="A411" s="8" t="n">
        <f aca="false">A410+1</f>
        <v>46067</v>
      </c>
      <c r="B411" s="25" t="n">
        <f aca="false">YEAR(A411)</f>
        <v>2026</v>
      </c>
      <c r="C411" s="25" t="n">
        <f aca="false">MONTH(A411)</f>
        <v>2</v>
      </c>
      <c r="D411" s="0" t="str">
        <f aca="false">CHOOSE(C411,"Ene","Feb","Mar","Abr","May","Jun","Jul","Ago","Sep","Oct","Nov","Dic")</f>
        <v>Feb</v>
      </c>
      <c r="E411" s="0" t="str">
        <f aca="false">D411&amp;"-"&amp;RIGHT(B411,2)</f>
        <v>Feb-26</v>
      </c>
      <c r="F411" s="0" t="str">
        <f aca="false">"T"&amp;ROUNDUP(C411/3,0)</f>
        <v>T1</v>
      </c>
      <c r="G411" s="35" t="n">
        <f aca="false">DATE(B411,C411,1)</f>
        <v>46054</v>
      </c>
      <c r="H411" s="25" t="n">
        <f aca="false">IF(DAY(A411+1)=1,1,0)</f>
        <v>0</v>
      </c>
    </row>
    <row r="412" customFormat="false" ht="15" hidden="false" customHeight="false" outlineLevel="0" collapsed="false">
      <c r="A412" s="8" t="n">
        <f aca="false">A411+1</f>
        <v>46068</v>
      </c>
      <c r="B412" s="25" t="n">
        <f aca="false">YEAR(A412)</f>
        <v>2026</v>
      </c>
      <c r="C412" s="25" t="n">
        <f aca="false">MONTH(A412)</f>
        <v>2</v>
      </c>
      <c r="D412" s="0" t="str">
        <f aca="false">CHOOSE(C412,"Ene","Feb","Mar","Abr","May","Jun","Jul","Ago","Sep","Oct","Nov","Dic")</f>
        <v>Feb</v>
      </c>
      <c r="E412" s="0" t="str">
        <f aca="false">D412&amp;"-"&amp;RIGHT(B412,2)</f>
        <v>Feb-26</v>
      </c>
      <c r="F412" s="0" t="str">
        <f aca="false">"T"&amp;ROUNDUP(C412/3,0)</f>
        <v>T1</v>
      </c>
      <c r="G412" s="35" t="n">
        <f aca="false">DATE(B412,C412,1)</f>
        <v>46054</v>
      </c>
      <c r="H412" s="25" t="n">
        <f aca="false">IF(DAY(A412+1)=1,1,0)</f>
        <v>0</v>
      </c>
    </row>
    <row r="413" customFormat="false" ht="15" hidden="false" customHeight="false" outlineLevel="0" collapsed="false">
      <c r="A413" s="8" t="n">
        <f aca="false">A412+1</f>
        <v>46069</v>
      </c>
      <c r="B413" s="25" t="n">
        <f aca="false">YEAR(A413)</f>
        <v>2026</v>
      </c>
      <c r="C413" s="25" t="n">
        <f aca="false">MONTH(A413)</f>
        <v>2</v>
      </c>
      <c r="D413" s="0" t="str">
        <f aca="false">CHOOSE(C413,"Ene","Feb","Mar","Abr","May","Jun","Jul","Ago","Sep","Oct","Nov","Dic")</f>
        <v>Feb</v>
      </c>
      <c r="E413" s="0" t="str">
        <f aca="false">D413&amp;"-"&amp;RIGHT(B413,2)</f>
        <v>Feb-26</v>
      </c>
      <c r="F413" s="0" t="str">
        <f aca="false">"T"&amp;ROUNDUP(C413/3,0)</f>
        <v>T1</v>
      </c>
      <c r="G413" s="35" t="n">
        <f aca="false">DATE(B413,C413,1)</f>
        <v>46054</v>
      </c>
      <c r="H413" s="25" t="n">
        <f aca="false">IF(DAY(A413+1)=1,1,0)</f>
        <v>0</v>
      </c>
    </row>
    <row r="414" customFormat="false" ht="15" hidden="false" customHeight="false" outlineLevel="0" collapsed="false">
      <c r="A414" s="8" t="n">
        <f aca="false">A413+1</f>
        <v>46070</v>
      </c>
      <c r="B414" s="25" t="n">
        <f aca="false">YEAR(A414)</f>
        <v>2026</v>
      </c>
      <c r="C414" s="25" t="n">
        <f aca="false">MONTH(A414)</f>
        <v>2</v>
      </c>
      <c r="D414" s="0" t="str">
        <f aca="false">CHOOSE(C414,"Ene","Feb","Mar","Abr","May","Jun","Jul","Ago","Sep","Oct","Nov","Dic")</f>
        <v>Feb</v>
      </c>
      <c r="E414" s="0" t="str">
        <f aca="false">D414&amp;"-"&amp;RIGHT(B414,2)</f>
        <v>Feb-26</v>
      </c>
      <c r="F414" s="0" t="str">
        <f aca="false">"T"&amp;ROUNDUP(C414/3,0)</f>
        <v>T1</v>
      </c>
      <c r="G414" s="35" t="n">
        <f aca="false">DATE(B414,C414,1)</f>
        <v>46054</v>
      </c>
      <c r="H414" s="25" t="n">
        <f aca="false">IF(DAY(A414+1)=1,1,0)</f>
        <v>0</v>
      </c>
    </row>
    <row r="415" customFormat="false" ht="15" hidden="false" customHeight="false" outlineLevel="0" collapsed="false">
      <c r="A415" s="8" t="n">
        <f aca="false">A414+1</f>
        <v>46071</v>
      </c>
      <c r="B415" s="25" t="n">
        <f aca="false">YEAR(A415)</f>
        <v>2026</v>
      </c>
      <c r="C415" s="25" t="n">
        <f aca="false">MONTH(A415)</f>
        <v>2</v>
      </c>
      <c r="D415" s="0" t="str">
        <f aca="false">CHOOSE(C415,"Ene","Feb","Mar","Abr","May","Jun","Jul","Ago","Sep","Oct","Nov","Dic")</f>
        <v>Feb</v>
      </c>
      <c r="E415" s="0" t="str">
        <f aca="false">D415&amp;"-"&amp;RIGHT(B415,2)</f>
        <v>Feb-26</v>
      </c>
      <c r="F415" s="0" t="str">
        <f aca="false">"T"&amp;ROUNDUP(C415/3,0)</f>
        <v>T1</v>
      </c>
      <c r="G415" s="35" t="n">
        <f aca="false">DATE(B415,C415,1)</f>
        <v>46054</v>
      </c>
      <c r="H415" s="25" t="n">
        <f aca="false">IF(DAY(A415+1)=1,1,0)</f>
        <v>0</v>
      </c>
    </row>
    <row r="416" customFormat="false" ht="15" hidden="false" customHeight="false" outlineLevel="0" collapsed="false">
      <c r="A416" s="8" t="n">
        <f aca="false">A415+1</f>
        <v>46072</v>
      </c>
      <c r="B416" s="25" t="n">
        <f aca="false">YEAR(A416)</f>
        <v>2026</v>
      </c>
      <c r="C416" s="25" t="n">
        <f aca="false">MONTH(A416)</f>
        <v>2</v>
      </c>
      <c r="D416" s="0" t="str">
        <f aca="false">CHOOSE(C416,"Ene","Feb","Mar","Abr","May","Jun","Jul","Ago","Sep","Oct","Nov","Dic")</f>
        <v>Feb</v>
      </c>
      <c r="E416" s="0" t="str">
        <f aca="false">D416&amp;"-"&amp;RIGHT(B416,2)</f>
        <v>Feb-26</v>
      </c>
      <c r="F416" s="0" t="str">
        <f aca="false">"T"&amp;ROUNDUP(C416/3,0)</f>
        <v>T1</v>
      </c>
      <c r="G416" s="35" t="n">
        <f aca="false">DATE(B416,C416,1)</f>
        <v>46054</v>
      </c>
      <c r="H416" s="25" t="n">
        <f aca="false">IF(DAY(A416+1)=1,1,0)</f>
        <v>0</v>
      </c>
    </row>
    <row r="417" customFormat="false" ht="15" hidden="false" customHeight="false" outlineLevel="0" collapsed="false">
      <c r="A417" s="8" t="n">
        <f aca="false">A416+1</f>
        <v>46073</v>
      </c>
      <c r="B417" s="25" t="n">
        <f aca="false">YEAR(A417)</f>
        <v>2026</v>
      </c>
      <c r="C417" s="25" t="n">
        <f aca="false">MONTH(A417)</f>
        <v>2</v>
      </c>
      <c r="D417" s="0" t="str">
        <f aca="false">CHOOSE(C417,"Ene","Feb","Mar","Abr","May","Jun","Jul","Ago","Sep","Oct","Nov","Dic")</f>
        <v>Feb</v>
      </c>
      <c r="E417" s="0" t="str">
        <f aca="false">D417&amp;"-"&amp;RIGHT(B417,2)</f>
        <v>Feb-26</v>
      </c>
      <c r="F417" s="0" t="str">
        <f aca="false">"T"&amp;ROUNDUP(C417/3,0)</f>
        <v>T1</v>
      </c>
      <c r="G417" s="35" t="n">
        <f aca="false">DATE(B417,C417,1)</f>
        <v>46054</v>
      </c>
      <c r="H417" s="25" t="n">
        <f aca="false">IF(DAY(A417+1)=1,1,0)</f>
        <v>0</v>
      </c>
    </row>
    <row r="418" customFormat="false" ht="15" hidden="false" customHeight="false" outlineLevel="0" collapsed="false">
      <c r="A418" s="8" t="n">
        <f aca="false">A417+1</f>
        <v>46074</v>
      </c>
      <c r="B418" s="25" t="n">
        <f aca="false">YEAR(A418)</f>
        <v>2026</v>
      </c>
      <c r="C418" s="25" t="n">
        <f aca="false">MONTH(A418)</f>
        <v>2</v>
      </c>
      <c r="D418" s="0" t="str">
        <f aca="false">CHOOSE(C418,"Ene","Feb","Mar","Abr","May","Jun","Jul","Ago","Sep","Oct","Nov","Dic")</f>
        <v>Feb</v>
      </c>
      <c r="E418" s="0" t="str">
        <f aca="false">D418&amp;"-"&amp;RIGHT(B418,2)</f>
        <v>Feb-26</v>
      </c>
      <c r="F418" s="0" t="str">
        <f aca="false">"T"&amp;ROUNDUP(C418/3,0)</f>
        <v>T1</v>
      </c>
      <c r="G418" s="35" t="n">
        <f aca="false">DATE(B418,C418,1)</f>
        <v>46054</v>
      </c>
      <c r="H418" s="25" t="n">
        <f aca="false">IF(DAY(A418+1)=1,1,0)</f>
        <v>0</v>
      </c>
    </row>
    <row r="419" customFormat="false" ht="15" hidden="false" customHeight="false" outlineLevel="0" collapsed="false">
      <c r="A419" s="8" t="n">
        <f aca="false">A418+1</f>
        <v>46075</v>
      </c>
      <c r="B419" s="25" t="n">
        <f aca="false">YEAR(A419)</f>
        <v>2026</v>
      </c>
      <c r="C419" s="25" t="n">
        <f aca="false">MONTH(A419)</f>
        <v>2</v>
      </c>
      <c r="D419" s="0" t="str">
        <f aca="false">CHOOSE(C419,"Ene","Feb","Mar","Abr","May","Jun","Jul","Ago","Sep","Oct","Nov","Dic")</f>
        <v>Feb</v>
      </c>
      <c r="E419" s="0" t="str">
        <f aca="false">D419&amp;"-"&amp;RIGHT(B419,2)</f>
        <v>Feb-26</v>
      </c>
      <c r="F419" s="0" t="str">
        <f aca="false">"T"&amp;ROUNDUP(C419/3,0)</f>
        <v>T1</v>
      </c>
      <c r="G419" s="35" t="n">
        <f aca="false">DATE(B419,C419,1)</f>
        <v>46054</v>
      </c>
      <c r="H419" s="25" t="n">
        <f aca="false">IF(DAY(A419+1)=1,1,0)</f>
        <v>0</v>
      </c>
    </row>
    <row r="420" customFormat="false" ht="15" hidden="false" customHeight="false" outlineLevel="0" collapsed="false">
      <c r="A420" s="8" t="n">
        <f aca="false">A419+1</f>
        <v>46076</v>
      </c>
      <c r="B420" s="25" t="n">
        <f aca="false">YEAR(A420)</f>
        <v>2026</v>
      </c>
      <c r="C420" s="25" t="n">
        <f aca="false">MONTH(A420)</f>
        <v>2</v>
      </c>
      <c r="D420" s="0" t="str">
        <f aca="false">CHOOSE(C420,"Ene","Feb","Mar","Abr","May","Jun","Jul","Ago","Sep","Oct","Nov","Dic")</f>
        <v>Feb</v>
      </c>
      <c r="E420" s="0" t="str">
        <f aca="false">D420&amp;"-"&amp;RIGHT(B420,2)</f>
        <v>Feb-26</v>
      </c>
      <c r="F420" s="0" t="str">
        <f aca="false">"T"&amp;ROUNDUP(C420/3,0)</f>
        <v>T1</v>
      </c>
      <c r="G420" s="35" t="n">
        <f aca="false">DATE(B420,C420,1)</f>
        <v>46054</v>
      </c>
      <c r="H420" s="25" t="n">
        <f aca="false">IF(DAY(A420+1)=1,1,0)</f>
        <v>0</v>
      </c>
    </row>
    <row r="421" customFormat="false" ht="15" hidden="false" customHeight="false" outlineLevel="0" collapsed="false">
      <c r="A421" s="8" t="n">
        <f aca="false">A420+1</f>
        <v>46077</v>
      </c>
      <c r="B421" s="25" t="n">
        <f aca="false">YEAR(A421)</f>
        <v>2026</v>
      </c>
      <c r="C421" s="25" t="n">
        <f aca="false">MONTH(A421)</f>
        <v>2</v>
      </c>
      <c r="D421" s="0" t="str">
        <f aca="false">CHOOSE(C421,"Ene","Feb","Mar","Abr","May","Jun","Jul","Ago","Sep","Oct","Nov","Dic")</f>
        <v>Feb</v>
      </c>
      <c r="E421" s="0" t="str">
        <f aca="false">D421&amp;"-"&amp;RIGHT(B421,2)</f>
        <v>Feb-26</v>
      </c>
      <c r="F421" s="0" t="str">
        <f aca="false">"T"&amp;ROUNDUP(C421/3,0)</f>
        <v>T1</v>
      </c>
      <c r="G421" s="35" t="n">
        <f aca="false">DATE(B421,C421,1)</f>
        <v>46054</v>
      </c>
      <c r="H421" s="25" t="n">
        <f aca="false">IF(DAY(A421+1)=1,1,0)</f>
        <v>0</v>
      </c>
    </row>
    <row r="422" customFormat="false" ht="15" hidden="false" customHeight="false" outlineLevel="0" collapsed="false">
      <c r="A422" s="8" t="n">
        <f aca="false">A421+1</f>
        <v>46078</v>
      </c>
      <c r="B422" s="25" t="n">
        <f aca="false">YEAR(A422)</f>
        <v>2026</v>
      </c>
      <c r="C422" s="25" t="n">
        <f aca="false">MONTH(A422)</f>
        <v>2</v>
      </c>
      <c r="D422" s="0" t="str">
        <f aca="false">CHOOSE(C422,"Ene","Feb","Mar","Abr","May","Jun","Jul","Ago","Sep","Oct","Nov","Dic")</f>
        <v>Feb</v>
      </c>
      <c r="E422" s="0" t="str">
        <f aca="false">D422&amp;"-"&amp;RIGHT(B422,2)</f>
        <v>Feb-26</v>
      </c>
      <c r="F422" s="0" t="str">
        <f aca="false">"T"&amp;ROUNDUP(C422/3,0)</f>
        <v>T1</v>
      </c>
      <c r="G422" s="35" t="n">
        <f aca="false">DATE(B422,C422,1)</f>
        <v>46054</v>
      </c>
      <c r="H422" s="25" t="n">
        <f aca="false">IF(DAY(A422+1)=1,1,0)</f>
        <v>0</v>
      </c>
    </row>
    <row r="423" customFormat="false" ht="15" hidden="false" customHeight="false" outlineLevel="0" collapsed="false">
      <c r="A423" s="8" t="n">
        <f aca="false">A422+1</f>
        <v>46079</v>
      </c>
      <c r="B423" s="25" t="n">
        <f aca="false">YEAR(A423)</f>
        <v>2026</v>
      </c>
      <c r="C423" s="25" t="n">
        <f aca="false">MONTH(A423)</f>
        <v>2</v>
      </c>
      <c r="D423" s="0" t="str">
        <f aca="false">CHOOSE(C423,"Ene","Feb","Mar","Abr","May","Jun","Jul","Ago","Sep","Oct","Nov","Dic")</f>
        <v>Feb</v>
      </c>
      <c r="E423" s="0" t="str">
        <f aca="false">D423&amp;"-"&amp;RIGHT(B423,2)</f>
        <v>Feb-26</v>
      </c>
      <c r="F423" s="0" t="str">
        <f aca="false">"T"&amp;ROUNDUP(C423/3,0)</f>
        <v>T1</v>
      </c>
      <c r="G423" s="35" t="n">
        <f aca="false">DATE(B423,C423,1)</f>
        <v>46054</v>
      </c>
      <c r="H423" s="25" t="n">
        <f aca="false">IF(DAY(A423+1)=1,1,0)</f>
        <v>0</v>
      </c>
    </row>
    <row r="424" customFormat="false" ht="15" hidden="false" customHeight="false" outlineLevel="0" collapsed="false">
      <c r="A424" s="8" t="n">
        <f aca="false">A423+1</f>
        <v>46080</v>
      </c>
      <c r="B424" s="25" t="n">
        <f aca="false">YEAR(A424)</f>
        <v>2026</v>
      </c>
      <c r="C424" s="25" t="n">
        <f aca="false">MONTH(A424)</f>
        <v>2</v>
      </c>
      <c r="D424" s="0" t="str">
        <f aca="false">CHOOSE(C424,"Ene","Feb","Mar","Abr","May","Jun","Jul","Ago","Sep","Oct","Nov","Dic")</f>
        <v>Feb</v>
      </c>
      <c r="E424" s="0" t="str">
        <f aca="false">D424&amp;"-"&amp;RIGHT(B424,2)</f>
        <v>Feb-26</v>
      </c>
      <c r="F424" s="0" t="str">
        <f aca="false">"T"&amp;ROUNDUP(C424/3,0)</f>
        <v>T1</v>
      </c>
      <c r="G424" s="35" t="n">
        <f aca="false">DATE(B424,C424,1)</f>
        <v>46054</v>
      </c>
      <c r="H424" s="25" t="n">
        <f aca="false">IF(DAY(A424+1)=1,1,0)</f>
        <v>0</v>
      </c>
    </row>
    <row r="425" customFormat="false" ht="15" hidden="false" customHeight="false" outlineLevel="0" collapsed="false">
      <c r="A425" s="8" t="n">
        <f aca="false">A424+1</f>
        <v>46081</v>
      </c>
      <c r="B425" s="25" t="n">
        <f aca="false">YEAR(A425)</f>
        <v>2026</v>
      </c>
      <c r="C425" s="25" t="n">
        <f aca="false">MONTH(A425)</f>
        <v>2</v>
      </c>
      <c r="D425" s="0" t="str">
        <f aca="false">CHOOSE(C425,"Ene","Feb","Mar","Abr","May","Jun","Jul","Ago","Sep","Oct","Nov","Dic")</f>
        <v>Feb</v>
      </c>
      <c r="E425" s="0" t="str">
        <f aca="false">D425&amp;"-"&amp;RIGHT(B425,2)</f>
        <v>Feb-26</v>
      </c>
      <c r="F425" s="0" t="str">
        <f aca="false">"T"&amp;ROUNDUP(C425/3,0)</f>
        <v>T1</v>
      </c>
      <c r="G425" s="35" t="n">
        <f aca="false">DATE(B425,C425,1)</f>
        <v>46054</v>
      </c>
      <c r="H425" s="25" t="n">
        <f aca="false">IF(DAY(A425+1)=1,1,0)</f>
        <v>1</v>
      </c>
    </row>
    <row r="426" customFormat="false" ht="15" hidden="false" customHeight="false" outlineLevel="0" collapsed="false">
      <c r="A426" s="8" t="n">
        <f aca="false">A425+1</f>
        <v>46082</v>
      </c>
      <c r="B426" s="25" t="n">
        <f aca="false">YEAR(A426)</f>
        <v>2026</v>
      </c>
      <c r="C426" s="25" t="n">
        <f aca="false">MONTH(A426)</f>
        <v>3</v>
      </c>
      <c r="D426" s="0" t="str">
        <f aca="false">CHOOSE(C426,"Ene","Feb","Mar","Abr","May","Jun","Jul","Ago","Sep","Oct","Nov","Dic")</f>
        <v>Mar</v>
      </c>
      <c r="E426" s="0" t="str">
        <f aca="false">D426&amp;"-"&amp;RIGHT(B426,2)</f>
        <v>Mar-26</v>
      </c>
      <c r="F426" s="0" t="str">
        <f aca="false">"T"&amp;ROUNDUP(C426/3,0)</f>
        <v>T1</v>
      </c>
      <c r="G426" s="35" t="n">
        <f aca="false">DATE(B426,C426,1)</f>
        <v>46082</v>
      </c>
      <c r="H426" s="25" t="n">
        <f aca="false">IF(DAY(A426+1)=1,1,0)</f>
        <v>0</v>
      </c>
    </row>
    <row r="427" customFormat="false" ht="15" hidden="false" customHeight="false" outlineLevel="0" collapsed="false">
      <c r="A427" s="8" t="n">
        <f aca="false">A426+1</f>
        <v>46083</v>
      </c>
      <c r="B427" s="25" t="n">
        <f aca="false">YEAR(A427)</f>
        <v>2026</v>
      </c>
      <c r="C427" s="25" t="n">
        <f aca="false">MONTH(A427)</f>
        <v>3</v>
      </c>
      <c r="D427" s="0" t="str">
        <f aca="false">CHOOSE(C427,"Ene","Feb","Mar","Abr","May","Jun","Jul","Ago","Sep","Oct","Nov","Dic")</f>
        <v>Mar</v>
      </c>
      <c r="E427" s="0" t="str">
        <f aca="false">D427&amp;"-"&amp;RIGHT(B427,2)</f>
        <v>Mar-26</v>
      </c>
      <c r="F427" s="0" t="str">
        <f aca="false">"T"&amp;ROUNDUP(C427/3,0)</f>
        <v>T1</v>
      </c>
      <c r="G427" s="35" t="n">
        <f aca="false">DATE(B427,C427,1)</f>
        <v>46082</v>
      </c>
      <c r="H427" s="25" t="n">
        <f aca="false">IF(DAY(A427+1)=1,1,0)</f>
        <v>0</v>
      </c>
    </row>
    <row r="428" customFormat="false" ht="15" hidden="false" customHeight="false" outlineLevel="0" collapsed="false">
      <c r="A428" s="8" t="n">
        <f aca="false">A427+1</f>
        <v>46084</v>
      </c>
      <c r="B428" s="25" t="n">
        <f aca="false">YEAR(A428)</f>
        <v>2026</v>
      </c>
      <c r="C428" s="25" t="n">
        <f aca="false">MONTH(A428)</f>
        <v>3</v>
      </c>
      <c r="D428" s="0" t="str">
        <f aca="false">CHOOSE(C428,"Ene","Feb","Mar","Abr","May","Jun","Jul","Ago","Sep","Oct","Nov","Dic")</f>
        <v>Mar</v>
      </c>
      <c r="E428" s="0" t="str">
        <f aca="false">D428&amp;"-"&amp;RIGHT(B428,2)</f>
        <v>Mar-26</v>
      </c>
      <c r="F428" s="0" t="str">
        <f aca="false">"T"&amp;ROUNDUP(C428/3,0)</f>
        <v>T1</v>
      </c>
      <c r="G428" s="35" t="n">
        <f aca="false">DATE(B428,C428,1)</f>
        <v>46082</v>
      </c>
      <c r="H428" s="25" t="n">
        <f aca="false">IF(DAY(A428+1)=1,1,0)</f>
        <v>0</v>
      </c>
    </row>
    <row r="429" customFormat="false" ht="15" hidden="false" customHeight="false" outlineLevel="0" collapsed="false">
      <c r="A429" s="8" t="n">
        <f aca="false">A428+1</f>
        <v>46085</v>
      </c>
      <c r="B429" s="25" t="n">
        <f aca="false">YEAR(A429)</f>
        <v>2026</v>
      </c>
      <c r="C429" s="25" t="n">
        <f aca="false">MONTH(A429)</f>
        <v>3</v>
      </c>
      <c r="D429" s="0" t="str">
        <f aca="false">CHOOSE(C429,"Ene","Feb","Mar","Abr","May","Jun","Jul","Ago","Sep","Oct","Nov","Dic")</f>
        <v>Mar</v>
      </c>
      <c r="E429" s="0" t="str">
        <f aca="false">D429&amp;"-"&amp;RIGHT(B429,2)</f>
        <v>Mar-26</v>
      </c>
      <c r="F429" s="0" t="str">
        <f aca="false">"T"&amp;ROUNDUP(C429/3,0)</f>
        <v>T1</v>
      </c>
      <c r="G429" s="35" t="n">
        <f aca="false">DATE(B429,C429,1)</f>
        <v>46082</v>
      </c>
      <c r="H429" s="25" t="n">
        <f aca="false">IF(DAY(A429+1)=1,1,0)</f>
        <v>0</v>
      </c>
    </row>
    <row r="430" customFormat="false" ht="15" hidden="false" customHeight="false" outlineLevel="0" collapsed="false">
      <c r="A430" s="8" t="n">
        <f aca="false">A429+1</f>
        <v>46086</v>
      </c>
      <c r="B430" s="25" t="n">
        <f aca="false">YEAR(A430)</f>
        <v>2026</v>
      </c>
      <c r="C430" s="25" t="n">
        <f aca="false">MONTH(A430)</f>
        <v>3</v>
      </c>
      <c r="D430" s="0" t="str">
        <f aca="false">CHOOSE(C430,"Ene","Feb","Mar","Abr","May","Jun","Jul","Ago","Sep","Oct","Nov","Dic")</f>
        <v>Mar</v>
      </c>
      <c r="E430" s="0" t="str">
        <f aca="false">D430&amp;"-"&amp;RIGHT(B430,2)</f>
        <v>Mar-26</v>
      </c>
      <c r="F430" s="0" t="str">
        <f aca="false">"T"&amp;ROUNDUP(C430/3,0)</f>
        <v>T1</v>
      </c>
      <c r="G430" s="35" t="n">
        <f aca="false">DATE(B430,C430,1)</f>
        <v>46082</v>
      </c>
      <c r="H430" s="25" t="n">
        <f aca="false">IF(DAY(A430+1)=1,1,0)</f>
        <v>0</v>
      </c>
    </row>
    <row r="431" customFormat="false" ht="15" hidden="false" customHeight="false" outlineLevel="0" collapsed="false">
      <c r="A431" s="8" t="n">
        <f aca="false">A430+1</f>
        <v>46087</v>
      </c>
      <c r="B431" s="25" t="n">
        <f aca="false">YEAR(A431)</f>
        <v>2026</v>
      </c>
      <c r="C431" s="25" t="n">
        <f aca="false">MONTH(A431)</f>
        <v>3</v>
      </c>
      <c r="D431" s="0" t="str">
        <f aca="false">CHOOSE(C431,"Ene","Feb","Mar","Abr","May","Jun","Jul","Ago","Sep","Oct","Nov","Dic")</f>
        <v>Mar</v>
      </c>
      <c r="E431" s="0" t="str">
        <f aca="false">D431&amp;"-"&amp;RIGHT(B431,2)</f>
        <v>Mar-26</v>
      </c>
      <c r="F431" s="0" t="str">
        <f aca="false">"T"&amp;ROUNDUP(C431/3,0)</f>
        <v>T1</v>
      </c>
      <c r="G431" s="35" t="n">
        <f aca="false">DATE(B431,C431,1)</f>
        <v>46082</v>
      </c>
      <c r="H431" s="25" t="n">
        <f aca="false">IF(DAY(A431+1)=1,1,0)</f>
        <v>0</v>
      </c>
    </row>
    <row r="432" customFormat="false" ht="15" hidden="false" customHeight="false" outlineLevel="0" collapsed="false">
      <c r="A432" s="8" t="n">
        <f aca="false">A431+1</f>
        <v>46088</v>
      </c>
      <c r="B432" s="25" t="n">
        <f aca="false">YEAR(A432)</f>
        <v>2026</v>
      </c>
      <c r="C432" s="25" t="n">
        <f aca="false">MONTH(A432)</f>
        <v>3</v>
      </c>
      <c r="D432" s="0" t="str">
        <f aca="false">CHOOSE(C432,"Ene","Feb","Mar","Abr","May","Jun","Jul","Ago","Sep","Oct","Nov","Dic")</f>
        <v>Mar</v>
      </c>
      <c r="E432" s="0" t="str">
        <f aca="false">D432&amp;"-"&amp;RIGHT(B432,2)</f>
        <v>Mar-26</v>
      </c>
      <c r="F432" s="0" t="str">
        <f aca="false">"T"&amp;ROUNDUP(C432/3,0)</f>
        <v>T1</v>
      </c>
      <c r="G432" s="35" t="n">
        <f aca="false">DATE(B432,C432,1)</f>
        <v>46082</v>
      </c>
      <c r="H432" s="25" t="n">
        <f aca="false">IF(DAY(A432+1)=1,1,0)</f>
        <v>0</v>
      </c>
    </row>
    <row r="433" customFormat="false" ht="15" hidden="false" customHeight="false" outlineLevel="0" collapsed="false">
      <c r="A433" s="8" t="n">
        <f aca="false">A432+1</f>
        <v>46089</v>
      </c>
      <c r="B433" s="25" t="n">
        <f aca="false">YEAR(A433)</f>
        <v>2026</v>
      </c>
      <c r="C433" s="25" t="n">
        <f aca="false">MONTH(A433)</f>
        <v>3</v>
      </c>
      <c r="D433" s="0" t="str">
        <f aca="false">CHOOSE(C433,"Ene","Feb","Mar","Abr","May","Jun","Jul","Ago","Sep","Oct","Nov","Dic")</f>
        <v>Mar</v>
      </c>
      <c r="E433" s="0" t="str">
        <f aca="false">D433&amp;"-"&amp;RIGHT(B433,2)</f>
        <v>Mar-26</v>
      </c>
      <c r="F433" s="0" t="str">
        <f aca="false">"T"&amp;ROUNDUP(C433/3,0)</f>
        <v>T1</v>
      </c>
      <c r="G433" s="35" t="n">
        <f aca="false">DATE(B433,C433,1)</f>
        <v>46082</v>
      </c>
      <c r="H433" s="25" t="n">
        <f aca="false">IF(DAY(A433+1)=1,1,0)</f>
        <v>0</v>
      </c>
    </row>
    <row r="434" customFormat="false" ht="15" hidden="false" customHeight="false" outlineLevel="0" collapsed="false">
      <c r="A434" s="8" t="n">
        <f aca="false">A433+1</f>
        <v>46090</v>
      </c>
      <c r="B434" s="25" t="n">
        <f aca="false">YEAR(A434)</f>
        <v>2026</v>
      </c>
      <c r="C434" s="25" t="n">
        <f aca="false">MONTH(A434)</f>
        <v>3</v>
      </c>
      <c r="D434" s="0" t="str">
        <f aca="false">CHOOSE(C434,"Ene","Feb","Mar","Abr","May","Jun","Jul","Ago","Sep","Oct","Nov","Dic")</f>
        <v>Mar</v>
      </c>
      <c r="E434" s="0" t="str">
        <f aca="false">D434&amp;"-"&amp;RIGHT(B434,2)</f>
        <v>Mar-26</v>
      </c>
      <c r="F434" s="0" t="str">
        <f aca="false">"T"&amp;ROUNDUP(C434/3,0)</f>
        <v>T1</v>
      </c>
      <c r="G434" s="35" t="n">
        <f aca="false">DATE(B434,C434,1)</f>
        <v>46082</v>
      </c>
      <c r="H434" s="25" t="n">
        <f aca="false">IF(DAY(A434+1)=1,1,0)</f>
        <v>0</v>
      </c>
    </row>
    <row r="435" customFormat="false" ht="15" hidden="false" customHeight="false" outlineLevel="0" collapsed="false">
      <c r="A435" s="8" t="n">
        <f aca="false">A434+1</f>
        <v>46091</v>
      </c>
      <c r="B435" s="25" t="n">
        <f aca="false">YEAR(A435)</f>
        <v>2026</v>
      </c>
      <c r="C435" s="25" t="n">
        <f aca="false">MONTH(A435)</f>
        <v>3</v>
      </c>
      <c r="D435" s="0" t="str">
        <f aca="false">CHOOSE(C435,"Ene","Feb","Mar","Abr","May","Jun","Jul","Ago","Sep","Oct","Nov","Dic")</f>
        <v>Mar</v>
      </c>
      <c r="E435" s="0" t="str">
        <f aca="false">D435&amp;"-"&amp;RIGHT(B435,2)</f>
        <v>Mar-26</v>
      </c>
      <c r="F435" s="0" t="str">
        <f aca="false">"T"&amp;ROUNDUP(C435/3,0)</f>
        <v>T1</v>
      </c>
      <c r="G435" s="35" t="n">
        <f aca="false">DATE(B435,C435,1)</f>
        <v>46082</v>
      </c>
      <c r="H435" s="25" t="n">
        <f aca="false">IF(DAY(A435+1)=1,1,0)</f>
        <v>0</v>
      </c>
    </row>
    <row r="436" customFormat="false" ht="15" hidden="false" customHeight="false" outlineLevel="0" collapsed="false">
      <c r="A436" s="8" t="n">
        <f aca="false">A435+1</f>
        <v>46092</v>
      </c>
      <c r="B436" s="25" t="n">
        <f aca="false">YEAR(A436)</f>
        <v>2026</v>
      </c>
      <c r="C436" s="25" t="n">
        <f aca="false">MONTH(A436)</f>
        <v>3</v>
      </c>
      <c r="D436" s="0" t="str">
        <f aca="false">CHOOSE(C436,"Ene","Feb","Mar","Abr","May","Jun","Jul","Ago","Sep","Oct","Nov","Dic")</f>
        <v>Mar</v>
      </c>
      <c r="E436" s="0" t="str">
        <f aca="false">D436&amp;"-"&amp;RIGHT(B436,2)</f>
        <v>Mar-26</v>
      </c>
      <c r="F436" s="0" t="str">
        <f aca="false">"T"&amp;ROUNDUP(C436/3,0)</f>
        <v>T1</v>
      </c>
      <c r="G436" s="35" t="n">
        <f aca="false">DATE(B436,C436,1)</f>
        <v>46082</v>
      </c>
      <c r="H436" s="25" t="n">
        <f aca="false">IF(DAY(A436+1)=1,1,0)</f>
        <v>0</v>
      </c>
    </row>
    <row r="437" customFormat="false" ht="15" hidden="false" customHeight="false" outlineLevel="0" collapsed="false">
      <c r="A437" s="8" t="n">
        <f aca="false">A436+1</f>
        <v>46093</v>
      </c>
      <c r="B437" s="25" t="n">
        <f aca="false">YEAR(A437)</f>
        <v>2026</v>
      </c>
      <c r="C437" s="25" t="n">
        <f aca="false">MONTH(A437)</f>
        <v>3</v>
      </c>
      <c r="D437" s="0" t="str">
        <f aca="false">CHOOSE(C437,"Ene","Feb","Mar","Abr","May","Jun","Jul","Ago","Sep","Oct","Nov","Dic")</f>
        <v>Mar</v>
      </c>
      <c r="E437" s="0" t="str">
        <f aca="false">D437&amp;"-"&amp;RIGHT(B437,2)</f>
        <v>Mar-26</v>
      </c>
      <c r="F437" s="0" t="str">
        <f aca="false">"T"&amp;ROUNDUP(C437/3,0)</f>
        <v>T1</v>
      </c>
      <c r="G437" s="35" t="n">
        <f aca="false">DATE(B437,C437,1)</f>
        <v>46082</v>
      </c>
      <c r="H437" s="25" t="n">
        <f aca="false">IF(DAY(A437+1)=1,1,0)</f>
        <v>0</v>
      </c>
    </row>
    <row r="438" customFormat="false" ht="15" hidden="false" customHeight="false" outlineLevel="0" collapsed="false">
      <c r="A438" s="8" t="n">
        <f aca="false">A437+1</f>
        <v>46094</v>
      </c>
      <c r="B438" s="25" t="n">
        <f aca="false">YEAR(A438)</f>
        <v>2026</v>
      </c>
      <c r="C438" s="25" t="n">
        <f aca="false">MONTH(A438)</f>
        <v>3</v>
      </c>
      <c r="D438" s="0" t="str">
        <f aca="false">CHOOSE(C438,"Ene","Feb","Mar","Abr","May","Jun","Jul","Ago","Sep","Oct","Nov","Dic")</f>
        <v>Mar</v>
      </c>
      <c r="E438" s="0" t="str">
        <f aca="false">D438&amp;"-"&amp;RIGHT(B438,2)</f>
        <v>Mar-26</v>
      </c>
      <c r="F438" s="0" t="str">
        <f aca="false">"T"&amp;ROUNDUP(C438/3,0)</f>
        <v>T1</v>
      </c>
      <c r="G438" s="35" t="n">
        <f aca="false">DATE(B438,C438,1)</f>
        <v>46082</v>
      </c>
      <c r="H438" s="25" t="n">
        <f aca="false">IF(DAY(A438+1)=1,1,0)</f>
        <v>0</v>
      </c>
    </row>
    <row r="439" customFormat="false" ht="15" hidden="false" customHeight="false" outlineLevel="0" collapsed="false">
      <c r="A439" s="8" t="n">
        <f aca="false">A438+1</f>
        <v>46095</v>
      </c>
      <c r="B439" s="25" t="n">
        <f aca="false">YEAR(A439)</f>
        <v>2026</v>
      </c>
      <c r="C439" s="25" t="n">
        <f aca="false">MONTH(A439)</f>
        <v>3</v>
      </c>
      <c r="D439" s="0" t="str">
        <f aca="false">CHOOSE(C439,"Ene","Feb","Mar","Abr","May","Jun","Jul","Ago","Sep","Oct","Nov","Dic")</f>
        <v>Mar</v>
      </c>
      <c r="E439" s="0" t="str">
        <f aca="false">D439&amp;"-"&amp;RIGHT(B439,2)</f>
        <v>Mar-26</v>
      </c>
      <c r="F439" s="0" t="str">
        <f aca="false">"T"&amp;ROUNDUP(C439/3,0)</f>
        <v>T1</v>
      </c>
      <c r="G439" s="35" t="n">
        <f aca="false">DATE(B439,C439,1)</f>
        <v>46082</v>
      </c>
      <c r="H439" s="25" t="n">
        <f aca="false">IF(DAY(A439+1)=1,1,0)</f>
        <v>0</v>
      </c>
    </row>
    <row r="440" customFormat="false" ht="15" hidden="false" customHeight="false" outlineLevel="0" collapsed="false">
      <c r="A440" s="8" t="n">
        <f aca="false">A439+1</f>
        <v>46096</v>
      </c>
      <c r="B440" s="25" t="n">
        <f aca="false">YEAR(A440)</f>
        <v>2026</v>
      </c>
      <c r="C440" s="25" t="n">
        <f aca="false">MONTH(A440)</f>
        <v>3</v>
      </c>
      <c r="D440" s="0" t="str">
        <f aca="false">CHOOSE(C440,"Ene","Feb","Mar","Abr","May","Jun","Jul","Ago","Sep","Oct","Nov","Dic")</f>
        <v>Mar</v>
      </c>
      <c r="E440" s="0" t="str">
        <f aca="false">D440&amp;"-"&amp;RIGHT(B440,2)</f>
        <v>Mar-26</v>
      </c>
      <c r="F440" s="0" t="str">
        <f aca="false">"T"&amp;ROUNDUP(C440/3,0)</f>
        <v>T1</v>
      </c>
      <c r="G440" s="35" t="n">
        <f aca="false">DATE(B440,C440,1)</f>
        <v>46082</v>
      </c>
      <c r="H440" s="25" t="n">
        <f aca="false">IF(DAY(A440+1)=1,1,0)</f>
        <v>0</v>
      </c>
    </row>
    <row r="441" customFormat="false" ht="15" hidden="false" customHeight="false" outlineLevel="0" collapsed="false">
      <c r="A441" s="8" t="n">
        <f aca="false">A440+1</f>
        <v>46097</v>
      </c>
      <c r="B441" s="25" t="n">
        <f aca="false">YEAR(A441)</f>
        <v>2026</v>
      </c>
      <c r="C441" s="25" t="n">
        <f aca="false">MONTH(A441)</f>
        <v>3</v>
      </c>
      <c r="D441" s="0" t="str">
        <f aca="false">CHOOSE(C441,"Ene","Feb","Mar","Abr","May","Jun","Jul","Ago","Sep","Oct","Nov","Dic")</f>
        <v>Mar</v>
      </c>
      <c r="E441" s="0" t="str">
        <f aca="false">D441&amp;"-"&amp;RIGHT(B441,2)</f>
        <v>Mar-26</v>
      </c>
      <c r="F441" s="0" t="str">
        <f aca="false">"T"&amp;ROUNDUP(C441/3,0)</f>
        <v>T1</v>
      </c>
      <c r="G441" s="35" t="n">
        <f aca="false">DATE(B441,C441,1)</f>
        <v>46082</v>
      </c>
      <c r="H441" s="25" t="n">
        <f aca="false">IF(DAY(A441+1)=1,1,0)</f>
        <v>0</v>
      </c>
    </row>
    <row r="442" customFormat="false" ht="15" hidden="false" customHeight="false" outlineLevel="0" collapsed="false">
      <c r="A442" s="8" t="n">
        <f aca="false">A441+1</f>
        <v>46098</v>
      </c>
      <c r="B442" s="25" t="n">
        <f aca="false">YEAR(A442)</f>
        <v>2026</v>
      </c>
      <c r="C442" s="25" t="n">
        <f aca="false">MONTH(A442)</f>
        <v>3</v>
      </c>
      <c r="D442" s="0" t="str">
        <f aca="false">CHOOSE(C442,"Ene","Feb","Mar","Abr","May","Jun","Jul","Ago","Sep","Oct","Nov","Dic")</f>
        <v>Mar</v>
      </c>
      <c r="E442" s="0" t="str">
        <f aca="false">D442&amp;"-"&amp;RIGHT(B442,2)</f>
        <v>Mar-26</v>
      </c>
      <c r="F442" s="0" t="str">
        <f aca="false">"T"&amp;ROUNDUP(C442/3,0)</f>
        <v>T1</v>
      </c>
      <c r="G442" s="35" t="n">
        <f aca="false">DATE(B442,C442,1)</f>
        <v>46082</v>
      </c>
      <c r="H442" s="25" t="n">
        <f aca="false">IF(DAY(A442+1)=1,1,0)</f>
        <v>0</v>
      </c>
    </row>
    <row r="443" customFormat="false" ht="15" hidden="false" customHeight="false" outlineLevel="0" collapsed="false">
      <c r="A443" s="8" t="n">
        <f aca="false">A442+1</f>
        <v>46099</v>
      </c>
      <c r="B443" s="25" t="n">
        <f aca="false">YEAR(A443)</f>
        <v>2026</v>
      </c>
      <c r="C443" s="25" t="n">
        <f aca="false">MONTH(A443)</f>
        <v>3</v>
      </c>
      <c r="D443" s="0" t="str">
        <f aca="false">CHOOSE(C443,"Ene","Feb","Mar","Abr","May","Jun","Jul","Ago","Sep","Oct","Nov","Dic")</f>
        <v>Mar</v>
      </c>
      <c r="E443" s="0" t="str">
        <f aca="false">D443&amp;"-"&amp;RIGHT(B443,2)</f>
        <v>Mar-26</v>
      </c>
      <c r="F443" s="0" t="str">
        <f aca="false">"T"&amp;ROUNDUP(C443/3,0)</f>
        <v>T1</v>
      </c>
      <c r="G443" s="35" t="n">
        <f aca="false">DATE(B443,C443,1)</f>
        <v>46082</v>
      </c>
      <c r="H443" s="25" t="n">
        <f aca="false">IF(DAY(A443+1)=1,1,0)</f>
        <v>0</v>
      </c>
    </row>
    <row r="444" customFormat="false" ht="15" hidden="false" customHeight="false" outlineLevel="0" collapsed="false">
      <c r="A444" s="8" t="n">
        <f aca="false">A443+1</f>
        <v>46100</v>
      </c>
      <c r="B444" s="25" t="n">
        <f aca="false">YEAR(A444)</f>
        <v>2026</v>
      </c>
      <c r="C444" s="25" t="n">
        <f aca="false">MONTH(A444)</f>
        <v>3</v>
      </c>
      <c r="D444" s="0" t="str">
        <f aca="false">CHOOSE(C444,"Ene","Feb","Mar","Abr","May","Jun","Jul","Ago","Sep","Oct","Nov","Dic")</f>
        <v>Mar</v>
      </c>
      <c r="E444" s="0" t="str">
        <f aca="false">D444&amp;"-"&amp;RIGHT(B444,2)</f>
        <v>Mar-26</v>
      </c>
      <c r="F444" s="0" t="str">
        <f aca="false">"T"&amp;ROUNDUP(C444/3,0)</f>
        <v>T1</v>
      </c>
      <c r="G444" s="35" t="n">
        <f aca="false">DATE(B444,C444,1)</f>
        <v>46082</v>
      </c>
      <c r="H444" s="25" t="n">
        <f aca="false">IF(DAY(A444+1)=1,1,0)</f>
        <v>0</v>
      </c>
    </row>
    <row r="445" customFormat="false" ht="15" hidden="false" customHeight="false" outlineLevel="0" collapsed="false">
      <c r="A445" s="8" t="n">
        <f aca="false">A444+1</f>
        <v>46101</v>
      </c>
      <c r="B445" s="25" t="n">
        <f aca="false">YEAR(A445)</f>
        <v>2026</v>
      </c>
      <c r="C445" s="25" t="n">
        <f aca="false">MONTH(A445)</f>
        <v>3</v>
      </c>
      <c r="D445" s="0" t="str">
        <f aca="false">CHOOSE(C445,"Ene","Feb","Mar","Abr","May","Jun","Jul","Ago","Sep","Oct","Nov","Dic")</f>
        <v>Mar</v>
      </c>
      <c r="E445" s="0" t="str">
        <f aca="false">D445&amp;"-"&amp;RIGHT(B445,2)</f>
        <v>Mar-26</v>
      </c>
      <c r="F445" s="0" t="str">
        <f aca="false">"T"&amp;ROUNDUP(C445/3,0)</f>
        <v>T1</v>
      </c>
      <c r="G445" s="35" t="n">
        <f aca="false">DATE(B445,C445,1)</f>
        <v>46082</v>
      </c>
      <c r="H445" s="25" t="n">
        <f aca="false">IF(DAY(A445+1)=1,1,0)</f>
        <v>0</v>
      </c>
    </row>
    <row r="446" customFormat="false" ht="15" hidden="false" customHeight="false" outlineLevel="0" collapsed="false">
      <c r="A446" s="8" t="n">
        <f aca="false">A445+1</f>
        <v>46102</v>
      </c>
      <c r="B446" s="25" t="n">
        <f aca="false">YEAR(A446)</f>
        <v>2026</v>
      </c>
      <c r="C446" s="25" t="n">
        <f aca="false">MONTH(A446)</f>
        <v>3</v>
      </c>
      <c r="D446" s="0" t="str">
        <f aca="false">CHOOSE(C446,"Ene","Feb","Mar","Abr","May","Jun","Jul","Ago","Sep","Oct","Nov","Dic")</f>
        <v>Mar</v>
      </c>
      <c r="E446" s="0" t="str">
        <f aca="false">D446&amp;"-"&amp;RIGHT(B446,2)</f>
        <v>Mar-26</v>
      </c>
      <c r="F446" s="0" t="str">
        <f aca="false">"T"&amp;ROUNDUP(C446/3,0)</f>
        <v>T1</v>
      </c>
      <c r="G446" s="35" t="n">
        <f aca="false">DATE(B446,C446,1)</f>
        <v>46082</v>
      </c>
      <c r="H446" s="25" t="n">
        <f aca="false">IF(DAY(A446+1)=1,1,0)</f>
        <v>0</v>
      </c>
    </row>
    <row r="447" customFormat="false" ht="15" hidden="false" customHeight="false" outlineLevel="0" collapsed="false">
      <c r="A447" s="8" t="n">
        <f aca="false">A446+1</f>
        <v>46103</v>
      </c>
      <c r="B447" s="25" t="n">
        <f aca="false">YEAR(A447)</f>
        <v>2026</v>
      </c>
      <c r="C447" s="25" t="n">
        <f aca="false">MONTH(A447)</f>
        <v>3</v>
      </c>
      <c r="D447" s="0" t="str">
        <f aca="false">CHOOSE(C447,"Ene","Feb","Mar","Abr","May","Jun","Jul","Ago","Sep","Oct","Nov","Dic")</f>
        <v>Mar</v>
      </c>
      <c r="E447" s="0" t="str">
        <f aca="false">D447&amp;"-"&amp;RIGHT(B447,2)</f>
        <v>Mar-26</v>
      </c>
      <c r="F447" s="0" t="str">
        <f aca="false">"T"&amp;ROUNDUP(C447/3,0)</f>
        <v>T1</v>
      </c>
      <c r="G447" s="35" t="n">
        <f aca="false">DATE(B447,C447,1)</f>
        <v>46082</v>
      </c>
      <c r="H447" s="25" t="n">
        <f aca="false">IF(DAY(A447+1)=1,1,0)</f>
        <v>0</v>
      </c>
    </row>
    <row r="448" customFormat="false" ht="15" hidden="false" customHeight="false" outlineLevel="0" collapsed="false">
      <c r="A448" s="8" t="n">
        <f aca="false">A447+1</f>
        <v>46104</v>
      </c>
      <c r="B448" s="25" t="n">
        <f aca="false">YEAR(A448)</f>
        <v>2026</v>
      </c>
      <c r="C448" s="25" t="n">
        <f aca="false">MONTH(A448)</f>
        <v>3</v>
      </c>
      <c r="D448" s="0" t="str">
        <f aca="false">CHOOSE(C448,"Ene","Feb","Mar","Abr","May","Jun","Jul","Ago","Sep","Oct","Nov","Dic")</f>
        <v>Mar</v>
      </c>
      <c r="E448" s="0" t="str">
        <f aca="false">D448&amp;"-"&amp;RIGHT(B448,2)</f>
        <v>Mar-26</v>
      </c>
      <c r="F448" s="0" t="str">
        <f aca="false">"T"&amp;ROUNDUP(C448/3,0)</f>
        <v>T1</v>
      </c>
      <c r="G448" s="35" t="n">
        <f aca="false">DATE(B448,C448,1)</f>
        <v>46082</v>
      </c>
      <c r="H448" s="25" t="n">
        <f aca="false">IF(DAY(A448+1)=1,1,0)</f>
        <v>0</v>
      </c>
    </row>
    <row r="449" customFormat="false" ht="15" hidden="false" customHeight="false" outlineLevel="0" collapsed="false">
      <c r="A449" s="8" t="n">
        <f aca="false">A448+1</f>
        <v>46105</v>
      </c>
      <c r="B449" s="25" t="n">
        <f aca="false">YEAR(A449)</f>
        <v>2026</v>
      </c>
      <c r="C449" s="25" t="n">
        <f aca="false">MONTH(A449)</f>
        <v>3</v>
      </c>
      <c r="D449" s="0" t="str">
        <f aca="false">CHOOSE(C449,"Ene","Feb","Mar","Abr","May","Jun","Jul","Ago","Sep","Oct","Nov","Dic")</f>
        <v>Mar</v>
      </c>
      <c r="E449" s="0" t="str">
        <f aca="false">D449&amp;"-"&amp;RIGHT(B449,2)</f>
        <v>Mar-26</v>
      </c>
      <c r="F449" s="0" t="str">
        <f aca="false">"T"&amp;ROUNDUP(C449/3,0)</f>
        <v>T1</v>
      </c>
      <c r="G449" s="35" t="n">
        <f aca="false">DATE(B449,C449,1)</f>
        <v>46082</v>
      </c>
      <c r="H449" s="25" t="n">
        <f aca="false">IF(DAY(A449+1)=1,1,0)</f>
        <v>0</v>
      </c>
    </row>
    <row r="450" customFormat="false" ht="15" hidden="false" customHeight="false" outlineLevel="0" collapsed="false">
      <c r="A450" s="8" t="n">
        <f aca="false">A449+1</f>
        <v>46106</v>
      </c>
      <c r="B450" s="25" t="n">
        <f aca="false">YEAR(A450)</f>
        <v>2026</v>
      </c>
      <c r="C450" s="25" t="n">
        <f aca="false">MONTH(A450)</f>
        <v>3</v>
      </c>
      <c r="D450" s="0" t="str">
        <f aca="false">CHOOSE(C450,"Ene","Feb","Mar","Abr","May","Jun","Jul","Ago","Sep","Oct","Nov","Dic")</f>
        <v>Mar</v>
      </c>
      <c r="E450" s="0" t="str">
        <f aca="false">D450&amp;"-"&amp;RIGHT(B450,2)</f>
        <v>Mar-26</v>
      </c>
      <c r="F450" s="0" t="str">
        <f aca="false">"T"&amp;ROUNDUP(C450/3,0)</f>
        <v>T1</v>
      </c>
      <c r="G450" s="35" t="n">
        <f aca="false">DATE(B450,C450,1)</f>
        <v>46082</v>
      </c>
      <c r="H450" s="25" t="n">
        <f aca="false">IF(DAY(A450+1)=1,1,0)</f>
        <v>0</v>
      </c>
    </row>
    <row r="451" customFormat="false" ht="15" hidden="false" customHeight="false" outlineLevel="0" collapsed="false">
      <c r="A451" s="8" t="n">
        <f aca="false">A450+1</f>
        <v>46107</v>
      </c>
      <c r="B451" s="25" t="n">
        <f aca="false">YEAR(A451)</f>
        <v>2026</v>
      </c>
      <c r="C451" s="25" t="n">
        <f aca="false">MONTH(A451)</f>
        <v>3</v>
      </c>
      <c r="D451" s="0" t="str">
        <f aca="false">CHOOSE(C451,"Ene","Feb","Mar","Abr","May","Jun","Jul","Ago","Sep","Oct","Nov","Dic")</f>
        <v>Mar</v>
      </c>
      <c r="E451" s="0" t="str">
        <f aca="false">D451&amp;"-"&amp;RIGHT(B451,2)</f>
        <v>Mar-26</v>
      </c>
      <c r="F451" s="0" t="str">
        <f aca="false">"T"&amp;ROUNDUP(C451/3,0)</f>
        <v>T1</v>
      </c>
      <c r="G451" s="35" t="n">
        <f aca="false">DATE(B451,C451,1)</f>
        <v>46082</v>
      </c>
      <c r="H451" s="25" t="n">
        <f aca="false">IF(DAY(A451+1)=1,1,0)</f>
        <v>0</v>
      </c>
    </row>
    <row r="452" customFormat="false" ht="15" hidden="false" customHeight="false" outlineLevel="0" collapsed="false">
      <c r="A452" s="8" t="n">
        <f aca="false">A451+1</f>
        <v>46108</v>
      </c>
      <c r="B452" s="25" t="n">
        <f aca="false">YEAR(A452)</f>
        <v>2026</v>
      </c>
      <c r="C452" s="25" t="n">
        <f aca="false">MONTH(A452)</f>
        <v>3</v>
      </c>
      <c r="D452" s="0" t="str">
        <f aca="false">CHOOSE(C452,"Ene","Feb","Mar","Abr","May","Jun","Jul","Ago","Sep","Oct","Nov","Dic")</f>
        <v>Mar</v>
      </c>
      <c r="E452" s="0" t="str">
        <f aca="false">D452&amp;"-"&amp;RIGHT(B452,2)</f>
        <v>Mar-26</v>
      </c>
      <c r="F452" s="0" t="str">
        <f aca="false">"T"&amp;ROUNDUP(C452/3,0)</f>
        <v>T1</v>
      </c>
      <c r="G452" s="35" t="n">
        <f aca="false">DATE(B452,C452,1)</f>
        <v>46082</v>
      </c>
      <c r="H452" s="25" t="n">
        <f aca="false">IF(DAY(A452+1)=1,1,0)</f>
        <v>0</v>
      </c>
    </row>
    <row r="453" customFormat="false" ht="15" hidden="false" customHeight="false" outlineLevel="0" collapsed="false">
      <c r="A453" s="8" t="n">
        <f aca="false">A452+1</f>
        <v>46109</v>
      </c>
      <c r="B453" s="25" t="n">
        <f aca="false">YEAR(A453)</f>
        <v>2026</v>
      </c>
      <c r="C453" s="25" t="n">
        <f aca="false">MONTH(A453)</f>
        <v>3</v>
      </c>
      <c r="D453" s="0" t="str">
        <f aca="false">CHOOSE(C453,"Ene","Feb","Mar","Abr","May","Jun","Jul","Ago","Sep","Oct","Nov","Dic")</f>
        <v>Mar</v>
      </c>
      <c r="E453" s="0" t="str">
        <f aca="false">D453&amp;"-"&amp;RIGHT(B453,2)</f>
        <v>Mar-26</v>
      </c>
      <c r="F453" s="0" t="str">
        <f aca="false">"T"&amp;ROUNDUP(C453/3,0)</f>
        <v>T1</v>
      </c>
      <c r="G453" s="35" t="n">
        <f aca="false">DATE(B453,C453,1)</f>
        <v>46082</v>
      </c>
      <c r="H453" s="25" t="n">
        <f aca="false">IF(DAY(A453+1)=1,1,0)</f>
        <v>0</v>
      </c>
    </row>
    <row r="454" customFormat="false" ht="15" hidden="false" customHeight="false" outlineLevel="0" collapsed="false">
      <c r="A454" s="8" t="n">
        <f aca="false">A453+1</f>
        <v>46110</v>
      </c>
      <c r="B454" s="25" t="n">
        <f aca="false">YEAR(A454)</f>
        <v>2026</v>
      </c>
      <c r="C454" s="25" t="n">
        <f aca="false">MONTH(A454)</f>
        <v>3</v>
      </c>
      <c r="D454" s="0" t="str">
        <f aca="false">CHOOSE(C454,"Ene","Feb","Mar","Abr","May","Jun","Jul","Ago","Sep","Oct","Nov","Dic")</f>
        <v>Mar</v>
      </c>
      <c r="E454" s="0" t="str">
        <f aca="false">D454&amp;"-"&amp;RIGHT(B454,2)</f>
        <v>Mar-26</v>
      </c>
      <c r="F454" s="0" t="str">
        <f aca="false">"T"&amp;ROUNDUP(C454/3,0)</f>
        <v>T1</v>
      </c>
      <c r="G454" s="35" t="n">
        <f aca="false">DATE(B454,C454,1)</f>
        <v>46082</v>
      </c>
      <c r="H454" s="25" t="n">
        <f aca="false">IF(DAY(A454+1)=1,1,0)</f>
        <v>0</v>
      </c>
    </row>
    <row r="455" customFormat="false" ht="15" hidden="false" customHeight="false" outlineLevel="0" collapsed="false">
      <c r="A455" s="8" t="n">
        <f aca="false">A454+1</f>
        <v>46111</v>
      </c>
      <c r="B455" s="25" t="n">
        <f aca="false">YEAR(A455)</f>
        <v>2026</v>
      </c>
      <c r="C455" s="25" t="n">
        <f aca="false">MONTH(A455)</f>
        <v>3</v>
      </c>
      <c r="D455" s="0" t="str">
        <f aca="false">CHOOSE(C455,"Ene","Feb","Mar","Abr","May","Jun","Jul","Ago","Sep","Oct","Nov","Dic")</f>
        <v>Mar</v>
      </c>
      <c r="E455" s="0" t="str">
        <f aca="false">D455&amp;"-"&amp;RIGHT(B455,2)</f>
        <v>Mar-26</v>
      </c>
      <c r="F455" s="0" t="str">
        <f aca="false">"T"&amp;ROUNDUP(C455/3,0)</f>
        <v>T1</v>
      </c>
      <c r="G455" s="35" t="n">
        <f aca="false">DATE(B455,C455,1)</f>
        <v>46082</v>
      </c>
      <c r="H455" s="25" t="n">
        <f aca="false">IF(DAY(A455+1)=1,1,0)</f>
        <v>0</v>
      </c>
    </row>
    <row r="456" customFormat="false" ht="15" hidden="false" customHeight="false" outlineLevel="0" collapsed="false">
      <c r="A456" s="8" t="n">
        <f aca="false">A455+1</f>
        <v>46112</v>
      </c>
      <c r="B456" s="25" t="n">
        <f aca="false">YEAR(A456)</f>
        <v>2026</v>
      </c>
      <c r="C456" s="25" t="n">
        <f aca="false">MONTH(A456)</f>
        <v>3</v>
      </c>
      <c r="D456" s="0" t="str">
        <f aca="false">CHOOSE(C456,"Ene","Feb","Mar","Abr","May","Jun","Jul","Ago","Sep","Oct","Nov","Dic")</f>
        <v>Mar</v>
      </c>
      <c r="E456" s="0" t="str">
        <f aca="false">D456&amp;"-"&amp;RIGHT(B456,2)</f>
        <v>Mar-26</v>
      </c>
      <c r="F456" s="0" t="str">
        <f aca="false">"T"&amp;ROUNDUP(C456/3,0)</f>
        <v>T1</v>
      </c>
      <c r="G456" s="35" t="n">
        <f aca="false">DATE(B456,C456,1)</f>
        <v>46082</v>
      </c>
      <c r="H456" s="25" t="n">
        <f aca="false">IF(DAY(A456+1)=1,1,0)</f>
        <v>1</v>
      </c>
    </row>
    <row r="457" customFormat="false" ht="15" hidden="false" customHeight="false" outlineLevel="0" collapsed="false">
      <c r="A457" s="8" t="n">
        <f aca="false">A456+1</f>
        <v>46113</v>
      </c>
      <c r="B457" s="25" t="n">
        <f aca="false">YEAR(A457)</f>
        <v>2026</v>
      </c>
      <c r="C457" s="25" t="n">
        <f aca="false">MONTH(A457)</f>
        <v>4</v>
      </c>
      <c r="D457" s="0" t="str">
        <f aca="false">CHOOSE(C457,"Ene","Feb","Mar","Abr","May","Jun","Jul","Ago","Sep","Oct","Nov","Dic")</f>
        <v>Abr</v>
      </c>
      <c r="E457" s="0" t="str">
        <f aca="false">D457&amp;"-"&amp;RIGHT(B457,2)</f>
        <v>Abr-26</v>
      </c>
      <c r="F457" s="0" t="str">
        <f aca="false">"T"&amp;ROUNDUP(C457/3,0)</f>
        <v>T2</v>
      </c>
      <c r="G457" s="35" t="n">
        <f aca="false">DATE(B457,C457,1)</f>
        <v>46113</v>
      </c>
      <c r="H457" s="25" t="n">
        <f aca="false">IF(DAY(A457+1)=1,1,0)</f>
        <v>0</v>
      </c>
    </row>
    <row r="458" customFormat="false" ht="15" hidden="false" customHeight="false" outlineLevel="0" collapsed="false">
      <c r="A458" s="8" t="n">
        <f aca="false">A457+1</f>
        <v>46114</v>
      </c>
      <c r="B458" s="25" t="n">
        <f aca="false">YEAR(A458)</f>
        <v>2026</v>
      </c>
      <c r="C458" s="25" t="n">
        <f aca="false">MONTH(A458)</f>
        <v>4</v>
      </c>
      <c r="D458" s="0" t="str">
        <f aca="false">CHOOSE(C458,"Ene","Feb","Mar","Abr","May","Jun","Jul","Ago","Sep","Oct","Nov","Dic")</f>
        <v>Abr</v>
      </c>
      <c r="E458" s="0" t="str">
        <f aca="false">D458&amp;"-"&amp;RIGHT(B458,2)</f>
        <v>Abr-26</v>
      </c>
      <c r="F458" s="0" t="str">
        <f aca="false">"T"&amp;ROUNDUP(C458/3,0)</f>
        <v>T2</v>
      </c>
      <c r="G458" s="35" t="n">
        <f aca="false">DATE(B458,C458,1)</f>
        <v>46113</v>
      </c>
      <c r="H458" s="25" t="n">
        <f aca="false">IF(DAY(A458+1)=1,1,0)</f>
        <v>0</v>
      </c>
    </row>
    <row r="459" customFormat="false" ht="15" hidden="false" customHeight="false" outlineLevel="0" collapsed="false">
      <c r="A459" s="8" t="n">
        <f aca="false">A458+1</f>
        <v>46115</v>
      </c>
      <c r="B459" s="25" t="n">
        <f aca="false">YEAR(A459)</f>
        <v>2026</v>
      </c>
      <c r="C459" s="25" t="n">
        <f aca="false">MONTH(A459)</f>
        <v>4</v>
      </c>
      <c r="D459" s="0" t="str">
        <f aca="false">CHOOSE(C459,"Ene","Feb","Mar","Abr","May","Jun","Jul","Ago","Sep","Oct","Nov","Dic")</f>
        <v>Abr</v>
      </c>
      <c r="E459" s="0" t="str">
        <f aca="false">D459&amp;"-"&amp;RIGHT(B459,2)</f>
        <v>Abr-26</v>
      </c>
      <c r="F459" s="0" t="str">
        <f aca="false">"T"&amp;ROUNDUP(C459/3,0)</f>
        <v>T2</v>
      </c>
      <c r="G459" s="35" t="n">
        <f aca="false">DATE(B459,C459,1)</f>
        <v>46113</v>
      </c>
      <c r="H459" s="25" t="n">
        <f aca="false">IF(DAY(A459+1)=1,1,0)</f>
        <v>0</v>
      </c>
    </row>
    <row r="460" customFormat="false" ht="15" hidden="false" customHeight="false" outlineLevel="0" collapsed="false">
      <c r="A460" s="8" t="n">
        <f aca="false">A459+1</f>
        <v>46116</v>
      </c>
      <c r="B460" s="25" t="n">
        <f aca="false">YEAR(A460)</f>
        <v>2026</v>
      </c>
      <c r="C460" s="25" t="n">
        <f aca="false">MONTH(A460)</f>
        <v>4</v>
      </c>
      <c r="D460" s="0" t="str">
        <f aca="false">CHOOSE(C460,"Ene","Feb","Mar","Abr","May","Jun","Jul","Ago","Sep","Oct","Nov","Dic")</f>
        <v>Abr</v>
      </c>
      <c r="E460" s="0" t="str">
        <f aca="false">D460&amp;"-"&amp;RIGHT(B460,2)</f>
        <v>Abr-26</v>
      </c>
      <c r="F460" s="0" t="str">
        <f aca="false">"T"&amp;ROUNDUP(C460/3,0)</f>
        <v>T2</v>
      </c>
      <c r="G460" s="35" t="n">
        <f aca="false">DATE(B460,C460,1)</f>
        <v>46113</v>
      </c>
      <c r="H460" s="25" t="n">
        <f aca="false">IF(DAY(A460+1)=1,1,0)</f>
        <v>0</v>
      </c>
    </row>
    <row r="461" customFormat="false" ht="15" hidden="false" customHeight="false" outlineLevel="0" collapsed="false">
      <c r="A461" s="8" t="n">
        <f aca="false">A460+1</f>
        <v>46117</v>
      </c>
      <c r="B461" s="25" t="n">
        <f aca="false">YEAR(A461)</f>
        <v>2026</v>
      </c>
      <c r="C461" s="25" t="n">
        <f aca="false">MONTH(A461)</f>
        <v>4</v>
      </c>
      <c r="D461" s="0" t="str">
        <f aca="false">CHOOSE(C461,"Ene","Feb","Mar","Abr","May","Jun","Jul","Ago","Sep","Oct","Nov","Dic")</f>
        <v>Abr</v>
      </c>
      <c r="E461" s="0" t="str">
        <f aca="false">D461&amp;"-"&amp;RIGHT(B461,2)</f>
        <v>Abr-26</v>
      </c>
      <c r="F461" s="0" t="str">
        <f aca="false">"T"&amp;ROUNDUP(C461/3,0)</f>
        <v>T2</v>
      </c>
      <c r="G461" s="35" t="n">
        <f aca="false">DATE(B461,C461,1)</f>
        <v>46113</v>
      </c>
      <c r="H461" s="25" t="n">
        <f aca="false">IF(DAY(A461+1)=1,1,0)</f>
        <v>0</v>
      </c>
    </row>
    <row r="462" customFormat="false" ht="15" hidden="false" customHeight="false" outlineLevel="0" collapsed="false">
      <c r="A462" s="8" t="n">
        <f aca="false">A461+1</f>
        <v>46118</v>
      </c>
      <c r="B462" s="25" t="n">
        <f aca="false">YEAR(A462)</f>
        <v>2026</v>
      </c>
      <c r="C462" s="25" t="n">
        <f aca="false">MONTH(A462)</f>
        <v>4</v>
      </c>
      <c r="D462" s="0" t="str">
        <f aca="false">CHOOSE(C462,"Ene","Feb","Mar","Abr","May","Jun","Jul","Ago","Sep","Oct","Nov","Dic")</f>
        <v>Abr</v>
      </c>
      <c r="E462" s="0" t="str">
        <f aca="false">D462&amp;"-"&amp;RIGHT(B462,2)</f>
        <v>Abr-26</v>
      </c>
      <c r="F462" s="0" t="str">
        <f aca="false">"T"&amp;ROUNDUP(C462/3,0)</f>
        <v>T2</v>
      </c>
      <c r="G462" s="35" t="n">
        <f aca="false">DATE(B462,C462,1)</f>
        <v>46113</v>
      </c>
      <c r="H462" s="25" t="n">
        <f aca="false">IF(DAY(A462+1)=1,1,0)</f>
        <v>0</v>
      </c>
    </row>
    <row r="463" customFormat="false" ht="15" hidden="false" customHeight="false" outlineLevel="0" collapsed="false">
      <c r="A463" s="8" t="n">
        <f aca="false">A462+1</f>
        <v>46119</v>
      </c>
      <c r="B463" s="25" t="n">
        <f aca="false">YEAR(A463)</f>
        <v>2026</v>
      </c>
      <c r="C463" s="25" t="n">
        <f aca="false">MONTH(A463)</f>
        <v>4</v>
      </c>
      <c r="D463" s="0" t="str">
        <f aca="false">CHOOSE(C463,"Ene","Feb","Mar","Abr","May","Jun","Jul","Ago","Sep","Oct","Nov","Dic")</f>
        <v>Abr</v>
      </c>
      <c r="E463" s="0" t="str">
        <f aca="false">D463&amp;"-"&amp;RIGHT(B463,2)</f>
        <v>Abr-26</v>
      </c>
      <c r="F463" s="0" t="str">
        <f aca="false">"T"&amp;ROUNDUP(C463/3,0)</f>
        <v>T2</v>
      </c>
      <c r="G463" s="35" t="n">
        <f aca="false">DATE(B463,C463,1)</f>
        <v>46113</v>
      </c>
      <c r="H463" s="25" t="n">
        <f aca="false">IF(DAY(A463+1)=1,1,0)</f>
        <v>0</v>
      </c>
    </row>
    <row r="464" customFormat="false" ht="15" hidden="false" customHeight="false" outlineLevel="0" collapsed="false">
      <c r="A464" s="8" t="n">
        <f aca="false">A463+1</f>
        <v>46120</v>
      </c>
      <c r="B464" s="25" t="n">
        <f aca="false">YEAR(A464)</f>
        <v>2026</v>
      </c>
      <c r="C464" s="25" t="n">
        <f aca="false">MONTH(A464)</f>
        <v>4</v>
      </c>
      <c r="D464" s="0" t="str">
        <f aca="false">CHOOSE(C464,"Ene","Feb","Mar","Abr","May","Jun","Jul","Ago","Sep","Oct","Nov","Dic")</f>
        <v>Abr</v>
      </c>
      <c r="E464" s="0" t="str">
        <f aca="false">D464&amp;"-"&amp;RIGHT(B464,2)</f>
        <v>Abr-26</v>
      </c>
      <c r="F464" s="0" t="str">
        <f aca="false">"T"&amp;ROUNDUP(C464/3,0)</f>
        <v>T2</v>
      </c>
      <c r="G464" s="35" t="n">
        <f aca="false">DATE(B464,C464,1)</f>
        <v>46113</v>
      </c>
      <c r="H464" s="25" t="n">
        <f aca="false">IF(DAY(A464+1)=1,1,0)</f>
        <v>0</v>
      </c>
    </row>
    <row r="465" customFormat="false" ht="15" hidden="false" customHeight="false" outlineLevel="0" collapsed="false">
      <c r="A465" s="8" t="n">
        <f aca="false">A464+1</f>
        <v>46121</v>
      </c>
      <c r="B465" s="25" t="n">
        <f aca="false">YEAR(A465)</f>
        <v>2026</v>
      </c>
      <c r="C465" s="25" t="n">
        <f aca="false">MONTH(A465)</f>
        <v>4</v>
      </c>
      <c r="D465" s="0" t="str">
        <f aca="false">CHOOSE(C465,"Ene","Feb","Mar","Abr","May","Jun","Jul","Ago","Sep","Oct","Nov","Dic")</f>
        <v>Abr</v>
      </c>
      <c r="E465" s="0" t="str">
        <f aca="false">D465&amp;"-"&amp;RIGHT(B465,2)</f>
        <v>Abr-26</v>
      </c>
      <c r="F465" s="0" t="str">
        <f aca="false">"T"&amp;ROUNDUP(C465/3,0)</f>
        <v>T2</v>
      </c>
      <c r="G465" s="35" t="n">
        <f aca="false">DATE(B465,C465,1)</f>
        <v>46113</v>
      </c>
      <c r="H465" s="25" t="n">
        <f aca="false">IF(DAY(A465+1)=1,1,0)</f>
        <v>0</v>
      </c>
    </row>
    <row r="466" customFormat="false" ht="15" hidden="false" customHeight="false" outlineLevel="0" collapsed="false">
      <c r="A466" s="8" t="n">
        <f aca="false">A465+1</f>
        <v>46122</v>
      </c>
      <c r="B466" s="25" t="n">
        <f aca="false">YEAR(A466)</f>
        <v>2026</v>
      </c>
      <c r="C466" s="25" t="n">
        <f aca="false">MONTH(A466)</f>
        <v>4</v>
      </c>
      <c r="D466" s="0" t="str">
        <f aca="false">CHOOSE(C466,"Ene","Feb","Mar","Abr","May","Jun","Jul","Ago","Sep","Oct","Nov","Dic")</f>
        <v>Abr</v>
      </c>
      <c r="E466" s="0" t="str">
        <f aca="false">D466&amp;"-"&amp;RIGHT(B466,2)</f>
        <v>Abr-26</v>
      </c>
      <c r="F466" s="0" t="str">
        <f aca="false">"T"&amp;ROUNDUP(C466/3,0)</f>
        <v>T2</v>
      </c>
      <c r="G466" s="35" t="n">
        <f aca="false">DATE(B466,C466,1)</f>
        <v>46113</v>
      </c>
      <c r="H466" s="25" t="n">
        <f aca="false">IF(DAY(A466+1)=1,1,0)</f>
        <v>0</v>
      </c>
    </row>
    <row r="467" customFormat="false" ht="15" hidden="false" customHeight="false" outlineLevel="0" collapsed="false">
      <c r="A467" s="8" t="n">
        <f aca="false">A466+1</f>
        <v>46123</v>
      </c>
      <c r="B467" s="25" t="n">
        <f aca="false">YEAR(A467)</f>
        <v>2026</v>
      </c>
      <c r="C467" s="25" t="n">
        <f aca="false">MONTH(A467)</f>
        <v>4</v>
      </c>
      <c r="D467" s="0" t="str">
        <f aca="false">CHOOSE(C467,"Ene","Feb","Mar","Abr","May","Jun","Jul","Ago","Sep","Oct","Nov","Dic")</f>
        <v>Abr</v>
      </c>
      <c r="E467" s="0" t="str">
        <f aca="false">D467&amp;"-"&amp;RIGHT(B467,2)</f>
        <v>Abr-26</v>
      </c>
      <c r="F467" s="0" t="str">
        <f aca="false">"T"&amp;ROUNDUP(C467/3,0)</f>
        <v>T2</v>
      </c>
      <c r="G467" s="35" t="n">
        <f aca="false">DATE(B467,C467,1)</f>
        <v>46113</v>
      </c>
      <c r="H467" s="25" t="n">
        <f aca="false">IF(DAY(A467+1)=1,1,0)</f>
        <v>0</v>
      </c>
    </row>
    <row r="468" customFormat="false" ht="15" hidden="false" customHeight="false" outlineLevel="0" collapsed="false">
      <c r="A468" s="8" t="n">
        <f aca="false">A467+1</f>
        <v>46124</v>
      </c>
      <c r="B468" s="25" t="n">
        <f aca="false">YEAR(A468)</f>
        <v>2026</v>
      </c>
      <c r="C468" s="25" t="n">
        <f aca="false">MONTH(A468)</f>
        <v>4</v>
      </c>
      <c r="D468" s="0" t="str">
        <f aca="false">CHOOSE(C468,"Ene","Feb","Mar","Abr","May","Jun","Jul","Ago","Sep","Oct","Nov","Dic")</f>
        <v>Abr</v>
      </c>
      <c r="E468" s="0" t="str">
        <f aca="false">D468&amp;"-"&amp;RIGHT(B468,2)</f>
        <v>Abr-26</v>
      </c>
      <c r="F468" s="0" t="str">
        <f aca="false">"T"&amp;ROUNDUP(C468/3,0)</f>
        <v>T2</v>
      </c>
      <c r="G468" s="35" t="n">
        <f aca="false">DATE(B468,C468,1)</f>
        <v>46113</v>
      </c>
      <c r="H468" s="25" t="n">
        <f aca="false">IF(DAY(A468+1)=1,1,0)</f>
        <v>0</v>
      </c>
    </row>
    <row r="469" customFormat="false" ht="15" hidden="false" customHeight="false" outlineLevel="0" collapsed="false">
      <c r="A469" s="8" t="n">
        <f aca="false">A468+1</f>
        <v>46125</v>
      </c>
      <c r="B469" s="25" t="n">
        <f aca="false">YEAR(A469)</f>
        <v>2026</v>
      </c>
      <c r="C469" s="25" t="n">
        <f aca="false">MONTH(A469)</f>
        <v>4</v>
      </c>
      <c r="D469" s="0" t="str">
        <f aca="false">CHOOSE(C469,"Ene","Feb","Mar","Abr","May","Jun","Jul","Ago","Sep","Oct","Nov","Dic")</f>
        <v>Abr</v>
      </c>
      <c r="E469" s="0" t="str">
        <f aca="false">D469&amp;"-"&amp;RIGHT(B469,2)</f>
        <v>Abr-26</v>
      </c>
      <c r="F469" s="0" t="str">
        <f aca="false">"T"&amp;ROUNDUP(C469/3,0)</f>
        <v>T2</v>
      </c>
      <c r="G469" s="35" t="n">
        <f aca="false">DATE(B469,C469,1)</f>
        <v>46113</v>
      </c>
      <c r="H469" s="25" t="n">
        <f aca="false">IF(DAY(A469+1)=1,1,0)</f>
        <v>0</v>
      </c>
    </row>
    <row r="470" customFormat="false" ht="15" hidden="false" customHeight="false" outlineLevel="0" collapsed="false">
      <c r="A470" s="8" t="n">
        <f aca="false">A469+1</f>
        <v>46126</v>
      </c>
      <c r="B470" s="25" t="n">
        <f aca="false">YEAR(A470)</f>
        <v>2026</v>
      </c>
      <c r="C470" s="25" t="n">
        <f aca="false">MONTH(A470)</f>
        <v>4</v>
      </c>
      <c r="D470" s="0" t="str">
        <f aca="false">CHOOSE(C470,"Ene","Feb","Mar","Abr","May","Jun","Jul","Ago","Sep","Oct","Nov","Dic")</f>
        <v>Abr</v>
      </c>
      <c r="E470" s="0" t="str">
        <f aca="false">D470&amp;"-"&amp;RIGHT(B470,2)</f>
        <v>Abr-26</v>
      </c>
      <c r="F470" s="0" t="str">
        <f aca="false">"T"&amp;ROUNDUP(C470/3,0)</f>
        <v>T2</v>
      </c>
      <c r="G470" s="35" t="n">
        <f aca="false">DATE(B470,C470,1)</f>
        <v>46113</v>
      </c>
      <c r="H470" s="25" t="n">
        <f aca="false">IF(DAY(A470+1)=1,1,0)</f>
        <v>0</v>
      </c>
    </row>
    <row r="471" customFormat="false" ht="15" hidden="false" customHeight="false" outlineLevel="0" collapsed="false">
      <c r="A471" s="8" t="n">
        <f aca="false">A470+1</f>
        <v>46127</v>
      </c>
      <c r="B471" s="25" t="n">
        <f aca="false">YEAR(A471)</f>
        <v>2026</v>
      </c>
      <c r="C471" s="25" t="n">
        <f aca="false">MONTH(A471)</f>
        <v>4</v>
      </c>
      <c r="D471" s="0" t="str">
        <f aca="false">CHOOSE(C471,"Ene","Feb","Mar","Abr","May","Jun","Jul","Ago","Sep","Oct","Nov","Dic")</f>
        <v>Abr</v>
      </c>
      <c r="E471" s="0" t="str">
        <f aca="false">D471&amp;"-"&amp;RIGHT(B471,2)</f>
        <v>Abr-26</v>
      </c>
      <c r="F471" s="0" t="str">
        <f aca="false">"T"&amp;ROUNDUP(C471/3,0)</f>
        <v>T2</v>
      </c>
      <c r="G471" s="35" t="n">
        <f aca="false">DATE(B471,C471,1)</f>
        <v>46113</v>
      </c>
      <c r="H471" s="25" t="n">
        <f aca="false">IF(DAY(A471+1)=1,1,0)</f>
        <v>0</v>
      </c>
    </row>
    <row r="472" customFormat="false" ht="15" hidden="false" customHeight="false" outlineLevel="0" collapsed="false">
      <c r="A472" s="8" t="n">
        <f aca="false">A471+1</f>
        <v>46128</v>
      </c>
      <c r="B472" s="25" t="n">
        <f aca="false">YEAR(A472)</f>
        <v>2026</v>
      </c>
      <c r="C472" s="25" t="n">
        <f aca="false">MONTH(A472)</f>
        <v>4</v>
      </c>
      <c r="D472" s="0" t="str">
        <f aca="false">CHOOSE(C472,"Ene","Feb","Mar","Abr","May","Jun","Jul","Ago","Sep","Oct","Nov","Dic")</f>
        <v>Abr</v>
      </c>
      <c r="E472" s="0" t="str">
        <f aca="false">D472&amp;"-"&amp;RIGHT(B472,2)</f>
        <v>Abr-26</v>
      </c>
      <c r="F472" s="0" t="str">
        <f aca="false">"T"&amp;ROUNDUP(C472/3,0)</f>
        <v>T2</v>
      </c>
      <c r="G472" s="35" t="n">
        <f aca="false">DATE(B472,C472,1)</f>
        <v>46113</v>
      </c>
      <c r="H472" s="25" t="n">
        <f aca="false">IF(DAY(A472+1)=1,1,0)</f>
        <v>0</v>
      </c>
    </row>
    <row r="473" customFormat="false" ht="15" hidden="false" customHeight="false" outlineLevel="0" collapsed="false">
      <c r="A473" s="8" t="n">
        <f aca="false">A472+1</f>
        <v>46129</v>
      </c>
      <c r="B473" s="25" t="n">
        <f aca="false">YEAR(A473)</f>
        <v>2026</v>
      </c>
      <c r="C473" s="25" t="n">
        <f aca="false">MONTH(A473)</f>
        <v>4</v>
      </c>
      <c r="D473" s="0" t="str">
        <f aca="false">CHOOSE(C473,"Ene","Feb","Mar","Abr","May","Jun","Jul","Ago","Sep","Oct","Nov","Dic")</f>
        <v>Abr</v>
      </c>
      <c r="E473" s="0" t="str">
        <f aca="false">D473&amp;"-"&amp;RIGHT(B473,2)</f>
        <v>Abr-26</v>
      </c>
      <c r="F473" s="0" t="str">
        <f aca="false">"T"&amp;ROUNDUP(C473/3,0)</f>
        <v>T2</v>
      </c>
      <c r="G473" s="35" t="n">
        <f aca="false">DATE(B473,C473,1)</f>
        <v>46113</v>
      </c>
      <c r="H473" s="25" t="n">
        <f aca="false">IF(DAY(A473+1)=1,1,0)</f>
        <v>0</v>
      </c>
    </row>
    <row r="474" customFormat="false" ht="15" hidden="false" customHeight="false" outlineLevel="0" collapsed="false">
      <c r="A474" s="8" t="n">
        <f aca="false">A473+1</f>
        <v>46130</v>
      </c>
      <c r="B474" s="25" t="n">
        <f aca="false">YEAR(A474)</f>
        <v>2026</v>
      </c>
      <c r="C474" s="25" t="n">
        <f aca="false">MONTH(A474)</f>
        <v>4</v>
      </c>
      <c r="D474" s="0" t="str">
        <f aca="false">CHOOSE(C474,"Ene","Feb","Mar","Abr","May","Jun","Jul","Ago","Sep","Oct","Nov","Dic")</f>
        <v>Abr</v>
      </c>
      <c r="E474" s="0" t="str">
        <f aca="false">D474&amp;"-"&amp;RIGHT(B474,2)</f>
        <v>Abr-26</v>
      </c>
      <c r="F474" s="0" t="str">
        <f aca="false">"T"&amp;ROUNDUP(C474/3,0)</f>
        <v>T2</v>
      </c>
      <c r="G474" s="35" t="n">
        <f aca="false">DATE(B474,C474,1)</f>
        <v>46113</v>
      </c>
      <c r="H474" s="25" t="n">
        <f aca="false">IF(DAY(A474+1)=1,1,0)</f>
        <v>0</v>
      </c>
    </row>
    <row r="475" customFormat="false" ht="15" hidden="false" customHeight="false" outlineLevel="0" collapsed="false">
      <c r="A475" s="8" t="n">
        <f aca="false">A474+1</f>
        <v>46131</v>
      </c>
      <c r="B475" s="25" t="n">
        <f aca="false">YEAR(A475)</f>
        <v>2026</v>
      </c>
      <c r="C475" s="25" t="n">
        <f aca="false">MONTH(A475)</f>
        <v>4</v>
      </c>
      <c r="D475" s="0" t="str">
        <f aca="false">CHOOSE(C475,"Ene","Feb","Mar","Abr","May","Jun","Jul","Ago","Sep","Oct","Nov","Dic")</f>
        <v>Abr</v>
      </c>
      <c r="E475" s="0" t="str">
        <f aca="false">D475&amp;"-"&amp;RIGHT(B475,2)</f>
        <v>Abr-26</v>
      </c>
      <c r="F475" s="0" t="str">
        <f aca="false">"T"&amp;ROUNDUP(C475/3,0)</f>
        <v>T2</v>
      </c>
      <c r="G475" s="35" t="n">
        <f aca="false">DATE(B475,C475,1)</f>
        <v>46113</v>
      </c>
      <c r="H475" s="25" t="n">
        <f aca="false">IF(DAY(A475+1)=1,1,0)</f>
        <v>0</v>
      </c>
    </row>
    <row r="476" customFormat="false" ht="15" hidden="false" customHeight="false" outlineLevel="0" collapsed="false">
      <c r="A476" s="8" t="n">
        <f aca="false">A475+1</f>
        <v>46132</v>
      </c>
      <c r="B476" s="25" t="n">
        <f aca="false">YEAR(A476)</f>
        <v>2026</v>
      </c>
      <c r="C476" s="25" t="n">
        <f aca="false">MONTH(A476)</f>
        <v>4</v>
      </c>
      <c r="D476" s="0" t="str">
        <f aca="false">CHOOSE(C476,"Ene","Feb","Mar","Abr","May","Jun","Jul","Ago","Sep","Oct","Nov","Dic")</f>
        <v>Abr</v>
      </c>
      <c r="E476" s="0" t="str">
        <f aca="false">D476&amp;"-"&amp;RIGHT(B476,2)</f>
        <v>Abr-26</v>
      </c>
      <c r="F476" s="0" t="str">
        <f aca="false">"T"&amp;ROUNDUP(C476/3,0)</f>
        <v>T2</v>
      </c>
      <c r="G476" s="35" t="n">
        <f aca="false">DATE(B476,C476,1)</f>
        <v>46113</v>
      </c>
      <c r="H476" s="25" t="n">
        <f aca="false">IF(DAY(A476+1)=1,1,0)</f>
        <v>0</v>
      </c>
    </row>
    <row r="477" customFormat="false" ht="15" hidden="false" customHeight="false" outlineLevel="0" collapsed="false">
      <c r="A477" s="8" t="n">
        <f aca="false">A476+1</f>
        <v>46133</v>
      </c>
      <c r="B477" s="25" t="n">
        <f aca="false">YEAR(A477)</f>
        <v>2026</v>
      </c>
      <c r="C477" s="25" t="n">
        <f aca="false">MONTH(A477)</f>
        <v>4</v>
      </c>
      <c r="D477" s="0" t="str">
        <f aca="false">CHOOSE(C477,"Ene","Feb","Mar","Abr","May","Jun","Jul","Ago","Sep","Oct","Nov","Dic")</f>
        <v>Abr</v>
      </c>
      <c r="E477" s="0" t="str">
        <f aca="false">D477&amp;"-"&amp;RIGHT(B477,2)</f>
        <v>Abr-26</v>
      </c>
      <c r="F477" s="0" t="str">
        <f aca="false">"T"&amp;ROUNDUP(C477/3,0)</f>
        <v>T2</v>
      </c>
      <c r="G477" s="35" t="n">
        <f aca="false">DATE(B477,C477,1)</f>
        <v>46113</v>
      </c>
      <c r="H477" s="25" t="n">
        <f aca="false">IF(DAY(A477+1)=1,1,0)</f>
        <v>0</v>
      </c>
    </row>
    <row r="478" customFormat="false" ht="15" hidden="false" customHeight="false" outlineLevel="0" collapsed="false">
      <c r="A478" s="8" t="n">
        <f aca="false">A477+1</f>
        <v>46134</v>
      </c>
      <c r="B478" s="25" t="n">
        <f aca="false">YEAR(A478)</f>
        <v>2026</v>
      </c>
      <c r="C478" s="25" t="n">
        <f aca="false">MONTH(A478)</f>
        <v>4</v>
      </c>
      <c r="D478" s="0" t="str">
        <f aca="false">CHOOSE(C478,"Ene","Feb","Mar","Abr","May","Jun","Jul","Ago","Sep","Oct","Nov","Dic")</f>
        <v>Abr</v>
      </c>
      <c r="E478" s="0" t="str">
        <f aca="false">D478&amp;"-"&amp;RIGHT(B478,2)</f>
        <v>Abr-26</v>
      </c>
      <c r="F478" s="0" t="str">
        <f aca="false">"T"&amp;ROUNDUP(C478/3,0)</f>
        <v>T2</v>
      </c>
      <c r="G478" s="35" t="n">
        <f aca="false">DATE(B478,C478,1)</f>
        <v>46113</v>
      </c>
      <c r="H478" s="25" t="n">
        <f aca="false">IF(DAY(A478+1)=1,1,0)</f>
        <v>0</v>
      </c>
    </row>
    <row r="479" customFormat="false" ht="15" hidden="false" customHeight="false" outlineLevel="0" collapsed="false">
      <c r="A479" s="8" t="n">
        <f aca="false">A478+1</f>
        <v>46135</v>
      </c>
      <c r="B479" s="25" t="n">
        <f aca="false">YEAR(A479)</f>
        <v>2026</v>
      </c>
      <c r="C479" s="25" t="n">
        <f aca="false">MONTH(A479)</f>
        <v>4</v>
      </c>
      <c r="D479" s="0" t="str">
        <f aca="false">CHOOSE(C479,"Ene","Feb","Mar","Abr","May","Jun","Jul","Ago","Sep","Oct","Nov","Dic")</f>
        <v>Abr</v>
      </c>
      <c r="E479" s="0" t="str">
        <f aca="false">D479&amp;"-"&amp;RIGHT(B479,2)</f>
        <v>Abr-26</v>
      </c>
      <c r="F479" s="0" t="str">
        <f aca="false">"T"&amp;ROUNDUP(C479/3,0)</f>
        <v>T2</v>
      </c>
      <c r="G479" s="35" t="n">
        <f aca="false">DATE(B479,C479,1)</f>
        <v>46113</v>
      </c>
      <c r="H479" s="25" t="n">
        <f aca="false">IF(DAY(A479+1)=1,1,0)</f>
        <v>0</v>
      </c>
    </row>
    <row r="480" customFormat="false" ht="15" hidden="false" customHeight="false" outlineLevel="0" collapsed="false">
      <c r="A480" s="8" t="n">
        <f aca="false">A479+1</f>
        <v>46136</v>
      </c>
      <c r="B480" s="25" t="n">
        <f aca="false">YEAR(A480)</f>
        <v>2026</v>
      </c>
      <c r="C480" s="25" t="n">
        <f aca="false">MONTH(A480)</f>
        <v>4</v>
      </c>
      <c r="D480" s="0" t="str">
        <f aca="false">CHOOSE(C480,"Ene","Feb","Mar","Abr","May","Jun","Jul","Ago","Sep","Oct","Nov","Dic")</f>
        <v>Abr</v>
      </c>
      <c r="E480" s="0" t="str">
        <f aca="false">D480&amp;"-"&amp;RIGHT(B480,2)</f>
        <v>Abr-26</v>
      </c>
      <c r="F480" s="0" t="str">
        <f aca="false">"T"&amp;ROUNDUP(C480/3,0)</f>
        <v>T2</v>
      </c>
      <c r="G480" s="35" t="n">
        <f aca="false">DATE(B480,C480,1)</f>
        <v>46113</v>
      </c>
      <c r="H480" s="25" t="n">
        <f aca="false">IF(DAY(A480+1)=1,1,0)</f>
        <v>0</v>
      </c>
    </row>
    <row r="481" customFormat="false" ht="15" hidden="false" customHeight="false" outlineLevel="0" collapsed="false">
      <c r="A481" s="8" t="n">
        <f aca="false">A480+1</f>
        <v>46137</v>
      </c>
      <c r="B481" s="25" t="n">
        <f aca="false">YEAR(A481)</f>
        <v>2026</v>
      </c>
      <c r="C481" s="25" t="n">
        <f aca="false">MONTH(A481)</f>
        <v>4</v>
      </c>
      <c r="D481" s="0" t="str">
        <f aca="false">CHOOSE(C481,"Ene","Feb","Mar","Abr","May","Jun","Jul","Ago","Sep","Oct","Nov","Dic")</f>
        <v>Abr</v>
      </c>
      <c r="E481" s="0" t="str">
        <f aca="false">D481&amp;"-"&amp;RIGHT(B481,2)</f>
        <v>Abr-26</v>
      </c>
      <c r="F481" s="0" t="str">
        <f aca="false">"T"&amp;ROUNDUP(C481/3,0)</f>
        <v>T2</v>
      </c>
      <c r="G481" s="35" t="n">
        <f aca="false">DATE(B481,C481,1)</f>
        <v>46113</v>
      </c>
      <c r="H481" s="25" t="n">
        <f aca="false">IF(DAY(A481+1)=1,1,0)</f>
        <v>0</v>
      </c>
    </row>
    <row r="482" customFormat="false" ht="15" hidden="false" customHeight="false" outlineLevel="0" collapsed="false">
      <c r="A482" s="8" t="n">
        <f aca="false">A481+1</f>
        <v>46138</v>
      </c>
      <c r="B482" s="25" t="n">
        <f aca="false">YEAR(A482)</f>
        <v>2026</v>
      </c>
      <c r="C482" s="25" t="n">
        <f aca="false">MONTH(A482)</f>
        <v>4</v>
      </c>
      <c r="D482" s="0" t="str">
        <f aca="false">CHOOSE(C482,"Ene","Feb","Mar","Abr","May","Jun","Jul","Ago","Sep","Oct","Nov","Dic")</f>
        <v>Abr</v>
      </c>
      <c r="E482" s="0" t="str">
        <f aca="false">D482&amp;"-"&amp;RIGHT(B482,2)</f>
        <v>Abr-26</v>
      </c>
      <c r="F482" s="0" t="str">
        <f aca="false">"T"&amp;ROUNDUP(C482/3,0)</f>
        <v>T2</v>
      </c>
      <c r="G482" s="35" t="n">
        <f aca="false">DATE(B482,C482,1)</f>
        <v>46113</v>
      </c>
      <c r="H482" s="25" t="n">
        <f aca="false">IF(DAY(A482+1)=1,1,0)</f>
        <v>0</v>
      </c>
    </row>
    <row r="483" customFormat="false" ht="15" hidden="false" customHeight="false" outlineLevel="0" collapsed="false">
      <c r="A483" s="8" t="n">
        <f aca="false">A482+1</f>
        <v>46139</v>
      </c>
      <c r="B483" s="25" t="n">
        <f aca="false">YEAR(A483)</f>
        <v>2026</v>
      </c>
      <c r="C483" s="25" t="n">
        <f aca="false">MONTH(A483)</f>
        <v>4</v>
      </c>
      <c r="D483" s="0" t="str">
        <f aca="false">CHOOSE(C483,"Ene","Feb","Mar","Abr","May","Jun","Jul","Ago","Sep","Oct","Nov","Dic")</f>
        <v>Abr</v>
      </c>
      <c r="E483" s="0" t="str">
        <f aca="false">D483&amp;"-"&amp;RIGHT(B483,2)</f>
        <v>Abr-26</v>
      </c>
      <c r="F483" s="0" t="str">
        <f aca="false">"T"&amp;ROUNDUP(C483/3,0)</f>
        <v>T2</v>
      </c>
      <c r="G483" s="35" t="n">
        <f aca="false">DATE(B483,C483,1)</f>
        <v>46113</v>
      </c>
      <c r="H483" s="25" t="n">
        <f aca="false">IF(DAY(A483+1)=1,1,0)</f>
        <v>0</v>
      </c>
    </row>
    <row r="484" customFormat="false" ht="15" hidden="false" customHeight="false" outlineLevel="0" collapsed="false">
      <c r="A484" s="8" t="n">
        <f aca="false">A483+1</f>
        <v>46140</v>
      </c>
      <c r="B484" s="25" t="n">
        <f aca="false">YEAR(A484)</f>
        <v>2026</v>
      </c>
      <c r="C484" s="25" t="n">
        <f aca="false">MONTH(A484)</f>
        <v>4</v>
      </c>
      <c r="D484" s="0" t="str">
        <f aca="false">CHOOSE(C484,"Ene","Feb","Mar","Abr","May","Jun","Jul","Ago","Sep","Oct","Nov","Dic")</f>
        <v>Abr</v>
      </c>
      <c r="E484" s="0" t="str">
        <f aca="false">D484&amp;"-"&amp;RIGHT(B484,2)</f>
        <v>Abr-26</v>
      </c>
      <c r="F484" s="0" t="str">
        <f aca="false">"T"&amp;ROUNDUP(C484/3,0)</f>
        <v>T2</v>
      </c>
      <c r="G484" s="35" t="n">
        <f aca="false">DATE(B484,C484,1)</f>
        <v>46113</v>
      </c>
      <c r="H484" s="25" t="n">
        <f aca="false">IF(DAY(A484+1)=1,1,0)</f>
        <v>0</v>
      </c>
    </row>
    <row r="485" customFormat="false" ht="15" hidden="false" customHeight="false" outlineLevel="0" collapsed="false">
      <c r="A485" s="8" t="n">
        <f aca="false">A484+1</f>
        <v>46141</v>
      </c>
      <c r="B485" s="25" t="n">
        <f aca="false">YEAR(A485)</f>
        <v>2026</v>
      </c>
      <c r="C485" s="25" t="n">
        <f aca="false">MONTH(A485)</f>
        <v>4</v>
      </c>
      <c r="D485" s="0" t="str">
        <f aca="false">CHOOSE(C485,"Ene","Feb","Mar","Abr","May","Jun","Jul","Ago","Sep","Oct","Nov","Dic")</f>
        <v>Abr</v>
      </c>
      <c r="E485" s="0" t="str">
        <f aca="false">D485&amp;"-"&amp;RIGHT(B485,2)</f>
        <v>Abr-26</v>
      </c>
      <c r="F485" s="0" t="str">
        <f aca="false">"T"&amp;ROUNDUP(C485/3,0)</f>
        <v>T2</v>
      </c>
      <c r="G485" s="35" t="n">
        <f aca="false">DATE(B485,C485,1)</f>
        <v>46113</v>
      </c>
      <c r="H485" s="25" t="n">
        <f aca="false">IF(DAY(A485+1)=1,1,0)</f>
        <v>0</v>
      </c>
    </row>
    <row r="486" customFormat="false" ht="15" hidden="false" customHeight="false" outlineLevel="0" collapsed="false">
      <c r="A486" s="8" t="n">
        <f aca="false">A485+1</f>
        <v>46142</v>
      </c>
      <c r="B486" s="25" t="n">
        <f aca="false">YEAR(A486)</f>
        <v>2026</v>
      </c>
      <c r="C486" s="25" t="n">
        <f aca="false">MONTH(A486)</f>
        <v>4</v>
      </c>
      <c r="D486" s="0" t="str">
        <f aca="false">CHOOSE(C486,"Ene","Feb","Mar","Abr","May","Jun","Jul","Ago","Sep","Oct","Nov","Dic")</f>
        <v>Abr</v>
      </c>
      <c r="E486" s="0" t="str">
        <f aca="false">D486&amp;"-"&amp;RIGHT(B486,2)</f>
        <v>Abr-26</v>
      </c>
      <c r="F486" s="0" t="str">
        <f aca="false">"T"&amp;ROUNDUP(C486/3,0)</f>
        <v>T2</v>
      </c>
      <c r="G486" s="35" t="n">
        <f aca="false">DATE(B486,C486,1)</f>
        <v>46113</v>
      </c>
      <c r="H486" s="25" t="n">
        <f aca="false">IF(DAY(A486+1)=1,1,0)</f>
        <v>1</v>
      </c>
    </row>
    <row r="487" customFormat="false" ht="15" hidden="false" customHeight="false" outlineLevel="0" collapsed="false">
      <c r="A487" s="8" t="n">
        <f aca="false">A486+1</f>
        <v>46143</v>
      </c>
      <c r="B487" s="25" t="n">
        <f aca="false">YEAR(A487)</f>
        <v>2026</v>
      </c>
      <c r="C487" s="25" t="n">
        <f aca="false">MONTH(A487)</f>
        <v>5</v>
      </c>
      <c r="D487" s="0" t="str">
        <f aca="false">CHOOSE(C487,"Ene","Feb","Mar","Abr","May","Jun","Jul","Ago","Sep","Oct","Nov","Dic")</f>
        <v>May</v>
      </c>
      <c r="E487" s="0" t="str">
        <f aca="false">D487&amp;"-"&amp;RIGHT(B487,2)</f>
        <v>May-26</v>
      </c>
      <c r="F487" s="0" t="str">
        <f aca="false">"T"&amp;ROUNDUP(C487/3,0)</f>
        <v>T2</v>
      </c>
      <c r="G487" s="35" t="n">
        <f aca="false">DATE(B487,C487,1)</f>
        <v>46143</v>
      </c>
      <c r="H487" s="25" t="n">
        <f aca="false">IF(DAY(A487+1)=1,1,0)</f>
        <v>0</v>
      </c>
    </row>
    <row r="488" customFormat="false" ht="15" hidden="false" customHeight="false" outlineLevel="0" collapsed="false">
      <c r="A488" s="8" t="n">
        <f aca="false">A487+1</f>
        <v>46144</v>
      </c>
      <c r="B488" s="25" t="n">
        <f aca="false">YEAR(A488)</f>
        <v>2026</v>
      </c>
      <c r="C488" s="25" t="n">
        <f aca="false">MONTH(A488)</f>
        <v>5</v>
      </c>
      <c r="D488" s="0" t="str">
        <f aca="false">CHOOSE(C488,"Ene","Feb","Mar","Abr","May","Jun","Jul","Ago","Sep","Oct","Nov","Dic")</f>
        <v>May</v>
      </c>
      <c r="E488" s="0" t="str">
        <f aca="false">D488&amp;"-"&amp;RIGHT(B488,2)</f>
        <v>May-26</v>
      </c>
      <c r="F488" s="0" t="str">
        <f aca="false">"T"&amp;ROUNDUP(C488/3,0)</f>
        <v>T2</v>
      </c>
      <c r="G488" s="35" t="n">
        <f aca="false">DATE(B488,C488,1)</f>
        <v>46143</v>
      </c>
      <c r="H488" s="25" t="n">
        <f aca="false">IF(DAY(A488+1)=1,1,0)</f>
        <v>0</v>
      </c>
    </row>
    <row r="489" customFormat="false" ht="15" hidden="false" customHeight="false" outlineLevel="0" collapsed="false">
      <c r="A489" s="8" t="n">
        <f aca="false">A488+1</f>
        <v>46145</v>
      </c>
      <c r="B489" s="25" t="n">
        <f aca="false">YEAR(A489)</f>
        <v>2026</v>
      </c>
      <c r="C489" s="25" t="n">
        <f aca="false">MONTH(A489)</f>
        <v>5</v>
      </c>
      <c r="D489" s="0" t="str">
        <f aca="false">CHOOSE(C489,"Ene","Feb","Mar","Abr","May","Jun","Jul","Ago","Sep","Oct","Nov","Dic")</f>
        <v>May</v>
      </c>
      <c r="E489" s="0" t="str">
        <f aca="false">D489&amp;"-"&amp;RIGHT(B489,2)</f>
        <v>May-26</v>
      </c>
      <c r="F489" s="0" t="str">
        <f aca="false">"T"&amp;ROUNDUP(C489/3,0)</f>
        <v>T2</v>
      </c>
      <c r="G489" s="35" t="n">
        <f aca="false">DATE(B489,C489,1)</f>
        <v>46143</v>
      </c>
      <c r="H489" s="25" t="n">
        <f aca="false">IF(DAY(A489+1)=1,1,0)</f>
        <v>0</v>
      </c>
    </row>
    <row r="490" customFormat="false" ht="15" hidden="false" customHeight="false" outlineLevel="0" collapsed="false">
      <c r="A490" s="8" t="n">
        <f aca="false">A489+1</f>
        <v>46146</v>
      </c>
      <c r="B490" s="25" t="n">
        <f aca="false">YEAR(A490)</f>
        <v>2026</v>
      </c>
      <c r="C490" s="25" t="n">
        <f aca="false">MONTH(A490)</f>
        <v>5</v>
      </c>
      <c r="D490" s="0" t="str">
        <f aca="false">CHOOSE(C490,"Ene","Feb","Mar","Abr","May","Jun","Jul","Ago","Sep","Oct","Nov","Dic")</f>
        <v>May</v>
      </c>
      <c r="E490" s="0" t="str">
        <f aca="false">D490&amp;"-"&amp;RIGHT(B490,2)</f>
        <v>May-26</v>
      </c>
      <c r="F490" s="0" t="str">
        <f aca="false">"T"&amp;ROUNDUP(C490/3,0)</f>
        <v>T2</v>
      </c>
      <c r="G490" s="35" t="n">
        <f aca="false">DATE(B490,C490,1)</f>
        <v>46143</v>
      </c>
      <c r="H490" s="25" t="n">
        <f aca="false">IF(DAY(A490+1)=1,1,0)</f>
        <v>0</v>
      </c>
    </row>
    <row r="491" customFormat="false" ht="15" hidden="false" customHeight="false" outlineLevel="0" collapsed="false">
      <c r="A491" s="8" t="n">
        <f aca="false">A490+1</f>
        <v>46147</v>
      </c>
      <c r="B491" s="25" t="n">
        <f aca="false">YEAR(A491)</f>
        <v>2026</v>
      </c>
      <c r="C491" s="25" t="n">
        <f aca="false">MONTH(A491)</f>
        <v>5</v>
      </c>
      <c r="D491" s="0" t="str">
        <f aca="false">CHOOSE(C491,"Ene","Feb","Mar","Abr","May","Jun","Jul","Ago","Sep","Oct","Nov","Dic")</f>
        <v>May</v>
      </c>
      <c r="E491" s="0" t="str">
        <f aca="false">D491&amp;"-"&amp;RIGHT(B491,2)</f>
        <v>May-26</v>
      </c>
      <c r="F491" s="0" t="str">
        <f aca="false">"T"&amp;ROUNDUP(C491/3,0)</f>
        <v>T2</v>
      </c>
      <c r="G491" s="35" t="n">
        <f aca="false">DATE(B491,C491,1)</f>
        <v>46143</v>
      </c>
      <c r="H491" s="25" t="n">
        <f aca="false">IF(DAY(A491+1)=1,1,0)</f>
        <v>0</v>
      </c>
    </row>
    <row r="492" customFormat="false" ht="15" hidden="false" customHeight="false" outlineLevel="0" collapsed="false">
      <c r="A492" s="8" t="n">
        <f aca="false">A491+1</f>
        <v>46148</v>
      </c>
      <c r="B492" s="25" t="n">
        <f aca="false">YEAR(A492)</f>
        <v>2026</v>
      </c>
      <c r="C492" s="25" t="n">
        <f aca="false">MONTH(A492)</f>
        <v>5</v>
      </c>
      <c r="D492" s="0" t="str">
        <f aca="false">CHOOSE(C492,"Ene","Feb","Mar","Abr","May","Jun","Jul","Ago","Sep","Oct","Nov","Dic")</f>
        <v>May</v>
      </c>
      <c r="E492" s="0" t="str">
        <f aca="false">D492&amp;"-"&amp;RIGHT(B492,2)</f>
        <v>May-26</v>
      </c>
      <c r="F492" s="0" t="str">
        <f aca="false">"T"&amp;ROUNDUP(C492/3,0)</f>
        <v>T2</v>
      </c>
      <c r="G492" s="35" t="n">
        <f aca="false">DATE(B492,C492,1)</f>
        <v>46143</v>
      </c>
      <c r="H492" s="25" t="n">
        <f aca="false">IF(DAY(A492+1)=1,1,0)</f>
        <v>0</v>
      </c>
    </row>
    <row r="493" customFormat="false" ht="15" hidden="false" customHeight="false" outlineLevel="0" collapsed="false">
      <c r="A493" s="8" t="n">
        <f aca="false">A492+1</f>
        <v>46149</v>
      </c>
      <c r="B493" s="25" t="n">
        <f aca="false">YEAR(A493)</f>
        <v>2026</v>
      </c>
      <c r="C493" s="25" t="n">
        <f aca="false">MONTH(A493)</f>
        <v>5</v>
      </c>
      <c r="D493" s="0" t="str">
        <f aca="false">CHOOSE(C493,"Ene","Feb","Mar","Abr","May","Jun","Jul","Ago","Sep","Oct","Nov","Dic")</f>
        <v>May</v>
      </c>
      <c r="E493" s="0" t="str">
        <f aca="false">D493&amp;"-"&amp;RIGHT(B493,2)</f>
        <v>May-26</v>
      </c>
      <c r="F493" s="0" t="str">
        <f aca="false">"T"&amp;ROUNDUP(C493/3,0)</f>
        <v>T2</v>
      </c>
      <c r="G493" s="35" t="n">
        <f aca="false">DATE(B493,C493,1)</f>
        <v>46143</v>
      </c>
      <c r="H493" s="25" t="n">
        <f aca="false">IF(DAY(A493+1)=1,1,0)</f>
        <v>0</v>
      </c>
    </row>
    <row r="494" customFormat="false" ht="15" hidden="false" customHeight="false" outlineLevel="0" collapsed="false">
      <c r="A494" s="8" t="n">
        <f aca="false">A493+1</f>
        <v>46150</v>
      </c>
      <c r="B494" s="25" t="n">
        <f aca="false">YEAR(A494)</f>
        <v>2026</v>
      </c>
      <c r="C494" s="25" t="n">
        <f aca="false">MONTH(A494)</f>
        <v>5</v>
      </c>
      <c r="D494" s="0" t="str">
        <f aca="false">CHOOSE(C494,"Ene","Feb","Mar","Abr","May","Jun","Jul","Ago","Sep","Oct","Nov","Dic")</f>
        <v>May</v>
      </c>
      <c r="E494" s="0" t="str">
        <f aca="false">D494&amp;"-"&amp;RIGHT(B494,2)</f>
        <v>May-26</v>
      </c>
      <c r="F494" s="0" t="str">
        <f aca="false">"T"&amp;ROUNDUP(C494/3,0)</f>
        <v>T2</v>
      </c>
      <c r="G494" s="35" t="n">
        <f aca="false">DATE(B494,C494,1)</f>
        <v>46143</v>
      </c>
      <c r="H494" s="25" t="n">
        <f aca="false">IF(DAY(A494+1)=1,1,0)</f>
        <v>0</v>
      </c>
    </row>
    <row r="495" customFormat="false" ht="15" hidden="false" customHeight="false" outlineLevel="0" collapsed="false">
      <c r="A495" s="8" t="n">
        <f aca="false">A494+1</f>
        <v>46151</v>
      </c>
      <c r="B495" s="25" t="n">
        <f aca="false">YEAR(A495)</f>
        <v>2026</v>
      </c>
      <c r="C495" s="25" t="n">
        <f aca="false">MONTH(A495)</f>
        <v>5</v>
      </c>
      <c r="D495" s="0" t="str">
        <f aca="false">CHOOSE(C495,"Ene","Feb","Mar","Abr","May","Jun","Jul","Ago","Sep","Oct","Nov","Dic")</f>
        <v>May</v>
      </c>
      <c r="E495" s="0" t="str">
        <f aca="false">D495&amp;"-"&amp;RIGHT(B495,2)</f>
        <v>May-26</v>
      </c>
      <c r="F495" s="0" t="str">
        <f aca="false">"T"&amp;ROUNDUP(C495/3,0)</f>
        <v>T2</v>
      </c>
      <c r="G495" s="35" t="n">
        <f aca="false">DATE(B495,C495,1)</f>
        <v>46143</v>
      </c>
      <c r="H495" s="25" t="n">
        <f aca="false">IF(DAY(A495+1)=1,1,0)</f>
        <v>0</v>
      </c>
    </row>
    <row r="496" customFormat="false" ht="15" hidden="false" customHeight="false" outlineLevel="0" collapsed="false">
      <c r="A496" s="8" t="n">
        <f aca="false">A495+1</f>
        <v>46152</v>
      </c>
      <c r="B496" s="25" t="n">
        <f aca="false">YEAR(A496)</f>
        <v>2026</v>
      </c>
      <c r="C496" s="25" t="n">
        <f aca="false">MONTH(A496)</f>
        <v>5</v>
      </c>
      <c r="D496" s="0" t="str">
        <f aca="false">CHOOSE(C496,"Ene","Feb","Mar","Abr","May","Jun","Jul","Ago","Sep","Oct","Nov","Dic")</f>
        <v>May</v>
      </c>
      <c r="E496" s="0" t="str">
        <f aca="false">D496&amp;"-"&amp;RIGHT(B496,2)</f>
        <v>May-26</v>
      </c>
      <c r="F496" s="0" t="str">
        <f aca="false">"T"&amp;ROUNDUP(C496/3,0)</f>
        <v>T2</v>
      </c>
      <c r="G496" s="35" t="n">
        <f aca="false">DATE(B496,C496,1)</f>
        <v>46143</v>
      </c>
      <c r="H496" s="25" t="n">
        <f aca="false">IF(DAY(A496+1)=1,1,0)</f>
        <v>0</v>
      </c>
    </row>
    <row r="497" customFormat="false" ht="15" hidden="false" customHeight="false" outlineLevel="0" collapsed="false">
      <c r="A497" s="8" t="n">
        <f aca="false">A496+1</f>
        <v>46153</v>
      </c>
      <c r="B497" s="25" t="n">
        <f aca="false">YEAR(A497)</f>
        <v>2026</v>
      </c>
      <c r="C497" s="25" t="n">
        <f aca="false">MONTH(A497)</f>
        <v>5</v>
      </c>
      <c r="D497" s="0" t="str">
        <f aca="false">CHOOSE(C497,"Ene","Feb","Mar","Abr","May","Jun","Jul","Ago","Sep","Oct","Nov","Dic")</f>
        <v>May</v>
      </c>
      <c r="E497" s="0" t="str">
        <f aca="false">D497&amp;"-"&amp;RIGHT(B497,2)</f>
        <v>May-26</v>
      </c>
      <c r="F497" s="0" t="str">
        <f aca="false">"T"&amp;ROUNDUP(C497/3,0)</f>
        <v>T2</v>
      </c>
      <c r="G497" s="35" t="n">
        <f aca="false">DATE(B497,C497,1)</f>
        <v>46143</v>
      </c>
      <c r="H497" s="25" t="n">
        <f aca="false">IF(DAY(A497+1)=1,1,0)</f>
        <v>0</v>
      </c>
    </row>
    <row r="498" customFormat="false" ht="15" hidden="false" customHeight="false" outlineLevel="0" collapsed="false">
      <c r="A498" s="8" t="n">
        <f aca="false">A497+1</f>
        <v>46154</v>
      </c>
      <c r="B498" s="25" t="n">
        <f aca="false">YEAR(A498)</f>
        <v>2026</v>
      </c>
      <c r="C498" s="25" t="n">
        <f aca="false">MONTH(A498)</f>
        <v>5</v>
      </c>
      <c r="D498" s="0" t="str">
        <f aca="false">CHOOSE(C498,"Ene","Feb","Mar","Abr","May","Jun","Jul","Ago","Sep","Oct","Nov","Dic")</f>
        <v>May</v>
      </c>
      <c r="E498" s="0" t="str">
        <f aca="false">D498&amp;"-"&amp;RIGHT(B498,2)</f>
        <v>May-26</v>
      </c>
      <c r="F498" s="0" t="str">
        <f aca="false">"T"&amp;ROUNDUP(C498/3,0)</f>
        <v>T2</v>
      </c>
      <c r="G498" s="35" t="n">
        <f aca="false">DATE(B498,C498,1)</f>
        <v>46143</v>
      </c>
      <c r="H498" s="25" t="n">
        <f aca="false">IF(DAY(A498+1)=1,1,0)</f>
        <v>0</v>
      </c>
    </row>
    <row r="499" customFormat="false" ht="15" hidden="false" customHeight="false" outlineLevel="0" collapsed="false">
      <c r="A499" s="8" t="n">
        <f aca="false">A498+1</f>
        <v>46155</v>
      </c>
      <c r="B499" s="25" t="n">
        <f aca="false">YEAR(A499)</f>
        <v>2026</v>
      </c>
      <c r="C499" s="25" t="n">
        <f aca="false">MONTH(A499)</f>
        <v>5</v>
      </c>
      <c r="D499" s="0" t="str">
        <f aca="false">CHOOSE(C499,"Ene","Feb","Mar","Abr","May","Jun","Jul","Ago","Sep","Oct","Nov","Dic")</f>
        <v>May</v>
      </c>
      <c r="E499" s="0" t="str">
        <f aca="false">D499&amp;"-"&amp;RIGHT(B499,2)</f>
        <v>May-26</v>
      </c>
      <c r="F499" s="0" t="str">
        <f aca="false">"T"&amp;ROUNDUP(C499/3,0)</f>
        <v>T2</v>
      </c>
      <c r="G499" s="35" t="n">
        <f aca="false">DATE(B499,C499,1)</f>
        <v>46143</v>
      </c>
      <c r="H499" s="25" t="n">
        <f aca="false">IF(DAY(A499+1)=1,1,0)</f>
        <v>0</v>
      </c>
    </row>
    <row r="500" customFormat="false" ht="15" hidden="false" customHeight="false" outlineLevel="0" collapsed="false">
      <c r="A500" s="8" t="n">
        <f aca="false">A499+1</f>
        <v>46156</v>
      </c>
      <c r="B500" s="25" t="n">
        <f aca="false">YEAR(A500)</f>
        <v>2026</v>
      </c>
      <c r="C500" s="25" t="n">
        <f aca="false">MONTH(A500)</f>
        <v>5</v>
      </c>
      <c r="D500" s="0" t="str">
        <f aca="false">CHOOSE(C500,"Ene","Feb","Mar","Abr","May","Jun","Jul","Ago","Sep","Oct","Nov","Dic")</f>
        <v>May</v>
      </c>
      <c r="E500" s="0" t="str">
        <f aca="false">D500&amp;"-"&amp;RIGHT(B500,2)</f>
        <v>May-26</v>
      </c>
      <c r="F500" s="0" t="str">
        <f aca="false">"T"&amp;ROUNDUP(C500/3,0)</f>
        <v>T2</v>
      </c>
      <c r="G500" s="35" t="n">
        <f aca="false">DATE(B500,C500,1)</f>
        <v>46143</v>
      </c>
      <c r="H500" s="25" t="n">
        <f aca="false">IF(DAY(A500+1)=1,1,0)</f>
        <v>0</v>
      </c>
    </row>
    <row r="501" customFormat="false" ht="15" hidden="false" customHeight="false" outlineLevel="0" collapsed="false">
      <c r="A501" s="8" t="n">
        <f aca="false">A500+1</f>
        <v>46157</v>
      </c>
      <c r="B501" s="25" t="n">
        <f aca="false">YEAR(A501)</f>
        <v>2026</v>
      </c>
      <c r="C501" s="25" t="n">
        <f aca="false">MONTH(A501)</f>
        <v>5</v>
      </c>
      <c r="D501" s="0" t="str">
        <f aca="false">CHOOSE(C501,"Ene","Feb","Mar","Abr","May","Jun","Jul","Ago","Sep","Oct","Nov","Dic")</f>
        <v>May</v>
      </c>
      <c r="E501" s="0" t="str">
        <f aca="false">D501&amp;"-"&amp;RIGHT(B501,2)</f>
        <v>May-26</v>
      </c>
      <c r="F501" s="0" t="str">
        <f aca="false">"T"&amp;ROUNDUP(C501/3,0)</f>
        <v>T2</v>
      </c>
      <c r="G501" s="35" t="n">
        <f aca="false">DATE(B501,C501,1)</f>
        <v>46143</v>
      </c>
      <c r="H501" s="25" t="n">
        <f aca="false">IF(DAY(A501+1)=1,1,0)</f>
        <v>0</v>
      </c>
    </row>
    <row r="502" customFormat="false" ht="15" hidden="false" customHeight="false" outlineLevel="0" collapsed="false">
      <c r="A502" s="8" t="n">
        <f aca="false">A501+1</f>
        <v>46158</v>
      </c>
      <c r="B502" s="25" t="n">
        <f aca="false">YEAR(A502)</f>
        <v>2026</v>
      </c>
      <c r="C502" s="25" t="n">
        <f aca="false">MONTH(A502)</f>
        <v>5</v>
      </c>
      <c r="D502" s="0" t="str">
        <f aca="false">CHOOSE(C502,"Ene","Feb","Mar","Abr","May","Jun","Jul","Ago","Sep","Oct","Nov","Dic")</f>
        <v>May</v>
      </c>
      <c r="E502" s="0" t="str">
        <f aca="false">D502&amp;"-"&amp;RIGHT(B502,2)</f>
        <v>May-26</v>
      </c>
      <c r="F502" s="0" t="str">
        <f aca="false">"T"&amp;ROUNDUP(C502/3,0)</f>
        <v>T2</v>
      </c>
      <c r="G502" s="35" t="n">
        <f aca="false">DATE(B502,C502,1)</f>
        <v>46143</v>
      </c>
      <c r="H502" s="25" t="n">
        <f aca="false">IF(DAY(A502+1)=1,1,0)</f>
        <v>0</v>
      </c>
    </row>
    <row r="503" customFormat="false" ht="15" hidden="false" customHeight="false" outlineLevel="0" collapsed="false">
      <c r="A503" s="8" t="n">
        <f aca="false">A502+1</f>
        <v>46159</v>
      </c>
      <c r="B503" s="25" t="n">
        <f aca="false">YEAR(A503)</f>
        <v>2026</v>
      </c>
      <c r="C503" s="25" t="n">
        <f aca="false">MONTH(A503)</f>
        <v>5</v>
      </c>
      <c r="D503" s="0" t="str">
        <f aca="false">CHOOSE(C503,"Ene","Feb","Mar","Abr","May","Jun","Jul","Ago","Sep","Oct","Nov","Dic")</f>
        <v>May</v>
      </c>
      <c r="E503" s="0" t="str">
        <f aca="false">D503&amp;"-"&amp;RIGHT(B503,2)</f>
        <v>May-26</v>
      </c>
      <c r="F503" s="0" t="str">
        <f aca="false">"T"&amp;ROUNDUP(C503/3,0)</f>
        <v>T2</v>
      </c>
      <c r="G503" s="35" t="n">
        <f aca="false">DATE(B503,C503,1)</f>
        <v>46143</v>
      </c>
      <c r="H503" s="25" t="n">
        <f aca="false">IF(DAY(A503+1)=1,1,0)</f>
        <v>0</v>
      </c>
    </row>
    <row r="504" customFormat="false" ht="15" hidden="false" customHeight="false" outlineLevel="0" collapsed="false">
      <c r="A504" s="8" t="n">
        <f aca="false">A503+1</f>
        <v>46160</v>
      </c>
      <c r="B504" s="25" t="n">
        <f aca="false">YEAR(A504)</f>
        <v>2026</v>
      </c>
      <c r="C504" s="25" t="n">
        <f aca="false">MONTH(A504)</f>
        <v>5</v>
      </c>
      <c r="D504" s="0" t="str">
        <f aca="false">CHOOSE(C504,"Ene","Feb","Mar","Abr","May","Jun","Jul","Ago","Sep","Oct","Nov","Dic")</f>
        <v>May</v>
      </c>
      <c r="E504" s="0" t="str">
        <f aca="false">D504&amp;"-"&amp;RIGHT(B504,2)</f>
        <v>May-26</v>
      </c>
      <c r="F504" s="0" t="str">
        <f aca="false">"T"&amp;ROUNDUP(C504/3,0)</f>
        <v>T2</v>
      </c>
      <c r="G504" s="35" t="n">
        <f aca="false">DATE(B504,C504,1)</f>
        <v>46143</v>
      </c>
      <c r="H504" s="25" t="n">
        <f aca="false">IF(DAY(A504+1)=1,1,0)</f>
        <v>0</v>
      </c>
    </row>
    <row r="505" customFormat="false" ht="15" hidden="false" customHeight="false" outlineLevel="0" collapsed="false">
      <c r="A505" s="8" t="n">
        <f aca="false">A504+1</f>
        <v>46161</v>
      </c>
      <c r="B505" s="25" t="n">
        <f aca="false">YEAR(A505)</f>
        <v>2026</v>
      </c>
      <c r="C505" s="25" t="n">
        <f aca="false">MONTH(A505)</f>
        <v>5</v>
      </c>
      <c r="D505" s="0" t="str">
        <f aca="false">CHOOSE(C505,"Ene","Feb","Mar","Abr","May","Jun","Jul","Ago","Sep","Oct","Nov","Dic")</f>
        <v>May</v>
      </c>
      <c r="E505" s="0" t="str">
        <f aca="false">D505&amp;"-"&amp;RIGHT(B505,2)</f>
        <v>May-26</v>
      </c>
      <c r="F505" s="0" t="str">
        <f aca="false">"T"&amp;ROUNDUP(C505/3,0)</f>
        <v>T2</v>
      </c>
      <c r="G505" s="35" t="n">
        <f aca="false">DATE(B505,C505,1)</f>
        <v>46143</v>
      </c>
      <c r="H505" s="25" t="n">
        <f aca="false">IF(DAY(A505+1)=1,1,0)</f>
        <v>0</v>
      </c>
    </row>
    <row r="506" customFormat="false" ht="15" hidden="false" customHeight="false" outlineLevel="0" collapsed="false">
      <c r="A506" s="8" t="n">
        <f aca="false">A505+1</f>
        <v>46162</v>
      </c>
      <c r="B506" s="25" t="n">
        <f aca="false">YEAR(A506)</f>
        <v>2026</v>
      </c>
      <c r="C506" s="25" t="n">
        <f aca="false">MONTH(A506)</f>
        <v>5</v>
      </c>
      <c r="D506" s="0" t="str">
        <f aca="false">CHOOSE(C506,"Ene","Feb","Mar","Abr","May","Jun","Jul","Ago","Sep","Oct","Nov","Dic")</f>
        <v>May</v>
      </c>
      <c r="E506" s="0" t="str">
        <f aca="false">D506&amp;"-"&amp;RIGHT(B506,2)</f>
        <v>May-26</v>
      </c>
      <c r="F506" s="0" t="str">
        <f aca="false">"T"&amp;ROUNDUP(C506/3,0)</f>
        <v>T2</v>
      </c>
      <c r="G506" s="35" t="n">
        <f aca="false">DATE(B506,C506,1)</f>
        <v>46143</v>
      </c>
      <c r="H506" s="25" t="n">
        <f aca="false">IF(DAY(A506+1)=1,1,0)</f>
        <v>0</v>
      </c>
    </row>
    <row r="507" customFormat="false" ht="15" hidden="false" customHeight="false" outlineLevel="0" collapsed="false">
      <c r="A507" s="8" t="n">
        <f aca="false">A506+1</f>
        <v>46163</v>
      </c>
      <c r="B507" s="25" t="n">
        <f aca="false">YEAR(A507)</f>
        <v>2026</v>
      </c>
      <c r="C507" s="25" t="n">
        <f aca="false">MONTH(A507)</f>
        <v>5</v>
      </c>
      <c r="D507" s="0" t="str">
        <f aca="false">CHOOSE(C507,"Ene","Feb","Mar","Abr","May","Jun","Jul","Ago","Sep","Oct","Nov","Dic")</f>
        <v>May</v>
      </c>
      <c r="E507" s="0" t="str">
        <f aca="false">D507&amp;"-"&amp;RIGHT(B507,2)</f>
        <v>May-26</v>
      </c>
      <c r="F507" s="0" t="str">
        <f aca="false">"T"&amp;ROUNDUP(C507/3,0)</f>
        <v>T2</v>
      </c>
      <c r="G507" s="35" t="n">
        <f aca="false">DATE(B507,C507,1)</f>
        <v>46143</v>
      </c>
      <c r="H507" s="25" t="n">
        <f aca="false">IF(DAY(A507+1)=1,1,0)</f>
        <v>0</v>
      </c>
    </row>
    <row r="508" customFormat="false" ht="15" hidden="false" customHeight="false" outlineLevel="0" collapsed="false">
      <c r="A508" s="8" t="n">
        <f aca="false">A507+1</f>
        <v>46164</v>
      </c>
      <c r="B508" s="25" t="n">
        <f aca="false">YEAR(A508)</f>
        <v>2026</v>
      </c>
      <c r="C508" s="25" t="n">
        <f aca="false">MONTH(A508)</f>
        <v>5</v>
      </c>
      <c r="D508" s="0" t="str">
        <f aca="false">CHOOSE(C508,"Ene","Feb","Mar","Abr","May","Jun","Jul","Ago","Sep","Oct","Nov","Dic")</f>
        <v>May</v>
      </c>
      <c r="E508" s="0" t="str">
        <f aca="false">D508&amp;"-"&amp;RIGHT(B508,2)</f>
        <v>May-26</v>
      </c>
      <c r="F508" s="0" t="str">
        <f aca="false">"T"&amp;ROUNDUP(C508/3,0)</f>
        <v>T2</v>
      </c>
      <c r="G508" s="35" t="n">
        <f aca="false">DATE(B508,C508,1)</f>
        <v>46143</v>
      </c>
      <c r="H508" s="25" t="n">
        <f aca="false">IF(DAY(A508+1)=1,1,0)</f>
        <v>0</v>
      </c>
    </row>
    <row r="509" customFormat="false" ht="15" hidden="false" customHeight="false" outlineLevel="0" collapsed="false">
      <c r="A509" s="8" t="n">
        <f aca="false">A508+1</f>
        <v>46165</v>
      </c>
      <c r="B509" s="25" t="n">
        <f aca="false">YEAR(A509)</f>
        <v>2026</v>
      </c>
      <c r="C509" s="25" t="n">
        <f aca="false">MONTH(A509)</f>
        <v>5</v>
      </c>
      <c r="D509" s="0" t="str">
        <f aca="false">CHOOSE(C509,"Ene","Feb","Mar","Abr","May","Jun","Jul","Ago","Sep","Oct","Nov","Dic")</f>
        <v>May</v>
      </c>
      <c r="E509" s="0" t="str">
        <f aca="false">D509&amp;"-"&amp;RIGHT(B509,2)</f>
        <v>May-26</v>
      </c>
      <c r="F509" s="0" t="str">
        <f aca="false">"T"&amp;ROUNDUP(C509/3,0)</f>
        <v>T2</v>
      </c>
      <c r="G509" s="35" t="n">
        <f aca="false">DATE(B509,C509,1)</f>
        <v>46143</v>
      </c>
      <c r="H509" s="25" t="n">
        <f aca="false">IF(DAY(A509+1)=1,1,0)</f>
        <v>0</v>
      </c>
    </row>
    <row r="510" customFormat="false" ht="15" hidden="false" customHeight="false" outlineLevel="0" collapsed="false">
      <c r="A510" s="8" t="n">
        <f aca="false">A509+1</f>
        <v>46166</v>
      </c>
      <c r="B510" s="25" t="n">
        <f aca="false">YEAR(A510)</f>
        <v>2026</v>
      </c>
      <c r="C510" s="25" t="n">
        <f aca="false">MONTH(A510)</f>
        <v>5</v>
      </c>
      <c r="D510" s="0" t="str">
        <f aca="false">CHOOSE(C510,"Ene","Feb","Mar","Abr","May","Jun","Jul","Ago","Sep","Oct","Nov","Dic")</f>
        <v>May</v>
      </c>
      <c r="E510" s="0" t="str">
        <f aca="false">D510&amp;"-"&amp;RIGHT(B510,2)</f>
        <v>May-26</v>
      </c>
      <c r="F510" s="0" t="str">
        <f aca="false">"T"&amp;ROUNDUP(C510/3,0)</f>
        <v>T2</v>
      </c>
      <c r="G510" s="35" t="n">
        <f aca="false">DATE(B510,C510,1)</f>
        <v>46143</v>
      </c>
      <c r="H510" s="25" t="n">
        <f aca="false">IF(DAY(A510+1)=1,1,0)</f>
        <v>0</v>
      </c>
    </row>
    <row r="511" customFormat="false" ht="15" hidden="false" customHeight="false" outlineLevel="0" collapsed="false">
      <c r="A511" s="8" t="n">
        <f aca="false">A510+1</f>
        <v>46167</v>
      </c>
      <c r="B511" s="25" t="n">
        <f aca="false">YEAR(A511)</f>
        <v>2026</v>
      </c>
      <c r="C511" s="25" t="n">
        <f aca="false">MONTH(A511)</f>
        <v>5</v>
      </c>
      <c r="D511" s="0" t="str">
        <f aca="false">CHOOSE(C511,"Ene","Feb","Mar","Abr","May","Jun","Jul","Ago","Sep","Oct","Nov","Dic")</f>
        <v>May</v>
      </c>
      <c r="E511" s="0" t="str">
        <f aca="false">D511&amp;"-"&amp;RIGHT(B511,2)</f>
        <v>May-26</v>
      </c>
      <c r="F511" s="0" t="str">
        <f aca="false">"T"&amp;ROUNDUP(C511/3,0)</f>
        <v>T2</v>
      </c>
      <c r="G511" s="35" t="n">
        <f aca="false">DATE(B511,C511,1)</f>
        <v>46143</v>
      </c>
      <c r="H511" s="25" t="n">
        <f aca="false">IF(DAY(A511+1)=1,1,0)</f>
        <v>0</v>
      </c>
    </row>
    <row r="512" customFormat="false" ht="15" hidden="false" customHeight="false" outlineLevel="0" collapsed="false">
      <c r="A512" s="8" t="n">
        <f aca="false">A511+1</f>
        <v>46168</v>
      </c>
      <c r="B512" s="25" t="n">
        <f aca="false">YEAR(A512)</f>
        <v>2026</v>
      </c>
      <c r="C512" s="25" t="n">
        <f aca="false">MONTH(A512)</f>
        <v>5</v>
      </c>
      <c r="D512" s="0" t="str">
        <f aca="false">CHOOSE(C512,"Ene","Feb","Mar","Abr","May","Jun","Jul","Ago","Sep","Oct","Nov","Dic")</f>
        <v>May</v>
      </c>
      <c r="E512" s="0" t="str">
        <f aca="false">D512&amp;"-"&amp;RIGHT(B512,2)</f>
        <v>May-26</v>
      </c>
      <c r="F512" s="0" t="str">
        <f aca="false">"T"&amp;ROUNDUP(C512/3,0)</f>
        <v>T2</v>
      </c>
      <c r="G512" s="35" t="n">
        <f aca="false">DATE(B512,C512,1)</f>
        <v>46143</v>
      </c>
      <c r="H512" s="25" t="n">
        <f aca="false">IF(DAY(A512+1)=1,1,0)</f>
        <v>0</v>
      </c>
    </row>
    <row r="513" customFormat="false" ht="15" hidden="false" customHeight="false" outlineLevel="0" collapsed="false">
      <c r="A513" s="8" t="n">
        <f aca="false">A512+1</f>
        <v>46169</v>
      </c>
      <c r="B513" s="25" t="n">
        <f aca="false">YEAR(A513)</f>
        <v>2026</v>
      </c>
      <c r="C513" s="25" t="n">
        <f aca="false">MONTH(A513)</f>
        <v>5</v>
      </c>
      <c r="D513" s="0" t="str">
        <f aca="false">CHOOSE(C513,"Ene","Feb","Mar","Abr","May","Jun","Jul","Ago","Sep","Oct","Nov","Dic")</f>
        <v>May</v>
      </c>
      <c r="E513" s="0" t="str">
        <f aca="false">D513&amp;"-"&amp;RIGHT(B513,2)</f>
        <v>May-26</v>
      </c>
      <c r="F513" s="0" t="str">
        <f aca="false">"T"&amp;ROUNDUP(C513/3,0)</f>
        <v>T2</v>
      </c>
      <c r="G513" s="35" t="n">
        <f aca="false">DATE(B513,C513,1)</f>
        <v>46143</v>
      </c>
      <c r="H513" s="25" t="n">
        <f aca="false">IF(DAY(A513+1)=1,1,0)</f>
        <v>0</v>
      </c>
    </row>
    <row r="514" customFormat="false" ht="15" hidden="false" customHeight="false" outlineLevel="0" collapsed="false">
      <c r="A514" s="8" t="n">
        <f aca="false">A513+1</f>
        <v>46170</v>
      </c>
      <c r="B514" s="25" t="n">
        <f aca="false">YEAR(A514)</f>
        <v>2026</v>
      </c>
      <c r="C514" s="25" t="n">
        <f aca="false">MONTH(A514)</f>
        <v>5</v>
      </c>
      <c r="D514" s="0" t="str">
        <f aca="false">CHOOSE(C514,"Ene","Feb","Mar","Abr","May","Jun","Jul","Ago","Sep","Oct","Nov","Dic")</f>
        <v>May</v>
      </c>
      <c r="E514" s="0" t="str">
        <f aca="false">D514&amp;"-"&amp;RIGHT(B514,2)</f>
        <v>May-26</v>
      </c>
      <c r="F514" s="0" t="str">
        <f aca="false">"T"&amp;ROUNDUP(C514/3,0)</f>
        <v>T2</v>
      </c>
      <c r="G514" s="35" t="n">
        <f aca="false">DATE(B514,C514,1)</f>
        <v>46143</v>
      </c>
      <c r="H514" s="25" t="n">
        <f aca="false">IF(DAY(A514+1)=1,1,0)</f>
        <v>0</v>
      </c>
    </row>
    <row r="515" customFormat="false" ht="15" hidden="false" customHeight="false" outlineLevel="0" collapsed="false">
      <c r="A515" s="8" t="n">
        <f aca="false">A514+1</f>
        <v>46171</v>
      </c>
      <c r="B515" s="25" t="n">
        <f aca="false">YEAR(A515)</f>
        <v>2026</v>
      </c>
      <c r="C515" s="25" t="n">
        <f aca="false">MONTH(A515)</f>
        <v>5</v>
      </c>
      <c r="D515" s="0" t="str">
        <f aca="false">CHOOSE(C515,"Ene","Feb","Mar","Abr","May","Jun","Jul","Ago","Sep","Oct","Nov","Dic")</f>
        <v>May</v>
      </c>
      <c r="E515" s="0" t="str">
        <f aca="false">D515&amp;"-"&amp;RIGHT(B515,2)</f>
        <v>May-26</v>
      </c>
      <c r="F515" s="0" t="str">
        <f aca="false">"T"&amp;ROUNDUP(C515/3,0)</f>
        <v>T2</v>
      </c>
      <c r="G515" s="35" t="n">
        <f aca="false">DATE(B515,C515,1)</f>
        <v>46143</v>
      </c>
      <c r="H515" s="25" t="n">
        <f aca="false">IF(DAY(A515+1)=1,1,0)</f>
        <v>0</v>
      </c>
    </row>
    <row r="516" customFormat="false" ht="15" hidden="false" customHeight="false" outlineLevel="0" collapsed="false">
      <c r="A516" s="8" t="n">
        <f aca="false">A515+1</f>
        <v>46172</v>
      </c>
      <c r="B516" s="25" t="n">
        <f aca="false">YEAR(A516)</f>
        <v>2026</v>
      </c>
      <c r="C516" s="25" t="n">
        <f aca="false">MONTH(A516)</f>
        <v>5</v>
      </c>
      <c r="D516" s="0" t="str">
        <f aca="false">CHOOSE(C516,"Ene","Feb","Mar","Abr","May","Jun","Jul","Ago","Sep","Oct","Nov","Dic")</f>
        <v>May</v>
      </c>
      <c r="E516" s="0" t="str">
        <f aca="false">D516&amp;"-"&amp;RIGHT(B516,2)</f>
        <v>May-26</v>
      </c>
      <c r="F516" s="0" t="str">
        <f aca="false">"T"&amp;ROUNDUP(C516/3,0)</f>
        <v>T2</v>
      </c>
      <c r="G516" s="35" t="n">
        <f aca="false">DATE(B516,C516,1)</f>
        <v>46143</v>
      </c>
      <c r="H516" s="25" t="n">
        <f aca="false">IF(DAY(A516+1)=1,1,0)</f>
        <v>0</v>
      </c>
    </row>
    <row r="517" customFormat="false" ht="15" hidden="false" customHeight="false" outlineLevel="0" collapsed="false">
      <c r="A517" s="8" t="n">
        <f aca="false">A516+1</f>
        <v>46173</v>
      </c>
      <c r="B517" s="25" t="n">
        <f aca="false">YEAR(A517)</f>
        <v>2026</v>
      </c>
      <c r="C517" s="25" t="n">
        <f aca="false">MONTH(A517)</f>
        <v>5</v>
      </c>
      <c r="D517" s="0" t="str">
        <f aca="false">CHOOSE(C517,"Ene","Feb","Mar","Abr","May","Jun","Jul","Ago","Sep","Oct","Nov","Dic")</f>
        <v>May</v>
      </c>
      <c r="E517" s="0" t="str">
        <f aca="false">D517&amp;"-"&amp;RIGHT(B517,2)</f>
        <v>May-26</v>
      </c>
      <c r="F517" s="0" t="str">
        <f aca="false">"T"&amp;ROUNDUP(C517/3,0)</f>
        <v>T2</v>
      </c>
      <c r="G517" s="35" t="n">
        <f aca="false">DATE(B517,C517,1)</f>
        <v>46143</v>
      </c>
      <c r="H517" s="25" t="n">
        <f aca="false">IF(DAY(A517+1)=1,1,0)</f>
        <v>1</v>
      </c>
    </row>
    <row r="518" customFormat="false" ht="15" hidden="false" customHeight="false" outlineLevel="0" collapsed="false">
      <c r="A518" s="8" t="n">
        <f aca="false">A517+1</f>
        <v>46174</v>
      </c>
      <c r="B518" s="25" t="n">
        <f aca="false">YEAR(A518)</f>
        <v>2026</v>
      </c>
      <c r="C518" s="25" t="n">
        <f aca="false">MONTH(A518)</f>
        <v>6</v>
      </c>
      <c r="D518" s="0" t="str">
        <f aca="false">CHOOSE(C518,"Ene","Feb","Mar","Abr","May","Jun","Jul","Ago","Sep","Oct","Nov","Dic")</f>
        <v>Jun</v>
      </c>
      <c r="E518" s="0" t="str">
        <f aca="false">D518&amp;"-"&amp;RIGHT(B518,2)</f>
        <v>Jun-26</v>
      </c>
      <c r="F518" s="0" t="str">
        <f aca="false">"T"&amp;ROUNDUP(C518/3,0)</f>
        <v>T2</v>
      </c>
      <c r="G518" s="35" t="n">
        <f aca="false">DATE(B518,C518,1)</f>
        <v>46174</v>
      </c>
      <c r="H518" s="25" t="n">
        <f aca="false">IF(DAY(A518+1)=1,1,0)</f>
        <v>0</v>
      </c>
    </row>
    <row r="519" customFormat="false" ht="15" hidden="false" customHeight="false" outlineLevel="0" collapsed="false">
      <c r="A519" s="8" t="n">
        <f aca="false">A518+1</f>
        <v>46175</v>
      </c>
      <c r="B519" s="25" t="n">
        <f aca="false">YEAR(A519)</f>
        <v>2026</v>
      </c>
      <c r="C519" s="25" t="n">
        <f aca="false">MONTH(A519)</f>
        <v>6</v>
      </c>
      <c r="D519" s="0" t="str">
        <f aca="false">CHOOSE(C519,"Ene","Feb","Mar","Abr","May","Jun","Jul","Ago","Sep","Oct","Nov","Dic")</f>
        <v>Jun</v>
      </c>
      <c r="E519" s="0" t="str">
        <f aca="false">D519&amp;"-"&amp;RIGHT(B519,2)</f>
        <v>Jun-26</v>
      </c>
      <c r="F519" s="0" t="str">
        <f aca="false">"T"&amp;ROUNDUP(C519/3,0)</f>
        <v>T2</v>
      </c>
      <c r="G519" s="35" t="n">
        <f aca="false">DATE(B519,C519,1)</f>
        <v>46174</v>
      </c>
      <c r="H519" s="25" t="n">
        <f aca="false">IF(DAY(A519+1)=1,1,0)</f>
        <v>0</v>
      </c>
    </row>
    <row r="520" customFormat="false" ht="15" hidden="false" customHeight="false" outlineLevel="0" collapsed="false">
      <c r="A520" s="8" t="n">
        <f aca="false">A519+1</f>
        <v>46176</v>
      </c>
      <c r="B520" s="25" t="n">
        <f aca="false">YEAR(A520)</f>
        <v>2026</v>
      </c>
      <c r="C520" s="25" t="n">
        <f aca="false">MONTH(A520)</f>
        <v>6</v>
      </c>
      <c r="D520" s="0" t="str">
        <f aca="false">CHOOSE(C520,"Ene","Feb","Mar","Abr","May","Jun","Jul","Ago","Sep","Oct","Nov","Dic")</f>
        <v>Jun</v>
      </c>
      <c r="E520" s="0" t="str">
        <f aca="false">D520&amp;"-"&amp;RIGHT(B520,2)</f>
        <v>Jun-26</v>
      </c>
      <c r="F520" s="0" t="str">
        <f aca="false">"T"&amp;ROUNDUP(C520/3,0)</f>
        <v>T2</v>
      </c>
      <c r="G520" s="35" t="n">
        <f aca="false">DATE(B520,C520,1)</f>
        <v>46174</v>
      </c>
      <c r="H520" s="25" t="n">
        <f aca="false">IF(DAY(A520+1)=1,1,0)</f>
        <v>0</v>
      </c>
    </row>
    <row r="521" customFormat="false" ht="15" hidden="false" customHeight="false" outlineLevel="0" collapsed="false">
      <c r="A521" s="8" t="n">
        <f aca="false">A520+1</f>
        <v>46177</v>
      </c>
      <c r="B521" s="25" t="n">
        <f aca="false">YEAR(A521)</f>
        <v>2026</v>
      </c>
      <c r="C521" s="25" t="n">
        <f aca="false">MONTH(A521)</f>
        <v>6</v>
      </c>
      <c r="D521" s="0" t="str">
        <f aca="false">CHOOSE(C521,"Ene","Feb","Mar","Abr","May","Jun","Jul","Ago","Sep","Oct","Nov","Dic")</f>
        <v>Jun</v>
      </c>
      <c r="E521" s="0" t="str">
        <f aca="false">D521&amp;"-"&amp;RIGHT(B521,2)</f>
        <v>Jun-26</v>
      </c>
      <c r="F521" s="0" t="str">
        <f aca="false">"T"&amp;ROUNDUP(C521/3,0)</f>
        <v>T2</v>
      </c>
      <c r="G521" s="35" t="n">
        <f aca="false">DATE(B521,C521,1)</f>
        <v>46174</v>
      </c>
      <c r="H521" s="25" t="n">
        <f aca="false">IF(DAY(A521+1)=1,1,0)</f>
        <v>0</v>
      </c>
    </row>
    <row r="522" customFormat="false" ht="15" hidden="false" customHeight="false" outlineLevel="0" collapsed="false">
      <c r="A522" s="8" t="n">
        <f aca="false">A521+1</f>
        <v>46178</v>
      </c>
      <c r="B522" s="25" t="n">
        <f aca="false">YEAR(A522)</f>
        <v>2026</v>
      </c>
      <c r="C522" s="25" t="n">
        <f aca="false">MONTH(A522)</f>
        <v>6</v>
      </c>
      <c r="D522" s="0" t="str">
        <f aca="false">CHOOSE(C522,"Ene","Feb","Mar","Abr","May","Jun","Jul","Ago","Sep","Oct","Nov","Dic")</f>
        <v>Jun</v>
      </c>
      <c r="E522" s="0" t="str">
        <f aca="false">D522&amp;"-"&amp;RIGHT(B522,2)</f>
        <v>Jun-26</v>
      </c>
      <c r="F522" s="0" t="str">
        <f aca="false">"T"&amp;ROUNDUP(C522/3,0)</f>
        <v>T2</v>
      </c>
      <c r="G522" s="35" t="n">
        <f aca="false">DATE(B522,C522,1)</f>
        <v>46174</v>
      </c>
      <c r="H522" s="25" t="n">
        <f aca="false">IF(DAY(A522+1)=1,1,0)</f>
        <v>0</v>
      </c>
    </row>
    <row r="523" customFormat="false" ht="15" hidden="false" customHeight="false" outlineLevel="0" collapsed="false">
      <c r="A523" s="8" t="n">
        <f aca="false">A522+1</f>
        <v>46179</v>
      </c>
      <c r="B523" s="25" t="n">
        <f aca="false">YEAR(A523)</f>
        <v>2026</v>
      </c>
      <c r="C523" s="25" t="n">
        <f aca="false">MONTH(A523)</f>
        <v>6</v>
      </c>
      <c r="D523" s="0" t="str">
        <f aca="false">CHOOSE(C523,"Ene","Feb","Mar","Abr","May","Jun","Jul","Ago","Sep","Oct","Nov","Dic")</f>
        <v>Jun</v>
      </c>
      <c r="E523" s="0" t="str">
        <f aca="false">D523&amp;"-"&amp;RIGHT(B523,2)</f>
        <v>Jun-26</v>
      </c>
      <c r="F523" s="0" t="str">
        <f aca="false">"T"&amp;ROUNDUP(C523/3,0)</f>
        <v>T2</v>
      </c>
      <c r="G523" s="35" t="n">
        <f aca="false">DATE(B523,C523,1)</f>
        <v>46174</v>
      </c>
      <c r="H523" s="25" t="n">
        <f aca="false">IF(DAY(A523+1)=1,1,0)</f>
        <v>0</v>
      </c>
    </row>
    <row r="524" customFormat="false" ht="15" hidden="false" customHeight="false" outlineLevel="0" collapsed="false">
      <c r="A524" s="8" t="n">
        <f aca="false">A523+1</f>
        <v>46180</v>
      </c>
      <c r="B524" s="25" t="n">
        <f aca="false">YEAR(A524)</f>
        <v>2026</v>
      </c>
      <c r="C524" s="25" t="n">
        <f aca="false">MONTH(A524)</f>
        <v>6</v>
      </c>
      <c r="D524" s="0" t="str">
        <f aca="false">CHOOSE(C524,"Ene","Feb","Mar","Abr","May","Jun","Jul","Ago","Sep","Oct","Nov","Dic")</f>
        <v>Jun</v>
      </c>
      <c r="E524" s="0" t="str">
        <f aca="false">D524&amp;"-"&amp;RIGHT(B524,2)</f>
        <v>Jun-26</v>
      </c>
      <c r="F524" s="0" t="str">
        <f aca="false">"T"&amp;ROUNDUP(C524/3,0)</f>
        <v>T2</v>
      </c>
      <c r="G524" s="35" t="n">
        <f aca="false">DATE(B524,C524,1)</f>
        <v>46174</v>
      </c>
      <c r="H524" s="25" t="n">
        <f aca="false">IF(DAY(A524+1)=1,1,0)</f>
        <v>0</v>
      </c>
    </row>
    <row r="525" customFormat="false" ht="15" hidden="false" customHeight="false" outlineLevel="0" collapsed="false">
      <c r="A525" s="8" t="n">
        <f aca="false">A524+1</f>
        <v>46181</v>
      </c>
      <c r="B525" s="25" t="n">
        <f aca="false">YEAR(A525)</f>
        <v>2026</v>
      </c>
      <c r="C525" s="25" t="n">
        <f aca="false">MONTH(A525)</f>
        <v>6</v>
      </c>
      <c r="D525" s="0" t="str">
        <f aca="false">CHOOSE(C525,"Ene","Feb","Mar","Abr","May","Jun","Jul","Ago","Sep","Oct","Nov","Dic")</f>
        <v>Jun</v>
      </c>
      <c r="E525" s="0" t="str">
        <f aca="false">D525&amp;"-"&amp;RIGHT(B525,2)</f>
        <v>Jun-26</v>
      </c>
      <c r="F525" s="0" t="str">
        <f aca="false">"T"&amp;ROUNDUP(C525/3,0)</f>
        <v>T2</v>
      </c>
      <c r="G525" s="35" t="n">
        <f aca="false">DATE(B525,C525,1)</f>
        <v>46174</v>
      </c>
      <c r="H525" s="25" t="n">
        <f aca="false">IF(DAY(A525+1)=1,1,0)</f>
        <v>0</v>
      </c>
    </row>
    <row r="526" customFormat="false" ht="15" hidden="false" customHeight="false" outlineLevel="0" collapsed="false">
      <c r="A526" s="8" t="n">
        <f aca="false">A525+1</f>
        <v>46182</v>
      </c>
      <c r="B526" s="25" t="n">
        <f aca="false">YEAR(A526)</f>
        <v>2026</v>
      </c>
      <c r="C526" s="25" t="n">
        <f aca="false">MONTH(A526)</f>
        <v>6</v>
      </c>
      <c r="D526" s="0" t="str">
        <f aca="false">CHOOSE(C526,"Ene","Feb","Mar","Abr","May","Jun","Jul","Ago","Sep","Oct","Nov","Dic")</f>
        <v>Jun</v>
      </c>
      <c r="E526" s="0" t="str">
        <f aca="false">D526&amp;"-"&amp;RIGHT(B526,2)</f>
        <v>Jun-26</v>
      </c>
      <c r="F526" s="0" t="str">
        <f aca="false">"T"&amp;ROUNDUP(C526/3,0)</f>
        <v>T2</v>
      </c>
      <c r="G526" s="35" t="n">
        <f aca="false">DATE(B526,C526,1)</f>
        <v>46174</v>
      </c>
      <c r="H526" s="25" t="n">
        <f aca="false">IF(DAY(A526+1)=1,1,0)</f>
        <v>0</v>
      </c>
    </row>
    <row r="527" customFormat="false" ht="15" hidden="false" customHeight="false" outlineLevel="0" collapsed="false">
      <c r="A527" s="8" t="n">
        <f aca="false">A526+1</f>
        <v>46183</v>
      </c>
      <c r="B527" s="25" t="n">
        <f aca="false">YEAR(A527)</f>
        <v>2026</v>
      </c>
      <c r="C527" s="25" t="n">
        <f aca="false">MONTH(A527)</f>
        <v>6</v>
      </c>
      <c r="D527" s="0" t="str">
        <f aca="false">CHOOSE(C527,"Ene","Feb","Mar","Abr","May","Jun","Jul","Ago","Sep","Oct","Nov","Dic")</f>
        <v>Jun</v>
      </c>
      <c r="E527" s="0" t="str">
        <f aca="false">D527&amp;"-"&amp;RIGHT(B527,2)</f>
        <v>Jun-26</v>
      </c>
      <c r="F527" s="0" t="str">
        <f aca="false">"T"&amp;ROUNDUP(C527/3,0)</f>
        <v>T2</v>
      </c>
      <c r="G527" s="35" t="n">
        <f aca="false">DATE(B527,C527,1)</f>
        <v>46174</v>
      </c>
      <c r="H527" s="25" t="n">
        <f aca="false">IF(DAY(A527+1)=1,1,0)</f>
        <v>0</v>
      </c>
    </row>
    <row r="528" customFormat="false" ht="15" hidden="false" customHeight="false" outlineLevel="0" collapsed="false">
      <c r="A528" s="8" t="n">
        <f aca="false">A527+1</f>
        <v>46184</v>
      </c>
      <c r="B528" s="25" t="n">
        <f aca="false">YEAR(A528)</f>
        <v>2026</v>
      </c>
      <c r="C528" s="25" t="n">
        <f aca="false">MONTH(A528)</f>
        <v>6</v>
      </c>
      <c r="D528" s="0" t="str">
        <f aca="false">CHOOSE(C528,"Ene","Feb","Mar","Abr","May","Jun","Jul","Ago","Sep","Oct","Nov","Dic")</f>
        <v>Jun</v>
      </c>
      <c r="E528" s="0" t="str">
        <f aca="false">D528&amp;"-"&amp;RIGHT(B528,2)</f>
        <v>Jun-26</v>
      </c>
      <c r="F528" s="0" t="str">
        <f aca="false">"T"&amp;ROUNDUP(C528/3,0)</f>
        <v>T2</v>
      </c>
      <c r="G528" s="35" t="n">
        <f aca="false">DATE(B528,C528,1)</f>
        <v>46174</v>
      </c>
      <c r="H528" s="25" t="n">
        <f aca="false">IF(DAY(A528+1)=1,1,0)</f>
        <v>0</v>
      </c>
    </row>
    <row r="529" customFormat="false" ht="15" hidden="false" customHeight="false" outlineLevel="0" collapsed="false">
      <c r="A529" s="8" t="n">
        <f aca="false">A528+1</f>
        <v>46185</v>
      </c>
      <c r="B529" s="25" t="n">
        <f aca="false">YEAR(A529)</f>
        <v>2026</v>
      </c>
      <c r="C529" s="25" t="n">
        <f aca="false">MONTH(A529)</f>
        <v>6</v>
      </c>
      <c r="D529" s="0" t="str">
        <f aca="false">CHOOSE(C529,"Ene","Feb","Mar","Abr","May","Jun","Jul","Ago","Sep","Oct","Nov","Dic")</f>
        <v>Jun</v>
      </c>
      <c r="E529" s="0" t="str">
        <f aca="false">D529&amp;"-"&amp;RIGHT(B529,2)</f>
        <v>Jun-26</v>
      </c>
      <c r="F529" s="0" t="str">
        <f aca="false">"T"&amp;ROUNDUP(C529/3,0)</f>
        <v>T2</v>
      </c>
      <c r="G529" s="35" t="n">
        <f aca="false">DATE(B529,C529,1)</f>
        <v>46174</v>
      </c>
      <c r="H529" s="25" t="n">
        <f aca="false">IF(DAY(A529+1)=1,1,0)</f>
        <v>0</v>
      </c>
    </row>
    <row r="530" customFormat="false" ht="15" hidden="false" customHeight="false" outlineLevel="0" collapsed="false">
      <c r="A530" s="8" t="n">
        <f aca="false">A529+1</f>
        <v>46186</v>
      </c>
      <c r="B530" s="25" t="n">
        <f aca="false">YEAR(A530)</f>
        <v>2026</v>
      </c>
      <c r="C530" s="25" t="n">
        <f aca="false">MONTH(A530)</f>
        <v>6</v>
      </c>
      <c r="D530" s="0" t="str">
        <f aca="false">CHOOSE(C530,"Ene","Feb","Mar","Abr","May","Jun","Jul","Ago","Sep","Oct","Nov","Dic")</f>
        <v>Jun</v>
      </c>
      <c r="E530" s="0" t="str">
        <f aca="false">D530&amp;"-"&amp;RIGHT(B530,2)</f>
        <v>Jun-26</v>
      </c>
      <c r="F530" s="0" t="str">
        <f aca="false">"T"&amp;ROUNDUP(C530/3,0)</f>
        <v>T2</v>
      </c>
      <c r="G530" s="35" t="n">
        <f aca="false">DATE(B530,C530,1)</f>
        <v>46174</v>
      </c>
      <c r="H530" s="25" t="n">
        <f aca="false">IF(DAY(A530+1)=1,1,0)</f>
        <v>0</v>
      </c>
    </row>
    <row r="531" customFormat="false" ht="15" hidden="false" customHeight="false" outlineLevel="0" collapsed="false">
      <c r="A531" s="8" t="n">
        <f aca="false">A530+1</f>
        <v>46187</v>
      </c>
      <c r="B531" s="25" t="n">
        <f aca="false">YEAR(A531)</f>
        <v>2026</v>
      </c>
      <c r="C531" s="25" t="n">
        <f aca="false">MONTH(A531)</f>
        <v>6</v>
      </c>
      <c r="D531" s="0" t="str">
        <f aca="false">CHOOSE(C531,"Ene","Feb","Mar","Abr","May","Jun","Jul","Ago","Sep","Oct","Nov","Dic")</f>
        <v>Jun</v>
      </c>
      <c r="E531" s="0" t="str">
        <f aca="false">D531&amp;"-"&amp;RIGHT(B531,2)</f>
        <v>Jun-26</v>
      </c>
      <c r="F531" s="0" t="str">
        <f aca="false">"T"&amp;ROUNDUP(C531/3,0)</f>
        <v>T2</v>
      </c>
      <c r="G531" s="35" t="n">
        <f aca="false">DATE(B531,C531,1)</f>
        <v>46174</v>
      </c>
      <c r="H531" s="25" t="n">
        <f aca="false">IF(DAY(A531+1)=1,1,0)</f>
        <v>0</v>
      </c>
    </row>
    <row r="532" customFormat="false" ht="15" hidden="false" customHeight="false" outlineLevel="0" collapsed="false">
      <c r="A532" s="8" t="n">
        <f aca="false">A531+1</f>
        <v>46188</v>
      </c>
      <c r="B532" s="25" t="n">
        <f aca="false">YEAR(A532)</f>
        <v>2026</v>
      </c>
      <c r="C532" s="25" t="n">
        <f aca="false">MONTH(A532)</f>
        <v>6</v>
      </c>
      <c r="D532" s="0" t="str">
        <f aca="false">CHOOSE(C532,"Ene","Feb","Mar","Abr","May","Jun","Jul","Ago","Sep","Oct","Nov","Dic")</f>
        <v>Jun</v>
      </c>
      <c r="E532" s="0" t="str">
        <f aca="false">D532&amp;"-"&amp;RIGHT(B532,2)</f>
        <v>Jun-26</v>
      </c>
      <c r="F532" s="0" t="str">
        <f aca="false">"T"&amp;ROUNDUP(C532/3,0)</f>
        <v>T2</v>
      </c>
      <c r="G532" s="35" t="n">
        <f aca="false">DATE(B532,C532,1)</f>
        <v>46174</v>
      </c>
      <c r="H532" s="25" t="n">
        <f aca="false">IF(DAY(A532+1)=1,1,0)</f>
        <v>0</v>
      </c>
    </row>
    <row r="533" customFormat="false" ht="15" hidden="false" customHeight="false" outlineLevel="0" collapsed="false">
      <c r="A533" s="8" t="n">
        <f aca="false">A532+1</f>
        <v>46189</v>
      </c>
      <c r="B533" s="25" t="n">
        <f aca="false">YEAR(A533)</f>
        <v>2026</v>
      </c>
      <c r="C533" s="25" t="n">
        <f aca="false">MONTH(A533)</f>
        <v>6</v>
      </c>
      <c r="D533" s="0" t="str">
        <f aca="false">CHOOSE(C533,"Ene","Feb","Mar","Abr","May","Jun","Jul","Ago","Sep","Oct","Nov","Dic")</f>
        <v>Jun</v>
      </c>
      <c r="E533" s="0" t="str">
        <f aca="false">D533&amp;"-"&amp;RIGHT(B533,2)</f>
        <v>Jun-26</v>
      </c>
      <c r="F533" s="0" t="str">
        <f aca="false">"T"&amp;ROUNDUP(C533/3,0)</f>
        <v>T2</v>
      </c>
      <c r="G533" s="35" t="n">
        <f aca="false">DATE(B533,C533,1)</f>
        <v>46174</v>
      </c>
      <c r="H533" s="25" t="n">
        <f aca="false">IF(DAY(A533+1)=1,1,0)</f>
        <v>0</v>
      </c>
    </row>
    <row r="534" customFormat="false" ht="15" hidden="false" customHeight="false" outlineLevel="0" collapsed="false">
      <c r="A534" s="8" t="n">
        <f aca="false">A533+1</f>
        <v>46190</v>
      </c>
      <c r="B534" s="25" t="n">
        <f aca="false">YEAR(A534)</f>
        <v>2026</v>
      </c>
      <c r="C534" s="25" t="n">
        <f aca="false">MONTH(A534)</f>
        <v>6</v>
      </c>
      <c r="D534" s="0" t="str">
        <f aca="false">CHOOSE(C534,"Ene","Feb","Mar","Abr","May","Jun","Jul","Ago","Sep","Oct","Nov","Dic")</f>
        <v>Jun</v>
      </c>
      <c r="E534" s="0" t="str">
        <f aca="false">D534&amp;"-"&amp;RIGHT(B534,2)</f>
        <v>Jun-26</v>
      </c>
      <c r="F534" s="0" t="str">
        <f aca="false">"T"&amp;ROUNDUP(C534/3,0)</f>
        <v>T2</v>
      </c>
      <c r="G534" s="35" t="n">
        <f aca="false">DATE(B534,C534,1)</f>
        <v>46174</v>
      </c>
      <c r="H534" s="25" t="n">
        <f aca="false">IF(DAY(A534+1)=1,1,0)</f>
        <v>0</v>
      </c>
    </row>
    <row r="535" customFormat="false" ht="15" hidden="false" customHeight="false" outlineLevel="0" collapsed="false">
      <c r="A535" s="8" t="n">
        <f aca="false">A534+1</f>
        <v>46191</v>
      </c>
      <c r="B535" s="25" t="n">
        <f aca="false">YEAR(A535)</f>
        <v>2026</v>
      </c>
      <c r="C535" s="25" t="n">
        <f aca="false">MONTH(A535)</f>
        <v>6</v>
      </c>
      <c r="D535" s="0" t="str">
        <f aca="false">CHOOSE(C535,"Ene","Feb","Mar","Abr","May","Jun","Jul","Ago","Sep","Oct","Nov","Dic")</f>
        <v>Jun</v>
      </c>
      <c r="E535" s="0" t="str">
        <f aca="false">D535&amp;"-"&amp;RIGHT(B535,2)</f>
        <v>Jun-26</v>
      </c>
      <c r="F535" s="0" t="str">
        <f aca="false">"T"&amp;ROUNDUP(C535/3,0)</f>
        <v>T2</v>
      </c>
      <c r="G535" s="35" t="n">
        <f aca="false">DATE(B535,C535,1)</f>
        <v>46174</v>
      </c>
      <c r="H535" s="25" t="n">
        <f aca="false">IF(DAY(A535+1)=1,1,0)</f>
        <v>0</v>
      </c>
    </row>
    <row r="536" customFormat="false" ht="15" hidden="false" customHeight="false" outlineLevel="0" collapsed="false">
      <c r="A536" s="8" t="n">
        <f aca="false">A535+1</f>
        <v>46192</v>
      </c>
      <c r="B536" s="25" t="n">
        <f aca="false">YEAR(A536)</f>
        <v>2026</v>
      </c>
      <c r="C536" s="25" t="n">
        <f aca="false">MONTH(A536)</f>
        <v>6</v>
      </c>
      <c r="D536" s="0" t="str">
        <f aca="false">CHOOSE(C536,"Ene","Feb","Mar","Abr","May","Jun","Jul","Ago","Sep","Oct","Nov","Dic")</f>
        <v>Jun</v>
      </c>
      <c r="E536" s="0" t="str">
        <f aca="false">D536&amp;"-"&amp;RIGHT(B536,2)</f>
        <v>Jun-26</v>
      </c>
      <c r="F536" s="0" t="str">
        <f aca="false">"T"&amp;ROUNDUP(C536/3,0)</f>
        <v>T2</v>
      </c>
      <c r="G536" s="35" t="n">
        <f aca="false">DATE(B536,C536,1)</f>
        <v>46174</v>
      </c>
      <c r="H536" s="25" t="n">
        <f aca="false">IF(DAY(A536+1)=1,1,0)</f>
        <v>0</v>
      </c>
    </row>
    <row r="537" customFormat="false" ht="15" hidden="false" customHeight="false" outlineLevel="0" collapsed="false">
      <c r="A537" s="8" t="n">
        <f aca="false">A536+1</f>
        <v>46193</v>
      </c>
      <c r="B537" s="25" t="n">
        <f aca="false">YEAR(A537)</f>
        <v>2026</v>
      </c>
      <c r="C537" s="25" t="n">
        <f aca="false">MONTH(A537)</f>
        <v>6</v>
      </c>
      <c r="D537" s="0" t="str">
        <f aca="false">CHOOSE(C537,"Ene","Feb","Mar","Abr","May","Jun","Jul","Ago","Sep","Oct","Nov","Dic")</f>
        <v>Jun</v>
      </c>
      <c r="E537" s="0" t="str">
        <f aca="false">D537&amp;"-"&amp;RIGHT(B537,2)</f>
        <v>Jun-26</v>
      </c>
      <c r="F537" s="0" t="str">
        <f aca="false">"T"&amp;ROUNDUP(C537/3,0)</f>
        <v>T2</v>
      </c>
      <c r="G537" s="35" t="n">
        <f aca="false">DATE(B537,C537,1)</f>
        <v>46174</v>
      </c>
      <c r="H537" s="25" t="n">
        <f aca="false">IF(DAY(A537+1)=1,1,0)</f>
        <v>0</v>
      </c>
    </row>
    <row r="538" customFormat="false" ht="15" hidden="false" customHeight="false" outlineLevel="0" collapsed="false">
      <c r="A538" s="8" t="n">
        <f aca="false">A537+1</f>
        <v>46194</v>
      </c>
      <c r="B538" s="25" t="n">
        <f aca="false">YEAR(A538)</f>
        <v>2026</v>
      </c>
      <c r="C538" s="25" t="n">
        <f aca="false">MONTH(A538)</f>
        <v>6</v>
      </c>
      <c r="D538" s="0" t="str">
        <f aca="false">CHOOSE(C538,"Ene","Feb","Mar","Abr","May","Jun","Jul","Ago","Sep","Oct","Nov","Dic")</f>
        <v>Jun</v>
      </c>
      <c r="E538" s="0" t="str">
        <f aca="false">D538&amp;"-"&amp;RIGHT(B538,2)</f>
        <v>Jun-26</v>
      </c>
      <c r="F538" s="0" t="str">
        <f aca="false">"T"&amp;ROUNDUP(C538/3,0)</f>
        <v>T2</v>
      </c>
      <c r="G538" s="35" t="n">
        <f aca="false">DATE(B538,C538,1)</f>
        <v>46174</v>
      </c>
      <c r="H538" s="25" t="n">
        <f aca="false">IF(DAY(A538+1)=1,1,0)</f>
        <v>0</v>
      </c>
    </row>
    <row r="539" customFormat="false" ht="15" hidden="false" customHeight="false" outlineLevel="0" collapsed="false">
      <c r="A539" s="8" t="n">
        <f aca="false">A538+1</f>
        <v>46195</v>
      </c>
      <c r="B539" s="25" t="n">
        <f aca="false">YEAR(A539)</f>
        <v>2026</v>
      </c>
      <c r="C539" s="25" t="n">
        <f aca="false">MONTH(A539)</f>
        <v>6</v>
      </c>
      <c r="D539" s="0" t="str">
        <f aca="false">CHOOSE(C539,"Ene","Feb","Mar","Abr","May","Jun","Jul","Ago","Sep","Oct","Nov","Dic")</f>
        <v>Jun</v>
      </c>
      <c r="E539" s="0" t="str">
        <f aca="false">D539&amp;"-"&amp;RIGHT(B539,2)</f>
        <v>Jun-26</v>
      </c>
      <c r="F539" s="0" t="str">
        <f aca="false">"T"&amp;ROUNDUP(C539/3,0)</f>
        <v>T2</v>
      </c>
      <c r="G539" s="35" t="n">
        <f aca="false">DATE(B539,C539,1)</f>
        <v>46174</v>
      </c>
      <c r="H539" s="25" t="n">
        <f aca="false">IF(DAY(A539+1)=1,1,0)</f>
        <v>0</v>
      </c>
    </row>
    <row r="540" customFormat="false" ht="15" hidden="false" customHeight="false" outlineLevel="0" collapsed="false">
      <c r="A540" s="8" t="n">
        <f aca="false">A539+1</f>
        <v>46196</v>
      </c>
      <c r="B540" s="25" t="n">
        <f aca="false">YEAR(A540)</f>
        <v>2026</v>
      </c>
      <c r="C540" s="25" t="n">
        <f aca="false">MONTH(A540)</f>
        <v>6</v>
      </c>
      <c r="D540" s="0" t="str">
        <f aca="false">CHOOSE(C540,"Ene","Feb","Mar","Abr","May","Jun","Jul","Ago","Sep","Oct","Nov","Dic")</f>
        <v>Jun</v>
      </c>
      <c r="E540" s="0" t="str">
        <f aca="false">D540&amp;"-"&amp;RIGHT(B540,2)</f>
        <v>Jun-26</v>
      </c>
      <c r="F540" s="0" t="str">
        <f aca="false">"T"&amp;ROUNDUP(C540/3,0)</f>
        <v>T2</v>
      </c>
      <c r="G540" s="35" t="n">
        <f aca="false">DATE(B540,C540,1)</f>
        <v>46174</v>
      </c>
      <c r="H540" s="25" t="n">
        <f aca="false">IF(DAY(A540+1)=1,1,0)</f>
        <v>0</v>
      </c>
    </row>
    <row r="541" customFormat="false" ht="15" hidden="false" customHeight="false" outlineLevel="0" collapsed="false">
      <c r="A541" s="8" t="n">
        <f aca="false">A540+1</f>
        <v>46197</v>
      </c>
      <c r="B541" s="25" t="n">
        <f aca="false">YEAR(A541)</f>
        <v>2026</v>
      </c>
      <c r="C541" s="25" t="n">
        <f aca="false">MONTH(A541)</f>
        <v>6</v>
      </c>
      <c r="D541" s="0" t="str">
        <f aca="false">CHOOSE(C541,"Ene","Feb","Mar","Abr","May","Jun","Jul","Ago","Sep","Oct","Nov","Dic")</f>
        <v>Jun</v>
      </c>
      <c r="E541" s="0" t="str">
        <f aca="false">D541&amp;"-"&amp;RIGHT(B541,2)</f>
        <v>Jun-26</v>
      </c>
      <c r="F541" s="0" t="str">
        <f aca="false">"T"&amp;ROUNDUP(C541/3,0)</f>
        <v>T2</v>
      </c>
      <c r="G541" s="35" t="n">
        <f aca="false">DATE(B541,C541,1)</f>
        <v>46174</v>
      </c>
      <c r="H541" s="25" t="n">
        <f aca="false">IF(DAY(A541+1)=1,1,0)</f>
        <v>0</v>
      </c>
    </row>
    <row r="542" customFormat="false" ht="15" hidden="false" customHeight="false" outlineLevel="0" collapsed="false">
      <c r="A542" s="8" t="n">
        <f aca="false">A541+1</f>
        <v>46198</v>
      </c>
      <c r="B542" s="25" t="n">
        <f aca="false">YEAR(A542)</f>
        <v>2026</v>
      </c>
      <c r="C542" s="25" t="n">
        <f aca="false">MONTH(A542)</f>
        <v>6</v>
      </c>
      <c r="D542" s="0" t="str">
        <f aca="false">CHOOSE(C542,"Ene","Feb","Mar","Abr","May","Jun","Jul","Ago","Sep","Oct","Nov","Dic")</f>
        <v>Jun</v>
      </c>
      <c r="E542" s="0" t="str">
        <f aca="false">D542&amp;"-"&amp;RIGHT(B542,2)</f>
        <v>Jun-26</v>
      </c>
      <c r="F542" s="0" t="str">
        <f aca="false">"T"&amp;ROUNDUP(C542/3,0)</f>
        <v>T2</v>
      </c>
      <c r="G542" s="35" t="n">
        <f aca="false">DATE(B542,C542,1)</f>
        <v>46174</v>
      </c>
      <c r="H542" s="25" t="n">
        <f aca="false">IF(DAY(A542+1)=1,1,0)</f>
        <v>0</v>
      </c>
    </row>
    <row r="543" customFormat="false" ht="15" hidden="false" customHeight="false" outlineLevel="0" collapsed="false">
      <c r="A543" s="8" t="n">
        <f aca="false">A542+1</f>
        <v>46199</v>
      </c>
      <c r="B543" s="25" t="n">
        <f aca="false">YEAR(A543)</f>
        <v>2026</v>
      </c>
      <c r="C543" s="25" t="n">
        <f aca="false">MONTH(A543)</f>
        <v>6</v>
      </c>
      <c r="D543" s="0" t="str">
        <f aca="false">CHOOSE(C543,"Ene","Feb","Mar","Abr","May","Jun","Jul","Ago","Sep","Oct","Nov","Dic")</f>
        <v>Jun</v>
      </c>
      <c r="E543" s="0" t="str">
        <f aca="false">D543&amp;"-"&amp;RIGHT(B543,2)</f>
        <v>Jun-26</v>
      </c>
      <c r="F543" s="0" t="str">
        <f aca="false">"T"&amp;ROUNDUP(C543/3,0)</f>
        <v>T2</v>
      </c>
      <c r="G543" s="35" t="n">
        <f aca="false">DATE(B543,C543,1)</f>
        <v>46174</v>
      </c>
      <c r="H543" s="25" t="n">
        <f aca="false">IF(DAY(A543+1)=1,1,0)</f>
        <v>0</v>
      </c>
    </row>
    <row r="544" customFormat="false" ht="15" hidden="false" customHeight="false" outlineLevel="0" collapsed="false">
      <c r="A544" s="8" t="n">
        <f aca="false">A543+1</f>
        <v>46200</v>
      </c>
      <c r="B544" s="25" t="n">
        <f aca="false">YEAR(A544)</f>
        <v>2026</v>
      </c>
      <c r="C544" s="25" t="n">
        <f aca="false">MONTH(A544)</f>
        <v>6</v>
      </c>
      <c r="D544" s="0" t="str">
        <f aca="false">CHOOSE(C544,"Ene","Feb","Mar","Abr","May","Jun","Jul","Ago","Sep","Oct","Nov","Dic")</f>
        <v>Jun</v>
      </c>
      <c r="E544" s="0" t="str">
        <f aca="false">D544&amp;"-"&amp;RIGHT(B544,2)</f>
        <v>Jun-26</v>
      </c>
      <c r="F544" s="0" t="str">
        <f aca="false">"T"&amp;ROUNDUP(C544/3,0)</f>
        <v>T2</v>
      </c>
      <c r="G544" s="35" t="n">
        <f aca="false">DATE(B544,C544,1)</f>
        <v>46174</v>
      </c>
      <c r="H544" s="25" t="n">
        <f aca="false">IF(DAY(A544+1)=1,1,0)</f>
        <v>0</v>
      </c>
    </row>
    <row r="545" customFormat="false" ht="15" hidden="false" customHeight="false" outlineLevel="0" collapsed="false">
      <c r="A545" s="8" t="n">
        <f aca="false">A544+1</f>
        <v>46201</v>
      </c>
      <c r="B545" s="25" t="n">
        <f aca="false">YEAR(A545)</f>
        <v>2026</v>
      </c>
      <c r="C545" s="25" t="n">
        <f aca="false">MONTH(A545)</f>
        <v>6</v>
      </c>
      <c r="D545" s="0" t="str">
        <f aca="false">CHOOSE(C545,"Ene","Feb","Mar","Abr","May","Jun","Jul","Ago","Sep","Oct","Nov","Dic")</f>
        <v>Jun</v>
      </c>
      <c r="E545" s="0" t="str">
        <f aca="false">D545&amp;"-"&amp;RIGHT(B545,2)</f>
        <v>Jun-26</v>
      </c>
      <c r="F545" s="0" t="str">
        <f aca="false">"T"&amp;ROUNDUP(C545/3,0)</f>
        <v>T2</v>
      </c>
      <c r="G545" s="35" t="n">
        <f aca="false">DATE(B545,C545,1)</f>
        <v>46174</v>
      </c>
      <c r="H545" s="25" t="n">
        <f aca="false">IF(DAY(A545+1)=1,1,0)</f>
        <v>0</v>
      </c>
    </row>
    <row r="546" customFormat="false" ht="15" hidden="false" customHeight="false" outlineLevel="0" collapsed="false">
      <c r="A546" s="8" t="n">
        <f aca="false">A545+1</f>
        <v>46202</v>
      </c>
      <c r="B546" s="25" t="n">
        <f aca="false">YEAR(A546)</f>
        <v>2026</v>
      </c>
      <c r="C546" s="25" t="n">
        <f aca="false">MONTH(A546)</f>
        <v>6</v>
      </c>
      <c r="D546" s="0" t="str">
        <f aca="false">CHOOSE(C546,"Ene","Feb","Mar","Abr","May","Jun","Jul","Ago","Sep","Oct","Nov","Dic")</f>
        <v>Jun</v>
      </c>
      <c r="E546" s="0" t="str">
        <f aca="false">D546&amp;"-"&amp;RIGHT(B546,2)</f>
        <v>Jun-26</v>
      </c>
      <c r="F546" s="0" t="str">
        <f aca="false">"T"&amp;ROUNDUP(C546/3,0)</f>
        <v>T2</v>
      </c>
      <c r="G546" s="35" t="n">
        <f aca="false">DATE(B546,C546,1)</f>
        <v>46174</v>
      </c>
      <c r="H546" s="25" t="n">
        <f aca="false">IF(DAY(A546+1)=1,1,0)</f>
        <v>0</v>
      </c>
    </row>
    <row r="547" customFormat="false" ht="15" hidden="false" customHeight="false" outlineLevel="0" collapsed="false">
      <c r="A547" s="8" t="n">
        <f aca="false">A546+1</f>
        <v>46203</v>
      </c>
      <c r="B547" s="25" t="n">
        <f aca="false">YEAR(A547)</f>
        <v>2026</v>
      </c>
      <c r="C547" s="25" t="n">
        <f aca="false">MONTH(A547)</f>
        <v>6</v>
      </c>
      <c r="D547" s="0" t="str">
        <f aca="false">CHOOSE(C547,"Ene","Feb","Mar","Abr","May","Jun","Jul","Ago","Sep","Oct","Nov","Dic")</f>
        <v>Jun</v>
      </c>
      <c r="E547" s="0" t="str">
        <f aca="false">D547&amp;"-"&amp;RIGHT(B547,2)</f>
        <v>Jun-26</v>
      </c>
      <c r="F547" s="0" t="str">
        <f aca="false">"T"&amp;ROUNDUP(C547/3,0)</f>
        <v>T2</v>
      </c>
      <c r="G547" s="35" t="n">
        <f aca="false">DATE(B547,C547,1)</f>
        <v>46174</v>
      </c>
      <c r="H547" s="25" t="n">
        <f aca="false">IF(DAY(A547+1)=1,1,0)</f>
        <v>1</v>
      </c>
    </row>
    <row r="548" customFormat="false" ht="15" hidden="false" customHeight="false" outlineLevel="0" collapsed="false">
      <c r="A548" s="8" t="n">
        <f aca="false">A547+1</f>
        <v>46204</v>
      </c>
      <c r="B548" s="25" t="n">
        <f aca="false">YEAR(A548)</f>
        <v>2026</v>
      </c>
      <c r="C548" s="25" t="n">
        <f aca="false">MONTH(A548)</f>
        <v>7</v>
      </c>
      <c r="D548" s="0" t="str">
        <f aca="false">CHOOSE(C548,"Ene","Feb","Mar","Abr","May","Jun","Jul","Ago","Sep","Oct","Nov","Dic")</f>
        <v>Jul</v>
      </c>
      <c r="E548" s="0" t="str">
        <f aca="false">D548&amp;"-"&amp;RIGHT(B548,2)</f>
        <v>Jul-26</v>
      </c>
      <c r="F548" s="0" t="str">
        <f aca="false">"T"&amp;ROUNDUP(C548/3,0)</f>
        <v>T3</v>
      </c>
      <c r="G548" s="35" t="n">
        <f aca="false">DATE(B548,C548,1)</f>
        <v>46204</v>
      </c>
      <c r="H548" s="25" t="n">
        <f aca="false">IF(DAY(A548+1)=1,1,0)</f>
        <v>0</v>
      </c>
    </row>
    <row r="549" customFormat="false" ht="15" hidden="false" customHeight="false" outlineLevel="0" collapsed="false">
      <c r="A549" s="8" t="n">
        <f aca="false">A548+1</f>
        <v>46205</v>
      </c>
      <c r="B549" s="25" t="n">
        <f aca="false">YEAR(A549)</f>
        <v>2026</v>
      </c>
      <c r="C549" s="25" t="n">
        <f aca="false">MONTH(A549)</f>
        <v>7</v>
      </c>
      <c r="D549" s="0" t="str">
        <f aca="false">CHOOSE(C549,"Ene","Feb","Mar","Abr","May","Jun","Jul","Ago","Sep","Oct","Nov","Dic")</f>
        <v>Jul</v>
      </c>
      <c r="E549" s="0" t="str">
        <f aca="false">D549&amp;"-"&amp;RIGHT(B549,2)</f>
        <v>Jul-26</v>
      </c>
      <c r="F549" s="0" t="str">
        <f aca="false">"T"&amp;ROUNDUP(C549/3,0)</f>
        <v>T3</v>
      </c>
      <c r="G549" s="35" t="n">
        <f aca="false">DATE(B549,C549,1)</f>
        <v>46204</v>
      </c>
      <c r="H549" s="25" t="n">
        <f aca="false">IF(DAY(A549+1)=1,1,0)</f>
        <v>0</v>
      </c>
    </row>
    <row r="550" customFormat="false" ht="15" hidden="false" customHeight="false" outlineLevel="0" collapsed="false">
      <c r="A550" s="8" t="n">
        <f aca="false">A549+1</f>
        <v>46206</v>
      </c>
      <c r="B550" s="25" t="n">
        <f aca="false">YEAR(A550)</f>
        <v>2026</v>
      </c>
      <c r="C550" s="25" t="n">
        <f aca="false">MONTH(A550)</f>
        <v>7</v>
      </c>
      <c r="D550" s="0" t="str">
        <f aca="false">CHOOSE(C550,"Ene","Feb","Mar","Abr","May","Jun","Jul","Ago","Sep","Oct","Nov","Dic")</f>
        <v>Jul</v>
      </c>
      <c r="E550" s="0" t="str">
        <f aca="false">D550&amp;"-"&amp;RIGHT(B550,2)</f>
        <v>Jul-26</v>
      </c>
      <c r="F550" s="0" t="str">
        <f aca="false">"T"&amp;ROUNDUP(C550/3,0)</f>
        <v>T3</v>
      </c>
      <c r="G550" s="35" t="n">
        <f aca="false">DATE(B550,C550,1)</f>
        <v>46204</v>
      </c>
      <c r="H550" s="25" t="n">
        <f aca="false">IF(DAY(A550+1)=1,1,0)</f>
        <v>0</v>
      </c>
    </row>
    <row r="551" customFormat="false" ht="15" hidden="false" customHeight="false" outlineLevel="0" collapsed="false">
      <c r="A551" s="8" t="n">
        <f aca="false">A550+1</f>
        <v>46207</v>
      </c>
      <c r="B551" s="25" t="n">
        <f aca="false">YEAR(A551)</f>
        <v>2026</v>
      </c>
      <c r="C551" s="25" t="n">
        <f aca="false">MONTH(A551)</f>
        <v>7</v>
      </c>
      <c r="D551" s="0" t="str">
        <f aca="false">CHOOSE(C551,"Ene","Feb","Mar","Abr","May","Jun","Jul","Ago","Sep","Oct","Nov","Dic")</f>
        <v>Jul</v>
      </c>
      <c r="E551" s="0" t="str">
        <f aca="false">D551&amp;"-"&amp;RIGHT(B551,2)</f>
        <v>Jul-26</v>
      </c>
      <c r="F551" s="0" t="str">
        <f aca="false">"T"&amp;ROUNDUP(C551/3,0)</f>
        <v>T3</v>
      </c>
      <c r="G551" s="35" t="n">
        <f aca="false">DATE(B551,C551,1)</f>
        <v>46204</v>
      </c>
      <c r="H551" s="25" t="n">
        <f aca="false">IF(DAY(A551+1)=1,1,0)</f>
        <v>0</v>
      </c>
    </row>
    <row r="552" customFormat="false" ht="15" hidden="false" customHeight="false" outlineLevel="0" collapsed="false">
      <c r="A552" s="8" t="n">
        <f aca="false">A551+1</f>
        <v>46208</v>
      </c>
      <c r="B552" s="25" t="n">
        <f aca="false">YEAR(A552)</f>
        <v>2026</v>
      </c>
      <c r="C552" s="25" t="n">
        <f aca="false">MONTH(A552)</f>
        <v>7</v>
      </c>
      <c r="D552" s="0" t="str">
        <f aca="false">CHOOSE(C552,"Ene","Feb","Mar","Abr","May","Jun","Jul","Ago","Sep","Oct","Nov","Dic")</f>
        <v>Jul</v>
      </c>
      <c r="E552" s="0" t="str">
        <f aca="false">D552&amp;"-"&amp;RIGHT(B552,2)</f>
        <v>Jul-26</v>
      </c>
      <c r="F552" s="0" t="str">
        <f aca="false">"T"&amp;ROUNDUP(C552/3,0)</f>
        <v>T3</v>
      </c>
      <c r="G552" s="35" t="n">
        <f aca="false">DATE(B552,C552,1)</f>
        <v>46204</v>
      </c>
      <c r="H552" s="25" t="n">
        <f aca="false">IF(DAY(A552+1)=1,1,0)</f>
        <v>0</v>
      </c>
    </row>
    <row r="553" customFormat="false" ht="15" hidden="false" customHeight="false" outlineLevel="0" collapsed="false">
      <c r="A553" s="8" t="n">
        <f aca="false">A552+1</f>
        <v>46209</v>
      </c>
      <c r="B553" s="25" t="n">
        <f aca="false">YEAR(A553)</f>
        <v>2026</v>
      </c>
      <c r="C553" s="25" t="n">
        <f aca="false">MONTH(A553)</f>
        <v>7</v>
      </c>
      <c r="D553" s="0" t="str">
        <f aca="false">CHOOSE(C553,"Ene","Feb","Mar","Abr","May","Jun","Jul","Ago","Sep","Oct","Nov","Dic")</f>
        <v>Jul</v>
      </c>
      <c r="E553" s="0" t="str">
        <f aca="false">D553&amp;"-"&amp;RIGHT(B553,2)</f>
        <v>Jul-26</v>
      </c>
      <c r="F553" s="0" t="str">
        <f aca="false">"T"&amp;ROUNDUP(C553/3,0)</f>
        <v>T3</v>
      </c>
      <c r="G553" s="35" t="n">
        <f aca="false">DATE(B553,C553,1)</f>
        <v>46204</v>
      </c>
      <c r="H553" s="25" t="n">
        <f aca="false">IF(DAY(A553+1)=1,1,0)</f>
        <v>0</v>
      </c>
    </row>
    <row r="554" customFormat="false" ht="15" hidden="false" customHeight="false" outlineLevel="0" collapsed="false">
      <c r="A554" s="8" t="n">
        <f aca="false">A553+1</f>
        <v>46210</v>
      </c>
      <c r="B554" s="25" t="n">
        <f aca="false">YEAR(A554)</f>
        <v>2026</v>
      </c>
      <c r="C554" s="25" t="n">
        <f aca="false">MONTH(A554)</f>
        <v>7</v>
      </c>
      <c r="D554" s="0" t="str">
        <f aca="false">CHOOSE(C554,"Ene","Feb","Mar","Abr","May","Jun","Jul","Ago","Sep","Oct","Nov","Dic")</f>
        <v>Jul</v>
      </c>
      <c r="E554" s="0" t="str">
        <f aca="false">D554&amp;"-"&amp;RIGHT(B554,2)</f>
        <v>Jul-26</v>
      </c>
      <c r="F554" s="0" t="str">
        <f aca="false">"T"&amp;ROUNDUP(C554/3,0)</f>
        <v>T3</v>
      </c>
      <c r="G554" s="35" t="n">
        <f aca="false">DATE(B554,C554,1)</f>
        <v>46204</v>
      </c>
      <c r="H554" s="25" t="n">
        <f aca="false">IF(DAY(A554+1)=1,1,0)</f>
        <v>0</v>
      </c>
    </row>
    <row r="555" customFormat="false" ht="15" hidden="false" customHeight="false" outlineLevel="0" collapsed="false">
      <c r="A555" s="8" t="n">
        <f aca="false">A554+1</f>
        <v>46211</v>
      </c>
      <c r="B555" s="25" t="n">
        <f aca="false">YEAR(A555)</f>
        <v>2026</v>
      </c>
      <c r="C555" s="25" t="n">
        <f aca="false">MONTH(A555)</f>
        <v>7</v>
      </c>
      <c r="D555" s="0" t="str">
        <f aca="false">CHOOSE(C555,"Ene","Feb","Mar","Abr","May","Jun","Jul","Ago","Sep","Oct","Nov","Dic")</f>
        <v>Jul</v>
      </c>
      <c r="E555" s="0" t="str">
        <f aca="false">D555&amp;"-"&amp;RIGHT(B555,2)</f>
        <v>Jul-26</v>
      </c>
      <c r="F555" s="0" t="str">
        <f aca="false">"T"&amp;ROUNDUP(C555/3,0)</f>
        <v>T3</v>
      </c>
      <c r="G555" s="35" t="n">
        <f aca="false">DATE(B555,C555,1)</f>
        <v>46204</v>
      </c>
      <c r="H555" s="25" t="n">
        <f aca="false">IF(DAY(A555+1)=1,1,0)</f>
        <v>0</v>
      </c>
    </row>
    <row r="556" customFormat="false" ht="15" hidden="false" customHeight="false" outlineLevel="0" collapsed="false">
      <c r="A556" s="8" t="n">
        <f aca="false">A555+1</f>
        <v>46212</v>
      </c>
      <c r="B556" s="25" t="n">
        <f aca="false">YEAR(A556)</f>
        <v>2026</v>
      </c>
      <c r="C556" s="25" t="n">
        <f aca="false">MONTH(A556)</f>
        <v>7</v>
      </c>
      <c r="D556" s="0" t="str">
        <f aca="false">CHOOSE(C556,"Ene","Feb","Mar","Abr","May","Jun","Jul","Ago","Sep","Oct","Nov","Dic")</f>
        <v>Jul</v>
      </c>
      <c r="E556" s="0" t="str">
        <f aca="false">D556&amp;"-"&amp;RIGHT(B556,2)</f>
        <v>Jul-26</v>
      </c>
      <c r="F556" s="0" t="str">
        <f aca="false">"T"&amp;ROUNDUP(C556/3,0)</f>
        <v>T3</v>
      </c>
      <c r="G556" s="35" t="n">
        <f aca="false">DATE(B556,C556,1)</f>
        <v>46204</v>
      </c>
      <c r="H556" s="25" t="n">
        <f aca="false">IF(DAY(A556+1)=1,1,0)</f>
        <v>0</v>
      </c>
    </row>
    <row r="557" customFormat="false" ht="15" hidden="false" customHeight="false" outlineLevel="0" collapsed="false">
      <c r="A557" s="8" t="n">
        <f aca="false">A556+1</f>
        <v>46213</v>
      </c>
      <c r="B557" s="25" t="n">
        <f aca="false">YEAR(A557)</f>
        <v>2026</v>
      </c>
      <c r="C557" s="25" t="n">
        <f aca="false">MONTH(A557)</f>
        <v>7</v>
      </c>
      <c r="D557" s="0" t="str">
        <f aca="false">CHOOSE(C557,"Ene","Feb","Mar","Abr","May","Jun","Jul","Ago","Sep","Oct","Nov","Dic")</f>
        <v>Jul</v>
      </c>
      <c r="E557" s="0" t="str">
        <f aca="false">D557&amp;"-"&amp;RIGHT(B557,2)</f>
        <v>Jul-26</v>
      </c>
      <c r="F557" s="0" t="str">
        <f aca="false">"T"&amp;ROUNDUP(C557/3,0)</f>
        <v>T3</v>
      </c>
      <c r="G557" s="35" t="n">
        <f aca="false">DATE(B557,C557,1)</f>
        <v>46204</v>
      </c>
      <c r="H557" s="25" t="n">
        <f aca="false">IF(DAY(A557+1)=1,1,0)</f>
        <v>0</v>
      </c>
    </row>
    <row r="558" customFormat="false" ht="15" hidden="false" customHeight="false" outlineLevel="0" collapsed="false">
      <c r="A558" s="8" t="n">
        <f aca="false">A557+1</f>
        <v>46214</v>
      </c>
      <c r="B558" s="25" t="n">
        <f aca="false">YEAR(A558)</f>
        <v>2026</v>
      </c>
      <c r="C558" s="25" t="n">
        <f aca="false">MONTH(A558)</f>
        <v>7</v>
      </c>
      <c r="D558" s="0" t="str">
        <f aca="false">CHOOSE(C558,"Ene","Feb","Mar","Abr","May","Jun","Jul","Ago","Sep","Oct","Nov","Dic")</f>
        <v>Jul</v>
      </c>
      <c r="E558" s="0" t="str">
        <f aca="false">D558&amp;"-"&amp;RIGHT(B558,2)</f>
        <v>Jul-26</v>
      </c>
      <c r="F558" s="0" t="str">
        <f aca="false">"T"&amp;ROUNDUP(C558/3,0)</f>
        <v>T3</v>
      </c>
      <c r="G558" s="35" t="n">
        <f aca="false">DATE(B558,C558,1)</f>
        <v>46204</v>
      </c>
      <c r="H558" s="25" t="n">
        <f aca="false">IF(DAY(A558+1)=1,1,0)</f>
        <v>0</v>
      </c>
    </row>
    <row r="559" customFormat="false" ht="15" hidden="false" customHeight="false" outlineLevel="0" collapsed="false">
      <c r="A559" s="8" t="n">
        <f aca="false">A558+1</f>
        <v>46215</v>
      </c>
      <c r="B559" s="25" t="n">
        <f aca="false">YEAR(A559)</f>
        <v>2026</v>
      </c>
      <c r="C559" s="25" t="n">
        <f aca="false">MONTH(A559)</f>
        <v>7</v>
      </c>
      <c r="D559" s="0" t="str">
        <f aca="false">CHOOSE(C559,"Ene","Feb","Mar","Abr","May","Jun","Jul","Ago","Sep","Oct","Nov","Dic")</f>
        <v>Jul</v>
      </c>
      <c r="E559" s="0" t="str">
        <f aca="false">D559&amp;"-"&amp;RIGHT(B559,2)</f>
        <v>Jul-26</v>
      </c>
      <c r="F559" s="0" t="str">
        <f aca="false">"T"&amp;ROUNDUP(C559/3,0)</f>
        <v>T3</v>
      </c>
      <c r="G559" s="35" t="n">
        <f aca="false">DATE(B559,C559,1)</f>
        <v>46204</v>
      </c>
      <c r="H559" s="25" t="n">
        <f aca="false">IF(DAY(A559+1)=1,1,0)</f>
        <v>0</v>
      </c>
    </row>
    <row r="560" customFormat="false" ht="15" hidden="false" customHeight="false" outlineLevel="0" collapsed="false">
      <c r="A560" s="8" t="n">
        <f aca="false">A559+1</f>
        <v>46216</v>
      </c>
      <c r="B560" s="25" t="n">
        <f aca="false">YEAR(A560)</f>
        <v>2026</v>
      </c>
      <c r="C560" s="25" t="n">
        <f aca="false">MONTH(A560)</f>
        <v>7</v>
      </c>
      <c r="D560" s="0" t="str">
        <f aca="false">CHOOSE(C560,"Ene","Feb","Mar","Abr","May","Jun","Jul","Ago","Sep","Oct","Nov","Dic")</f>
        <v>Jul</v>
      </c>
      <c r="E560" s="0" t="str">
        <f aca="false">D560&amp;"-"&amp;RIGHT(B560,2)</f>
        <v>Jul-26</v>
      </c>
      <c r="F560" s="0" t="str">
        <f aca="false">"T"&amp;ROUNDUP(C560/3,0)</f>
        <v>T3</v>
      </c>
      <c r="G560" s="35" t="n">
        <f aca="false">DATE(B560,C560,1)</f>
        <v>46204</v>
      </c>
      <c r="H560" s="25" t="n">
        <f aca="false">IF(DAY(A560+1)=1,1,0)</f>
        <v>0</v>
      </c>
    </row>
    <row r="561" customFormat="false" ht="15" hidden="false" customHeight="false" outlineLevel="0" collapsed="false">
      <c r="A561" s="8" t="n">
        <f aca="false">A560+1</f>
        <v>46217</v>
      </c>
      <c r="B561" s="25" t="n">
        <f aca="false">YEAR(A561)</f>
        <v>2026</v>
      </c>
      <c r="C561" s="25" t="n">
        <f aca="false">MONTH(A561)</f>
        <v>7</v>
      </c>
      <c r="D561" s="0" t="str">
        <f aca="false">CHOOSE(C561,"Ene","Feb","Mar","Abr","May","Jun","Jul","Ago","Sep","Oct","Nov","Dic")</f>
        <v>Jul</v>
      </c>
      <c r="E561" s="0" t="str">
        <f aca="false">D561&amp;"-"&amp;RIGHT(B561,2)</f>
        <v>Jul-26</v>
      </c>
      <c r="F561" s="0" t="str">
        <f aca="false">"T"&amp;ROUNDUP(C561/3,0)</f>
        <v>T3</v>
      </c>
      <c r="G561" s="35" t="n">
        <f aca="false">DATE(B561,C561,1)</f>
        <v>46204</v>
      </c>
      <c r="H561" s="25" t="n">
        <f aca="false">IF(DAY(A561+1)=1,1,0)</f>
        <v>0</v>
      </c>
    </row>
    <row r="562" customFormat="false" ht="15" hidden="false" customHeight="false" outlineLevel="0" collapsed="false">
      <c r="A562" s="8" t="n">
        <f aca="false">A561+1</f>
        <v>46218</v>
      </c>
      <c r="B562" s="25" t="n">
        <f aca="false">YEAR(A562)</f>
        <v>2026</v>
      </c>
      <c r="C562" s="25" t="n">
        <f aca="false">MONTH(A562)</f>
        <v>7</v>
      </c>
      <c r="D562" s="0" t="str">
        <f aca="false">CHOOSE(C562,"Ene","Feb","Mar","Abr","May","Jun","Jul","Ago","Sep","Oct","Nov","Dic")</f>
        <v>Jul</v>
      </c>
      <c r="E562" s="0" t="str">
        <f aca="false">D562&amp;"-"&amp;RIGHT(B562,2)</f>
        <v>Jul-26</v>
      </c>
      <c r="F562" s="0" t="str">
        <f aca="false">"T"&amp;ROUNDUP(C562/3,0)</f>
        <v>T3</v>
      </c>
      <c r="G562" s="35" t="n">
        <f aca="false">DATE(B562,C562,1)</f>
        <v>46204</v>
      </c>
      <c r="H562" s="25" t="n">
        <f aca="false">IF(DAY(A562+1)=1,1,0)</f>
        <v>0</v>
      </c>
    </row>
    <row r="563" customFormat="false" ht="15" hidden="false" customHeight="false" outlineLevel="0" collapsed="false">
      <c r="A563" s="8" t="n">
        <f aca="false">A562+1</f>
        <v>46219</v>
      </c>
      <c r="B563" s="25" t="n">
        <f aca="false">YEAR(A563)</f>
        <v>2026</v>
      </c>
      <c r="C563" s="25" t="n">
        <f aca="false">MONTH(A563)</f>
        <v>7</v>
      </c>
      <c r="D563" s="0" t="str">
        <f aca="false">CHOOSE(C563,"Ene","Feb","Mar","Abr","May","Jun","Jul","Ago","Sep","Oct","Nov","Dic")</f>
        <v>Jul</v>
      </c>
      <c r="E563" s="0" t="str">
        <f aca="false">D563&amp;"-"&amp;RIGHT(B563,2)</f>
        <v>Jul-26</v>
      </c>
      <c r="F563" s="0" t="str">
        <f aca="false">"T"&amp;ROUNDUP(C563/3,0)</f>
        <v>T3</v>
      </c>
      <c r="G563" s="35" t="n">
        <f aca="false">DATE(B563,C563,1)</f>
        <v>46204</v>
      </c>
      <c r="H563" s="25" t="n">
        <f aca="false">IF(DAY(A563+1)=1,1,0)</f>
        <v>0</v>
      </c>
    </row>
    <row r="564" customFormat="false" ht="15" hidden="false" customHeight="false" outlineLevel="0" collapsed="false">
      <c r="A564" s="8" t="n">
        <f aca="false">A563+1</f>
        <v>46220</v>
      </c>
      <c r="B564" s="25" t="n">
        <f aca="false">YEAR(A564)</f>
        <v>2026</v>
      </c>
      <c r="C564" s="25" t="n">
        <f aca="false">MONTH(A564)</f>
        <v>7</v>
      </c>
      <c r="D564" s="0" t="str">
        <f aca="false">CHOOSE(C564,"Ene","Feb","Mar","Abr","May","Jun","Jul","Ago","Sep","Oct","Nov","Dic")</f>
        <v>Jul</v>
      </c>
      <c r="E564" s="0" t="str">
        <f aca="false">D564&amp;"-"&amp;RIGHT(B564,2)</f>
        <v>Jul-26</v>
      </c>
      <c r="F564" s="0" t="str">
        <f aca="false">"T"&amp;ROUNDUP(C564/3,0)</f>
        <v>T3</v>
      </c>
      <c r="G564" s="35" t="n">
        <f aca="false">DATE(B564,C564,1)</f>
        <v>46204</v>
      </c>
      <c r="H564" s="25" t="n">
        <f aca="false">IF(DAY(A564+1)=1,1,0)</f>
        <v>0</v>
      </c>
    </row>
    <row r="565" customFormat="false" ht="15" hidden="false" customHeight="false" outlineLevel="0" collapsed="false">
      <c r="A565" s="8" t="n">
        <f aca="false">A564+1</f>
        <v>46221</v>
      </c>
      <c r="B565" s="25" t="n">
        <f aca="false">YEAR(A565)</f>
        <v>2026</v>
      </c>
      <c r="C565" s="25" t="n">
        <f aca="false">MONTH(A565)</f>
        <v>7</v>
      </c>
      <c r="D565" s="0" t="str">
        <f aca="false">CHOOSE(C565,"Ene","Feb","Mar","Abr","May","Jun","Jul","Ago","Sep","Oct","Nov","Dic")</f>
        <v>Jul</v>
      </c>
      <c r="E565" s="0" t="str">
        <f aca="false">D565&amp;"-"&amp;RIGHT(B565,2)</f>
        <v>Jul-26</v>
      </c>
      <c r="F565" s="0" t="str">
        <f aca="false">"T"&amp;ROUNDUP(C565/3,0)</f>
        <v>T3</v>
      </c>
      <c r="G565" s="35" t="n">
        <f aca="false">DATE(B565,C565,1)</f>
        <v>46204</v>
      </c>
      <c r="H565" s="25" t="n">
        <f aca="false">IF(DAY(A565+1)=1,1,0)</f>
        <v>0</v>
      </c>
    </row>
    <row r="566" customFormat="false" ht="15" hidden="false" customHeight="false" outlineLevel="0" collapsed="false">
      <c r="A566" s="8" t="n">
        <f aca="false">A565+1</f>
        <v>46222</v>
      </c>
      <c r="B566" s="25" t="n">
        <f aca="false">YEAR(A566)</f>
        <v>2026</v>
      </c>
      <c r="C566" s="25" t="n">
        <f aca="false">MONTH(A566)</f>
        <v>7</v>
      </c>
      <c r="D566" s="0" t="str">
        <f aca="false">CHOOSE(C566,"Ene","Feb","Mar","Abr","May","Jun","Jul","Ago","Sep","Oct","Nov","Dic")</f>
        <v>Jul</v>
      </c>
      <c r="E566" s="0" t="str">
        <f aca="false">D566&amp;"-"&amp;RIGHT(B566,2)</f>
        <v>Jul-26</v>
      </c>
      <c r="F566" s="0" t="str">
        <f aca="false">"T"&amp;ROUNDUP(C566/3,0)</f>
        <v>T3</v>
      </c>
      <c r="G566" s="35" t="n">
        <f aca="false">DATE(B566,C566,1)</f>
        <v>46204</v>
      </c>
      <c r="H566" s="25" t="n">
        <f aca="false">IF(DAY(A566+1)=1,1,0)</f>
        <v>0</v>
      </c>
    </row>
    <row r="567" customFormat="false" ht="15" hidden="false" customHeight="false" outlineLevel="0" collapsed="false">
      <c r="A567" s="8" t="n">
        <f aca="false">A566+1</f>
        <v>46223</v>
      </c>
      <c r="B567" s="25" t="n">
        <f aca="false">YEAR(A567)</f>
        <v>2026</v>
      </c>
      <c r="C567" s="25" t="n">
        <f aca="false">MONTH(A567)</f>
        <v>7</v>
      </c>
      <c r="D567" s="0" t="str">
        <f aca="false">CHOOSE(C567,"Ene","Feb","Mar","Abr","May","Jun","Jul","Ago","Sep","Oct","Nov","Dic")</f>
        <v>Jul</v>
      </c>
      <c r="E567" s="0" t="str">
        <f aca="false">D567&amp;"-"&amp;RIGHT(B567,2)</f>
        <v>Jul-26</v>
      </c>
      <c r="F567" s="0" t="str">
        <f aca="false">"T"&amp;ROUNDUP(C567/3,0)</f>
        <v>T3</v>
      </c>
      <c r="G567" s="35" t="n">
        <f aca="false">DATE(B567,C567,1)</f>
        <v>46204</v>
      </c>
      <c r="H567" s="25" t="n">
        <f aca="false">IF(DAY(A567+1)=1,1,0)</f>
        <v>0</v>
      </c>
    </row>
    <row r="568" customFormat="false" ht="15" hidden="false" customHeight="false" outlineLevel="0" collapsed="false">
      <c r="A568" s="8" t="n">
        <f aca="false">A567+1</f>
        <v>46224</v>
      </c>
      <c r="B568" s="25" t="n">
        <f aca="false">YEAR(A568)</f>
        <v>2026</v>
      </c>
      <c r="C568" s="25" t="n">
        <f aca="false">MONTH(A568)</f>
        <v>7</v>
      </c>
      <c r="D568" s="0" t="str">
        <f aca="false">CHOOSE(C568,"Ene","Feb","Mar","Abr","May","Jun","Jul","Ago","Sep","Oct","Nov","Dic")</f>
        <v>Jul</v>
      </c>
      <c r="E568" s="0" t="str">
        <f aca="false">D568&amp;"-"&amp;RIGHT(B568,2)</f>
        <v>Jul-26</v>
      </c>
      <c r="F568" s="0" t="str">
        <f aca="false">"T"&amp;ROUNDUP(C568/3,0)</f>
        <v>T3</v>
      </c>
      <c r="G568" s="35" t="n">
        <f aca="false">DATE(B568,C568,1)</f>
        <v>46204</v>
      </c>
      <c r="H568" s="25" t="n">
        <f aca="false">IF(DAY(A568+1)=1,1,0)</f>
        <v>0</v>
      </c>
    </row>
    <row r="569" customFormat="false" ht="15" hidden="false" customHeight="false" outlineLevel="0" collapsed="false">
      <c r="A569" s="8" t="n">
        <f aca="false">A568+1</f>
        <v>46225</v>
      </c>
      <c r="B569" s="25" t="n">
        <f aca="false">YEAR(A569)</f>
        <v>2026</v>
      </c>
      <c r="C569" s="25" t="n">
        <f aca="false">MONTH(A569)</f>
        <v>7</v>
      </c>
      <c r="D569" s="0" t="str">
        <f aca="false">CHOOSE(C569,"Ene","Feb","Mar","Abr","May","Jun","Jul","Ago","Sep","Oct","Nov","Dic")</f>
        <v>Jul</v>
      </c>
      <c r="E569" s="0" t="str">
        <f aca="false">D569&amp;"-"&amp;RIGHT(B569,2)</f>
        <v>Jul-26</v>
      </c>
      <c r="F569" s="0" t="str">
        <f aca="false">"T"&amp;ROUNDUP(C569/3,0)</f>
        <v>T3</v>
      </c>
      <c r="G569" s="35" t="n">
        <f aca="false">DATE(B569,C569,1)</f>
        <v>46204</v>
      </c>
      <c r="H569" s="25" t="n">
        <f aca="false">IF(DAY(A569+1)=1,1,0)</f>
        <v>0</v>
      </c>
    </row>
    <row r="570" customFormat="false" ht="15" hidden="false" customHeight="false" outlineLevel="0" collapsed="false">
      <c r="A570" s="8" t="n">
        <f aca="false">A569+1</f>
        <v>46226</v>
      </c>
      <c r="B570" s="25" t="n">
        <f aca="false">YEAR(A570)</f>
        <v>2026</v>
      </c>
      <c r="C570" s="25" t="n">
        <f aca="false">MONTH(A570)</f>
        <v>7</v>
      </c>
      <c r="D570" s="0" t="str">
        <f aca="false">CHOOSE(C570,"Ene","Feb","Mar","Abr","May","Jun","Jul","Ago","Sep","Oct","Nov","Dic")</f>
        <v>Jul</v>
      </c>
      <c r="E570" s="0" t="str">
        <f aca="false">D570&amp;"-"&amp;RIGHT(B570,2)</f>
        <v>Jul-26</v>
      </c>
      <c r="F570" s="0" t="str">
        <f aca="false">"T"&amp;ROUNDUP(C570/3,0)</f>
        <v>T3</v>
      </c>
      <c r="G570" s="35" t="n">
        <f aca="false">DATE(B570,C570,1)</f>
        <v>46204</v>
      </c>
      <c r="H570" s="25" t="n">
        <f aca="false">IF(DAY(A570+1)=1,1,0)</f>
        <v>0</v>
      </c>
    </row>
    <row r="571" customFormat="false" ht="15" hidden="false" customHeight="false" outlineLevel="0" collapsed="false">
      <c r="A571" s="8" t="n">
        <f aca="false">A570+1</f>
        <v>46227</v>
      </c>
      <c r="B571" s="25" t="n">
        <f aca="false">YEAR(A571)</f>
        <v>2026</v>
      </c>
      <c r="C571" s="25" t="n">
        <f aca="false">MONTH(A571)</f>
        <v>7</v>
      </c>
      <c r="D571" s="0" t="str">
        <f aca="false">CHOOSE(C571,"Ene","Feb","Mar","Abr","May","Jun","Jul","Ago","Sep","Oct","Nov","Dic")</f>
        <v>Jul</v>
      </c>
      <c r="E571" s="0" t="str">
        <f aca="false">D571&amp;"-"&amp;RIGHT(B571,2)</f>
        <v>Jul-26</v>
      </c>
      <c r="F571" s="0" t="str">
        <f aca="false">"T"&amp;ROUNDUP(C571/3,0)</f>
        <v>T3</v>
      </c>
      <c r="G571" s="35" t="n">
        <f aca="false">DATE(B571,C571,1)</f>
        <v>46204</v>
      </c>
      <c r="H571" s="25" t="n">
        <f aca="false">IF(DAY(A571+1)=1,1,0)</f>
        <v>0</v>
      </c>
    </row>
    <row r="572" customFormat="false" ht="15" hidden="false" customHeight="false" outlineLevel="0" collapsed="false">
      <c r="A572" s="8" t="n">
        <f aca="false">A571+1</f>
        <v>46228</v>
      </c>
      <c r="B572" s="25" t="n">
        <f aca="false">YEAR(A572)</f>
        <v>2026</v>
      </c>
      <c r="C572" s="25" t="n">
        <f aca="false">MONTH(A572)</f>
        <v>7</v>
      </c>
      <c r="D572" s="0" t="str">
        <f aca="false">CHOOSE(C572,"Ene","Feb","Mar","Abr","May","Jun","Jul","Ago","Sep","Oct","Nov","Dic")</f>
        <v>Jul</v>
      </c>
      <c r="E572" s="0" t="str">
        <f aca="false">D572&amp;"-"&amp;RIGHT(B572,2)</f>
        <v>Jul-26</v>
      </c>
      <c r="F572" s="0" t="str">
        <f aca="false">"T"&amp;ROUNDUP(C572/3,0)</f>
        <v>T3</v>
      </c>
      <c r="G572" s="35" t="n">
        <f aca="false">DATE(B572,C572,1)</f>
        <v>46204</v>
      </c>
      <c r="H572" s="25" t="n">
        <f aca="false">IF(DAY(A572+1)=1,1,0)</f>
        <v>0</v>
      </c>
    </row>
    <row r="573" customFormat="false" ht="15" hidden="false" customHeight="false" outlineLevel="0" collapsed="false">
      <c r="A573" s="8" t="n">
        <f aca="false">A572+1</f>
        <v>46229</v>
      </c>
      <c r="B573" s="25" t="n">
        <f aca="false">YEAR(A573)</f>
        <v>2026</v>
      </c>
      <c r="C573" s="25" t="n">
        <f aca="false">MONTH(A573)</f>
        <v>7</v>
      </c>
      <c r="D573" s="0" t="str">
        <f aca="false">CHOOSE(C573,"Ene","Feb","Mar","Abr","May","Jun","Jul","Ago","Sep","Oct","Nov","Dic")</f>
        <v>Jul</v>
      </c>
      <c r="E573" s="0" t="str">
        <f aca="false">D573&amp;"-"&amp;RIGHT(B573,2)</f>
        <v>Jul-26</v>
      </c>
      <c r="F573" s="0" t="str">
        <f aca="false">"T"&amp;ROUNDUP(C573/3,0)</f>
        <v>T3</v>
      </c>
      <c r="G573" s="35" t="n">
        <f aca="false">DATE(B573,C573,1)</f>
        <v>46204</v>
      </c>
      <c r="H573" s="25" t="n">
        <f aca="false">IF(DAY(A573+1)=1,1,0)</f>
        <v>0</v>
      </c>
    </row>
    <row r="574" customFormat="false" ht="15" hidden="false" customHeight="false" outlineLevel="0" collapsed="false">
      <c r="A574" s="8" t="n">
        <f aca="false">A573+1</f>
        <v>46230</v>
      </c>
      <c r="B574" s="25" t="n">
        <f aca="false">YEAR(A574)</f>
        <v>2026</v>
      </c>
      <c r="C574" s="25" t="n">
        <f aca="false">MONTH(A574)</f>
        <v>7</v>
      </c>
      <c r="D574" s="0" t="str">
        <f aca="false">CHOOSE(C574,"Ene","Feb","Mar","Abr","May","Jun","Jul","Ago","Sep","Oct","Nov","Dic")</f>
        <v>Jul</v>
      </c>
      <c r="E574" s="0" t="str">
        <f aca="false">D574&amp;"-"&amp;RIGHT(B574,2)</f>
        <v>Jul-26</v>
      </c>
      <c r="F574" s="0" t="str">
        <f aca="false">"T"&amp;ROUNDUP(C574/3,0)</f>
        <v>T3</v>
      </c>
      <c r="G574" s="35" t="n">
        <f aca="false">DATE(B574,C574,1)</f>
        <v>46204</v>
      </c>
      <c r="H574" s="25" t="n">
        <f aca="false">IF(DAY(A574+1)=1,1,0)</f>
        <v>0</v>
      </c>
    </row>
    <row r="575" customFormat="false" ht="15" hidden="false" customHeight="false" outlineLevel="0" collapsed="false">
      <c r="A575" s="8" t="n">
        <f aca="false">A574+1</f>
        <v>46231</v>
      </c>
      <c r="B575" s="25" t="n">
        <f aca="false">YEAR(A575)</f>
        <v>2026</v>
      </c>
      <c r="C575" s="25" t="n">
        <f aca="false">MONTH(A575)</f>
        <v>7</v>
      </c>
      <c r="D575" s="0" t="str">
        <f aca="false">CHOOSE(C575,"Ene","Feb","Mar","Abr","May","Jun","Jul","Ago","Sep","Oct","Nov","Dic")</f>
        <v>Jul</v>
      </c>
      <c r="E575" s="0" t="str">
        <f aca="false">D575&amp;"-"&amp;RIGHT(B575,2)</f>
        <v>Jul-26</v>
      </c>
      <c r="F575" s="0" t="str">
        <f aca="false">"T"&amp;ROUNDUP(C575/3,0)</f>
        <v>T3</v>
      </c>
      <c r="G575" s="35" t="n">
        <f aca="false">DATE(B575,C575,1)</f>
        <v>46204</v>
      </c>
      <c r="H575" s="25" t="n">
        <f aca="false">IF(DAY(A575+1)=1,1,0)</f>
        <v>0</v>
      </c>
    </row>
    <row r="576" customFormat="false" ht="15" hidden="false" customHeight="false" outlineLevel="0" collapsed="false">
      <c r="A576" s="8" t="n">
        <f aca="false">A575+1</f>
        <v>46232</v>
      </c>
      <c r="B576" s="25" t="n">
        <f aca="false">YEAR(A576)</f>
        <v>2026</v>
      </c>
      <c r="C576" s="25" t="n">
        <f aca="false">MONTH(A576)</f>
        <v>7</v>
      </c>
      <c r="D576" s="0" t="str">
        <f aca="false">CHOOSE(C576,"Ene","Feb","Mar","Abr","May","Jun","Jul","Ago","Sep","Oct","Nov","Dic")</f>
        <v>Jul</v>
      </c>
      <c r="E576" s="0" t="str">
        <f aca="false">D576&amp;"-"&amp;RIGHT(B576,2)</f>
        <v>Jul-26</v>
      </c>
      <c r="F576" s="0" t="str">
        <f aca="false">"T"&amp;ROUNDUP(C576/3,0)</f>
        <v>T3</v>
      </c>
      <c r="G576" s="35" t="n">
        <f aca="false">DATE(B576,C576,1)</f>
        <v>46204</v>
      </c>
      <c r="H576" s="25" t="n">
        <f aca="false">IF(DAY(A576+1)=1,1,0)</f>
        <v>0</v>
      </c>
    </row>
    <row r="577" customFormat="false" ht="15" hidden="false" customHeight="false" outlineLevel="0" collapsed="false">
      <c r="A577" s="8" t="n">
        <f aca="false">A576+1</f>
        <v>46233</v>
      </c>
      <c r="B577" s="25" t="n">
        <f aca="false">YEAR(A577)</f>
        <v>2026</v>
      </c>
      <c r="C577" s="25" t="n">
        <f aca="false">MONTH(A577)</f>
        <v>7</v>
      </c>
      <c r="D577" s="0" t="str">
        <f aca="false">CHOOSE(C577,"Ene","Feb","Mar","Abr","May","Jun","Jul","Ago","Sep","Oct","Nov","Dic")</f>
        <v>Jul</v>
      </c>
      <c r="E577" s="0" t="str">
        <f aca="false">D577&amp;"-"&amp;RIGHT(B577,2)</f>
        <v>Jul-26</v>
      </c>
      <c r="F577" s="0" t="str">
        <f aca="false">"T"&amp;ROUNDUP(C577/3,0)</f>
        <v>T3</v>
      </c>
      <c r="G577" s="35" t="n">
        <f aca="false">DATE(B577,C577,1)</f>
        <v>46204</v>
      </c>
      <c r="H577" s="25" t="n">
        <f aca="false">IF(DAY(A577+1)=1,1,0)</f>
        <v>0</v>
      </c>
    </row>
    <row r="578" customFormat="false" ht="15" hidden="false" customHeight="false" outlineLevel="0" collapsed="false">
      <c r="A578" s="8" t="n">
        <f aca="false">A577+1</f>
        <v>46234</v>
      </c>
      <c r="B578" s="25" t="n">
        <f aca="false">YEAR(A578)</f>
        <v>2026</v>
      </c>
      <c r="C578" s="25" t="n">
        <f aca="false">MONTH(A578)</f>
        <v>7</v>
      </c>
      <c r="D578" s="0" t="str">
        <f aca="false">CHOOSE(C578,"Ene","Feb","Mar","Abr","May","Jun","Jul","Ago","Sep","Oct","Nov","Dic")</f>
        <v>Jul</v>
      </c>
      <c r="E578" s="0" t="str">
        <f aca="false">D578&amp;"-"&amp;RIGHT(B578,2)</f>
        <v>Jul-26</v>
      </c>
      <c r="F578" s="0" t="str">
        <f aca="false">"T"&amp;ROUNDUP(C578/3,0)</f>
        <v>T3</v>
      </c>
      <c r="G578" s="35" t="n">
        <f aca="false">DATE(B578,C578,1)</f>
        <v>46204</v>
      </c>
      <c r="H578" s="25" t="n">
        <f aca="false">IF(DAY(A578+1)=1,1,0)</f>
        <v>1</v>
      </c>
    </row>
    <row r="579" customFormat="false" ht="15" hidden="false" customHeight="false" outlineLevel="0" collapsed="false">
      <c r="A579" s="8" t="n">
        <f aca="false">A578+1</f>
        <v>46235</v>
      </c>
      <c r="B579" s="25" t="n">
        <f aca="false">YEAR(A579)</f>
        <v>2026</v>
      </c>
      <c r="C579" s="25" t="n">
        <f aca="false">MONTH(A579)</f>
        <v>8</v>
      </c>
      <c r="D579" s="0" t="str">
        <f aca="false">CHOOSE(C579,"Ene","Feb","Mar","Abr","May","Jun","Jul","Ago","Sep","Oct","Nov","Dic")</f>
        <v>Ago</v>
      </c>
      <c r="E579" s="0" t="str">
        <f aca="false">D579&amp;"-"&amp;RIGHT(B579,2)</f>
        <v>Ago-26</v>
      </c>
      <c r="F579" s="0" t="str">
        <f aca="false">"T"&amp;ROUNDUP(C579/3,0)</f>
        <v>T3</v>
      </c>
      <c r="G579" s="35" t="n">
        <f aca="false">DATE(B579,C579,1)</f>
        <v>46235</v>
      </c>
      <c r="H579" s="25" t="n">
        <f aca="false">IF(DAY(A579+1)=1,1,0)</f>
        <v>0</v>
      </c>
    </row>
    <row r="580" customFormat="false" ht="15" hidden="false" customHeight="false" outlineLevel="0" collapsed="false">
      <c r="A580" s="8" t="n">
        <f aca="false">A579+1</f>
        <v>46236</v>
      </c>
      <c r="B580" s="25" t="n">
        <f aca="false">YEAR(A580)</f>
        <v>2026</v>
      </c>
      <c r="C580" s="25" t="n">
        <f aca="false">MONTH(A580)</f>
        <v>8</v>
      </c>
      <c r="D580" s="0" t="str">
        <f aca="false">CHOOSE(C580,"Ene","Feb","Mar","Abr","May","Jun","Jul","Ago","Sep","Oct","Nov","Dic")</f>
        <v>Ago</v>
      </c>
      <c r="E580" s="0" t="str">
        <f aca="false">D580&amp;"-"&amp;RIGHT(B580,2)</f>
        <v>Ago-26</v>
      </c>
      <c r="F580" s="0" t="str">
        <f aca="false">"T"&amp;ROUNDUP(C580/3,0)</f>
        <v>T3</v>
      </c>
      <c r="G580" s="35" t="n">
        <f aca="false">DATE(B580,C580,1)</f>
        <v>46235</v>
      </c>
      <c r="H580" s="25" t="n">
        <f aca="false">IF(DAY(A580+1)=1,1,0)</f>
        <v>0</v>
      </c>
    </row>
    <row r="581" customFormat="false" ht="15" hidden="false" customHeight="false" outlineLevel="0" collapsed="false">
      <c r="A581" s="8" t="n">
        <f aca="false">A580+1</f>
        <v>46237</v>
      </c>
      <c r="B581" s="25" t="n">
        <f aca="false">YEAR(A581)</f>
        <v>2026</v>
      </c>
      <c r="C581" s="25" t="n">
        <f aca="false">MONTH(A581)</f>
        <v>8</v>
      </c>
      <c r="D581" s="0" t="str">
        <f aca="false">CHOOSE(C581,"Ene","Feb","Mar","Abr","May","Jun","Jul","Ago","Sep","Oct","Nov","Dic")</f>
        <v>Ago</v>
      </c>
      <c r="E581" s="0" t="str">
        <f aca="false">D581&amp;"-"&amp;RIGHT(B581,2)</f>
        <v>Ago-26</v>
      </c>
      <c r="F581" s="0" t="str">
        <f aca="false">"T"&amp;ROUNDUP(C581/3,0)</f>
        <v>T3</v>
      </c>
      <c r="G581" s="35" t="n">
        <f aca="false">DATE(B581,C581,1)</f>
        <v>46235</v>
      </c>
      <c r="H581" s="25" t="n">
        <f aca="false">IF(DAY(A581+1)=1,1,0)</f>
        <v>0</v>
      </c>
    </row>
    <row r="582" customFormat="false" ht="15" hidden="false" customHeight="false" outlineLevel="0" collapsed="false">
      <c r="A582" s="8" t="n">
        <f aca="false">A581+1</f>
        <v>46238</v>
      </c>
      <c r="B582" s="25" t="n">
        <f aca="false">YEAR(A582)</f>
        <v>2026</v>
      </c>
      <c r="C582" s="25" t="n">
        <f aca="false">MONTH(A582)</f>
        <v>8</v>
      </c>
      <c r="D582" s="0" t="str">
        <f aca="false">CHOOSE(C582,"Ene","Feb","Mar","Abr","May","Jun","Jul","Ago","Sep","Oct","Nov","Dic")</f>
        <v>Ago</v>
      </c>
      <c r="E582" s="0" t="str">
        <f aca="false">D582&amp;"-"&amp;RIGHT(B582,2)</f>
        <v>Ago-26</v>
      </c>
      <c r="F582" s="0" t="str">
        <f aca="false">"T"&amp;ROUNDUP(C582/3,0)</f>
        <v>T3</v>
      </c>
      <c r="G582" s="35" t="n">
        <f aca="false">DATE(B582,C582,1)</f>
        <v>46235</v>
      </c>
      <c r="H582" s="25" t="n">
        <f aca="false">IF(DAY(A582+1)=1,1,0)</f>
        <v>0</v>
      </c>
    </row>
    <row r="583" customFormat="false" ht="15" hidden="false" customHeight="false" outlineLevel="0" collapsed="false">
      <c r="A583" s="8" t="n">
        <f aca="false">A582+1</f>
        <v>46239</v>
      </c>
      <c r="B583" s="25" t="n">
        <f aca="false">YEAR(A583)</f>
        <v>2026</v>
      </c>
      <c r="C583" s="25" t="n">
        <f aca="false">MONTH(A583)</f>
        <v>8</v>
      </c>
      <c r="D583" s="0" t="str">
        <f aca="false">CHOOSE(C583,"Ene","Feb","Mar","Abr","May","Jun","Jul","Ago","Sep","Oct","Nov","Dic")</f>
        <v>Ago</v>
      </c>
      <c r="E583" s="0" t="str">
        <f aca="false">D583&amp;"-"&amp;RIGHT(B583,2)</f>
        <v>Ago-26</v>
      </c>
      <c r="F583" s="0" t="str">
        <f aca="false">"T"&amp;ROUNDUP(C583/3,0)</f>
        <v>T3</v>
      </c>
      <c r="G583" s="35" t="n">
        <f aca="false">DATE(B583,C583,1)</f>
        <v>46235</v>
      </c>
      <c r="H583" s="25" t="n">
        <f aca="false">IF(DAY(A583+1)=1,1,0)</f>
        <v>0</v>
      </c>
    </row>
    <row r="584" customFormat="false" ht="15" hidden="false" customHeight="false" outlineLevel="0" collapsed="false">
      <c r="A584" s="8" t="n">
        <f aca="false">A583+1</f>
        <v>46240</v>
      </c>
      <c r="B584" s="25" t="n">
        <f aca="false">YEAR(A584)</f>
        <v>2026</v>
      </c>
      <c r="C584" s="25" t="n">
        <f aca="false">MONTH(A584)</f>
        <v>8</v>
      </c>
      <c r="D584" s="0" t="str">
        <f aca="false">CHOOSE(C584,"Ene","Feb","Mar","Abr","May","Jun","Jul","Ago","Sep","Oct","Nov","Dic")</f>
        <v>Ago</v>
      </c>
      <c r="E584" s="0" t="str">
        <f aca="false">D584&amp;"-"&amp;RIGHT(B584,2)</f>
        <v>Ago-26</v>
      </c>
      <c r="F584" s="0" t="str">
        <f aca="false">"T"&amp;ROUNDUP(C584/3,0)</f>
        <v>T3</v>
      </c>
      <c r="G584" s="35" t="n">
        <f aca="false">DATE(B584,C584,1)</f>
        <v>46235</v>
      </c>
      <c r="H584" s="25" t="n">
        <f aca="false">IF(DAY(A584+1)=1,1,0)</f>
        <v>0</v>
      </c>
    </row>
    <row r="585" customFormat="false" ht="15" hidden="false" customHeight="false" outlineLevel="0" collapsed="false">
      <c r="A585" s="8" t="n">
        <f aca="false">A584+1</f>
        <v>46241</v>
      </c>
      <c r="B585" s="25" t="n">
        <f aca="false">YEAR(A585)</f>
        <v>2026</v>
      </c>
      <c r="C585" s="25" t="n">
        <f aca="false">MONTH(A585)</f>
        <v>8</v>
      </c>
      <c r="D585" s="0" t="str">
        <f aca="false">CHOOSE(C585,"Ene","Feb","Mar","Abr","May","Jun","Jul","Ago","Sep","Oct","Nov","Dic")</f>
        <v>Ago</v>
      </c>
      <c r="E585" s="0" t="str">
        <f aca="false">D585&amp;"-"&amp;RIGHT(B585,2)</f>
        <v>Ago-26</v>
      </c>
      <c r="F585" s="0" t="str">
        <f aca="false">"T"&amp;ROUNDUP(C585/3,0)</f>
        <v>T3</v>
      </c>
      <c r="G585" s="35" t="n">
        <f aca="false">DATE(B585,C585,1)</f>
        <v>46235</v>
      </c>
      <c r="H585" s="25" t="n">
        <f aca="false">IF(DAY(A585+1)=1,1,0)</f>
        <v>0</v>
      </c>
    </row>
    <row r="586" customFormat="false" ht="15" hidden="false" customHeight="false" outlineLevel="0" collapsed="false">
      <c r="A586" s="8" t="n">
        <f aca="false">A585+1</f>
        <v>46242</v>
      </c>
      <c r="B586" s="25" t="n">
        <f aca="false">YEAR(A586)</f>
        <v>2026</v>
      </c>
      <c r="C586" s="25" t="n">
        <f aca="false">MONTH(A586)</f>
        <v>8</v>
      </c>
      <c r="D586" s="0" t="str">
        <f aca="false">CHOOSE(C586,"Ene","Feb","Mar","Abr","May","Jun","Jul","Ago","Sep","Oct","Nov","Dic")</f>
        <v>Ago</v>
      </c>
      <c r="E586" s="0" t="str">
        <f aca="false">D586&amp;"-"&amp;RIGHT(B586,2)</f>
        <v>Ago-26</v>
      </c>
      <c r="F586" s="0" t="str">
        <f aca="false">"T"&amp;ROUNDUP(C586/3,0)</f>
        <v>T3</v>
      </c>
      <c r="G586" s="35" t="n">
        <f aca="false">DATE(B586,C586,1)</f>
        <v>46235</v>
      </c>
      <c r="H586" s="25" t="n">
        <f aca="false">IF(DAY(A586+1)=1,1,0)</f>
        <v>0</v>
      </c>
    </row>
    <row r="587" customFormat="false" ht="15" hidden="false" customHeight="false" outlineLevel="0" collapsed="false">
      <c r="A587" s="8" t="n">
        <f aca="false">A586+1</f>
        <v>46243</v>
      </c>
      <c r="B587" s="25" t="n">
        <f aca="false">YEAR(A587)</f>
        <v>2026</v>
      </c>
      <c r="C587" s="25" t="n">
        <f aca="false">MONTH(A587)</f>
        <v>8</v>
      </c>
      <c r="D587" s="0" t="str">
        <f aca="false">CHOOSE(C587,"Ene","Feb","Mar","Abr","May","Jun","Jul","Ago","Sep","Oct","Nov","Dic")</f>
        <v>Ago</v>
      </c>
      <c r="E587" s="0" t="str">
        <f aca="false">D587&amp;"-"&amp;RIGHT(B587,2)</f>
        <v>Ago-26</v>
      </c>
      <c r="F587" s="0" t="str">
        <f aca="false">"T"&amp;ROUNDUP(C587/3,0)</f>
        <v>T3</v>
      </c>
      <c r="G587" s="35" t="n">
        <f aca="false">DATE(B587,C587,1)</f>
        <v>46235</v>
      </c>
      <c r="H587" s="25" t="n">
        <f aca="false">IF(DAY(A587+1)=1,1,0)</f>
        <v>0</v>
      </c>
    </row>
    <row r="588" customFormat="false" ht="15" hidden="false" customHeight="false" outlineLevel="0" collapsed="false">
      <c r="A588" s="8" t="n">
        <f aca="false">A587+1</f>
        <v>46244</v>
      </c>
      <c r="B588" s="25" t="n">
        <f aca="false">YEAR(A588)</f>
        <v>2026</v>
      </c>
      <c r="C588" s="25" t="n">
        <f aca="false">MONTH(A588)</f>
        <v>8</v>
      </c>
      <c r="D588" s="0" t="str">
        <f aca="false">CHOOSE(C588,"Ene","Feb","Mar","Abr","May","Jun","Jul","Ago","Sep","Oct","Nov","Dic")</f>
        <v>Ago</v>
      </c>
      <c r="E588" s="0" t="str">
        <f aca="false">D588&amp;"-"&amp;RIGHT(B588,2)</f>
        <v>Ago-26</v>
      </c>
      <c r="F588" s="0" t="str">
        <f aca="false">"T"&amp;ROUNDUP(C588/3,0)</f>
        <v>T3</v>
      </c>
      <c r="G588" s="35" t="n">
        <f aca="false">DATE(B588,C588,1)</f>
        <v>46235</v>
      </c>
      <c r="H588" s="25" t="n">
        <f aca="false">IF(DAY(A588+1)=1,1,0)</f>
        <v>0</v>
      </c>
    </row>
    <row r="589" customFormat="false" ht="15" hidden="false" customHeight="false" outlineLevel="0" collapsed="false">
      <c r="A589" s="8" t="n">
        <f aca="false">A588+1</f>
        <v>46245</v>
      </c>
      <c r="B589" s="25" t="n">
        <f aca="false">YEAR(A589)</f>
        <v>2026</v>
      </c>
      <c r="C589" s="25" t="n">
        <f aca="false">MONTH(A589)</f>
        <v>8</v>
      </c>
      <c r="D589" s="0" t="str">
        <f aca="false">CHOOSE(C589,"Ene","Feb","Mar","Abr","May","Jun","Jul","Ago","Sep","Oct","Nov","Dic")</f>
        <v>Ago</v>
      </c>
      <c r="E589" s="0" t="str">
        <f aca="false">D589&amp;"-"&amp;RIGHT(B589,2)</f>
        <v>Ago-26</v>
      </c>
      <c r="F589" s="0" t="str">
        <f aca="false">"T"&amp;ROUNDUP(C589/3,0)</f>
        <v>T3</v>
      </c>
      <c r="G589" s="35" t="n">
        <f aca="false">DATE(B589,C589,1)</f>
        <v>46235</v>
      </c>
      <c r="H589" s="25" t="n">
        <f aca="false">IF(DAY(A589+1)=1,1,0)</f>
        <v>0</v>
      </c>
    </row>
    <row r="590" customFormat="false" ht="15" hidden="false" customHeight="false" outlineLevel="0" collapsed="false">
      <c r="A590" s="8" t="n">
        <f aca="false">A589+1</f>
        <v>46246</v>
      </c>
      <c r="B590" s="25" t="n">
        <f aca="false">YEAR(A590)</f>
        <v>2026</v>
      </c>
      <c r="C590" s="25" t="n">
        <f aca="false">MONTH(A590)</f>
        <v>8</v>
      </c>
      <c r="D590" s="0" t="str">
        <f aca="false">CHOOSE(C590,"Ene","Feb","Mar","Abr","May","Jun","Jul","Ago","Sep","Oct","Nov","Dic")</f>
        <v>Ago</v>
      </c>
      <c r="E590" s="0" t="str">
        <f aca="false">D590&amp;"-"&amp;RIGHT(B590,2)</f>
        <v>Ago-26</v>
      </c>
      <c r="F590" s="0" t="str">
        <f aca="false">"T"&amp;ROUNDUP(C590/3,0)</f>
        <v>T3</v>
      </c>
      <c r="G590" s="35" t="n">
        <f aca="false">DATE(B590,C590,1)</f>
        <v>46235</v>
      </c>
      <c r="H590" s="25" t="n">
        <f aca="false">IF(DAY(A590+1)=1,1,0)</f>
        <v>0</v>
      </c>
    </row>
    <row r="591" customFormat="false" ht="15" hidden="false" customHeight="false" outlineLevel="0" collapsed="false">
      <c r="A591" s="8" t="n">
        <f aca="false">A590+1</f>
        <v>46247</v>
      </c>
      <c r="B591" s="25" t="n">
        <f aca="false">YEAR(A591)</f>
        <v>2026</v>
      </c>
      <c r="C591" s="25" t="n">
        <f aca="false">MONTH(A591)</f>
        <v>8</v>
      </c>
      <c r="D591" s="0" t="str">
        <f aca="false">CHOOSE(C591,"Ene","Feb","Mar","Abr","May","Jun","Jul","Ago","Sep","Oct","Nov","Dic")</f>
        <v>Ago</v>
      </c>
      <c r="E591" s="0" t="str">
        <f aca="false">D591&amp;"-"&amp;RIGHT(B591,2)</f>
        <v>Ago-26</v>
      </c>
      <c r="F591" s="0" t="str">
        <f aca="false">"T"&amp;ROUNDUP(C591/3,0)</f>
        <v>T3</v>
      </c>
      <c r="G591" s="35" t="n">
        <f aca="false">DATE(B591,C591,1)</f>
        <v>46235</v>
      </c>
      <c r="H591" s="25" t="n">
        <f aca="false">IF(DAY(A591+1)=1,1,0)</f>
        <v>0</v>
      </c>
    </row>
    <row r="592" customFormat="false" ht="15" hidden="false" customHeight="false" outlineLevel="0" collapsed="false">
      <c r="A592" s="8" t="n">
        <f aca="false">A591+1</f>
        <v>46248</v>
      </c>
      <c r="B592" s="25" t="n">
        <f aca="false">YEAR(A592)</f>
        <v>2026</v>
      </c>
      <c r="C592" s="25" t="n">
        <f aca="false">MONTH(A592)</f>
        <v>8</v>
      </c>
      <c r="D592" s="0" t="str">
        <f aca="false">CHOOSE(C592,"Ene","Feb","Mar","Abr","May","Jun","Jul","Ago","Sep","Oct","Nov","Dic")</f>
        <v>Ago</v>
      </c>
      <c r="E592" s="0" t="str">
        <f aca="false">D592&amp;"-"&amp;RIGHT(B592,2)</f>
        <v>Ago-26</v>
      </c>
      <c r="F592" s="0" t="str">
        <f aca="false">"T"&amp;ROUNDUP(C592/3,0)</f>
        <v>T3</v>
      </c>
      <c r="G592" s="35" t="n">
        <f aca="false">DATE(B592,C592,1)</f>
        <v>46235</v>
      </c>
      <c r="H592" s="25" t="n">
        <f aca="false">IF(DAY(A592+1)=1,1,0)</f>
        <v>0</v>
      </c>
    </row>
    <row r="593" customFormat="false" ht="15" hidden="false" customHeight="false" outlineLevel="0" collapsed="false">
      <c r="A593" s="8" t="n">
        <f aca="false">A592+1</f>
        <v>46249</v>
      </c>
      <c r="B593" s="25" t="n">
        <f aca="false">YEAR(A593)</f>
        <v>2026</v>
      </c>
      <c r="C593" s="25" t="n">
        <f aca="false">MONTH(A593)</f>
        <v>8</v>
      </c>
      <c r="D593" s="0" t="str">
        <f aca="false">CHOOSE(C593,"Ene","Feb","Mar","Abr","May","Jun","Jul","Ago","Sep","Oct","Nov","Dic")</f>
        <v>Ago</v>
      </c>
      <c r="E593" s="0" t="str">
        <f aca="false">D593&amp;"-"&amp;RIGHT(B593,2)</f>
        <v>Ago-26</v>
      </c>
      <c r="F593" s="0" t="str">
        <f aca="false">"T"&amp;ROUNDUP(C593/3,0)</f>
        <v>T3</v>
      </c>
      <c r="G593" s="35" t="n">
        <f aca="false">DATE(B593,C593,1)</f>
        <v>46235</v>
      </c>
      <c r="H593" s="25" t="n">
        <f aca="false">IF(DAY(A593+1)=1,1,0)</f>
        <v>0</v>
      </c>
    </row>
    <row r="594" customFormat="false" ht="15" hidden="false" customHeight="false" outlineLevel="0" collapsed="false">
      <c r="A594" s="8" t="n">
        <f aca="false">A593+1</f>
        <v>46250</v>
      </c>
      <c r="B594" s="25" t="n">
        <f aca="false">YEAR(A594)</f>
        <v>2026</v>
      </c>
      <c r="C594" s="25" t="n">
        <f aca="false">MONTH(A594)</f>
        <v>8</v>
      </c>
      <c r="D594" s="0" t="str">
        <f aca="false">CHOOSE(C594,"Ene","Feb","Mar","Abr","May","Jun","Jul","Ago","Sep","Oct","Nov","Dic")</f>
        <v>Ago</v>
      </c>
      <c r="E594" s="0" t="str">
        <f aca="false">D594&amp;"-"&amp;RIGHT(B594,2)</f>
        <v>Ago-26</v>
      </c>
      <c r="F594" s="0" t="str">
        <f aca="false">"T"&amp;ROUNDUP(C594/3,0)</f>
        <v>T3</v>
      </c>
      <c r="G594" s="35" t="n">
        <f aca="false">DATE(B594,C594,1)</f>
        <v>46235</v>
      </c>
      <c r="H594" s="25" t="n">
        <f aca="false">IF(DAY(A594+1)=1,1,0)</f>
        <v>0</v>
      </c>
    </row>
    <row r="595" customFormat="false" ht="15" hidden="false" customHeight="false" outlineLevel="0" collapsed="false">
      <c r="A595" s="8" t="n">
        <f aca="false">A594+1</f>
        <v>46251</v>
      </c>
      <c r="B595" s="25" t="n">
        <f aca="false">YEAR(A595)</f>
        <v>2026</v>
      </c>
      <c r="C595" s="25" t="n">
        <f aca="false">MONTH(A595)</f>
        <v>8</v>
      </c>
      <c r="D595" s="0" t="str">
        <f aca="false">CHOOSE(C595,"Ene","Feb","Mar","Abr","May","Jun","Jul","Ago","Sep","Oct","Nov","Dic")</f>
        <v>Ago</v>
      </c>
      <c r="E595" s="0" t="str">
        <f aca="false">D595&amp;"-"&amp;RIGHT(B595,2)</f>
        <v>Ago-26</v>
      </c>
      <c r="F595" s="0" t="str">
        <f aca="false">"T"&amp;ROUNDUP(C595/3,0)</f>
        <v>T3</v>
      </c>
      <c r="G595" s="35" t="n">
        <f aca="false">DATE(B595,C595,1)</f>
        <v>46235</v>
      </c>
      <c r="H595" s="25" t="n">
        <f aca="false">IF(DAY(A595+1)=1,1,0)</f>
        <v>0</v>
      </c>
    </row>
    <row r="596" customFormat="false" ht="15" hidden="false" customHeight="false" outlineLevel="0" collapsed="false">
      <c r="A596" s="8" t="n">
        <f aca="false">A595+1</f>
        <v>46252</v>
      </c>
      <c r="B596" s="25" t="n">
        <f aca="false">YEAR(A596)</f>
        <v>2026</v>
      </c>
      <c r="C596" s="25" t="n">
        <f aca="false">MONTH(A596)</f>
        <v>8</v>
      </c>
      <c r="D596" s="0" t="str">
        <f aca="false">CHOOSE(C596,"Ene","Feb","Mar","Abr","May","Jun","Jul","Ago","Sep","Oct","Nov","Dic")</f>
        <v>Ago</v>
      </c>
      <c r="E596" s="0" t="str">
        <f aca="false">D596&amp;"-"&amp;RIGHT(B596,2)</f>
        <v>Ago-26</v>
      </c>
      <c r="F596" s="0" t="str">
        <f aca="false">"T"&amp;ROUNDUP(C596/3,0)</f>
        <v>T3</v>
      </c>
      <c r="G596" s="35" t="n">
        <f aca="false">DATE(B596,C596,1)</f>
        <v>46235</v>
      </c>
      <c r="H596" s="25" t="n">
        <f aca="false">IF(DAY(A596+1)=1,1,0)</f>
        <v>0</v>
      </c>
    </row>
    <row r="597" customFormat="false" ht="15" hidden="false" customHeight="false" outlineLevel="0" collapsed="false">
      <c r="A597" s="8" t="n">
        <f aca="false">A596+1</f>
        <v>46253</v>
      </c>
      <c r="B597" s="25" t="n">
        <f aca="false">YEAR(A597)</f>
        <v>2026</v>
      </c>
      <c r="C597" s="25" t="n">
        <f aca="false">MONTH(A597)</f>
        <v>8</v>
      </c>
      <c r="D597" s="0" t="str">
        <f aca="false">CHOOSE(C597,"Ene","Feb","Mar","Abr","May","Jun","Jul","Ago","Sep","Oct","Nov","Dic")</f>
        <v>Ago</v>
      </c>
      <c r="E597" s="0" t="str">
        <f aca="false">D597&amp;"-"&amp;RIGHT(B597,2)</f>
        <v>Ago-26</v>
      </c>
      <c r="F597" s="0" t="str">
        <f aca="false">"T"&amp;ROUNDUP(C597/3,0)</f>
        <v>T3</v>
      </c>
      <c r="G597" s="35" t="n">
        <f aca="false">DATE(B597,C597,1)</f>
        <v>46235</v>
      </c>
      <c r="H597" s="25" t="n">
        <f aca="false">IF(DAY(A597+1)=1,1,0)</f>
        <v>0</v>
      </c>
    </row>
    <row r="598" customFormat="false" ht="15" hidden="false" customHeight="false" outlineLevel="0" collapsed="false">
      <c r="A598" s="8" t="n">
        <f aca="false">A597+1</f>
        <v>46254</v>
      </c>
      <c r="B598" s="25" t="n">
        <f aca="false">YEAR(A598)</f>
        <v>2026</v>
      </c>
      <c r="C598" s="25" t="n">
        <f aca="false">MONTH(A598)</f>
        <v>8</v>
      </c>
      <c r="D598" s="0" t="str">
        <f aca="false">CHOOSE(C598,"Ene","Feb","Mar","Abr","May","Jun","Jul","Ago","Sep","Oct","Nov","Dic")</f>
        <v>Ago</v>
      </c>
      <c r="E598" s="0" t="str">
        <f aca="false">D598&amp;"-"&amp;RIGHT(B598,2)</f>
        <v>Ago-26</v>
      </c>
      <c r="F598" s="0" t="str">
        <f aca="false">"T"&amp;ROUNDUP(C598/3,0)</f>
        <v>T3</v>
      </c>
      <c r="G598" s="35" t="n">
        <f aca="false">DATE(B598,C598,1)</f>
        <v>46235</v>
      </c>
      <c r="H598" s="25" t="n">
        <f aca="false">IF(DAY(A598+1)=1,1,0)</f>
        <v>0</v>
      </c>
    </row>
    <row r="599" customFormat="false" ht="15" hidden="false" customHeight="false" outlineLevel="0" collapsed="false">
      <c r="A599" s="8" t="n">
        <f aca="false">A598+1</f>
        <v>46255</v>
      </c>
      <c r="B599" s="25" t="n">
        <f aca="false">YEAR(A599)</f>
        <v>2026</v>
      </c>
      <c r="C599" s="25" t="n">
        <f aca="false">MONTH(A599)</f>
        <v>8</v>
      </c>
      <c r="D599" s="0" t="str">
        <f aca="false">CHOOSE(C599,"Ene","Feb","Mar","Abr","May","Jun","Jul","Ago","Sep","Oct","Nov","Dic")</f>
        <v>Ago</v>
      </c>
      <c r="E599" s="0" t="str">
        <f aca="false">D599&amp;"-"&amp;RIGHT(B599,2)</f>
        <v>Ago-26</v>
      </c>
      <c r="F599" s="0" t="str">
        <f aca="false">"T"&amp;ROUNDUP(C599/3,0)</f>
        <v>T3</v>
      </c>
      <c r="G599" s="35" t="n">
        <f aca="false">DATE(B599,C599,1)</f>
        <v>46235</v>
      </c>
      <c r="H599" s="25" t="n">
        <f aca="false">IF(DAY(A599+1)=1,1,0)</f>
        <v>0</v>
      </c>
    </row>
    <row r="600" customFormat="false" ht="15" hidden="false" customHeight="false" outlineLevel="0" collapsed="false">
      <c r="A600" s="8" t="n">
        <f aca="false">A599+1</f>
        <v>46256</v>
      </c>
      <c r="B600" s="25" t="n">
        <f aca="false">YEAR(A600)</f>
        <v>2026</v>
      </c>
      <c r="C600" s="25" t="n">
        <f aca="false">MONTH(A600)</f>
        <v>8</v>
      </c>
      <c r="D600" s="0" t="str">
        <f aca="false">CHOOSE(C600,"Ene","Feb","Mar","Abr","May","Jun","Jul","Ago","Sep","Oct","Nov","Dic")</f>
        <v>Ago</v>
      </c>
      <c r="E600" s="0" t="str">
        <f aca="false">D600&amp;"-"&amp;RIGHT(B600,2)</f>
        <v>Ago-26</v>
      </c>
      <c r="F600" s="0" t="str">
        <f aca="false">"T"&amp;ROUNDUP(C600/3,0)</f>
        <v>T3</v>
      </c>
      <c r="G600" s="35" t="n">
        <f aca="false">DATE(B600,C600,1)</f>
        <v>46235</v>
      </c>
      <c r="H600" s="25" t="n">
        <f aca="false">IF(DAY(A600+1)=1,1,0)</f>
        <v>0</v>
      </c>
    </row>
    <row r="601" customFormat="false" ht="15" hidden="false" customHeight="false" outlineLevel="0" collapsed="false">
      <c r="A601" s="8" t="n">
        <f aca="false">A600+1</f>
        <v>46257</v>
      </c>
      <c r="B601" s="25" t="n">
        <f aca="false">YEAR(A601)</f>
        <v>2026</v>
      </c>
      <c r="C601" s="25" t="n">
        <f aca="false">MONTH(A601)</f>
        <v>8</v>
      </c>
      <c r="D601" s="0" t="str">
        <f aca="false">CHOOSE(C601,"Ene","Feb","Mar","Abr","May","Jun","Jul","Ago","Sep","Oct","Nov","Dic")</f>
        <v>Ago</v>
      </c>
      <c r="E601" s="0" t="str">
        <f aca="false">D601&amp;"-"&amp;RIGHT(B601,2)</f>
        <v>Ago-26</v>
      </c>
      <c r="F601" s="0" t="str">
        <f aca="false">"T"&amp;ROUNDUP(C601/3,0)</f>
        <v>T3</v>
      </c>
      <c r="G601" s="35" t="n">
        <f aca="false">DATE(B601,C601,1)</f>
        <v>46235</v>
      </c>
      <c r="H601" s="25" t="n">
        <f aca="false">IF(DAY(A601+1)=1,1,0)</f>
        <v>0</v>
      </c>
    </row>
    <row r="602" customFormat="false" ht="15" hidden="false" customHeight="false" outlineLevel="0" collapsed="false">
      <c r="A602" s="8" t="n">
        <f aca="false">A601+1</f>
        <v>46258</v>
      </c>
      <c r="B602" s="25" t="n">
        <f aca="false">YEAR(A602)</f>
        <v>2026</v>
      </c>
      <c r="C602" s="25" t="n">
        <f aca="false">MONTH(A602)</f>
        <v>8</v>
      </c>
      <c r="D602" s="0" t="str">
        <f aca="false">CHOOSE(C602,"Ene","Feb","Mar","Abr","May","Jun","Jul","Ago","Sep","Oct","Nov","Dic")</f>
        <v>Ago</v>
      </c>
      <c r="E602" s="0" t="str">
        <f aca="false">D602&amp;"-"&amp;RIGHT(B602,2)</f>
        <v>Ago-26</v>
      </c>
      <c r="F602" s="0" t="str">
        <f aca="false">"T"&amp;ROUNDUP(C602/3,0)</f>
        <v>T3</v>
      </c>
      <c r="G602" s="35" t="n">
        <f aca="false">DATE(B602,C602,1)</f>
        <v>46235</v>
      </c>
      <c r="H602" s="25" t="n">
        <f aca="false">IF(DAY(A602+1)=1,1,0)</f>
        <v>0</v>
      </c>
    </row>
    <row r="603" customFormat="false" ht="15" hidden="false" customHeight="false" outlineLevel="0" collapsed="false">
      <c r="A603" s="8" t="n">
        <f aca="false">A602+1</f>
        <v>46259</v>
      </c>
      <c r="B603" s="25" t="n">
        <f aca="false">YEAR(A603)</f>
        <v>2026</v>
      </c>
      <c r="C603" s="25" t="n">
        <f aca="false">MONTH(A603)</f>
        <v>8</v>
      </c>
      <c r="D603" s="0" t="str">
        <f aca="false">CHOOSE(C603,"Ene","Feb","Mar","Abr","May","Jun","Jul","Ago","Sep","Oct","Nov","Dic")</f>
        <v>Ago</v>
      </c>
      <c r="E603" s="0" t="str">
        <f aca="false">D603&amp;"-"&amp;RIGHT(B603,2)</f>
        <v>Ago-26</v>
      </c>
      <c r="F603" s="0" t="str">
        <f aca="false">"T"&amp;ROUNDUP(C603/3,0)</f>
        <v>T3</v>
      </c>
      <c r="G603" s="35" t="n">
        <f aca="false">DATE(B603,C603,1)</f>
        <v>46235</v>
      </c>
      <c r="H603" s="25" t="n">
        <f aca="false">IF(DAY(A603+1)=1,1,0)</f>
        <v>0</v>
      </c>
    </row>
    <row r="604" customFormat="false" ht="15" hidden="false" customHeight="false" outlineLevel="0" collapsed="false">
      <c r="A604" s="8" t="n">
        <f aca="false">A603+1</f>
        <v>46260</v>
      </c>
      <c r="B604" s="25" t="n">
        <f aca="false">YEAR(A604)</f>
        <v>2026</v>
      </c>
      <c r="C604" s="25" t="n">
        <f aca="false">MONTH(A604)</f>
        <v>8</v>
      </c>
      <c r="D604" s="0" t="str">
        <f aca="false">CHOOSE(C604,"Ene","Feb","Mar","Abr","May","Jun","Jul","Ago","Sep","Oct","Nov","Dic")</f>
        <v>Ago</v>
      </c>
      <c r="E604" s="0" t="str">
        <f aca="false">D604&amp;"-"&amp;RIGHT(B604,2)</f>
        <v>Ago-26</v>
      </c>
      <c r="F604" s="0" t="str">
        <f aca="false">"T"&amp;ROUNDUP(C604/3,0)</f>
        <v>T3</v>
      </c>
      <c r="G604" s="35" t="n">
        <f aca="false">DATE(B604,C604,1)</f>
        <v>46235</v>
      </c>
      <c r="H604" s="25" t="n">
        <f aca="false">IF(DAY(A604+1)=1,1,0)</f>
        <v>0</v>
      </c>
    </row>
    <row r="605" customFormat="false" ht="15" hidden="false" customHeight="false" outlineLevel="0" collapsed="false">
      <c r="A605" s="8" t="n">
        <f aca="false">A604+1</f>
        <v>46261</v>
      </c>
      <c r="B605" s="25" t="n">
        <f aca="false">YEAR(A605)</f>
        <v>2026</v>
      </c>
      <c r="C605" s="25" t="n">
        <f aca="false">MONTH(A605)</f>
        <v>8</v>
      </c>
      <c r="D605" s="0" t="str">
        <f aca="false">CHOOSE(C605,"Ene","Feb","Mar","Abr","May","Jun","Jul","Ago","Sep","Oct","Nov","Dic")</f>
        <v>Ago</v>
      </c>
      <c r="E605" s="0" t="str">
        <f aca="false">D605&amp;"-"&amp;RIGHT(B605,2)</f>
        <v>Ago-26</v>
      </c>
      <c r="F605" s="0" t="str">
        <f aca="false">"T"&amp;ROUNDUP(C605/3,0)</f>
        <v>T3</v>
      </c>
      <c r="G605" s="35" t="n">
        <f aca="false">DATE(B605,C605,1)</f>
        <v>46235</v>
      </c>
      <c r="H605" s="25" t="n">
        <f aca="false">IF(DAY(A605+1)=1,1,0)</f>
        <v>0</v>
      </c>
    </row>
    <row r="606" customFormat="false" ht="15" hidden="false" customHeight="false" outlineLevel="0" collapsed="false">
      <c r="A606" s="8" t="n">
        <f aca="false">A605+1</f>
        <v>46262</v>
      </c>
      <c r="B606" s="25" t="n">
        <f aca="false">YEAR(A606)</f>
        <v>2026</v>
      </c>
      <c r="C606" s="25" t="n">
        <f aca="false">MONTH(A606)</f>
        <v>8</v>
      </c>
      <c r="D606" s="0" t="str">
        <f aca="false">CHOOSE(C606,"Ene","Feb","Mar","Abr","May","Jun","Jul","Ago","Sep","Oct","Nov","Dic")</f>
        <v>Ago</v>
      </c>
      <c r="E606" s="0" t="str">
        <f aca="false">D606&amp;"-"&amp;RIGHT(B606,2)</f>
        <v>Ago-26</v>
      </c>
      <c r="F606" s="0" t="str">
        <f aca="false">"T"&amp;ROUNDUP(C606/3,0)</f>
        <v>T3</v>
      </c>
      <c r="G606" s="35" t="n">
        <f aca="false">DATE(B606,C606,1)</f>
        <v>46235</v>
      </c>
      <c r="H606" s="25" t="n">
        <f aca="false">IF(DAY(A606+1)=1,1,0)</f>
        <v>0</v>
      </c>
    </row>
    <row r="607" customFormat="false" ht="15" hidden="false" customHeight="false" outlineLevel="0" collapsed="false">
      <c r="A607" s="8" t="n">
        <f aca="false">A606+1</f>
        <v>46263</v>
      </c>
      <c r="B607" s="25" t="n">
        <f aca="false">YEAR(A607)</f>
        <v>2026</v>
      </c>
      <c r="C607" s="25" t="n">
        <f aca="false">MONTH(A607)</f>
        <v>8</v>
      </c>
      <c r="D607" s="0" t="str">
        <f aca="false">CHOOSE(C607,"Ene","Feb","Mar","Abr","May","Jun","Jul","Ago","Sep","Oct","Nov","Dic")</f>
        <v>Ago</v>
      </c>
      <c r="E607" s="0" t="str">
        <f aca="false">D607&amp;"-"&amp;RIGHT(B607,2)</f>
        <v>Ago-26</v>
      </c>
      <c r="F607" s="0" t="str">
        <f aca="false">"T"&amp;ROUNDUP(C607/3,0)</f>
        <v>T3</v>
      </c>
      <c r="G607" s="35" t="n">
        <f aca="false">DATE(B607,C607,1)</f>
        <v>46235</v>
      </c>
      <c r="H607" s="25" t="n">
        <f aca="false">IF(DAY(A607+1)=1,1,0)</f>
        <v>0</v>
      </c>
    </row>
    <row r="608" customFormat="false" ht="15" hidden="false" customHeight="false" outlineLevel="0" collapsed="false">
      <c r="A608" s="8" t="n">
        <f aca="false">A607+1</f>
        <v>46264</v>
      </c>
      <c r="B608" s="25" t="n">
        <f aca="false">YEAR(A608)</f>
        <v>2026</v>
      </c>
      <c r="C608" s="25" t="n">
        <f aca="false">MONTH(A608)</f>
        <v>8</v>
      </c>
      <c r="D608" s="0" t="str">
        <f aca="false">CHOOSE(C608,"Ene","Feb","Mar","Abr","May","Jun","Jul","Ago","Sep","Oct","Nov","Dic")</f>
        <v>Ago</v>
      </c>
      <c r="E608" s="0" t="str">
        <f aca="false">D608&amp;"-"&amp;RIGHT(B608,2)</f>
        <v>Ago-26</v>
      </c>
      <c r="F608" s="0" t="str">
        <f aca="false">"T"&amp;ROUNDUP(C608/3,0)</f>
        <v>T3</v>
      </c>
      <c r="G608" s="35" t="n">
        <f aca="false">DATE(B608,C608,1)</f>
        <v>46235</v>
      </c>
      <c r="H608" s="25" t="n">
        <f aca="false">IF(DAY(A608+1)=1,1,0)</f>
        <v>0</v>
      </c>
    </row>
    <row r="609" customFormat="false" ht="15" hidden="false" customHeight="false" outlineLevel="0" collapsed="false">
      <c r="A609" s="8" t="n">
        <f aca="false">A608+1</f>
        <v>46265</v>
      </c>
      <c r="B609" s="25" t="n">
        <f aca="false">YEAR(A609)</f>
        <v>2026</v>
      </c>
      <c r="C609" s="25" t="n">
        <f aca="false">MONTH(A609)</f>
        <v>8</v>
      </c>
      <c r="D609" s="0" t="str">
        <f aca="false">CHOOSE(C609,"Ene","Feb","Mar","Abr","May","Jun","Jul","Ago","Sep","Oct","Nov","Dic")</f>
        <v>Ago</v>
      </c>
      <c r="E609" s="0" t="str">
        <f aca="false">D609&amp;"-"&amp;RIGHT(B609,2)</f>
        <v>Ago-26</v>
      </c>
      <c r="F609" s="0" t="str">
        <f aca="false">"T"&amp;ROUNDUP(C609/3,0)</f>
        <v>T3</v>
      </c>
      <c r="G609" s="35" t="n">
        <f aca="false">DATE(B609,C609,1)</f>
        <v>46235</v>
      </c>
      <c r="H609" s="25" t="n">
        <f aca="false">IF(DAY(A609+1)=1,1,0)</f>
        <v>1</v>
      </c>
    </row>
    <row r="610" customFormat="false" ht="15" hidden="false" customHeight="false" outlineLevel="0" collapsed="false">
      <c r="A610" s="8" t="n">
        <f aca="false">A609+1</f>
        <v>46266</v>
      </c>
      <c r="B610" s="25" t="n">
        <f aca="false">YEAR(A610)</f>
        <v>2026</v>
      </c>
      <c r="C610" s="25" t="n">
        <f aca="false">MONTH(A610)</f>
        <v>9</v>
      </c>
      <c r="D610" s="0" t="str">
        <f aca="false">CHOOSE(C610,"Ene","Feb","Mar","Abr","May","Jun","Jul","Ago","Sep","Oct","Nov","Dic")</f>
        <v>Sep</v>
      </c>
      <c r="E610" s="0" t="str">
        <f aca="false">D610&amp;"-"&amp;RIGHT(B610,2)</f>
        <v>Sep-26</v>
      </c>
      <c r="F610" s="0" t="str">
        <f aca="false">"T"&amp;ROUNDUP(C610/3,0)</f>
        <v>T3</v>
      </c>
      <c r="G610" s="35" t="n">
        <f aca="false">DATE(B610,C610,1)</f>
        <v>46266</v>
      </c>
      <c r="H610" s="25" t="n">
        <f aca="false">IF(DAY(A610+1)=1,1,0)</f>
        <v>0</v>
      </c>
    </row>
    <row r="611" customFormat="false" ht="15" hidden="false" customHeight="false" outlineLevel="0" collapsed="false">
      <c r="A611" s="8" t="n">
        <f aca="false">A610+1</f>
        <v>46267</v>
      </c>
      <c r="B611" s="25" t="n">
        <f aca="false">YEAR(A611)</f>
        <v>2026</v>
      </c>
      <c r="C611" s="25" t="n">
        <f aca="false">MONTH(A611)</f>
        <v>9</v>
      </c>
      <c r="D611" s="0" t="str">
        <f aca="false">CHOOSE(C611,"Ene","Feb","Mar","Abr","May","Jun","Jul","Ago","Sep","Oct","Nov","Dic")</f>
        <v>Sep</v>
      </c>
      <c r="E611" s="0" t="str">
        <f aca="false">D611&amp;"-"&amp;RIGHT(B611,2)</f>
        <v>Sep-26</v>
      </c>
      <c r="F611" s="0" t="str">
        <f aca="false">"T"&amp;ROUNDUP(C611/3,0)</f>
        <v>T3</v>
      </c>
      <c r="G611" s="35" t="n">
        <f aca="false">DATE(B611,C611,1)</f>
        <v>46266</v>
      </c>
      <c r="H611" s="25" t="n">
        <f aca="false">IF(DAY(A611+1)=1,1,0)</f>
        <v>0</v>
      </c>
    </row>
    <row r="612" customFormat="false" ht="15" hidden="false" customHeight="false" outlineLevel="0" collapsed="false">
      <c r="A612" s="8" t="n">
        <f aca="false">A611+1</f>
        <v>46268</v>
      </c>
      <c r="B612" s="25" t="n">
        <f aca="false">YEAR(A612)</f>
        <v>2026</v>
      </c>
      <c r="C612" s="25" t="n">
        <f aca="false">MONTH(A612)</f>
        <v>9</v>
      </c>
      <c r="D612" s="0" t="str">
        <f aca="false">CHOOSE(C612,"Ene","Feb","Mar","Abr","May","Jun","Jul","Ago","Sep","Oct","Nov","Dic")</f>
        <v>Sep</v>
      </c>
      <c r="E612" s="0" t="str">
        <f aca="false">D612&amp;"-"&amp;RIGHT(B612,2)</f>
        <v>Sep-26</v>
      </c>
      <c r="F612" s="0" t="str">
        <f aca="false">"T"&amp;ROUNDUP(C612/3,0)</f>
        <v>T3</v>
      </c>
      <c r="G612" s="35" t="n">
        <f aca="false">DATE(B612,C612,1)</f>
        <v>46266</v>
      </c>
      <c r="H612" s="25" t="n">
        <f aca="false">IF(DAY(A612+1)=1,1,0)</f>
        <v>0</v>
      </c>
    </row>
    <row r="613" customFormat="false" ht="15" hidden="false" customHeight="false" outlineLevel="0" collapsed="false">
      <c r="A613" s="8" t="n">
        <f aca="false">A612+1</f>
        <v>46269</v>
      </c>
      <c r="B613" s="25" t="n">
        <f aca="false">YEAR(A613)</f>
        <v>2026</v>
      </c>
      <c r="C613" s="25" t="n">
        <f aca="false">MONTH(A613)</f>
        <v>9</v>
      </c>
      <c r="D613" s="0" t="str">
        <f aca="false">CHOOSE(C613,"Ene","Feb","Mar","Abr","May","Jun","Jul","Ago","Sep","Oct","Nov","Dic")</f>
        <v>Sep</v>
      </c>
      <c r="E613" s="0" t="str">
        <f aca="false">D613&amp;"-"&amp;RIGHT(B613,2)</f>
        <v>Sep-26</v>
      </c>
      <c r="F613" s="0" t="str">
        <f aca="false">"T"&amp;ROUNDUP(C613/3,0)</f>
        <v>T3</v>
      </c>
      <c r="G613" s="35" t="n">
        <f aca="false">DATE(B613,C613,1)</f>
        <v>46266</v>
      </c>
      <c r="H613" s="25" t="n">
        <f aca="false">IF(DAY(A613+1)=1,1,0)</f>
        <v>0</v>
      </c>
    </row>
    <row r="614" customFormat="false" ht="15" hidden="false" customHeight="false" outlineLevel="0" collapsed="false">
      <c r="A614" s="8" t="n">
        <f aca="false">A613+1</f>
        <v>46270</v>
      </c>
      <c r="B614" s="25" t="n">
        <f aca="false">YEAR(A614)</f>
        <v>2026</v>
      </c>
      <c r="C614" s="25" t="n">
        <f aca="false">MONTH(A614)</f>
        <v>9</v>
      </c>
      <c r="D614" s="0" t="str">
        <f aca="false">CHOOSE(C614,"Ene","Feb","Mar","Abr","May","Jun","Jul","Ago","Sep","Oct","Nov","Dic")</f>
        <v>Sep</v>
      </c>
      <c r="E614" s="0" t="str">
        <f aca="false">D614&amp;"-"&amp;RIGHT(B614,2)</f>
        <v>Sep-26</v>
      </c>
      <c r="F614" s="0" t="str">
        <f aca="false">"T"&amp;ROUNDUP(C614/3,0)</f>
        <v>T3</v>
      </c>
      <c r="G614" s="35" t="n">
        <f aca="false">DATE(B614,C614,1)</f>
        <v>46266</v>
      </c>
      <c r="H614" s="25" t="n">
        <f aca="false">IF(DAY(A614+1)=1,1,0)</f>
        <v>0</v>
      </c>
    </row>
    <row r="615" customFormat="false" ht="15" hidden="false" customHeight="false" outlineLevel="0" collapsed="false">
      <c r="A615" s="8" t="n">
        <f aca="false">A614+1</f>
        <v>46271</v>
      </c>
      <c r="B615" s="25" t="n">
        <f aca="false">YEAR(A615)</f>
        <v>2026</v>
      </c>
      <c r="C615" s="25" t="n">
        <f aca="false">MONTH(A615)</f>
        <v>9</v>
      </c>
      <c r="D615" s="0" t="str">
        <f aca="false">CHOOSE(C615,"Ene","Feb","Mar","Abr","May","Jun","Jul","Ago","Sep","Oct","Nov","Dic")</f>
        <v>Sep</v>
      </c>
      <c r="E615" s="0" t="str">
        <f aca="false">D615&amp;"-"&amp;RIGHT(B615,2)</f>
        <v>Sep-26</v>
      </c>
      <c r="F615" s="0" t="str">
        <f aca="false">"T"&amp;ROUNDUP(C615/3,0)</f>
        <v>T3</v>
      </c>
      <c r="G615" s="35" t="n">
        <f aca="false">DATE(B615,C615,1)</f>
        <v>46266</v>
      </c>
      <c r="H615" s="25" t="n">
        <f aca="false">IF(DAY(A615+1)=1,1,0)</f>
        <v>0</v>
      </c>
    </row>
    <row r="616" customFormat="false" ht="15" hidden="false" customHeight="false" outlineLevel="0" collapsed="false">
      <c r="A616" s="8" t="n">
        <f aca="false">A615+1</f>
        <v>46272</v>
      </c>
      <c r="B616" s="25" t="n">
        <f aca="false">YEAR(A616)</f>
        <v>2026</v>
      </c>
      <c r="C616" s="25" t="n">
        <f aca="false">MONTH(A616)</f>
        <v>9</v>
      </c>
      <c r="D616" s="0" t="str">
        <f aca="false">CHOOSE(C616,"Ene","Feb","Mar","Abr","May","Jun","Jul","Ago","Sep","Oct","Nov","Dic")</f>
        <v>Sep</v>
      </c>
      <c r="E616" s="0" t="str">
        <f aca="false">D616&amp;"-"&amp;RIGHT(B616,2)</f>
        <v>Sep-26</v>
      </c>
      <c r="F616" s="0" t="str">
        <f aca="false">"T"&amp;ROUNDUP(C616/3,0)</f>
        <v>T3</v>
      </c>
      <c r="G616" s="35" t="n">
        <f aca="false">DATE(B616,C616,1)</f>
        <v>46266</v>
      </c>
      <c r="H616" s="25" t="n">
        <f aca="false">IF(DAY(A616+1)=1,1,0)</f>
        <v>0</v>
      </c>
    </row>
    <row r="617" customFormat="false" ht="15" hidden="false" customHeight="false" outlineLevel="0" collapsed="false">
      <c r="A617" s="8" t="n">
        <f aca="false">A616+1</f>
        <v>46273</v>
      </c>
      <c r="B617" s="25" t="n">
        <f aca="false">YEAR(A617)</f>
        <v>2026</v>
      </c>
      <c r="C617" s="25" t="n">
        <f aca="false">MONTH(A617)</f>
        <v>9</v>
      </c>
      <c r="D617" s="0" t="str">
        <f aca="false">CHOOSE(C617,"Ene","Feb","Mar","Abr","May","Jun","Jul","Ago","Sep","Oct","Nov","Dic")</f>
        <v>Sep</v>
      </c>
      <c r="E617" s="0" t="str">
        <f aca="false">D617&amp;"-"&amp;RIGHT(B617,2)</f>
        <v>Sep-26</v>
      </c>
      <c r="F617" s="0" t="str">
        <f aca="false">"T"&amp;ROUNDUP(C617/3,0)</f>
        <v>T3</v>
      </c>
      <c r="G617" s="35" t="n">
        <f aca="false">DATE(B617,C617,1)</f>
        <v>46266</v>
      </c>
      <c r="H617" s="25" t="n">
        <f aca="false">IF(DAY(A617+1)=1,1,0)</f>
        <v>0</v>
      </c>
    </row>
    <row r="618" customFormat="false" ht="15" hidden="false" customHeight="false" outlineLevel="0" collapsed="false">
      <c r="A618" s="8" t="n">
        <f aca="false">A617+1</f>
        <v>46274</v>
      </c>
      <c r="B618" s="25" t="n">
        <f aca="false">YEAR(A618)</f>
        <v>2026</v>
      </c>
      <c r="C618" s="25" t="n">
        <f aca="false">MONTH(A618)</f>
        <v>9</v>
      </c>
      <c r="D618" s="0" t="str">
        <f aca="false">CHOOSE(C618,"Ene","Feb","Mar","Abr","May","Jun","Jul","Ago","Sep","Oct","Nov","Dic")</f>
        <v>Sep</v>
      </c>
      <c r="E618" s="0" t="str">
        <f aca="false">D618&amp;"-"&amp;RIGHT(B618,2)</f>
        <v>Sep-26</v>
      </c>
      <c r="F618" s="0" t="str">
        <f aca="false">"T"&amp;ROUNDUP(C618/3,0)</f>
        <v>T3</v>
      </c>
      <c r="G618" s="35" t="n">
        <f aca="false">DATE(B618,C618,1)</f>
        <v>46266</v>
      </c>
      <c r="H618" s="25" t="n">
        <f aca="false">IF(DAY(A618+1)=1,1,0)</f>
        <v>0</v>
      </c>
    </row>
    <row r="619" customFormat="false" ht="15" hidden="false" customHeight="false" outlineLevel="0" collapsed="false">
      <c r="A619" s="8" t="n">
        <f aca="false">A618+1</f>
        <v>46275</v>
      </c>
      <c r="B619" s="25" t="n">
        <f aca="false">YEAR(A619)</f>
        <v>2026</v>
      </c>
      <c r="C619" s="25" t="n">
        <f aca="false">MONTH(A619)</f>
        <v>9</v>
      </c>
      <c r="D619" s="0" t="str">
        <f aca="false">CHOOSE(C619,"Ene","Feb","Mar","Abr","May","Jun","Jul","Ago","Sep","Oct","Nov","Dic")</f>
        <v>Sep</v>
      </c>
      <c r="E619" s="0" t="str">
        <f aca="false">D619&amp;"-"&amp;RIGHT(B619,2)</f>
        <v>Sep-26</v>
      </c>
      <c r="F619" s="0" t="str">
        <f aca="false">"T"&amp;ROUNDUP(C619/3,0)</f>
        <v>T3</v>
      </c>
      <c r="G619" s="35" t="n">
        <f aca="false">DATE(B619,C619,1)</f>
        <v>46266</v>
      </c>
      <c r="H619" s="25" t="n">
        <f aca="false">IF(DAY(A619+1)=1,1,0)</f>
        <v>0</v>
      </c>
    </row>
    <row r="620" customFormat="false" ht="15" hidden="false" customHeight="false" outlineLevel="0" collapsed="false">
      <c r="A620" s="8" t="n">
        <f aca="false">A619+1</f>
        <v>46276</v>
      </c>
      <c r="B620" s="25" t="n">
        <f aca="false">YEAR(A620)</f>
        <v>2026</v>
      </c>
      <c r="C620" s="25" t="n">
        <f aca="false">MONTH(A620)</f>
        <v>9</v>
      </c>
      <c r="D620" s="0" t="str">
        <f aca="false">CHOOSE(C620,"Ene","Feb","Mar","Abr","May","Jun","Jul","Ago","Sep","Oct","Nov","Dic")</f>
        <v>Sep</v>
      </c>
      <c r="E620" s="0" t="str">
        <f aca="false">D620&amp;"-"&amp;RIGHT(B620,2)</f>
        <v>Sep-26</v>
      </c>
      <c r="F620" s="0" t="str">
        <f aca="false">"T"&amp;ROUNDUP(C620/3,0)</f>
        <v>T3</v>
      </c>
      <c r="G620" s="35" t="n">
        <f aca="false">DATE(B620,C620,1)</f>
        <v>46266</v>
      </c>
      <c r="H620" s="25" t="n">
        <f aca="false">IF(DAY(A620+1)=1,1,0)</f>
        <v>0</v>
      </c>
    </row>
    <row r="621" customFormat="false" ht="15" hidden="false" customHeight="false" outlineLevel="0" collapsed="false">
      <c r="A621" s="8" t="n">
        <f aca="false">A620+1</f>
        <v>46277</v>
      </c>
      <c r="B621" s="25" t="n">
        <f aca="false">YEAR(A621)</f>
        <v>2026</v>
      </c>
      <c r="C621" s="25" t="n">
        <f aca="false">MONTH(A621)</f>
        <v>9</v>
      </c>
      <c r="D621" s="0" t="str">
        <f aca="false">CHOOSE(C621,"Ene","Feb","Mar","Abr","May","Jun","Jul","Ago","Sep","Oct","Nov","Dic")</f>
        <v>Sep</v>
      </c>
      <c r="E621" s="0" t="str">
        <f aca="false">D621&amp;"-"&amp;RIGHT(B621,2)</f>
        <v>Sep-26</v>
      </c>
      <c r="F621" s="0" t="str">
        <f aca="false">"T"&amp;ROUNDUP(C621/3,0)</f>
        <v>T3</v>
      </c>
      <c r="G621" s="35" t="n">
        <f aca="false">DATE(B621,C621,1)</f>
        <v>46266</v>
      </c>
      <c r="H621" s="25" t="n">
        <f aca="false">IF(DAY(A621+1)=1,1,0)</f>
        <v>0</v>
      </c>
    </row>
    <row r="622" customFormat="false" ht="15" hidden="false" customHeight="false" outlineLevel="0" collapsed="false">
      <c r="A622" s="8" t="n">
        <f aca="false">A621+1</f>
        <v>46278</v>
      </c>
      <c r="B622" s="25" t="n">
        <f aca="false">YEAR(A622)</f>
        <v>2026</v>
      </c>
      <c r="C622" s="25" t="n">
        <f aca="false">MONTH(A622)</f>
        <v>9</v>
      </c>
      <c r="D622" s="0" t="str">
        <f aca="false">CHOOSE(C622,"Ene","Feb","Mar","Abr","May","Jun","Jul","Ago","Sep","Oct","Nov","Dic")</f>
        <v>Sep</v>
      </c>
      <c r="E622" s="0" t="str">
        <f aca="false">D622&amp;"-"&amp;RIGHT(B622,2)</f>
        <v>Sep-26</v>
      </c>
      <c r="F622" s="0" t="str">
        <f aca="false">"T"&amp;ROUNDUP(C622/3,0)</f>
        <v>T3</v>
      </c>
      <c r="G622" s="35" t="n">
        <f aca="false">DATE(B622,C622,1)</f>
        <v>46266</v>
      </c>
      <c r="H622" s="25" t="n">
        <f aca="false">IF(DAY(A622+1)=1,1,0)</f>
        <v>0</v>
      </c>
    </row>
    <row r="623" customFormat="false" ht="15" hidden="false" customHeight="false" outlineLevel="0" collapsed="false">
      <c r="A623" s="8" t="n">
        <f aca="false">A622+1</f>
        <v>46279</v>
      </c>
      <c r="B623" s="25" t="n">
        <f aca="false">YEAR(A623)</f>
        <v>2026</v>
      </c>
      <c r="C623" s="25" t="n">
        <f aca="false">MONTH(A623)</f>
        <v>9</v>
      </c>
      <c r="D623" s="0" t="str">
        <f aca="false">CHOOSE(C623,"Ene","Feb","Mar","Abr","May","Jun","Jul","Ago","Sep","Oct","Nov","Dic")</f>
        <v>Sep</v>
      </c>
      <c r="E623" s="0" t="str">
        <f aca="false">D623&amp;"-"&amp;RIGHT(B623,2)</f>
        <v>Sep-26</v>
      </c>
      <c r="F623" s="0" t="str">
        <f aca="false">"T"&amp;ROUNDUP(C623/3,0)</f>
        <v>T3</v>
      </c>
      <c r="G623" s="35" t="n">
        <f aca="false">DATE(B623,C623,1)</f>
        <v>46266</v>
      </c>
      <c r="H623" s="25" t="n">
        <f aca="false">IF(DAY(A623+1)=1,1,0)</f>
        <v>0</v>
      </c>
    </row>
    <row r="624" customFormat="false" ht="15" hidden="false" customHeight="false" outlineLevel="0" collapsed="false">
      <c r="A624" s="8" t="n">
        <f aca="false">A623+1</f>
        <v>46280</v>
      </c>
      <c r="B624" s="25" t="n">
        <f aca="false">YEAR(A624)</f>
        <v>2026</v>
      </c>
      <c r="C624" s="25" t="n">
        <f aca="false">MONTH(A624)</f>
        <v>9</v>
      </c>
      <c r="D624" s="0" t="str">
        <f aca="false">CHOOSE(C624,"Ene","Feb","Mar","Abr","May","Jun","Jul","Ago","Sep","Oct","Nov","Dic")</f>
        <v>Sep</v>
      </c>
      <c r="E624" s="0" t="str">
        <f aca="false">D624&amp;"-"&amp;RIGHT(B624,2)</f>
        <v>Sep-26</v>
      </c>
      <c r="F624" s="0" t="str">
        <f aca="false">"T"&amp;ROUNDUP(C624/3,0)</f>
        <v>T3</v>
      </c>
      <c r="G624" s="35" t="n">
        <f aca="false">DATE(B624,C624,1)</f>
        <v>46266</v>
      </c>
      <c r="H624" s="25" t="n">
        <f aca="false">IF(DAY(A624+1)=1,1,0)</f>
        <v>0</v>
      </c>
    </row>
    <row r="625" customFormat="false" ht="15" hidden="false" customHeight="false" outlineLevel="0" collapsed="false">
      <c r="A625" s="8" t="n">
        <f aca="false">A624+1</f>
        <v>46281</v>
      </c>
      <c r="B625" s="25" t="n">
        <f aca="false">YEAR(A625)</f>
        <v>2026</v>
      </c>
      <c r="C625" s="25" t="n">
        <f aca="false">MONTH(A625)</f>
        <v>9</v>
      </c>
      <c r="D625" s="0" t="str">
        <f aca="false">CHOOSE(C625,"Ene","Feb","Mar","Abr","May","Jun","Jul","Ago","Sep","Oct","Nov","Dic")</f>
        <v>Sep</v>
      </c>
      <c r="E625" s="0" t="str">
        <f aca="false">D625&amp;"-"&amp;RIGHT(B625,2)</f>
        <v>Sep-26</v>
      </c>
      <c r="F625" s="0" t="str">
        <f aca="false">"T"&amp;ROUNDUP(C625/3,0)</f>
        <v>T3</v>
      </c>
      <c r="G625" s="35" t="n">
        <f aca="false">DATE(B625,C625,1)</f>
        <v>46266</v>
      </c>
      <c r="H625" s="25" t="n">
        <f aca="false">IF(DAY(A625+1)=1,1,0)</f>
        <v>0</v>
      </c>
    </row>
    <row r="626" customFormat="false" ht="15" hidden="false" customHeight="false" outlineLevel="0" collapsed="false">
      <c r="A626" s="8" t="n">
        <f aca="false">A625+1</f>
        <v>46282</v>
      </c>
      <c r="B626" s="25" t="n">
        <f aca="false">YEAR(A626)</f>
        <v>2026</v>
      </c>
      <c r="C626" s="25" t="n">
        <f aca="false">MONTH(A626)</f>
        <v>9</v>
      </c>
      <c r="D626" s="0" t="str">
        <f aca="false">CHOOSE(C626,"Ene","Feb","Mar","Abr","May","Jun","Jul","Ago","Sep","Oct","Nov","Dic")</f>
        <v>Sep</v>
      </c>
      <c r="E626" s="0" t="str">
        <f aca="false">D626&amp;"-"&amp;RIGHT(B626,2)</f>
        <v>Sep-26</v>
      </c>
      <c r="F626" s="0" t="str">
        <f aca="false">"T"&amp;ROUNDUP(C626/3,0)</f>
        <v>T3</v>
      </c>
      <c r="G626" s="35" t="n">
        <f aca="false">DATE(B626,C626,1)</f>
        <v>46266</v>
      </c>
      <c r="H626" s="25" t="n">
        <f aca="false">IF(DAY(A626+1)=1,1,0)</f>
        <v>0</v>
      </c>
    </row>
    <row r="627" customFormat="false" ht="15" hidden="false" customHeight="false" outlineLevel="0" collapsed="false">
      <c r="A627" s="8" t="n">
        <f aca="false">A626+1</f>
        <v>46283</v>
      </c>
      <c r="B627" s="25" t="n">
        <f aca="false">YEAR(A627)</f>
        <v>2026</v>
      </c>
      <c r="C627" s="25" t="n">
        <f aca="false">MONTH(A627)</f>
        <v>9</v>
      </c>
      <c r="D627" s="0" t="str">
        <f aca="false">CHOOSE(C627,"Ene","Feb","Mar","Abr","May","Jun","Jul","Ago","Sep","Oct","Nov","Dic")</f>
        <v>Sep</v>
      </c>
      <c r="E627" s="0" t="str">
        <f aca="false">D627&amp;"-"&amp;RIGHT(B627,2)</f>
        <v>Sep-26</v>
      </c>
      <c r="F627" s="0" t="str">
        <f aca="false">"T"&amp;ROUNDUP(C627/3,0)</f>
        <v>T3</v>
      </c>
      <c r="G627" s="35" t="n">
        <f aca="false">DATE(B627,C627,1)</f>
        <v>46266</v>
      </c>
      <c r="H627" s="25" t="n">
        <f aca="false">IF(DAY(A627+1)=1,1,0)</f>
        <v>0</v>
      </c>
    </row>
    <row r="628" customFormat="false" ht="15" hidden="false" customHeight="false" outlineLevel="0" collapsed="false">
      <c r="A628" s="8" t="n">
        <f aca="false">A627+1</f>
        <v>46284</v>
      </c>
      <c r="B628" s="25" t="n">
        <f aca="false">YEAR(A628)</f>
        <v>2026</v>
      </c>
      <c r="C628" s="25" t="n">
        <f aca="false">MONTH(A628)</f>
        <v>9</v>
      </c>
      <c r="D628" s="0" t="str">
        <f aca="false">CHOOSE(C628,"Ene","Feb","Mar","Abr","May","Jun","Jul","Ago","Sep","Oct","Nov","Dic")</f>
        <v>Sep</v>
      </c>
      <c r="E628" s="0" t="str">
        <f aca="false">D628&amp;"-"&amp;RIGHT(B628,2)</f>
        <v>Sep-26</v>
      </c>
      <c r="F628" s="0" t="str">
        <f aca="false">"T"&amp;ROUNDUP(C628/3,0)</f>
        <v>T3</v>
      </c>
      <c r="G628" s="35" t="n">
        <f aca="false">DATE(B628,C628,1)</f>
        <v>46266</v>
      </c>
      <c r="H628" s="25" t="n">
        <f aca="false">IF(DAY(A628+1)=1,1,0)</f>
        <v>0</v>
      </c>
    </row>
    <row r="629" customFormat="false" ht="15" hidden="false" customHeight="false" outlineLevel="0" collapsed="false">
      <c r="A629" s="8" t="n">
        <f aca="false">A628+1</f>
        <v>46285</v>
      </c>
      <c r="B629" s="25" t="n">
        <f aca="false">YEAR(A629)</f>
        <v>2026</v>
      </c>
      <c r="C629" s="25" t="n">
        <f aca="false">MONTH(A629)</f>
        <v>9</v>
      </c>
      <c r="D629" s="0" t="str">
        <f aca="false">CHOOSE(C629,"Ene","Feb","Mar","Abr","May","Jun","Jul","Ago","Sep","Oct","Nov","Dic")</f>
        <v>Sep</v>
      </c>
      <c r="E629" s="0" t="str">
        <f aca="false">D629&amp;"-"&amp;RIGHT(B629,2)</f>
        <v>Sep-26</v>
      </c>
      <c r="F629" s="0" t="str">
        <f aca="false">"T"&amp;ROUNDUP(C629/3,0)</f>
        <v>T3</v>
      </c>
      <c r="G629" s="35" t="n">
        <f aca="false">DATE(B629,C629,1)</f>
        <v>46266</v>
      </c>
      <c r="H629" s="25" t="n">
        <f aca="false">IF(DAY(A629+1)=1,1,0)</f>
        <v>0</v>
      </c>
    </row>
    <row r="630" customFormat="false" ht="15" hidden="false" customHeight="false" outlineLevel="0" collapsed="false">
      <c r="A630" s="8" t="n">
        <f aca="false">A629+1</f>
        <v>46286</v>
      </c>
      <c r="B630" s="25" t="n">
        <f aca="false">YEAR(A630)</f>
        <v>2026</v>
      </c>
      <c r="C630" s="25" t="n">
        <f aca="false">MONTH(A630)</f>
        <v>9</v>
      </c>
      <c r="D630" s="0" t="str">
        <f aca="false">CHOOSE(C630,"Ene","Feb","Mar","Abr","May","Jun","Jul","Ago","Sep","Oct","Nov","Dic")</f>
        <v>Sep</v>
      </c>
      <c r="E630" s="0" t="str">
        <f aca="false">D630&amp;"-"&amp;RIGHT(B630,2)</f>
        <v>Sep-26</v>
      </c>
      <c r="F630" s="0" t="str">
        <f aca="false">"T"&amp;ROUNDUP(C630/3,0)</f>
        <v>T3</v>
      </c>
      <c r="G630" s="35" t="n">
        <f aca="false">DATE(B630,C630,1)</f>
        <v>46266</v>
      </c>
      <c r="H630" s="25" t="n">
        <f aca="false">IF(DAY(A630+1)=1,1,0)</f>
        <v>0</v>
      </c>
    </row>
    <row r="631" customFormat="false" ht="15" hidden="false" customHeight="false" outlineLevel="0" collapsed="false">
      <c r="A631" s="8" t="n">
        <f aca="false">A630+1</f>
        <v>46287</v>
      </c>
      <c r="B631" s="25" t="n">
        <f aca="false">YEAR(A631)</f>
        <v>2026</v>
      </c>
      <c r="C631" s="25" t="n">
        <f aca="false">MONTH(A631)</f>
        <v>9</v>
      </c>
      <c r="D631" s="0" t="str">
        <f aca="false">CHOOSE(C631,"Ene","Feb","Mar","Abr","May","Jun","Jul","Ago","Sep","Oct","Nov","Dic")</f>
        <v>Sep</v>
      </c>
      <c r="E631" s="0" t="str">
        <f aca="false">D631&amp;"-"&amp;RIGHT(B631,2)</f>
        <v>Sep-26</v>
      </c>
      <c r="F631" s="0" t="str">
        <f aca="false">"T"&amp;ROUNDUP(C631/3,0)</f>
        <v>T3</v>
      </c>
      <c r="G631" s="35" t="n">
        <f aca="false">DATE(B631,C631,1)</f>
        <v>46266</v>
      </c>
      <c r="H631" s="25" t="n">
        <f aca="false">IF(DAY(A631+1)=1,1,0)</f>
        <v>0</v>
      </c>
    </row>
    <row r="632" customFormat="false" ht="15" hidden="false" customHeight="false" outlineLevel="0" collapsed="false">
      <c r="A632" s="8" t="n">
        <f aca="false">A631+1</f>
        <v>46288</v>
      </c>
      <c r="B632" s="25" t="n">
        <f aca="false">YEAR(A632)</f>
        <v>2026</v>
      </c>
      <c r="C632" s="25" t="n">
        <f aca="false">MONTH(A632)</f>
        <v>9</v>
      </c>
      <c r="D632" s="0" t="str">
        <f aca="false">CHOOSE(C632,"Ene","Feb","Mar","Abr","May","Jun","Jul","Ago","Sep","Oct","Nov","Dic")</f>
        <v>Sep</v>
      </c>
      <c r="E632" s="0" t="str">
        <f aca="false">D632&amp;"-"&amp;RIGHT(B632,2)</f>
        <v>Sep-26</v>
      </c>
      <c r="F632" s="0" t="str">
        <f aca="false">"T"&amp;ROUNDUP(C632/3,0)</f>
        <v>T3</v>
      </c>
      <c r="G632" s="35" t="n">
        <f aca="false">DATE(B632,C632,1)</f>
        <v>46266</v>
      </c>
      <c r="H632" s="25" t="n">
        <f aca="false">IF(DAY(A632+1)=1,1,0)</f>
        <v>0</v>
      </c>
    </row>
    <row r="633" customFormat="false" ht="15" hidden="false" customHeight="false" outlineLevel="0" collapsed="false">
      <c r="A633" s="8" t="n">
        <f aca="false">A632+1</f>
        <v>46289</v>
      </c>
      <c r="B633" s="25" t="n">
        <f aca="false">YEAR(A633)</f>
        <v>2026</v>
      </c>
      <c r="C633" s="25" t="n">
        <f aca="false">MONTH(A633)</f>
        <v>9</v>
      </c>
      <c r="D633" s="0" t="str">
        <f aca="false">CHOOSE(C633,"Ene","Feb","Mar","Abr","May","Jun","Jul","Ago","Sep","Oct","Nov","Dic")</f>
        <v>Sep</v>
      </c>
      <c r="E633" s="0" t="str">
        <f aca="false">D633&amp;"-"&amp;RIGHT(B633,2)</f>
        <v>Sep-26</v>
      </c>
      <c r="F633" s="0" t="str">
        <f aca="false">"T"&amp;ROUNDUP(C633/3,0)</f>
        <v>T3</v>
      </c>
      <c r="G633" s="35" t="n">
        <f aca="false">DATE(B633,C633,1)</f>
        <v>46266</v>
      </c>
      <c r="H633" s="25" t="n">
        <f aca="false">IF(DAY(A633+1)=1,1,0)</f>
        <v>0</v>
      </c>
    </row>
    <row r="634" customFormat="false" ht="15" hidden="false" customHeight="false" outlineLevel="0" collapsed="false">
      <c r="A634" s="8" t="n">
        <f aca="false">A633+1</f>
        <v>46290</v>
      </c>
      <c r="B634" s="25" t="n">
        <f aca="false">YEAR(A634)</f>
        <v>2026</v>
      </c>
      <c r="C634" s="25" t="n">
        <f aca="false">MONTH(A634)</f>
        <v>9</v>
      </c>
      <c r="D634" s="0" t="str">
        <f aca="false">CHOOSE(C634,"Ene","Feb","Mar","Abr","May","Jun","Jul","Ago","Sep","Oct","Nov","Dic")</f>
        <v>Sep</v>
      </c>
      <c r="E634" s="0" t="str">
        <f aca="false">D634&amp;"-"&amp;RIGHT(B634,2)</f>
        <v>Sep-26</v>
      </c>
      <c r="F634" s="0" t="str">
        <f aca="false">"T"&amp;ROUNDUP(C634/3,0)</f>
        <v>T3</v>
      </c>
      <c r="G634" s="35" t="n">
        <f aca="false">DATE(B634,C634,1)</f>
        <v>46266</v>
      </c>
      <c r="H634" s="25" t="n">
        <f aca="false">IF(DAY(A634+1)=1,1,0)</f>
        <v>0</v>
      </c>
    </row>
    <row r="635" customFormat="false" ht="15" hidden="false" customHeight="false" outlineLevel="0" collapsed="false">
      <c r="A635" s="8" t="n">
        <f aca="false">A634+1</f>
        <v>46291</v>
      </c>
      <c r="B635" s="25" t="n">
        <f aca="false">YEAR(A635)</f>
        <v>2026</v>
      </c>
      <c r="C635" s="25" t="n">
        <f aca="false">MONTH(A635)</f>
        <v>9</v>
      </c>
      <c r="D635" s="0" t="str">
        <f aca="false">CHOOSE(C635,"Ene","Feb","Mar","Abr","May","Jun","Jul","Ago","Sep","Oct","Nov","Dic")</f>
        <v>Sep</v>
      </c>
      <c r="E635" s="0" t="str">
        <f aca="false">D635&amp;"-"&amp;RIGHT(B635,2)</f>
        <v>Sep-26</v>
      </c>
      <c r="F635" s="0" t="str">
        <f aca="false">"T"&amp;ROUNDUP(C635/3,0)</f>
        <v>T3</v>
      </c>
      <c r="G635" s="35" t="n">
        <f aca="false">DATE(B635,C635,1)</f>
        <v>46266</v>
      </c>
      <c r="H635" s="25" t="n">
        <f aca="false">IF(DAY(A635+1)=1,1,0)</f>
        <v>0</v>
      </c>
    </row>
    <row r="636" customFormat="false" ht="15" hidden="false" customHeight="false" outlineLevel="0" collapsed="false">
      <c r="A636" s="8" t="n">
        <f aca="false">A635+1</f>
        <v>46292</v>
      </c>
      <c r="B636" s="25" t="n">
        <f aca="false">YEAR(A636)</f>
        <v>2026</v>
      </c>
      <c r="C636" s="25" t="n">
        <f aca="false">MONTH(A636)</f>
        <v>9</v>
      </c>
      <c r="D636" s="0" t="str">
        <f aca="false">CHOOSE(C636,"Ene","Feb","Mar","Abr","May","Jun","Jul","Ago","Sep","Oct","Nov","Dic")</f>
        <v>Sep</v>
      </c>
      <c r="E636" s="0" t="str">
        <f aca="false">D636&amp;"-"&amp;RIGHT(B636,2)</f>
        <v>Sep-26</v>
      </c>
      <c r="F636" s="0" t="str">
        <f aca="false">"T"&amp;ROUNDUP(C636/3,0)</f>
        <v>T3</v>
      </c>
      <c r="G636" s="35" t="n">
        <f aca="false">DATE(B636,C636,1)</f>
        <v>46266</v>
      </c>
      <c r="H636" s="25" t="n">
        <f aca="false">IF(DAY(A636+1)=1,1,0)</f>
        <v>0</v>
      </c>
    </row>
    <row r="637" customFormat="false" ht="15" hidden="false" customHeight="false" outlineLevel="0" collapsed="false">
      <c r="A637" s="8" t="n">
        <f aca="false">A636+1</f>
        <v>46293</v>
      </c>
      <c r="B637" s="25" t="n">
        <f aca="false">YEAR(A637)</f>
        <v>2026</v>
      </c>
      <c r="C637" s="25" t="n">
        <f aca="false">MONTH(A637)</f>
        <v>9</v>
      </c>
      <c r="D637" s="0" t="str">
        <f aca="false">CHOOSE(C637,"Ene","Feb","Mar","Abr","May","Jun","Jul","Ago","Sep","Oct","Nov","Dic")</f>
        <v>Sep</v>
      </c>
      <c r="E637" s="0" t="str">
        <f aca="false">D637&amp;"-"&amp;RIGHT(B637,2)</f>
        <v>Sep-26</v>
      </c>
      <c r="F637" s="0" t="str">
        <f aca="false">"T"&amp;ROUNDUP(C637/3,0)</f>
        <v>T3</v>
      </c>
      <c r="G637" s="35" t="n">
        <f aca="false">DATE(B637,C637,1)</f>
        <v>46266</v>
      </c>
      <c r="H637" s="25" t="n">
        <f aca="false">IF(DAY(A637+1)=1,1,0)</f>
        <v>0</v>
      </c>
    </row>
    <row r="638" customFormat="false" ht="15" hidden="false" customHeight="false" outlineLevel="0" collapsed="false">
      <c r="A638" s="8" t="n">
        <f aca="false">A637+1</f>
        <v>46294</v>
      </c>
      <c r="B638" s="25" t="n">
        <f aca="false">YEAR(A638)</f>
        <v>2026</v>
      </c>
      <c r="C638" s="25" t="n">
        <f aca="false">MONTH(A638)</f>
        <v>9</v>
      </c>
      <c r="D638" s="0" t="str">
        <f aca="false">CHOOSE(C638,"Ene","Feb","Mar","Abr","May","Jun","Jul","Ago","Sep","Oct","Nov","Dic")</f>
        <v>Sep</v>
      </c>
      <c r="E638" s="0" t="str">
        <f aca="false">D638&amp;"-"&amp;RIGHT(B638,2)</f>
        <v>Sep-26</v>
      </c>
      <c r="F638" s="0" t="str">
        <f aca="false">"T"&amp;ROUNDUP(C638/3,0)</f>
        <v>T3</v>
      </c>
      <c r="G638" s="35" t="n">
        <f aca="false">DATE(B638,C638,1)</f>
        <v>46266</v>
      </c>
      <c r="H638" s="25" t="n">
        <f aca="false">IF(DAY(A638+1)=1,1,0)</f>
        <v>0</v>
      </c>
    </row>
    <row r="639" customFormat="false" ht="15" hidden="false" customHeight="false" outlineLevel="0" collapsed="false">
      <c r="A639" s="8" t="n">
        <f aca="false">A638+1</f>
        <v>46295</v>
      </c>
      <c r="B639" s="25" t="n">
        <f aca="false">YEAR(A639)</f>
        <v>2026</v>
      </c>
      <c r="C639" s="25" t="n">
        <f aca="false">MONTH(A639)</f>
        <v>9</v>
      </c>
      <c r="D639" s="0" t="str">
        <f aca="false">CHOOSE(C639,"Ene","Feb","Mar","Abr","May","Jun","Jul","Ago","Sep","Oct","Nov","Dic")</f>
        <v>Sep</v>
      </c>
      <c r="E639" s="0" t="str">
        <f aca="false">D639&amp;"-"&amp;RIGHT(B639,2)</f>
        <v>Sep-26</v>
      </c>
      <c r="F639" s="0" t="str">
        <f aca="false">"T"&amp;ROUNDUP(C639/3,0)</f>
        <v>T3</v>
      </c>
      <c r="G639" s="35" t="n">
        <f aca="false">DATE(B639,C639,1)</f>
        <v>46266</v>
      </c>
      <c r="H639" s="25" t="n">
        <f aca="false">IF(DAY(A639+1)=1,1,0)</f>
        <v>1</v>
      </c>
    </row>
    <row r="640" customFormat="false" ht="15" hidden="false" customHeight="false" outlineLevel="0" collapsed="false">
      <c r="A640" s="8" t="n">
        <f aca="false">A639+1</f>
        <v>46296</v>
      </c>
      <c r="B640" s="25" t="n">
        <f aca="false">YEAR(A640)</f>
        <v>2026</v>
      </c>
      <c r="C640" s="25" t="n">
        <f aca="false">MONTH(A640)</f>
        <v>10</v>
      </c>
      <c r="D640" s="0" t="str">
        <f aca="false">CHOOSE(C640,"Ene","Feb","Mar","Abr","May","Jun","Jul","Ago","Sep","Oct","Nov","Dic")</f>
        <v>Oct</v>
      </c>
      <c r="E640" s="0" t="str">
        <f aca="false">D640&amp;"-"&amp;RIGHT(B640,2)</f>
        <v>Oct-26</v>
      </c>
      <c r="F640" s="0" t="str">
        <f aca="false">"T"&amp;ROUNDUP(C640/3,0)</f>
        <v>T4</v>
      </c>
      <c r="G640" s="35" t="n">
        <f aca="false">DATE(B640,C640,1)</f>
        <v>46296</v>
      </c>
      <c r="H640" s="25" t="n">
        <f aca="false">IF(DAY(A640+1)=1,1,0)</f>
        <v>0</v>
      </c>
    </row>
    <row r="641" customFormat="false" ht="15" hidden="false" customHeight="false" outlineLevel="0" collapsed="false">
      <c r="A641" s="8" t="n">
        <f aca="false">A640+1</f>
        <v>46297</v>
      </c>
      <c r="B641" s="25" t="n">
        <f aca="false">YEAR(A641)</f>
        <v>2026</v>
      </c>
      <c r="C641" s="25" t="n">
        <f aca="false">MONTH(A641)</f>
        <v>10</v>
      </c>
      <c r="D641" s="0" t="str">
        <f aca="false">CHOOSE(C641,"Ene","Feb","Mar","Abr","May","Jun","Jul","Ago","Sep","Oct","Nov","Dic")</f>
        <v>Oct</v>
      </c>
      <c r="E641" s="0" t="str">
        <f aca="false">D641&amp;"-"&amp;RIGHT(B641,2)</f>
        <v>Oct-26</v>
      </c>
      <c r="F641" s="0" t="str">
        <f aca="false">"T"&amp;ROUNDUP(C641/3,0)</f>
        <v>T4</v>
      </c>
      <c r="G641" s="35" t="n">
        <f aca="false">DATE(B641,C641,1)</f>
        <v>46296</v>
      </c>
      <c r="H641" s="25" t="n">
        <f aca="false">IF(DAY(A641+1)=1,1,0)</f>
        <v>0</v>
      </c>
    </row>
    <row r="642" customFormat="false" ht="15" hidden="false" customHeight="false" outlineLevel="0" collapsed="false">
      <c r="A642" s="8" t="n">
        <f aca="false">A641+1</f>
        <v>46298</v>
      </c>
      <c r="B642" s="25" t="n">
        <f aca="false">YEAR(A642)</f>
        <v>2026</v>
      </c>
      <c r="C642" s="25" t="n">
        <f aca="false">MONTH(A642)</f>
        <v>10</v>
      </c>
      <c r="D642" s="0" t="str">
        <f aca="false">CHOOSE(C642,"Ene","Feb","Mar","Abr","May","Jun","Jul","Ago","Sep","Oct","Nov","Dic")</f>
        <v>Oct</v>
      </c>
      <c r="E642" s="0" t="str">
        <f aca="false">D642&amp;"-"&amp;RIGHT(B642,2)</f>
        <v>Oct-26</v>
      </c>
      <c r="F642" s="0" t="str">
        <f aca="false">"T"&amp;ROUNDUP(C642/3,0)</f>
        <v>T4</v>
      </c>
      <c r="G642" s="35" t="n">
        <f aca="false">DATE(B642,C642,1)</f>
        <v>46296</v>
      </c>
      <c r="H642" s="25" t="n">
        <f aca="false">IF(DAY(A642+1)=1,1,0)</f>
        <v>0</v>
      </c>
    </row>
    <row r="643" customFormat="false" ht="15" hidden="false" customHeight="false" outlineLevel="0" collapsed="false">
      <c r="A643" s="8" t="n">
        <f aca="false">A642+1</f>
        <v>46299</v>
      </c>
      <c r="B643" s="25" t="n">
        <f aca="false">YEAR(A643)</f>
        <v>2026</v>
      </c>
      <c r="C643" s="25" t="n">
        <f aca="false">MONTH(A643)</f>
        <v>10</v>
      </c>
      <c r="D643" s="0" t="str">
        <f aca="false">CHOOSE(C643,"Ene","Feb","Mar","Abr","May","Jun","Jul","Ago","Sep","Oct","Nov","Dic")</f>
        <v>Oct</v>
      </c>
      <c r="E643" s="0" t="str">
        <f aca="false">D643&amp;"-"&amp;RIGHT(B643,2)</f>
        <v>Oct-26</v>
      </c>
      <c r="F643" s="0" t="str">
        <f aca="false">"T"&amp;ROUNDUP(C643/3,0)</f>
        <v>T4</v>
      </c>
      <c r="G643" s="35" t="n">
        <f aca="false">DATE(B643,C643,1)</f>
        <v>46296</v>
      </c>
      <c r="H643" s="25" t="n">
        <f aca="false">IF(DAY(A643+1)=1,1,0)</f>
        <v>0</v>
      </c>
    </row>
    <row r="644" customFormat="false" ht="15" hidden="false" customHeight="false" outlineLevel="0" collapsed="false">
      <c r="A644" s="8" t="n">
        <f aca="false">A643+1</f>
        <v>46300</v>
      </c>
      <c r="B644" s="25" t="n">
        <f aca="false">YEAR(A644)</f>
        <v>2026</v>
      </c>
      <c r="C644" s="25" t="n">
        <f aca="false">MONTH(A644)</f>
        <v>10</v>
      </c>
      <c r="D644" s="0" t="str">
        <f aca="false">CHOOSE(C644,"Ene","Feb","Mar","Abr","May","Jun","Jul","Ago","Sep","Oct","Nov","Dic")</f>
        <v>Oct</v>
      </c>
      <c r="E644" s="0" t="str">
        <f aca="false">D644&amp;"-"&amp;RIGHT(B644,2)</f>
        <v>Oct-26</v>
      </c>
      <c r="F644" s="0" t="str">
        <f aca="false">"T"&amp;ROUNDUP(C644/3,0)</f>
        <v>T4</v>
      </c>
      <c r="G644" s="35" t="n">
        <f aca="false">DATE(B644,C644,1)</f>
        <v>46296</v>
      </c>
      <c r="H644" s="25" t="n">
        <f aca="false">IF(DAY(A644+1)=1,1,0)</f>
        <v>0</v>
      </c>
    </row>
    <row r="645" customFormat="false" ht="15" hidden="false" customHeight="false" outlineLevel="0" collapsed="false">
      <c r="A645" s="8" t="n">
        <f aca="false">A644+1</f>
        <v>46301</v>
      </c>
      <c r="B645" s="25" t="n">
        <f aca="false">YEAR(A645)</f>
        <v>2026</v>
      </c>
      <c r="C645" s="25" t="n">
        <f aca="false">MONTH(A645)</f>
        <v>10</v>
      </c>
      <c r="D645" s="0" t="str">
        <f aca="false">CHOOSE(C645,"Ene","Feb","Mar","Abr","May","Jun","Jul","Ago","Sep","Oct","Nov","Dic")</f>
        <v>Oct</v>
      </c>
      <c r="E645" s="0" t="str">
        <f aca="false">D645&amp;"-"&amp;RIGHT(B645,2)</f>
        <v>Oct-26</v>
      </c>
      <c r="F645" s="0" t="str">
        <f aca="false">"T"&amp;ROUNDUP(C645/3,0)</f>
        <v>T4</v>
      </c>
      <c r="G645" s="35" t="n">
        <f aca="false">DATE(B645,C645,1)</f>
        <v>46296</v>
      </c>
      <c r="H645" s="25" t="n">
        <f aca="false">IF(DAY(A645+1)=1,1,0)</f>
        <v>0</v>
      </c>
    </row>
    <row r="646" customFormat="false" ht="15" hidden="false" customHeight="false" outlineLevel="0" collapsed="false">
      <c r="A646" s="8" t="n">
        <f aca="false">A645+1</f>
        <v>46302</v>
      </c>
      <c r="B646" s="25" t="n">
        <f aca="false">YEAR(A646)</f>
        <v>2026</v>
      </c>
      <c r="C646" s="25" t="n">
        <f aca="false">MONTH(A646)</f>
        <v>10</v>
      </c>
      <c r="D646" s="0" t="str">
        <f aca="false">CHOOSE(C646,"Ene","Feb","Mar","Abr","May","Jun","Jul","Ago","Sep","Oct","Nov","Dic")</f>
        <v>Oct</v>
      </c>
      <c r="E646" s="0" t="str">
        <f aca="false">D646&amp;"-"&amp;RIGHT(B646,2)</f>
        <v>Oct-26</v>
      </c>
      <c r="F646" s="0" t="str">
        <f aca="false">"T"&amp;ROUNDUP(C646/3,0)</f>
        <v>T4</v>
      </c>
      <c r="G646" s="35" t="n">
        <f aca="false">DATE(B646,C646,1)</f>
        <v>46296</v>
      </c>
      <c r="H646" s="25" t="n">
        <f aca="false">IF(DAY(A646+1)=1,1,0)</f>
        <v>0</v>
      </c>
    </row>
    <row r="647" customFormat="false" ht="15" hidden="false" customHeight="false" outlineLevel="0" collapsed="false">
      <c r="A647" s="8" t="n">
        <f aca="false">A646+1</f>
        <v>46303</v>
      </c>
      <c r="B647" s="25" t="n">
        <f aca="false">YEAR(A647)</f>
        <v>2026</v>
      </c>
      <c r="C647" s="25" t="n">
        <f aca="false">MONTH(A647)</f>
        <v>10</v>
      </c>
      <c r="D647" s="0" t="str">
        <f aca="false">CHOOSE(C647,"Ene","Feb","Mar","Abr","May","Jun","Jul","Ago","Sep","Oct","Nov","Dic")</f>
        <v>Oct</v>
      </c>
      <c r="E647" s="0" t="str">
        <f aca="false">D647&amp;"-"&amp;RIGHT(B647,2)</f>
        <v>Oct-26</v>
      </c>
      <c r="F647" s="0" t="str">
        <f aca="false">"T"&amp;ROUNDUP(C647/3,0)</f>
        <v>T4</v>
      </c>
      <c r="G647" s="35" t="n">
        <f aca="false">DATE(B647,C647,1)</f>
        <v>46296</v>
      </c>
      <c r="H647" s="25" t="n">
        <f aca="false">IF(DAY(A647+1)=1,1,0)</f>
        <v>0</v>
      </c>
    </row>
    <row r="648" customFormat="false" ht="15" hidden="false" customHeight="false" outlineLevel="0" collapsed="false">
      <c r="A648" s="8" t="n">
        <f aca="false">A647+1</f>
        <v>46304</v>
      </c>
      <c r="B648" s="25" t="n">
        <f aca="false">YEAR(A648)</f>
        <v>2026</v>
      </c>
      <c r="C648" s="25" t="n">
        <f aca="false">MONTH(A648)</f>
        <v>10</v>
      </c>
      <c r="D648" s="0" t="str">
        <f aca="false">CHOOSE(C648,"Ene","Feb","Mar","Abr","May","Jun","Jul","Ago","Sep","Oct","Nov","Dic")</f>
        <v>Oct</v>
      </c>
      <c r="E648" s="0" t="str">
        <f aca="false">D648&amp;"-"&amp;RIGHT(B648,2)</f>
        <v>Oct-26</v>
      </c>
      <c r="F648" s="0" t="str">
        <f aca="false">"T"&amp;ROUNDUP(C648/3,0)</f>
        <v>T4</v>
      </c>
      <c r="G648" s="35" t="n">
        <f aca="false">DATE(B648,C648,1)</f>
        <v>46296</v>
      </c>
      <c r="H648" s="25" t="n">
        <f aca="false">IF(DAY(A648+1)=1,1,0)</f>
        <v>0</v>
      </c>
    </row>
    <row r="649" customFormat="false" ht="15" hidden="false" customHeight="false" outlineLevel="0" collapsed="false">
      <c r="A649" s="8" t="n">
        <f aca="false">A648+1</f>
        <v>46305</v>
      </c>
      <c r="B649" s="25" t="n">
        <f aca="false">YEAR(A649)</f>
        <v>2026</v>
      </c>
      <c r="C649" s="25" t="n">
        <f aca="false">MONTH(A649)</f>
        <v>10</v>
      </c>
      <c r="D649" s="0" t="str">
        <f aca="false">CHOOSE(C649,"Ene","Feb","Mar","Abr","May","Jun","Jul","Ago","Sep","Oct","Nov","Dic")</f>
        <v>Oct</v>
      </c>
      <c r="E649" s="0" t="str">
        <f aca="false">D649&amp;"-"&amp;RIGHT(B649,2)</f>
        <v>Oct-26</v>
      </c>
      <c r="F649" s="0" t="str">
        <f aca="false">"T"&amp;ROUNDUP(C649/3,0)</f>
        <v>T4</v>
      </c>
      <c r="G649" s="35" t="n">
        <f aca="false">DATE(B649,C649,1)</f>
        <v>46296</v>
      </c>
      <c r="H649" s="25" t="n">
        <f aca="false">IF(DAY(A649+1)=1,1,0)</f>
        <v>0</v>
      </c>
    </row>
    <row r="650" customFormat="false" ht="15" hidden="false" customHeight="false" outlineLevel="0" collapsed="false">
      <c r="A650" s="8" t="n">
        <f aca="false">A649+1</f>
        <v>46306</v>
      </c>
      <c r="B650" s="25" t="n">
        <f aca="false">YEAR(A650)</f>
        <v>2026</v>
      </c>
      <c r="C650" s="25" t="n">
        <f aca="false">MONTH(A650)</f>
        <v>10</v>
      </c>
      <c r="D650" s="0" t="str">
        <f aca="false">CHOOSE(C650,"Ene","Feb","Mar","Abr","May","Jun","Jul","Ago","Sep","Oct","Nov","Dic")</f>
        <v>Oct</v>
      </c>
      <c r="E650" s="0" t="str">
        <f aca="false">D650&amp;"-"&amp;RIGHT(B650,2)</f>
        <v>Oct-26</v>
      </c>
      <c r="F650" s="0" t="str">
        <f aca="false">"T"&amp;ROUNDUP(C650/3,0)</f>
        <v>T4</v>
      </c>
      <c r="G650" s="35" t="n">
        <f aca="false">DATE(B650,C650,1)</f>
        <v>46296</v>
      </c>
      <c r="H650" s="25" t="n">
        <f aca="false">IF(DAY(A650+1)=1,1,0)</f>
        <v>0</v>
      </c>
    </row>
    <row r="651" customFormat="false" ht="15" hidden="false" customHeight="false" outlineLevel="0" collapsed="false">
      <c r="A651" s="8" t="n">
        <f aca="false">A650+1</f>
        <v>46307</v>
      </c>
      <c r="B651" s="25" t="n">
        <f aca="false">YEAR(A651)</f>
        <v>2026</v>
      </c>
      <c r="C651" s="25" t="n">
        <f aca="false">MONTH(A651)</f>
        <v>10</v>
      </c>
      <c r="D651" s="0" t="str">
        <f aca="false">CHOOSE(C651,"Ene","Feb","Mar","Abr","May","Jun","Jul","Ago","Sep","Oct","Nov","Dic")</f>
        <v>Oct</v>
      </c>
      <c r="E651" s="0" t="str">
        <f aca="false">D651&amp;"-"&amp;RIGHT(B651,2)</f>
        <v>Oct-26</v>
      </c>
      <c r="F651" s="0" t="str">
        <f aca="false">"T"&amp;ROUNDUP(C651/3,0)</f>
        <v>T4</v>
      </c>
      <c r="G651" s="35" t="n">
        <f aca="false">DATE(B651,C651,1)</f>
        <v>46296</v>
      </c>
      <c r="H651" s="25" t="n">
        <f aca="false">IF(DAY(A651+1)=1,1,0)</f>
        <v>0</v>
      </c>
    </row>
    <row r="652" customFormat="false" ht="15" hidden="false" customHeight="false" outlineLevel="0" collapsed="false">
      <c r="A652" s="8" t="n">
        <f aca="false">A651+1</f>
        <v>46308</v>
      </c>
      <c r="B652" s="25" t="n">
        <f aca="false">YEAR(A652)</f>
        <v>2026</v>
      </c>
      <c r="C652" s="25" t="n">
        <f aca="false">MONTH(A652)</f>
        <v>10</v>
      </c>
      <c r="D652" s="0" t="str">
        <f aca="false">CHOOSE(C652,"Ene","Feb","Mar","Abr","May","Jun","Jul","Ago","Sep","Oct","Nov","Dic")</f>
        <v>Oct</v>
      </c>
      <c r="E652" s="0" t="str">
        <f aca="false">D652&amp;"-"&amp;RIGHT(B652,2)</f>
        <v>Oct-26</v>
      </c>
      <c r="F652" s="0" t="str">
        <f aca="false">"T"&amp;ROUNDUP(C652/3,0)</f>
        <v>T4</v>
      </c>
      <c r="G652" s="35" t="n">
        <f aca="false">DATE(B652,C652,1)</f>
        <v>46296</v>
      </c>
      <c r="H652" s="25" t="n">
        <f aca="false">IF(DAY(A652+1)=1,1,0)</f>
        <v>0</v>
      </c>
    </row>
    <row r="653" customFormat="false" ht="15" hidden="false" customHeight="false" outlineLevel="0" collapsed="false">
      <c r="A653" s="8" t="n">
        <f aca="false">A652+1</f>
        <v>46309</v>
      </c>
      <c r="B653" s="25" t="n">
        <f aca="false">YEAR(A653)</f>
        <v>2026</v>
      </c>
      <c r="C653" s="25" t="n">
        <f aca="false">MONTH(A653)</f>
        <v>10</v>
      </c>
      <c r="D653" s="0" t="str">
        <f aca="false">CHOOSE(C653,"Ene","Feb","Mar","Abr","May","Jun","Jul","Ago","Sep","Oct","Nov","Dic")</f>
        <v>Oct</v>
      </c>
      <c r="E653" s="0" t="str">
        <f aca="false">D653&amp;"-"&amp;RIGHT(B653,2)</f>
        <v>Oct-26</v>
      </c>
      <c r="F653" s="0" t="str">
        <f aca="false">"T"&amp;ROUNDUP(C653/3,0)</f>
        <v>T4</v>
      </c>
      <c r="G653" s="35" t="n">
        <f aca="false">DATE(B653,C653,1)</f>
        <v>46296</v>
      </c>
      <c r="H653" s="25" t="n">
        <f aca="false">IF(DAY(A653+1)=1,1,0)</f>
        <v>0</v>
      </c>
    </row>
    <row r="654" customFormat="false" ht="15" hidden="false" customHeight="false" outlineLevel="0" collapsed="false">
      <c r="A654" s="8" t="n">
        <f aca="false">A653+1</f>
        <v>46310</v>
      </c>
      <c r="B654" s="25" t="n">
        <f aca="false">YEAR(A654)</f>
        <v>2026</v>
      </c>
      <c r="C654" s="25" t="n">
        <f aca="false">MONTH(A654)</f>
        <v>10</v>
      </c>
      <c r="D654" s="0" t="str">
        <f aca="false">CHOOSE(C654,"Ene","Feb","Mar","Abr","May","Jun","Jul","Ago","Sep","Oct","Nov","Dic")</f>
        <v>Oct</v>
      </c>
      <c r="E654" s="0" t="str">
        <f aca="false">D654&amp;"-"&amp;RIGHT(B654,2)</f>
        <v>Oct-26</v>
      </c>
      <c r="F654" s="0" t="str">
        <f aca="false">"T"&amp;ROUNDUP(C654/3,0)</f>
        <v>T4</v>
      </c>
      <c r="G654" s="35" t="n">
        <f aca="false">DATE(B654,C654,1)</f>
        <v>46296</v>
      </c>
      <c r="H654" s="25" t="n">
        <f aca="false">IF(DAY(A654+1)=1,1,0)</f>
        <v>0</v>
      </c>
    </row>
    <row r="655" customFormat="false" ht="15" hidden="false" customHeight="false" outlineLevel="0" collapsed="false">
      <c r="A655" s="8" t="n">
        <f aca="false">A654+1</f>
        <v>46311</v>
      </c>
      <c r="B655" s="25" t="n">
        <f aca="false">YEAR(A655)</f>
        <v>2026</v>
      </c>
      <c r="C655" s="25" t="n">
        <f aca="false">MONTH(A655)</f>
        <v>10</v>
      </c>
      <c r="D655" s="0" t="str">
        <f aca="false">CHOOSE(C655,"Ene","Feb","Mar","Abr","May","Jun","Jul","Ago","Sep","Oct","Nov","Dic")</f>
        <v>Oct</v>
      </c>
      <c r="E655" s="0" t="str">
        <f aca="false">D655&amp;"-"&amp;RIGHT(B655,2)</f>
        <v>Oct-26</v>
      </c>
      <c r="F655" s="0" t="str">
        <f aca="false">"T"&amp;ROUNDUP(C655/3,0)</f>
        <v>T4</v>
      </c>
      <c r="G655" s="35" t="n">
        <f aca="false">DATE(B655,C655,1)</f>
        <v>46296</v>
      </c>
      <c r="H655" s="25" t="n">
        <f aca="false">IF(DAY(A655+1)=1,1,0)</f>
        <v>0</v>
      </c>
    </row>
    <row r="656" customFormat="false" ht="15" hidden="false" customHeight="false" outlineLevel="0" collapsed="false">
      <c r="A656" s="8" t="n">
        <f aca="false">A655+1</f>
        <v>46312</v>
      </c>
      <c r="B656" s="25" t="n">
        <f aca="false">YEAR(A656)</f>
        <v>2026</v>
      </c>
      <c r="C656" s="25" t="n">
        <f aca="false">MONTH(A656)</f>
        <v>10</v>
      </c>
      <c r="D656" s="0" t="str">
        <f aca="false">CHOOSE(C656,"Ene","Feb","Mar","Abr","May","Jun","Jul","Ago","Sep","Oct","Nov","Dic")</f>
        <v>Oct</v>
      </c>
      <c r="E656" s="0" t="str">
        <f aca="false">D656&amp;"-"&amp;RIGHT(B656,2)</f>
        <v>Oct-26</v>
      </c>
      <c r="F656" s="0" t="str">
        <f aca="false">"T"&amp;ROUNDUP(C656/3,0)</f>
        <v>T4</v>
      </c>
      <c r="G656" s="35" t="n">
        <f aca="false">DATE(B656,C656,1)</f>
        <v>46296</v>
      </c>
      <c r="H656" s="25" t="n">
        <f aca="false">IF(DAY(A656+1)=1,1,0)</f>
        <v>0</v>
      </c>
    </row>
    <row r="657" customFormat="false" ht="15" hidden="false" customHeight="false" outlineLevel="0" collapsed="false">
      <c r="A657" s="8" t="n">
        <f aca="false">A656+1</f>
        <v>46313</v>
      </c>
      <c r="B657" s="25" t="n">
        <f aca="false">YEAR(A657)</f>
        <v>2026</v>
      </c>
      <c r="C657" s="25" t="n">
        <f aca="false">MONTH(A657)</f>
        <v>10</v>
      </c>
      <c r="D657" s="0" t="str">
        <f aca="false">CHOOSE(C657,"Ene","Feb","Mar","Abr","May","Jun","Jul","Ago","Sep","Oct","Nov","Dic")</f>
        <v>Oct</v>
      </c>
      <c r="E657" s="0" t="str">
        <f aca="false">D657&amp;"-"&amp;RIGHT(B657,2)</f>
        <v>Oct-26</v>
      </c>
      <c r="F657" s="0" t="str">
        <f aca="false">"T"&amp;ROUNDUP(C657/3,0)</f>
        <v>T4</v>
      </c>
      <c r="G657" s="35" t="n">
        <f aca="false">DATE(B657,C657,1)</f>
        <v>46296</v>
      </c>
      <c r="H657" s="25" t="n">
        <f aca="false">IF(DAY(A657+1)=1,1,0)</f>
        <v>0</v>
      </c>
    </row>
    <row r="658" customFormat="false" ht="15" hidden="false" customHeight="false" outlineLevel="0" collapsed="false">
      <c r="A658" s="8" t="n">
        <f aca="false">A657+1</f>
        <v>46314</v>
      </c>
      <c r="B658" s="25" t="n">
        <f aca="false">YEAR(A658)</f>
        <v>2026</v>
      </c>
      <c r="C658" s="25" t="n">
        <f aca="false">MONTH(A658)</f>
        <v>10</v>
      </c>
      <c r="D658" s="0" t="str">
        <f aca="false">CHOOSE(C658,"Ene","Feb","Mar","Abr","May","Jun","Jul","Ago","Sep","Oct","Nov","Dic")</f>
        <v>Oct</v>
      </c>
      <c r="E658" s="0" t="str">
        <f aca="false">D658&amp;"-"&amp;RIGHT(B658,2)</f>
        <v>Oct-26</v>
      </c>
      <c r="F658" s="0" t="str">
        <f aca="false">"T"&amp;ROUNDUP(C658/3,0)</f>
        <v>T4</v>
      </c>
      <c r="G658" s="35" t="n">
        <f aca="false">DATE(B658,C658,1)</f>
        <v>46296</v>
      </c>
      <c r="H658" s="25" t="n">
        <f aca="false">IF(DAY(A658+1)=1,1,0)</f>
        <v>0</v>
      </c>
    </row>
    <row r="659" customFormat="false" ht="15" hidden="false" customHeight="false" outlineLevel="0" collapsed="false">
      <c r="A659" s="8" t="n">
        <f aca="false">A658+1</f>
        <v>46315</v>
      </c>
      <c r="B659" s="25" t="n">
        <f aca="false">YEAR(A659)</f>
        <v>2026</v>
      </c>
      <c r="C659" s="25" t="n">
        <f aca="false">MONTH(A659)</f>
        <v>10</v>
      </c>
      <c r="D659" s="0" t="str">
        <f aca="false">CHOOSE(C659,"Ene","Feb","Mar","Abr","May","Jun","Jul","Ago","Sep","Oct","Nov","Dic")</f>
        <v>Oct</v>
      </c>
      <c r="E659" s="0" t="str">
        <f aca="false">D659&amp;"-"&amp;RIGHT(B659,2)</f>
        <v>Oct-26</v>
      </c>
      <c r="F659" s="0" t="str">
        <f aca="false">"T"&amp;ROUNDUP(C659/3,0)</f>
        <v>T4</v>
      </c>
      <c r="G659" s="35" t="n">
        <f aca="false">DATE(B659,C659,1)</f>
        <v>46296</v>
      </c>
      <c r="H659" s="25" t="n">
        <f aca="false">IF(DAY(A659+1)=1,1,0)</f>
        <v>0</v>
      </c>
    </row>
    <row r="660" customFormat="false" ht="15" hidden="false" customHeight="false" outlineLevel="0" collapsed="false">
      <c r="A660" s="8" t="n">
        <f aca="false">A659+1</f>
        <v>46316</v>
      </c>
      <c r="B660" s="25" t="n">
        <f aca="false">YEAR(A660)</f>
        <v>2026</v>
      </c>
      <c r="C660" s="25" t="n">
        <f aca="false">MONTH(A660)</f>
        <v>10</v>
      </c>
      <c r="D660" s="0" t="str">
        <f aca="false">CHOOSE(C660,"Ene","Feb","Mar","Abr","May","Jun","Jul","Ago","Sep","Oct","Nov","Dic")</f>
        <v>Oct</v>
      </c>
      <c r="E660" s="0" t="str">
        <f aca="false">D660&amp;"-"&amp;RIGHT(B660,2)</f>
        <v>Oct-26</v>
      </c>
      <c r="F660" s="0" t="str">
        <f aca="false">"T"&amp;ROUNDUP(C660/3,0)</f>
        <v>T4</v>
      </c>
      <c r="G660" s="35" t="n">
        <f aca="false">DATE(B660,C660,1)</f>
        <v>46296</v>
      </c>
      <c r="H660" s="25" t="n">
        <f aca="false">IF(DAY(A660+1)=1,1,0)</f>
        <v>0</v>
      </c>
    </row>
    <row r="661" customFormat="false" ht="15" hidden="false" customHeight="false" outlineLevel="0" collapsed="false">
      <c r="A661" s="8" t="n">
        <f aca="false">A660+1</f>
        <v>46317</v>
      </c>
      <c r="B661" s="25" t="n">
        <f aca="false">YEAR(A661)</f>
        <v>2026</v>
      </c>
      <c r="C661" s="25" t="n">
        <f aca="false">MONTH(A661)</f>
        <v>10</v>
      </c>
      <c r="D661" s="0" t="str">
        <f aca="false">CHOOSE(C661,"Ene","Feb","Mar","Abr","May","Jun","Jul","Ago","Sep","Oct","Nov","Dic")</f>
        <v>Oct</v>
      </c>
      <c r="E661" s="0" t="str">
        <f aca="false">D661&amp;"-"&amp;RIGHT(B661,2)</f>
        <v>Oct-26</v>
      </c>
      <c r="F661" s="0" t="str">
        <f aca="false">"T"&amp;ROUNDUP(C661/3,0)</f>
        <v>T4</v>
      </c>
      <c r="G661" s="35" t="n">
        <f aca="false">DATE(B661,C661,1)</f>
        <v>46296</v>
      </c>
      <c r="H661" s="25" t="n">
        <f aca="false">IF(DAY(A661+1)=1,1,0)</f>
        <v>0</v>
      </c>
    </row>
    <row r="662" customFormat="false" ht="15" hidden="false" customHeight="false" outlineLevel="0" collapsed="false">
      <c r="A662" s="8" t="n">
        <f aca="false">A661+1</f>
        <v>46318</v>
      </c>
      <c r="B662" s="25" t="n">
        <f aca="false">YEAR(A662)</f>
        <v>2026</v>
      </c>
      <c r="C662" s="25" t="n">
        <f aca="false">MONTH(A662)</f>
        <v>10</v>
      </c>
      <c r="D662" s="0" t="str">
        <f aca="false">CHOOSE(C662,"Ene","Feb","Mar","Abr","May","Jun","Jul","Ago","Sep","Oct","Nov","Dic")</f>
        <v>Oct</v>
      </c>
      <c r="E662" s="0" t="str">
        <f aca="false">D662&amp;"-"&amp;RIGHT(B662,2)</f>
        <v>Oct-26</v>
      </c>
      <c r="F662" s="0" t="str">
        <f aca="false">"T"&amp;ROUNDUP(C662/3,0)</f>
        <v>T4</v>
      </c>
      <c r="G662" s="35" t="n">
        <f aca="false">DATE(B662,C662,1)</f>
        <v>46296</v>
      </c>
      <c r="H662" s="25" t="n">
        <f aca="false">IF(DAY(A662+1)=1,1,0)</f>
        <v>0</v>
      </c>
    </row>
    <row r="663" customFormat="false" ht="15" hidden="false" customHeight="false" outlineLevel="0" collapsed="false">
      <c r="A663" s="8" t="n">
        <f aca="false">A662+1</f>
        <v>46319</v>
      </c>
      <c r="B663" s="25" t="n">
        <f aca="false">YEAR(A663)</f>
        <v>2026</v>
      </c>
      <c r="C663" s="25" t="n">
        <f aca="false">MONTH(A663)</f>
        <v>10</v>
      </c>
      <c r="D663" s="0" t="str">
        <f aca="false">CHOOSE(C663,"Ene","Feb","Mar","Abr","May","Jun","Jul","Ago","Sep","Oct","Nov","Dic")</f>
        <v>Oct</v>
      </c>
      <c r="E663" s="0" t="str">
        <f aca="false">D663&amp;"-"&amp;RIGHT(B663,2)</f>
        <v>Oct-26</v>
      </c>
      <c r="F663" s="0" t="str">
        <f aca="false">"T"&amp;ROUNDUP(C663/3,0)</f>
        <v>T4</v>
      </c>
      <c r="G663" s="35" t="n">
        <f aca="false">DATE(B663,C663,1)</f>
        <v>46296</v>
      </c>
      <c r="H663" s="25" t="n">
        <f aca="false">IF(DAY(A663+1)=1,1,0)</f>
        <v>0</v>
      </c>
    </row>
    <row r="664" customFormat="false" ht="15" hidden="false" customHeight="false" outlineLevel="0" collapsed="false">
      <c r="A664" s="8" t="n">
        <f aca="false">A663+1</f>
        <v>46320</v>
      </c>
      <c r="B664" s="25" t="n">
        <f aca="false">YEAR(A664)</f>
        <v>2026</v>
      </c>
      <c r="C664" s="25" t="n">
        <f aca="false">MONTH(A664)</f>
        <v>10</v>
      </c>
      <c r="D664" s="0" t="str">
        <f aca="false">CHOOSE(C664,"Ene","Feb","Mar","Abr","May","Jun","Jul","Ago","Sep","Oct","Nov","Dic")</f>
        <v>Oct</v>
      </c>
      <c r="E664" s="0" t="str">
        <f aca="false">D664&amp;"-"&amp;RIGHT(B664,2)</f>
        <v>Oct-26</v>
      </c>
      <c r="F664" s="0" t="str">
        <f aca="false">"T"&amp;ROUNDUP(C664/3,0)</f>
        <v>T4</v>
      </c>
      <c r="G664" s="35" t="n">
        <f aca="false">DATE(B664,C664,1)</f>
        <v>46296</v>
      </c>
      <c r="H664" s="25" t="n">
        <f aca="false">IF(DAY(A664+1)=1,1,0)</f>
        <v>0</v>
      </c>
    </row>
    <row r="665" customFormat="false" ht="15" hidden="false" customHeight="false" outlineLevel="0" collapsed="false">
      <c r="A665" s="8" t="n">
        <f aca="false">A664+1</f>
        <v>46321</v>
      </c>
      <c r="B665" s="25" t="n">
        <f aca="false">YEAR(A665)</f>
        <v>2026</v>
      </c>
      <c r="C665" s="25" t="n">
        <f aca="false">MONTH(A665)</f>
        <v>10</v>
      </c>
      <c r="D665" s="0" t="str">
        <f aca="false">CHOOSE(C665,"Ene","Feb","Mar","Abr","May","Jun","Jul","Ago","Sep","Oct","Nov","Dic")</f>
        <v>Oct</v>
      </c>
      <c r="E665" s="0" t="str">
        <f aca="false">D665&amp;"-"&amp;RIGHT(B665,2)</f>
        <v>Oct-26</v>
      </c>
      <c r="F665" s="0" t="str">
        <f aca="false">"T"&amp;ROUNDUP(C665/3,0)</f>
        <v>T4</v>
      </c>
      <c r="G665" s="35" t="n">
        <f aca="false">DATE(B665,C665,1)</f>
        <v>46296</v>
      </c>
      <c r="H665" s="25" t="n">
        <f aca="false">IF(DAY(A665+1)=1,1,0)</f>
        <v>0</v>
      </c>
    </row>
    <row r="666" customFormat="false" ht="15" hidden="false" customHeight="false" outlineLevel="0" collapsed="false">
      <c r="A666" s="8" t="n">
        <f aca="false">A665+1</f>
        <v>46322</v>
      </c>
      <c r="B666" s="25" t="n">
        <f aca="false">YEAR(A666)</f>
        <v>2026</v>
      </c>
      <c r="C666" s="25" t="n">
        <f aca="false">MONTH(A666)</f>
        <v>10</v>
      </c>
      <c r="D666" s="0" t="str">
        <f aca="false">CHOOSE(C666,"Ene","Feb","Mar","Abr","May","Jun","Jul","Ago","Sep","Oct","Nov","Dic")</f>
        <v>Oct</v>
      </c>
      <c r="E666" s="0" t="str">
        <f aca="false">D666&amp;"-"&amp;RIGHT(B666,2)</f>
        <v>Oct-26</v>
      </c>
      <c r="F666" s="0" t="str">
        <f aca="false">"T"&amp;ROUNDUP(C666/3,0)</f>
        <v>T4</v>
      </c>
      <c r="G666" s="35" t="n">
        <f aca="false">DATE(B666,C666,1)</f>
        <v>46296</v>
      </c>
      <c r="H666" s="25" t="n">
        <f aca="false">IF(DAY(A666+1)=1,1,0)</f>
        <v>0</v>
      </c>
    </row>
    <row r="667" customFormat="false" ht="15" hidden="false" customHeight="false" outlineLevel="0" collapsed="false">
      <c r="A667" s="8" t="n">
        <f aca="false">A666+1</f>
        <v>46323</v>
      </c>
      <c r="B667" s="25" t="n">
        <f aca="false">YEAR(A667)</f>
        <v>2026</v>
      </c>
      <c r="C667" s="25" t="n">
        <f aca="false">MONTH(A667)</f>
        <v>10</v>
      </c>
      <c r="D667" s="0" t="str">
        <f aca="false">CHOOSE(C667,"Ene","Feb","Mar","Abr","May","Jun","Jul","Ago","Sep","Oct","Nov","Dic")</f>
        <v>Oct</v>
      </c>
      <c r="E667" s="0" t="str">
        <f aca="false">D667&amp;"-"&amp;RIGHT(B667,2)</f>
        <v>Oct-26</v>
      </c>
      <c r="F667" s="0" t="str">
        <f aca="false">"T"&amp;ROUNDUP(C667/3,0)</f>
        <v>T4</v>
      </c>
      <c r="G667" s="35" t="n">
        <f aca="false">DATE(B667,C667,1)</f>
        <v>46296</v>
      </c>
      <c r="H667" s="25" t="n">
        <f aca="false">IF(DAY(A667+1)=1,1,0)</f>
        <v>0</v>
      </c>
    </row>
    <row r="668" customFormat="false" ht="15" hidden="false" customHeight="false" outlineLevel="0" collapsed="false">
      <c r="A668" s="8" t="n">
        <f aca="false">A667+1</f>
        <v>46324</v>
      </c>
      <c r="B668" s="25" t="n">
        <f aca="false">YEAR(A668)</f>
        <v>2026</v>
      </c>
      <c r="C668" s="25" t="n">
        <f aca="false">MONTH(A668)</f>
        <v>10</v>
      </c>
      <c r="D668" s="0" t="str">
        <f aca="false">CHOOSE(C668,"Ene","Feb","Mar","Abr","May","Jun","Jul","Ago","Sep","Oct","Nov","Dic")</f>
        <v>Oct</v>
      </c>
      <c r="E668" s="0" t="str">
        <f aca="false">D668&amp;"-"&amp;RIGHT(B668,2)</f>
        <v>Oct-26</v>
      </c>
      <c r="F668" s="0" t="str">
        <f aca="false">"T"&amp;ROUNDUP(C668/3,0)</f>
        <v>T4</v>
      </c>
      <c r="G668" s="35" t="n">
        <f aca="false">DATE(B668,C668,1)</f>
        <v>46296</v>
      </c>
      <c r="H668" s="25" t="n">
        <f aca="false">IF(DAY(A668+1)=1,1,0)</f>
        <v>0</v>
      </c>
    </row>
    <row r="669" customFormat="false" ht="15" hidden="false" customHeight="false" outlineLevel="0" collapsed="false">
      <c r="A669" s="8" t="n">
        <f aca="false">A668+1</f>
        <v>46325</v>
      </c>
      <c r="B669" s="25" t="n">
        <f aca="false">YEAR(A669)</f>
        <v>2026</v>
      </c>
      <c r="C669" s="25" t="n">
        <f aca="false">MONTH(A669)</f>
        <v>10</v>
      </c>
      <c r="D669" s="0" t="str">
        <f aca="false">CHOOSE(C669,"Ene","Feb","Mar","Abr","May","Jun","Jul","Ago","Sep","Oct","Nov","Dic")</f>
        <v>Oct</v>
      </c>
      <c r="E669" s="0" t="str">
        <f aca="false">D669&amp;"-"&amp;RIGHT(B669,2)</f>
        <v>Oct-26</v>
      </c>
      <c r="F669" s="0" t="str">
        <f aca="false">"T"&amp;ROUNDUP(C669/3,0)</f>
        <v>T4</v>
      </c>
      <c r="G669" s="35" t="n">
        <f aca="false">DATE(B669,C669,1)</f>
        <v>46296</v>
      </c>
      <c r="H669" s="25" t="n">
        <f aca="false">IF(DAY(A669+1)=1,1,0)</f>
        <v>0</v>
      </c>
    </row>
    <row r="670" customFormat="false" ht="15" hidden="false" customHeight="false" outlineLevel="0" collapsed="false">
      <c r="A670" s="8" t="n">
        <f aca="false">A669+1</f>
        <v>46326</v>
      </c>
      <c r="B670" s="25" t="n">
        <f aca="false">YEAR(A670)</f>
        <v>2026</v>
      </c>
      <c r="C670" s="25" t="n">
        <f aca="false">MONTH(A670)</f>
        <v>10</v>
      </c>
      <c r="D670" s="0" t="str">
        <f aca="false">CHOOSE(C670,"Ene","Feb","Mar","Abr","May","Jun","Jul","Ago","Sep","Oct","Nov","Dic")</f>
        <v>Oct</v>
      </c>
      <c r="E670" s="0" t="str">
        <f aca="false">D670&amp;"-"&amp;RIGHT(B670,2)</f>
        <v>Oct-26</v>
      </c>
      <c r="F670" s="0" t="str">
        <f aca="false">"T"&amp;ROUNDUP(C670/3,0)</f>
        <v>T4</v>
      </c>
      <c r="G670" s="35" t="n">
        <f aca="false">DATE(B670,C670,1)</f>
        <v>46296</v>
      </c>
      <c r="H670" s="25" t="n">
        <f aca="false">IF(DAY(A670+1)=1,1,0)</f>
        <v>1</v>
      </c>
    </row>
    <row r="671" customFormat="false" ht="15" hidden="false" customHeight="false" outlineLevel="0" collapsed="false">
      <c r="A671" s="8" t="n">
        <f aca="false">A670+1</f>
        <v>46327</v>
      </c>
      <c r="B671" s="25" t="n">
        <f aca="false">YEAR(A671)</f>
        <v>2026</v>
      </c>
      <c r="C671" s="25" t="n">
        <f aca="false">MONTH(A671)</f>
        <v>11</v>
      </c>
      <c r="D671" s="0" t="str">
        <f aca="false">CHOOSE(C671,"Ene","Feb","Mar","Abr","May","Jun","Jul","Ago","Sep","Oct","Nov","Dic")</f>
        <v>Nov</v>
      </c>
      <c r="E671" s="0" t="str">
        <f aca="false">D671&amp;"-"&amp;RIGHT(B671,2)</f>
        <v>Nov-26</v>
      </c>
      <c r="F671" s="0" t="str">
        <f aca="false">"T"&amp;ROUNDUP(C671/3,0)</f>
        <v>T4</v>
      </c>
      <c r="G671" s="35" t="n">
        <f aca="false">DATE(B671,C671,1)</f>
        <v>46327</v>
      </c>
      <c r="H671" s="25" t="n">
        <f aca="false">IF(DAY(A671+1)=1,1,0)</f>
        <v>0</v>
      </c>
    </row>
    <row r="672" customFormat="false" ht="15" hidden="false" customHeight="false" outlineLevel="0" collapsed="false">
      <c r="A672" s="8" t="n">
        <f aca="false">A671+1</f>
        <v>46328</v>
      </c>
      <c r="B672" s="25" t="n">
        <f aca="false">YEAR(A672)</f>
        <v>2026</v>
      </c>
      <c r="C672" s="25" t="n">
        <f aca="false">MONTH(A672)</f>
        <v>11</v>
      </c>
      <c r="D672" s="0" t="str">
        <f aca="false">CHOOSE(C672,"Ene","Feb","Mar","Abr","May","Jun","Jul","Ago","Sep","Oct","Nov","Dic")</f>
        <v>Nov</v>
      </c>
      <c r="E672" s="0" t="str">
        <f aca="false">D672&amp;"-"&amp;RIGHT(B672,2)</f>
        <v>Nov-26</v>
      </c>
      <c r="F672" s="0" t="str">
        <f aca="false">"T"&amp;ROUNDUP(C672/3,0)</f>
        <v>T4</v>
      </c>
      <c r="G672" s="35" t="n">
        <f aca="false">DATE(B672,C672,1)</f>
        <v>46327</v>
      </c>
      <c r="H672" s="25" t="n">
        <f aca="false">IF(DAY(A672+1)=1,1,0)</f>
        <v>0</v>
      </c>
    </row>
    <row r="673" customFormat="false" ht="15" hidden="false" customHeight="false" outlineLevel="0" collapsed="false">
      <c r="A673" s="8" t="n">
        <f aca="false">A672+1</f>
        <v>46329</v>
      </c>
      <c r="B673" s="25" t="n">
        <f aca="false">YEAR(A673)</f>
        <v>2026</v>
      </c>
      <c r="C673" s="25" t="n">
        <f aca="false">MONTH(A673)</f>
        <v>11</v>
      </c>
      <c r="D673" s="0" t="str">
        <f aca="false">CHOOSE(C673,"Ene","Feb","Mar","Abr","May","Jun","Jul","Ago","Sep","Oct","Nov","Dic")</f>
        <v>Nov</v>
      </c>
      <c r="E673" s="0" t="str">
        <f aca="false">D673&amp;"-"&amp;RIGHT(B673,2)</f>
        <v>Nov-26</v>
      </c>
      <c r="F673" s="0" t="str">
        <f aca="false">"T"&amp;ROUNDUP(C673/3,0)</f>
        <v>T4</v>
      </c>
      <c r="G673" s="35" t="n">
        <f aca="false">DATE(B673,C673,1)</f>
        <v>46327</v>
      </c>
      <c r="H673" s="25" t="n">
        <f aca="false">IF(DAY(A673+1)=1,1,0)</f>
        <v>0</v>
      </c>
    </row>
    <row r="674" customFormat="false" ht="15" hidden="false" customHeight="false" outlineLevel="0" collapsed="false">
      <c r="A674" s="8" t="n">
        <f aca="false">A673+1</f>
        <v>46330</v>
      </c>
      <c r="B674" s="25" t="n">
        <f aca="false">YEAR(A674)</f>
        <v>2026</v>
      </c>
      <c r="C674" s="25" t="n">
        <f aca="false">MONTH(A674)</f>
        <v>11</v>
      </c>
      <c r="D674" s="0" t="str">
        <f aca="false">CHOOSE(C674,"Ene","Feb","Mar","Abr","May","Jun","Jul","Ago","Sep","Oct","Nov","Dic")</f>
        <v>Nov</v>
      </c>
      <c r="E674" s="0" t="str">
        <f aca="false">D674&amp;"-"&amp;RIGHT(B674,2)</f>
        <v>Nov-26</v>
      </c>
      <c r="F674" s="0" t="str">
        <f aca="false">"T"&amp;ROUNDUP(C674/3,0)</f>
        <v>T4</v>
      </c>
      <c r="G674" s="35" t="n">
        <f aca="false">DATE(B674,C674,1)</f>
        <v>46327</v>
      </c>
      <c r="H674" s="25" t="n">
        <f aca="false">IF(DAY(A674+1)=1,1,0)</f>
        <v>0</v>
      </c>
    </row>
    <row r="675" customFormat="false" ht="15" hidden="false" customHeight="false" outlineLevel="0" collapsed="false">
      <c r="A675" s="8" t="n">
        <f aca="false">A674+1</f>
        <v>46331</v>
      </c>
      <c r="B675" s="25" t="n">
        <f aca="false">YEAR(A675)</f>
        <v>2026</v>
      </c>
      <c r="C675" s="25" t="n">
        <f aca="false">MONTH(A675)</f>
        <v>11</v>
      </c>
      <c r="D675" s="0" t="str">
        <f aca="false">CHOOSE(C675,"Ene","Feb","Mar","Abr","May","Jun","Jul","Ago","Sep","Oct","Nov","Dic")</f>
        <v>Nov</v>
      </c>
      <c r="E675" s="0" t="str">
        <f aca="false">D675&amp;"-"&amp;RIGHT(B675,2)</f>
        <v>Nov-26</v>
      </c>
      <c r="F675" s="0" t="str">
        <f aca="false">"T"&amp;ROUNDUP(C675/3,0)</f>
        <v>T4</v>
      </c>
      <c r="G675" s="35" t="n">
        <f aca="false">DATE(B675,C675,1)</f>
        <v>46327</v>
      </c>
      <c r="H675" s="25" t="n">
        <f aca="false">IF(DAY(A675+1)=1,1,0)</f>
        <v>0</v>
      </c>
    </row>
    <row r="676" customFormat="false" ht="15" hidden="false" customHeight="false" outlineLevel="0" collapsed="false">
      <c r="A676" s="8" t="n">
        <f aca="false">A675+1</f>
        <v>46332</v>
      </c>
      <c r="B676" s="25" t="n">
        <f aca="false">YEAR(A676)</f>
        <v>2026</v>
      </c>
      <c r="C676" s="25" t="n">
        <f aca="false">MONTH(A676)</f>
        <v>11</v>
      </c>
      <c r="D676" s="0" t="str">
        <f aca="false">CHOOSE(C676,"Ene","Feb","Mar","Abr","May","Jun","Jul","Ago","Sep","Oct","Nov","Dic")</f>
        <v>Nov</v>
      </c>
      <c r="E676" s="0" t="str">
        <f aca="false">D676&amp;"-"&amp;RIGHT(B676,2)</f>
        <v>Nov-26</v>
      </c>
      <c r="F676" s="0" t="str">
        <f aca="false">"T"&amp;ROUNDUP(C676/3,0)</f>
        <v>T4</v>
      </c>
      <c r="G676" s="35" t="n">
        <f aca="false">DATE(B676,C676,1)</f>
        <v>46327</v>
      </c>
      <c r="H676" s="25" t="n">
        <f aca="false">IF(DAY(A676+1)=1,1,0)</f>
        <v>0</v>
      </c>
    </row>
    <row r="677" customFormat="false" ht="15" hidden="false" customHeight="false" outlineLevel="0" collapsed="false">
      <c r="A677" s="8" t="n">
        <f aca="false">A676+1</f>
        <v>46333</v>
      </c>
      <c r="B677" s="25" t="n">
        <f aca="false">YEAR(A677)</f>
        <v>2026</v>
      </c>
      <c r="C677" s="25" t="n">
        <f aca="false">MONTH(A677)</f>
        <v>11</v>
      </c>
      <c r="D677" s="0" t="str">
        <f aca="false">CHOOSE(C677,"Ene","Feb","Mar","Abr","May","Jun","Jul","Ago","Sep","Oct","Nov","Dic")</f>
        <v>Nov</v>
      </c>
      <c r="E677" s="0" t="str">
        <f aca="false">D677&amp;"-"&amp;RIGHT(B677,2)</f>
        <v>Nov-26</v>
      </c>
      <c r="F677" s="0" t="str">
        <f aca="false">"T"&amp;ROUNDUP(C677/3,0)</f>
        <v>T4</v>
      </c>
      <c r="G677" s="35" t="n">
        <f aca="false">DATE(B677,C677,1)</f>
        <v>46327</v>
      </c>
      <c r="H677" s="25" t="n">
        <f aca="false">IF(DAY(A677+1)=1,1,0)</f>
        <v>0</v>
      </c>
    </row>
    <row r="678" customFormat="false" ht="15" hidden="false" customHeight="false" outlineLevel="0" collapsed="false">
      <c r="A678" s="8" t="n">
        <f aca="false">A677+1</f>
        <v>46334</v>
      </c>
      <c r="B678" s="25" t="n">
        <f aca="false">YEAR(A678)</f>
        <v>2026</v>
      </c>
      <c r="C678" s="25" t="n">
        <f aca="false">MONTH(A678)</f>
        <v>11</v>
      </c>
      <c r="D678" s="0" t="str">
        <f aca="false">CHOOSE(C678,"Ene","Feb","Mar","Abr","May","Jun","Jul","Ago","Sep","Oct","Nov","Dic")</f>
        <v>Nov</v>
      </c>
      <c r="E678" s="0" t="str">
        <f aca="false">D678&amp;"-"&amp;RIGHT(B678,2)</f>
        <v>Nov-26</v>
      </c>
      <c r="F678" s="0" t="str">
        <f aca="false">"T"&amp;ROUNDUP(C678/3,0)</f>
        <v>T4</v>
      </c>
      <c r="G678" s="35" t="n">
        <f aca="false">DATE(B678,C678,1)</f>
        <v>46327</v>
      </c>
      <c r="H678" s="25" t="n">
        <f aca="false">IF(DAY(A678+1)=1,1,0)</f>
        <v>0</v>
      </c>
    </row>
    <row r="679" customFormat="false" ht="15" hidden="false" customHeight="false" outlineLevel="0" collapsed="false">
      <c r="A679" s="8" t="n">
        <f aca="false">A678+1</f>
        <v>46335</v>
      </c>
      <c r="B679" s="25" t="n">
        <f aca="false">YEAR(A679)</f>
        <v>2026</v>
      </c>
      <c r="C679" s="25" t="n">
        <f aca="false">MONTH(A679)</f>
        <v>11</v>
      </c>
      <c r="D679" s="0" t="str">
        <f aca="false">CHOOSE(C679,"Ene","Feb","Mar","Abr","May","Jun","Jul","Ago","Sep","Oct","Nov","Dic")</f>
        <v>Nov</v>
      </c>
      <c r="E679" s="0" t="str">
        <f aca="false">D679&amp;"-"&amp;RIGHT(B679,2)</f>
        <v>Nov-26</v>
      </c>
      <c r="F679" s="0" t="str">
        <f aca="false">"T"&amp;ROUNDUP(C679/3,0)</f>
        <v>T4</v>
      </c>
      <c r="G679" s="35" t="n">
        <f aca="false">DATE(B679,C679,1)</f>
        <v>46327</v>
      </c>
      <c r="H679" s="25" t="n">
        <f aca="false">IF(DAY(A679+1)=1,1,0)</f>
        <v>0</v>
      </c>
    </row>
    <row r="680" customFormat="false" ht="15" hidden="false" customHeight="false" outlineLevel="0" collapsed="false">
      <c r="A680" s="8" t="n">
        <f aca="false">A679+1</f>
        <v>46336</v>
      </c>
      <c r="B680" s="25" t="n">
        <f aca="false">YEAR(A680)</f>
        <v>2026</v>
      </c>
      <c r="C680" s="25" t="n">
        <f aca="false">MONTH(A680)</f>
        <v>11</v>
      </c>
      <c r="D680" s="0" t="str">
        <f aca="false">CHOOSE(C680,"Ene","Feb","Mar","Abr","May","Jun","Jul","Ago","Sep","Oct","Nov","Dic")</f>
        <v>Nov</v>
      </c>
      <c r="E680" s="0" t="str">
        <f aca="false">D680&amp;"-"&amp;RIGHT(B680,2)</f>
        <v>Nov-26</v>
      </c>
      <c r="F680" s="0" t="str">
        <f aca="false">"T"&amp;ROUNDUP(C680/3,0)</f>
        <v>T4</v>
      </c>
      <c r="G680" s="35" t="n">
        <f aca="false">DATE(B680,C680,1)</f>
        <v>46327</v>
      </c>
      <c r="H680" s="25" t="n">
        <f aca="false">IF(DAY(A680+1)=1,1,0)</f>
        <v>0</v>
      </c>
    </row>
    <row r="681" customFormat="false" ht="15" hidden="false" customHeight="false" outlineLevel="0" collapsed="false">
      <c r="A681" s="8" t="n">
        <f aca="false">A680+1</f>
        <v>46337</v>
      </c>
      <c r="B681" s="25" t="n">
        <f aca="false">YEAR(A681)</f>
        <v>2026</v>
      </c>
      <c r="C681" s="25" t="n">
        <f aca="false">MONTH(A681)</f>
        <v>11</v>
      </c>
      <c r="D681" s="0" t="str">
        <f aca="false">CHOOSE(C681,"Ene","Feb","Mar","Abr","May","Jun","Jul","Ago","Sep","Oct","Nov","Dic")</f>
        <v>Nov</v>
      </c>
      <c r="E681" s="0" t="str">
        <f aca="false">D681&amp;"-"&amp;RIGHT(B681,2)</f>
        <v>Nov-26</v>
      </c>
      <c r="F681" s="0" t="str">
        <f aca="false">"T"&amp;ROUNDUP(C681/3,0)</f>
        <v>T4</v>
      </c>
      <c r="G681" s="35" t="n">
        <f aca="false">DATE(B681,C681,1)</f>
        <v>46327</v>
      </c>
      <c r="H681" s="25" t="n">
        <f aca="false">IF(DAY(A681+1)=1,1,0)</f>
        <v>0</v>
      </c>
    </row>
    <row r="682" customFormat="false" ht="15" hidden="false" customHeight="false" outlineLevel="0" collapsed="false">
      <c r="A682" s="8" t="n">
        <f aca="false">A681+1</f>
        <v>46338</v>
      </c>
      <c r="B682" s="25" t="n">
        <f aca="false">YEAR(A682)</f>
        <v>2026</v>
      </c>
      <c r="C682" s="25" t="n">
        <f aca="false">MONTH(A682)</f>
        <v>11</v>
      </c>
      <c r="D682" s="0" t="str">
        <f aca="false">CHOOSE(C682,"Ene","Feb","Mar","Abr","May","Jun","Jul","Ago","Sep","Oct","Nov","Dic")</f>
        <v>Nov</v>
      </c>
      <c r="E682" s="0" t="str">
        <f aca="false">D682&amp;"-"&amp;RIGHT(B682,2)</f>
        <v>Nov-26</v>
      </c>
      <c r="F682" s="0" t="str">
        <f aca="false">"T"&amp;ROUNDUP(C682/3,0)</f>
        <v>T4</v>
      </c>
      <c r="G682" s="35" t="n">
        <f aca="false">DATE(B682,C682,1)</f>
        <v>46327</v>
      </c>
      <c r="H682" s="25" t="n">
        <f aca="false">IF(DAY(A682+1)=1,1,0)</f>
        <v>0</v>
      </c>
    </row>
    <row r="683" customFormat="false" ht="15" hidden="false" customHeight="false" outlineLevel="0" collapsed="false">
      <c r="A683" s="8" t="n">
        <f aca="false">A682+1</f>
        <v>46339</v>
      </c>
      <c r="B683" s="25" t="n">
        <f aca="false">YEAR(A683)</f>
        <v>2026</v>
      </c>
      <c r="C683" s="25" t="n">
        <f aca="false">MONTH(A683)</f>
        <v>11</v>
      </c>
      <c r="D683" s="0" t="str">
        <f aca="false">CHOOSE(C683,"Ene","Feb","Mar","Abr","May","Jun","Jul","Ago","Sep","Oct","Nov","Dic")</f>
        <v>Nov</v>
      </c>
      <c r="E683" s="0" t="str">
        <f aca="false">D683&amp;"-"&amp;RIGHT(B683,2)</f>
        <v>Nov-26</v>
      </c>
      <c r="F683" s="0" t="str">
        <f aca="false">"T"&amp;ROUNDUP(C683/3,0)</f>
        <v>T4</v>
      </c>
      <c r="G683" s="35" t="n">
        <f aca="false">DATE(B683,C683,1)</f>
        <v>46327</v>
      </c>
      <c r="H683" s="25" t="n">
        <f aca="false">IF(DAY(A683+1)=1,1,0)</f>
        <v>0</v>
      </c>
    </row>
    <row r="684" customFormat="false" ht="15" hidden="false" customHeight="false" outlineLevel="0" collapsed="false">
      <c r="A684" s="8" t="n">
        <f aca="false">A683+1</f>
        <v>46340</v>
      </c>
      <c r="B684" s="25" t="n">
        <f aca="false">YEAR(A684)</f>
        <v>2026</v>
      </c>
      <c r="C684" s="25" t="n">
        <f aca="false">MONTH(A684)</f>
        <v>11</v>
      </c>
      <c r="D684" s="0" t="str">
        <f aca="false">CHOOSE(C684,"Ene","Feb","Mar","Abr","May","Jun","Jul","Ago","Sep","Oct","Nov","Dic")</f>
        <v>Nov</v>
      </c>
      <c r="E684" s="0" t="str">
        <f aca="false">D684&amp;"-"&amp;RIGHT(B684,2)</f>
        <v>Nov-26</v>
      </c>
      <c r="F684" s="0" t="str">
        <f aca="false">"T"&amp;ROUNDUP(C684/3,0)</f>
        <v>T4</v>
      </c>
      <c r="G684" s="35" t="n">
        <f aca="false">DATE(B684,C684,1)</f>
        <v>46327</v>
      </c>
      <c r="H684" s="25" t="n">
        <f aca="false">IF(DAY(A684+1)=1,1,0)</f>
        <v>0</v>
      </c>
    </row>
    <row r="685" customFormat="false" ht="15" hidden="false" customHeight="false" outlineLevel="0" collapsed="false">
      <c r="A685" s="8" t="n">
        <f aca="false">A684+1</f>
        <v>46341</v>
      </c>
      <c r="B685" s="25" t="n">
        <f aca="false">YEAR(A685)</f>
        <v>2026</v>
      </c>
      <c r="C685" s="25" t="n">
        <f aca="false">MONTH(A685)</f>
        <v>11</v>
      </c>
      <c r="D685" s="0" t="str">
        <f aca="false">CHOOSE(C685,"Ene","Feb","Mar","Abr","May","Jun","Jul","Ago","Sep","Oct","Nov","Dic")</f>
        <v>Nov</v>
      </c>
      <c r="E685" s="0" t="str">
        <f aca="false">D685&amp;"-"&amp;RIGHT(B685,2)</f>
        <v>Nov-26</v>
      </c>
      <c r="F685" s="0" t="str">
        <f aca="false">"T"&amp;ROUNDUP(C685/3,0)</f>
        <v>T4</v>
      </c>
      <c r="G685" s="35" t="n">
        <f aca="false">DATE(B685,C685,1)</f>
        <v>46327</v>
      </c>
      <c r="H685" s="25" t="n">
        <f aca="false">IF(DAY(A685+1)=1,1,0)</f>
        <v>0</v>
      </c>
    </row>
    <row r="686" customFormat="false" ht="15" hidden="false" customHeight="false" outlineLevel="0" collapsed="false">
      <c r="A686" s="8" t="n">
        <f aca="false">A685+1</f>
        <v>46342</v>
      </c>
      <c r="B686" s="25" t="n">
        <f aca="false">YEAR(A686)</f>
        <v>2026</v>
      </c>
      <c r="C686" s="25" t="n">
        <f aca="false">MONTH(A686)</f>
        <v>11</v>
      </c>
      <c r="D686" s="0" t="str">
        <f aca="false">CHOOSE(C686,"Ene","Feb","Mar","Abr","May","Jun","Jul","Ago","Sep","Oct","Nov","Dic")</f>
        <v>Nov</v>
      </c>
      <c r="E686" s="0" t="str">
        <f aca="false">D686&amp;"-"&amp;RIGHT(B686,2)</f>
        <v>Nov-26</v>
      </c>
      <c r="F686" s="0" t="str">
        <f aca="false">"T"&amp;ROUNDUP(C686/3,0)</f>
        <v>T4</v>
      </c>
      <c r="G686" s="35" t="n">
        <f aca="false">DATE(B686,C686,1)</f>
        <v>46327</v>
      </c>
      <c r="H686" s="25" t="n">
        <f aca="false">IF(DAY(A686+1)=1,1,0)</f>
        <v>0</v>
      </c>
    </row>
    <row r="687" customFormat="false" ht="15" hidden="false" customHeight="false" outlineLevel="0" collapsed="false">
      <c r="A687" s="8" t="n">
        <f aca="false">A686+1</f>
        <v>46343</v>
      </c>
      <c r="B687" s="25" t="n">
        <f aca="false">YEAR(A687)</f>
        <v>2026</v>
      </c>
      <c r="C687" s="25" t="n">
        <f aca="false">MONTH(A687)</f>
        <v>11</v>
      </c>
      <c r="D687" s="0" t="str">
        <f aca="false">CHOOSE(C687,"Ene","Feb","Mar","Abr","May","Jun","Jul","Ago","Sep","Oct","Nov","Dic")</f>
        <v>Nov</v>
      </c>
      <c r="E687" s="0" t="str">
        <f aca="false">D687&amp;"-"&amp;RIGHT(B687,2)</f>
        <v>Nov-26</v>
      </c>
      <c r="F687" s="0" t="str">
        <f aca="false">"T"&amp;ROUNDUP(C687/3,0)</f>
        <v>T4</v>
      </c>
      <c r="G687" s="35" t="n">
        <f aca="false">DATE(B687,C687,1)</f>
        <v>46327</v>
      </c>
      <c r="H687" s="25" t="n">
        <f aca="false">IF(DAY(A687+1)=1,1,0)</f>
        <v>0</v>
      </c>
    </row>
    <row r="688" customFormat="false" ht="15" hidden="false" customHeight="false" outlineLevel="0" collapsed="false">
      <c r="A688" s="8" t="n">
        <f aca="false">A687+1</f>
        <v>46344</v>
      </c>
      <c r="B688" s="25" t="n">
        <f aca="false">YEAR(A688)</f>
        <v>2026</v>
      </c>
      <c r="C688" s="25" t="n">
        <f aca="false">MONTH(A688)</f>
        <v>11</v>
      </c>
      <c r="D688" s="0" t="str">
        <f aca="false">CHOOSE(C688,"Ene","Feb","Mar","Abr","May","Jun","Jul","Ago","Sep","Oct","Nov","Dic")</f>
        <v>Nov</v>
      </c>
      <c r="E688" s="0" t="str">
        <f aca="false">D688&amp;"-"&amp;RIGHT(B688,2)</f>
        <v>Nov-26</v>
      </c>
      <c r="F688" s="0" t="str">
        <f aca="false">"T"&amp;ROUNDUP(C688/3,0)</f>
        <v>T4</v>
      </c>
      <c r="G688" s="35" t="n">
        <f aca="false">DATE(B688,C688,1)</f>
        <v>46327</v>
      </c>
      <c r="H688" s="25" t="n">
        <f aca="false">IF(DAY(A688+1)=1,1,0)</f>
        <v>0</v>
      </c>
    </row>
    <row r="689" customFormat="false" ht="15" hidden="false" customHeight="false" outlineLevel="0" collapsed="false">
      <c r="A689" s="8" t="n">
        <f aca="false">A688+1</f>
        <v>46345</v>
      </c>
      <c r="B689" s="25" t="n">
        <f aca="false">YEAR(A689)</f>
        <v>2026</v>
      </c>
      <c r="C689" s="25" t="n">
        <f aca="false">MONTH(A689)</f>
        <v>11</v>
      </c>
      <c r="D689" s="0" t="str">
        <f aca="false">CHOOSE(C689,"Ene","Feb","Mar","Abr","May","Jun","Jul","Ago","Sep","Oct","Nov","Dic")</f>
        <v>Nov</v>
      </c>
      <c r="E689" s="0" t="str">
        <f aca="false">D689&amp;"-"&amp;RIGHT(B689,2)</f>
        <v>Nov-26</v>
      </c>
      <c r="F689" s="0" t="str">
        <f aca="false">"T"&amp;ROUNDUP(C689/3,0)</f>
        <v>T4</v>
      </c>
      <c r="G689" s="35" t="n">
        <f aca="false">DATE(B689,C689,1)</f>
        <v>46327</v>
      </c>
      <c r="H689" s="25" t="n">
        <f aca="false">IF(DAY(A689+1)=1,1,0)</f>
        <v>0</v>
      </c>
    </row>
    <row r="690" customFormat="false" ht="15" hidden="false" customHeight="false" outlineLevel="0" collapsed="false">
      <c r="A690" s="8" t="n">
        <f aca="false">A689+1</f>
        <v>46346</v>
      </c>
      <c r="B690" s="25" t="n">
        <f aca="false">YEAR(A690)</f>
        <v>2026</v>
      </c>
      <c r="C690" s="25" t="n">
        <f aca="false">MONTH(A690)</f>
        <v>11</v>
      </c>
      <c r="D690" s="0" t="str">
        <f aca="false">CHOOSE(C690,"Ene","Feb","Mar","Abr","May","Jun","Jul","Ago","Sep","Oct","Nov","Dic")</f>
        <v>Nov</v>
      </c>
      <c r="E690" s="0" t="str">
        <f aca="false">D690&amp;"-"&amp;RIGHT(B690,2)</f>
        <v>Nov-26</v>
      </c>
      <c r="F690" s="0" t="str">
        <f aca="false">"T"&amp;ROUNDUP(C690/3,0)</f>
        <v>T4</v>
      </c>
      <c r="G690" s="35" t="n">
        <f aca="false">DATE(B690,C690,1)</f>
        <v>46327</v>
      </c>
      <c r="H690" s="25" t="n">
        <f aca="false">IF(DAY(A690+1)=1,1,0)</f>
        <v>0</v>
      </c>
    </row>
    <row r="691" customFormat="false" ht="15" hidden="false" customHeight="false" outlineLevel="0" collapsed="false">
      <c r="A691" s="8" t="n">
        <f aca="false">A690+1</f>
        <v>46347</v>
      </c>
      <c r="B691" s="25" t="n">
        <f aca="false">YEAR(A691)</f>
        <v>2026</v>
      </c>
      <c r="C691" s="25" t="n">
        <f aca="false">MONTH(A691)</f>
        <v>11</v>
      </c>
      <c r="D691" s="0" t="str">
        <f aca="false">CHOOSE(C691,"Ene","Feb","Mar","Abr","May","Jun","Jul","Ago","Sep","Oct","Nov","Dic")</f>
        <v>Nov</v>
      </c>
      <c r="E691" s="0" t="str">
        <f aca="false">D691&amp;"-"&amp;RIGHT(B691,2)</f>
        <v>Nov-26</v>
      </c>
      <c r="F691" s="0" t="str">
        <f aca="false">"T"&amp;ROUNDUP(C691/3,0)</f>
        <v>T4</v>
      </c>
      <c r="G691" s="35" t="n">
        <f aca="false">DATE(B691,C691,1)</f>
        <v>46327</v>
      </c>
      <c r="H691" s="25" t="n">
        <f aca="false">IF(DAY(A691+1)=1,1,0)</f>
        <v>0</v>
      </c>
    </row>
    <row r="692" customFormat="false" ht="15" hidden="false" customHeight="false" outlineLevel="0" collapsed="false">
      <c r="A692" s="8" t="n">
        <f aca="false">A691+1</f>
        <v>46348</v>
      </c>
      <c r="B692" s="25" t="n">
        <f aca="false">YEAR(A692)</f>
        <v>2026</v>
      </c>
      <c r="C692" s="25" t="n">
        <f aca="false">MONTH(A692)</f>
        <v>11</v>
      </c>
      <c r="D692" s="0" t="str">
        <f aca="false">CHOOSE(C692,"Ene","Feb","Mar","Abr","May","Jun","Jul","Ago","Sep","Oct","Nov","Dic")</f>
        <v>Nov</v>
      </c>
      <c r="E692" s="0" t="str">
        <f aca="false">D692&amp;"-"&amp;RIGHT(B692,2)</f>
        <v>Nov-26</v>
      </c>
      <c r="F692" s="0" t="str">
        <f aca="false">"T"&amp;ROUNDUP(C692/3,0)</f>
        <v>T4</v>
      </c>
      <c r="G692" s="35" t="n">
        <f aca="false">DATE(B692,C692,1)</f>
        <v>46327</v>
      </c>
      <c r="H692" s="25" t="n">
        <f aca="false">IF(DAY(A692+1)=1,1,0)</f>
        <v>0</v>
      </c>
    </row>
    <row r="693" customFormat="false" ht="15" hidden="false" customHeight="false" outlineLevel="0" collapsed="false">
      <c r="A693" s="8" t="n">
        <f aca="false">A692+1</f>
        <v>46349</v>
      </c>
      <c r="B693" s="25" t="n">
        <f aca="false">YEAR(A693)</f>
        <v>2026</v>
      </c>
      <c r="C693" s="25" t="n">
        <f aca="false">MONTH(A693)</f>
        <v>11</v>
      </c>
      <c r="D693" s="0" t="str">
        <f aca="false">CHOOSE(C693,"Ene","Feb","Mar","Abr","May","Jun","Jul","Ago","Sep","Oct","Nov","Dic")</f>
        <v>Nov</v>
      </c>
      <c r="E693" s="0" t="str">
        <f aca="false">D693&amp;"-"&amp;RIGHT(B693,2)</f>
        <v>Nov-26</v>
      </c>
      <c r="F693" s="0" t="str">
        <f aca="false">"T"&amp;ROUNDUP(C693/3,0)</f>
        <v>T4</v>
      </c>
      <c r="G693" s="35" t="n">
        <f aca="false">DATE(B693,C693,1)</f>
        <v>46327</v>
      </c>
      <c r="H693" s="25" t="n">
        <f aca="false">IF(DAY(A693+1)=1,1,0)</f>
        <v>0</v>
      </c>
    </row>
    <row r="694" customFormat="false" ht="15" hidden="false" customHeight="false" outlineLevel="0" collapsed="false">
      <c r="A694" s="8" t="n">
        <f aca="false">A693+1</f>
        <v>46350</v>
      </c>
      <c r="B694" s="25" t="n">
        <f aca="false">YEAR(A694)</f>
        <v>2026</v>
      </c>
      <c r="C694" s="25" t="n">
        <f aca="false">MONTH(A694)</f>
        <v>11</v>
      </c>
      <c r="D694" s="0" t="str">
        <f aca="false">CHOOSE(C694,"Ene","Feb","Mar","Abr","May","Jun","Jul","Ago","Sep","Oct","Nov","Dic")</f>
        <v>Nov</v>
      </c>
      <c r="E694" s="0" t="str">
        <f aca="false">D694&amp;"-"&amp;RIGHT(B694,2)</f>
        <v>Nov-26</v>
      </c>
      <c r="F694" s="0" t="str">
        <f aca="false">"T"&amp;ROUNDUP(C694/3,0)</f>
        <v>T4</v>
      </c>
      <c r="G694" s="35" t="n">
        <f aca="false">DATE(B694,C694,1)</f>
        <v>46327</v>
      </c>
      <c r="H694" s="25" t="n">
        <f aca="false">IF(DAY(A694+1)=1,1,0)</f>
        <v>0</v>
      </c>
    </row>
    <row r="695" customFormat="false" ht="15" hidden="false" customHeight="false" outlineLevel="0" collapsed="false">
      <c r="A695" s="8" t="n">
        <f aca="false">A694+1</f>
        <v>46351</v>
      </c>
      <c r="B695" s="25" t="n">
        <f aca="false">YEAR(A695)</f>
        <v>2026</v>
      </c>
      <c r="C695" s="25" t="n">
        <f aca="false">MONTH(A695)</f>
        <v>11</v>
      </c>
      <c r="D695" s="0" t="str">
        <f aca="false">CHOOSE(C695,"Ene","Feb","Mar","Abr","May","Jun","Jul","Ago","Sep","Oct","Nov","Dic")</f>
        <v>Nov</v>
      </c>
      <c r="E695" s="0" t="str">
        <f aca="false">D695&amp;"-"&amp;RIGHT(B695,2)</f>
        <v>Nov-26</v>
      </c>
      <c r="F695" s="0" t="str">
        <f aca="false">"T"&amp;ROUNDUP(C695/3,0)</f>
        <v>T4</v>
      </c>
      <c r="G695" s="35" t="n">
        <f aca="false">DATE(B695,C695,1)</f>
        <v>46327</v>
      </c>
      <c r="H695" s="25" t="n">
        <f aca="false">IF(DAY(A695+1)=1,1,0)</f>
        <v>0</v>
      </c>
    </row>
    <row r="696" customFormat="false" ht="15" hidden="false" customHeight="false" outlineLevel="0" collapsed="false">
      <c r="A696" s="8" t="n">
        <f aca="false">A695+1</f>
        <v>46352</v>
      </c>
      <c r="B696" s="25" t="n">
        <f aca="false">YEAR(A696)</f>
        <v>2026</v>
      </c>
      <c r="C696" s="25" t="n">
        <f aca="false">MONTH(A696)</f>
        <v>11</v>
      </c>
      <c r="D696" s="0" t="str">
        <f aca="false">CHOOSE(C696,"Ene","Feb","Mar","Abr","May","Jun","Jul","Ago","Sep","Oct","Nov","Dic")</f>
        <v>Nov</v>
      </c>
      <c r="E696" s="0" t="str">
        <f aca="false">D696&amp;"-"&amp;RIGHT(B696,2)</f>
        <v>Nov-26</v>
      </c>
      <c r="F696" s="0" t="str">
        <f aca="false">"T"&amp;ROUNDUP(C696/3,0)</f>
        <v>T4</v>
      </c>
      <c r="G696" s="35" t="n">
        <f aca="false">DATE(B696,C696,1)</f>
        <v>46327</v>
      </c>
      <c r="H696" s="25" t="n">
        <f aca="false">IF(DAY(A696+1)=1,1,0)</f>
        <v>0</v>
      </c>
    </row>
    <row r="697" customFormat="false" ht="15" hidden="false" customHeight="false" outlineLevel="0" collapsed="false">
      <c r="A697" s="8" t="n">
        <f aca="false">A696+1</f>
        <v>46353</v>
      </c>
      <c r="B697" s="25" t="n">
        <f aca="false">YEAR(A697)</f>
        <v>2026</v>
      </c>
      <c r="C697" s="25" t="n">
        <f aca="false">MONTH(A697)</f>
        <v>11</v>
      </c>
      <c r="D697" s="0" t="str">
        <f aca="false">CHOOSE(C697,"Ene","Feb","Mar","Abr","May","Jun","Jul","Ago","Sep","Oct","Nov","Dic")</f>
        <v>Nov</v>
      </c>
      <c r="E697" s="0" t="str">
        <f aca="false">D697&amp;"-"&amp;RIGHT(B697,2)</f>
        <v>Nov-26</v>
      </c>
      <c r="F697" s="0" t="str">
        <f aca="false">"T"&amp;ROUNDUP(C697/3,0)</f>
        <v>T4</v>
      </c>
      <c r="G697" s="35" t="n">
        <f aca="false">DATE(B697,C697,1)</f>
        <v>46327</v>
      </c>
      <c r="H697" s="25" t="n">
        <f aca="false">IF(DAY(A697+1)=1,1,0)</f>
        <v>0</v>
      </c>
    </row>
    <row r="698" customFormat="false" ht="15" hidden="false" customHeight="false" outlineLevel="0" collapsed="false">
      <c r="A698" s="8" t="n">
        <f aca="false">A697+1</f>
        <v>46354</v>
      </c>
      <c r="B698" s="25" t="n">
        <f aca="false">YEAR(A698)</f>
        <v>2026</v>
      </c>
      <c r="C698" s="25" t="n">
        <f aca="false">MONTH(A698)</f>
        <v>11</v>
      </c>
      <c r="D698" s="0" t="str">
        <f aca="false">CHOOSE(C698,"Ene","Feb","Mar","Abr","May","Jun","Jul","Ago","Sep","Oct","Nov","Dic")</f>
        <v>Nov</v>
      </c>
      <c r="E698" s="0" t="str">
        <f aca="false">D698&amp;"-"&amp;RIGHT(B698,2)</f>
        <v>Nov-26</v>
      </c>
      <c r="F698" s="0" t="str">
        <f aca="false">"T"&amp;ROUNDUP(C698/3,0)</f>
        <v>T4</v>
      </c>
      <c r="G698" s="35" t="n">
        <f aca="false">DATE(B698,C698,1)</f>
        <v>46327</v>
      </c>
      <c r="H698" s="25" t="n">
        <f aca="false">IF(DAY(A698+1)=1,1,0)</f>
        <v>0</v>
      </c>
    </row>
    <row r="699" customFormat="false" ht="15" hidden="false" customHeight="false" outlineLevel="0" collapsed="false">
      <c r="A699" s="8" t="n">
        <f aca="false">A698+1</f>
        <v>46355</v>
      </c>
      <c r="B699" s="25" t="n">
        <f aca="false">YEAR(A699)</f>
        <v>2026</v>
      </c>
      <c r="C699" s="25" t="n">
        <f aca="false">MONTH(A699)</f>
        <v>11</v>
      </c>
      <c r="D699" s="0" t="str">
        <f aca="false">CHOOSE(C699,"Ene","Feb","Mar","Abr","May","Jun","Jul","Ago","Sep","Oct","Nov","Dic")</f>
        <v>Nov</v>
      </c>
      <c r="E699" s="0" t="str">
        <f aca="false">D699&amp;"-"&amp;RIGHT(B699,2)</f>
        <v>Nov-26</v>
      </c>
      <c r="F699" s="0" t="str">
        <f aca="false">"T"&amp;ROUNDUP(C699/3,0)</f>
        <v>T4</v>
      </c>
      <c r="G699" s="35" t="n">
        <f aca="false">DATE(B699,C699,1)</f>
        <v>46327</v>
      </c>
      <c r="H699" s="25" t="n">
        <f aca="false">IF(DAY(A699+1)=1,1,0)</f>
        <v>0</v>
      </c>
    </row>
    <row r="700" customFormat="false" ht="15" hidden="false" customHeight="false" outlineLevel="0" collapsed="false">
      <c r="A700" s="8" t="n">
        <f aca="false">A699+1</f>
        <v>46356</v>
      </c>
      <c r="B700" s="25" t="n">
        <f aca="false">YEAR(A700)</f>
        <v>2026</v>
      </c>
      <c r="C700" s="25" t="n">
        <f aca="false">MONTH(A700)</f>
        <v>11</v>
      </c>
      <c r="D700" s="0" t="str">
        <f aca="false">CHOOSE(C700,"Ene","Feb","Mar","Abr","May","Jun","Jul","Ago","Sep","Oct","Nov","Dic")</f>
        <v>Nov</v>
      </c>
      <c r="E700" s="0" t="str">
        <f aca="false">D700&amp;"-"&amp;RIGHT(B700,2)</f>
        <v>Nov-26</v>
      </c>
      <c r="F700" s="0" t="str">
        <f aca="false">"T"&amp;ROUNDUP(C700/3,0)</f>
        <v>T4</v>
      </c>
      <c r="G700" s="35" t="n">
        <f aca="false">DATE(B700,C700,1)</f>
        <v>46327</v>
      </c>
      <c r="H700" s="25" t="n">
        <f aca="false">IF(DAY(A700+1)=1,1,0)</f>
        <v>1</v>
      </c>
    </row>
    <row r="701" customFormat="false" ht="15" hidden="false" customHeight="false" outlineLevel="0" collapsed="false">
      <c r="A701" s="8" t="n">
        <f aca="false">A700+1</f>
        <v>46357</v>
      </c>
      <c r="B701" s="25" t="n">
        <f aca="false">YEAR(A701)</f>
        <v>2026</v>
      </c>
      <c r="C701" s="25" t="n">
        <f aca="false">MONTH(A701)</f>
        <v>12</v>
      </c>
      <c r="D701" s="0" t="str">
        <f aca="false">CHOOSE(C701,"Ene","Feb","Mar","Abr","May","Jun","Jul","Ago","Sep","Oct","Nov","Dic")</f>
        <v>Dic</v>
      </c>
      <c r="E701" s="0" t="str">
        <f aca="false">D701&amp;"-"&amp;RIGHT(B701,2)</f>
        <v>Dic-26</v>
      </c>
      <c r="F701" s="0" t="str">
        <f aca="false">"T"&amp;ROUNDUP(C701/3,0)</f>
        <v>T4</v>
      </c>
      <c r="G701" s="35" t="n">
        <f aca="false">DATE(B701,C701,1)</f>
        <v>46357</v>
      </c>
      <c r="H701" s="25" t="n">
        <f aca="false">IF(DAY(A701+1)=1,1,0)</f>
        <v>0</v>
      </c>
    </row>
    <row r="702" customFormat="false" ht="15" hidden="false" customHeight="false" outlineLevel="0" collapsed="false">
      <c r="A702" s="8" t="n">
        <f aca="false">A701+1</f>
        <v>46358</v>
      </c>
      <c r="B702" s="25" t="n">
        <f aca="false">YEAR(A702)</f>
        <v>2026</v>
      </c>
      <c r="C702" s="25" t="n">
        <f aca="false">MONTH(A702)</f>
        <v>12</v>
      </c>
      <c r="D702" s="0" t="str">
        <f aca="false">CHOOSE(C702,"Ene","Feb","Mar","Abr","May","Jun","Jul","Ago","Sep","Oct","Nov","Dic")</f>
        <v>Dic</v>
      </c>
      <c r="E702" s="0" t="str">
        <f aca="false">D702&amp;"-"&amp;RIGHT(B702,2)</f>
        <v>Dic-26</v>
      </c>
      <c r="F702" s="0" t="str">
        <f aca="false">"T"&amp;ROUNDUP(C702/3,0)</f>
        <v>T4</v>
      </c>
      <c r="G702" s="35" t="n">
        <f aca="false">DATE(B702,C702,1)</f>
        <v>46357</v>
      </c>
      <c r="H702" s="25" t="n">
        <f aca="false">IF(DAY(A702+1)=1,1,0)</f>
        <v>0</v>
      </c>
    </row>
    <row r="703" customFormat="false" ht="15" hidden="false" customHeight="false" outlineLevel="0" collapsed="false">
      <c r="A703" s="8" t="n">
        <f aca="false">A702+1</f>
        <v>46359</v>
      </c>
      <c r="B703" s="25" t="n">
        <f aca="false">YEAR(A703)</f>
        <v>2026</v>
      </c>
      <c r="C703" s="25" t="n">
        <f aca="false">MONTH(A703)</f>
        <v>12</v>
      </c>
      <c r="D703" s="0" t="str">
        <f aca="false">CHOOSE(C703,"Ene","Feb","Mar","Abr","May","Jun","Jul","Ago","Sep","Oct","Nov","Dic")</f>
        <v>Dic</v>
      </c>
      <c r="E703" s="0" t="str">
        <f aca="false">D703&amp;"-"&amp;RIGHT(B703,2)</f>
        <v>Dic-26</v>
      </c>
      <c r="F703" s="0" t="str">
        <f aca="false">"T"&amp;ROUNDUP(C703/3,0)</f>
        <v>T4</v>
      </c>
      <c r="G703" s="35" t="n">
        <f aca="false">DATE(B703,C703,1)</f>
        <v>46357</v>
      </c>
      <c r="H703" s="25" t="n">
        <f aca="false">IF(DAY(A703+1)=1,1,0)</f>
        <v>0</v>
      </c>
    </row>
    <row r="704" customFormat="false" ht="15" hidden="false" customHeight="false" outlineLevel="0" collapsed="false">
      <c r="A704" s="8" t="n">
        <f aca="false">A703+1</f>
        <v>46360</v>
      </c>
      <c r="B704" s="25" t="n">
        <f aca="false">YEAR(A704)</f>
        <v>2026</v>
      </c>
      <c r="C704" s="25" t="n">
        <f aca="false">MONTH(A704)</f>
        <v>12</v>
      </c>
      <c r="D704" s="0" t="str">
        <f aca="false">CHOOSE(C704,"Ene","Feb","Mar","Abr","May","Jun","Jul","Ago","Sep","Oct","Nov","Dic")</f>
        <v>Dic</v>
      </c>
      <c r="E704" s="0" t="str">
        <f aca="false">D704&amp;"-"&amp;RIGHT(B704,2)</f>
        <v>Dic-26</v>
      </c>
      <c r="F704" s="0" t="str">
        <f aca="false">"T"&amp;ROUNDUP(C704/3,0)</f>
        <v>T4</v>
      </c>
      <c r="G704" s="35" t="n">
        <f aca="false">DATE(B704,C704,1)</f>
        <v>46357</v>
      </c>
      <c r="H704" s="25" t="n">
        <f aca="false">IF(DAY(A704+1)=1,1,0)</f>
        <v>0</v>
      </c>
    </row>
    <row r="705" customFormat="false" ht="15" hidden="false" customHeight="false" outlineLevel="0" collapsed="false">
      <c r="A705" s="8" t="n">
        <f aca="false">A704+1</f>
        <v>46361</v>
      </c>
      <c r="B705" s="25" t="n">
        <f aca="false">YEAR(A705)</f>
        <v>2026</v>
      </c>
      <c r="C705" s="25" t="n">
        <f aca="false">MONTH(A705)</f>
        <v>12</v>
      </c>
      <c r="D705" s="0" t="str">
        <f aca="false">CHOOSE(C705,"Ene","Feb","Mar","Abr","May","Jun","Jul","Ago","Sep","Oct","Nov","Dic")</f>
        <v>Dic</v>
      </c>
      <c r="E705" s="0" t="str">
        <f aca="false">D705&amp;"-"&amp;RIGHT(B705,2)</f>
        <v>Dic-26</v>
      </c>
      <c r="F705" s="0" t="str">
        <f aca="false">"T"&amp;ROUNDUP(C705/3,0)</f>
        <v>T4</v>
      </c>
      <c r="G705" s="35" t="n">
        <f aca="false">DATE(B705,C705,1)</f>
        <v>46357</v>
      </c>
      <c r="H705" s="25" t="n">
        <f aca="false">IF(DAY(A705+1)=1,1,0)</f>
        <v>0</v>
      </c>
    </row>
    <row r="706" customFormat="false" ht="15" hidden="false" customHeight="false" outlineLevel="0" collapsed="false">
      <c r="A706" s="8" t="n">
        <f aca="false">A705+1</f>
        <v>46362</v>
      </c>
      <c r="B706" s="25" t="n">
        <f aca="false">YEAR(A706)</f>
        <v>2026</v>
      </c>
      <c r="C706" s="25" t="n">
        <f aca="false">MONTH(A706)</f>
        <v>12</v>
      </c>
      <c r="D706" s="0" t="str">
        <f aca="false">CHOOSE(C706,"Ene","Feb","Mar","Abr","May","Jun","Jul","Ago","Sep","Oct","Nov","Dic")</f>
        <v>Dic</v>
      </c>
      <c r="E706" s="0" t="str">
        <f aca="false">D706&amp;"-"&amp;RIGHT(B706,2)</f>
        <v>Dic-26</v>
      </c>
      <c r="F706" s="0" t="str">
        <f aca="false">"T"&amp;ROUNDUP(C706/3,0)</f>
        <v>T4</v>
      </c>
      <c r="G706" s="35" t="n">
        <f aca="false">DATE(B706,C706,1)</f>
        <v>46357</v>
      </c>
      <c r="H706" s="25" t="n">
        <f aca="false">IF(DAY(A706+1)=1,1,0)</f>
        <v>0</v>
      </c>
    </row>
    <row r="707" customFormat="false" ht="15" hidden="false" customHeight="false" outlineLevel="0" collapsed="false">
      <c r="A707" s="8" t="n">
        <f aca="false">A706+1</f>
        <v>46363</v>
      </c>
      <c r="B707" s="25" t="n">
        <f aca="false">YEAR(A707)</f>
        <v>2026</v>
      </c>
      <c r="C707" s="25" t="n">
        <f aca="false">MONTH(A707)</f>
        <v>12</v>
      </c>
      <c r="D707" s="0" t="str">
        <f aca="false">CHOOSE(C707,"Ene","Feb","Mar","Abr","May","Jun","Jul","Ago","Sep","Oct","Nov","Dic")</f>
        <v>Dic</v>
      </c>
      <c r="E707" s="0" t="str">
        <f aca="false">D707&amp;"-"&amp;RIGHT(B707,2)</f>
        <v>Dic-26</v>
      </c>
      <c r="F707" s="0" t="str">
        <f aca="false">"T"&amp;ROUNDUP(C707/3,0)</f>
        <v>T4</v>
      </c>
      <c r="G707" s="35" t="n">
        <f aca="false">DATE(B707,C707,1)</f>
        <v>46357</v>
      </c>
      <c r="H707" s="25" t="n">
        <f aca="false">IF(DAY(A707+1)=1,1,0)</f>
        <v>0</v>
      </c>
    </row>
    <row r="708" customFormat="false" ht="15" hidden="false" customHeight="false" outlineLevel="0" collapsed="false">
      <c r="A708" s="8" t="n">
        <f aca="false">A707+1</f>
        <v>46364</v>
      </c>
      <c r="B708" s="25" t="n">
        <f aca="false">YEAR(A708)</f>
        <v>2026</v>
      </c>
      <c r="C708" s="25" t="n">
        <f aca="false">MONTH(A708)</f>
        <v>12</v>
      </c>
      <c r="D708" s="0" t="str">
        <f aca="false">CHOOSE(C708,"Ene","Feb","Mar","Abr","May","Jun","Jul","Ago","Sep","Oct","Nov","Dic")</f>
        <v>Dic</v>
      </c>
      <c r="E708" s="0" t="str">
        <f aca="false">D708&amp;"-"&amp;RIGHT(B708,2)</f>
        <v>Dic-26</v>
      </c>
      <c r="F708" s="0" t="str">
        <f aca="false">"T"&amp;ROUNDUP(C708/3,0)</f>
        <v>T4</v>
      </c>
      <c r="G708" s="35" t="n">
        <f aca="false">DATE(B708,C708,1)</f>
        <v>46357</v>
      </c>
      <c r="H708" s="25" t="n">
        <f aca="false">IF(DAY(A708+1)=1,1,0)</f>
        <v>0</v>
      </c>
    </row>
    <row r="709" customFormat="false" ht="15" hidden="false" customHeight="false" outlineLevel="0" collapsed="false">
      <c r="A709" s="8" t="n">
        <f aca="false">A708+1</f>
        <v>46365</v>
      </c>
      <c r="B709" s="25" t="n">
        <f aca="false">YEAR(A709)</f>
        <v>2026</v>
      </c>
      <c r="C709" s="25" t="n">
        <f aca="false">MONTH(A709)</f>
        <v>12</v>
      </c>
      <c r="D709" s="0" t="str">
        <f aca="false">CHOOSE(C709,"Ene","Feb","Mar","Abr","May","Jun","Jul","Ago","Sep","Oct","Nov","Dic")</f>
        <v>Dic</v>
      </c>
      <c r="E709" s="0" t="str">
        <f aca="false">D709&amp;"-"&amp;RIGHT(B709,2)</f>
        <v>Dic-26</v>
      </c>
      <c r="F709" s="0" t="str">
        <f aca="false">"T"&amp;ROUNDUP(C709/3,0)</f>
        <v>T4</v>
      </c>
      <c r="G709" s="35" t="n">
        <f aca="false">DATE(B709,C709,1)</f>
        <v>46357</v>
      </c>
      <c r="H709" s="25" t="n">
        <f aca="false">IF(DAY(A709+1)=1,1,0)</f>
        <v>0</v>
      </c>
    </row>
    <row r="710" customFormat="false" ht="15" hidden="false" customHeight="false" outlineLevel="0" collapsed="false">
      <c r="A710" s="8" t="n">
        <f aca="false">A709+1</f>
        <v>46366</v>
      </c>
      <c r="B710" s="25" t="n">
        <f aca="false">YEAR(A710)</f>
        <v>2026</v>
      </c>
      <c r="C710" s="25" t="n">
        <f aca="false">MONTH(A710)</f>
        <v>12</v>
      </c>
      <c r="D710" s="0" t="str">
        <f aca="false">CHOOSE(C710,"Ene","Feb","Mar","Abr","May","Jun","Jul","Ago","Sep","Oct","Nov","Dic")</f>
        <v>Dic</v>
      </c>
      <c r="E710" s="0" t="str">
        <f aca="false">D710&amp;"-"&amp;RIGHT(B710,2)</f>
        <v>Dic-26</v>
      </c>
      <c r="F710" s="0" t="str">
        <f aca="false">"T"&amp;ROUNDUP(C710/3,0)</f>
        <v>T4</v>
      </c>
      <c r="G710" s="35" t="n">
        <f aca="false">DATE(B710,C710,1)</f>
        <v>46357</v>
      </c>
      <c r="H710" s="25" t="n">
        <f aca="false">IF(DAY(A710+1)=1,1,0)</f>
        <v>0</v>
      </c>
    </row>
    <row r="711" customFormat="false" ht="15" hidden="false" customHeight="false" outlineLevel="0" collapsed="false">
      <c r="A711" s="8" t="n">
        <f aca="false">A710+1</f>
        <v>46367</v>
      </c>
      <c r="B711" s="25" t="n">
        <f aca="false">YEAR(A711)</f>
        <v>2026</v>
      </c>
      <c r="C711" s="25" t="n">
        <f aca="false">MONTH(A711)</f>
        <v>12</v>
      </c>
      <c r="D711" s="0" t="str">
        <f aca="false">CHOOSE(C711,"Ene","Feb","Mar","Abr","May","Jun","Jul","Ago","Sep","Oct","Nov","Dic")</f>
        <v>Dic</v>
      </c>
      <c r="E711" s="0" t="str">
        <f aca="false">D711&amp;"-"&amp;RIGHT(B711,2)</f>
        <v>Dic-26</v>
      </c>
      <c r="F711" s="0" t="str">
        <f aca="false">"T"&amp;ROUNDUP(C711/3,0)</f>
        <v>T4</v>
      </c>
      <c r="G711" s="35" t="n">
        <f aca="false">DATE(B711,C711,1)</f>
        <v>46357</v>
      </c>
      <c r="H711" s="25" t="n">
        <f aca="false">IF(DAY(A711+1)=1,1,0)</f>
        <v>0</v>
      </c>
    </row>
    <row r="712" customFormat="false" ht="15" hidden="false" customHeight="false" outlineLevel="0" collapsed="false">
      <c r="A712" s="8" t="n">
        <f aca="false">A711+1</f>
        <v>46368</v>
      </c>
      <c r="B712" s="25" t="n">
        <f aca="false">YEAR(A712)</f>
        <v>2026</v>
      </c>
      <c r="C712" s="25" t="n">
        <f aca="false">MONTH(A712)</f>
        <v>12</v>
      </c>
      <c r="D712" s="0" t="str">
        <f aca="false">CHOOSE(C712,"Ene","Feb","Mar","Abr","May","Jun","Jul","Ago","Sep","Oct","Nov","Dic")</f>
        <v>Dic</v>
      </c>
      <c r="E712" s="0" t="str">
        <f aca="false">D712&amp;"-"&amp;RIGHT(B712,2)</f>
        <v>Dic-26</v>
      </c>
      <c r="F712" s="0" t="str">
        <f aca="false">"T"&amp;ROUNDUP(C712/3,0)</f>
        <v>T4</v>
      </c>
      <c r="G712" s="35" t="n">
        <f aca="false">DATE(B712,C712,1)</f>
        <v>46357</v>
      </c>
      <c r="H712" s="25" t="n">
        <f aca="false">IF(DAY(A712+1)=1,1,0)</f>
        <v>0</v>
      </c>
    </row>
    <row r="713" customFormat="false" ht="15" hidden="false" customHeight="false" outlineLevel="0" collapsed="false">
      <c r="A713" s="8" t="n">
        <f aca="false">A712+1</f>
        <v>46369</v>
      </c>
      <c r="B713" s="25" t="n">
        <f aca="false">YEAR(A713)</f>
        <v>2026</v>
      </c>
      <c r="C713" s="25" t="n">
        <f aca="false">MONTH(A713)</f>
        <v>12</v>
      </c>
      <c r="D713" s="0" t="str">
        <f aca="false">CHOOSE(C713,"Ene","Feb","Mar","Abr","May","Jun","Jul","Ago","Sep","Oct","Nov","Dic")</f>
        <v>Dic</v>
      </c>
      <c r="E713" s="0" t="str">
        <f aca="false">D713&amp;"-"&amp;RIGHT(B713,2)</f>
        <v>Dic-26</v>
      </c>
      <c r="F713" s="0" t="str">
        <f aca="false">"T"&amp;ROUNDUP(C713/3,0)</f>
        <v>T4</v>
      </c>
      <c r="G713" s="35" t="n">
        <f aca="false">DATE(B713,C713,1)</f>
        <v>46357</v>
      </c>
      <c r="H713" s="25" t="n">
        <f aca="false">IF(DAY(A713+1)=1,1,0)</f>
        <v>0</v>
      </c>
    </row>
    <row r="714" customFormat="false" ht="15" hidden="false" customHeight="false" outlineLevel="0" collapsed="false">
      <c r="A714" s="8" t="n">
        <f aca="false">A713+1</f>
        <v>46370</v>
      </c>
      <c r="B714" s="25" t="n">
        <f aca="false">YEAR(A714)</f>
        <v>2026</v>
      </c>
      <c r="C714" s="25" t="n">
        <f aca="false">MONTH(A714)</f>
        <v>12</v>
      </c>
      <c r="D714" s="0" t="str">
        <f aca="false">CHOOSE(C714,"Ene","Feb","Mar","Abr","May","Jun","Jul","Ago","Sep","Oct","Nov","Dic")</f>
        <v>Dic</v>
      </c>
      <c r="E714" s="0" t="str">
        <f aca="false">D714&amp;"-"&amp;RIGHT(B714,2)</f>
        <v>Dic-26</v>
      </c>
      <c r="F714" s="0" t="str">
        <f aca="false">"T"&amp;ROUNDUP(C714/3,0)</f>
        <v>T4</v>
      </c>
      <c r="G714" s="35" t="n">
        <f aca="false">DATE(B714,C714,1)</f>
        <v>46357</v>
      </c>
      <c r="H714" s="25" t="n">
        <f aca="false">IF(DAY(A714+1)=1,1,0)</f>
        <v>0</v>
      </c>
    </row>
    <row r="715" customFormat="false" ht="15" hidden="false" customHeight="false" outlineLevel="0" collapsed="false">
      <c r="A715" s="8" t="n">
        <f aca="false">A714+1</f>
        <v>46371</v>
      </c>
      <c r="B715" s="25" t="n">
        <f aca="false">YEAR(A715)</f>
        <v>2026</v>
      </c>
      <c r="C715" s="25" t="n">
        <f aca="false">MONTH(A715)</f>
        <v>12</v>
      </c>
      <c r="D715" s="0" t="str">
        <f aca="false">CHOOSE(C715,"Ene","Feb","Mar","Abr","May","Jun","Jul","Ago","Sep","Oct","Nov","Dic")</f>
        <v>Dic</v>
      </c>
      <c r="E715" s="0" t="str">
        <f aca="false">D715&amp;"-"&amp;RIGHT(B715,2)</f>
        <v>Dic-26</v>
      </c>
      <c r="F715" s="0" t="str">
        <f aca="false">"T"&amp;ROUNDUP(C715/3,0)</f>
        <v>T4</v>
      </c>
      <c r="G715" s="35" t="n">
        <f aca="false">DATE(B715,C715,1)</f>
        <v>46357</v>
      </c>
      <c r="H715" s="25" t="n">
        <f aca="false">IF(DAY(A715+1)=1,1,0)</f>
        <v>0</v>
      </c>
    </row>
    <row r="716" customFormat="false" ht="15" hidden="false" customHeight="false" outlineLevel="0" collapsed="false">
      <c r="A716" s="8" t="n">
        <f aca="false">A715+1</f>
        <v>46372</v>
      </c>
      <c r="B716" s="25" t="n">
        <f aca="false">YEAR(A716)</f>
        <v>2026</v>
      </c>
      <c r="C716" s="25" t="n">
        <f aca="false">MONTH(A716)</f>
        <v>12</v>
      </c>
      <c r="D716" s="0" t="str">
        <f aca="false">CHOOSE(C716,"Ene","Feb","Mar","Abr","May","Jun","Jul","Ago","Sep","Oct","Nov","Dic")</f>
        <v>Dic</v>
      </c>
      <c r="E716" s="0" t="str">
        <f aca="false">D716&amp;"-"&amp;RIGHT(B716,2)</f>
        <v>Dic-26</v>
      </c>
      <c r="F716" s="0" t="str">
        <f aca="false">"T"&amp;ROUNDUP(C716/3,0)</f>
        <v>T4</v>
      </c>
      <c r="G716" s="35" t="n">
        <f aca="false">DATE(B716,C716,1)</f>
        <v>46357</v>
      </c>
      <c r="H716" s="25" t="n">
        <f aca="false">IF(DAY(A716+1)=1,1,0)</f>
        <v>0</v>
      </c>
    </row>
    <row r="717" customFormat="false" ht="15" hidden="false" customHeight="false" outlineLevel="0" collapsed="false">
      <c r="A717" s="8" t="n">
        <f aca="false">A716+1</f>
        <v>46373</v>
      </c>
      <c r="B717" s="25" t="n">
        <f aca="false">YEAR(A717)</f>
        <v>2026</v>
      </c>
      <c r="C717" s="25" t="n">
        <f aca="false">MONTH(A717)</f>
        <v>12</v>
      </c>
      <c r="D717" s="0" t="str">
        <f aca="false">CHOOSE(C717,"Ene","Feb","Mar","Abr","May","Jun","Jul","Ago","Sep","Oct","Nov","Dic")</f>
        <v>Dic</v>
      </c>
      <c r="E717" s="0" t="str">
        <f aca="false">D717&amp;"-"&amp;RIGHT(B717,2)</f>
        <v>Dic-26</v>
      </c>
      <c r="F717" s="0" t="str">
        <f aca="false">"T"&amp;ROUNDUP(C717/3,0)</f>
        <v>T4</v>
      </c>
      <c r="G717" s="35" t="n">
        <f aca="false">DATE(B717,C717,1)</f>
        <v>46357</v>
      </c>
      <c r="H717" s="25" t="n">
        <f aca="false">IF(DAY(A717+1)=1,1,0)</f>
        <v>0</v>
      </c>
    </row>
    <row r="718" customFormat="false" ht="15" hidden="false" customHeight="false" outlineLevel="0" collapsed="false">
      <c r="A718" s="8" t="n">
        <f aca="false">A717+1</f>
        <v>46374</v>
      </c>
      <c r="B718" s="25" t="n">
        <f aca="false">YEAR(A718)</f>
        <v>2026</v>
      </c>
      <c r="C718" s="25" t="n">
        <f aca="false">MONTH(A718)</f>
        <v>12</v>
      </c>
      <c r="D718" s="0" t="str">
        <f aca="false">CHOOSE(C718,"Ene","Feb","Mar","Abr","May","Jun","Jul","Ago","Sep","Oct","Nov","Dic")</f>
        <v>Dic</v>
      </c>
      <c r="E718" s="0" t="str">
        <f aca="false">D718&amp;"-"&amp;RIGHT(B718,2)</f>
        <v>Dic-26</v>
      </c>
      <c r="F718" s="0" t="str">
        <f aca="false">"T"&amp;ROUNDUP(C718/3,0)</f>
        <v>T4</v>
      </c>
      <c r="G718" s="35" t="n">
        <f aca="false">DATE(B718,C718,1)</f>
        <v>46357</v>
      </c>
      <c r="H718" s="25" t="n">
        <f aca="false">IF(DAY(A718+1)=1,1,0)</f>
        <v>0</v>
      </c>
    </row>
    <row r="719" customFormat="false" ht="15" hidden="false" customHeight="false" outlineLevel="0" collapsed="false">
      <c r="A719" s="8" t="n">
        <f aca="false">A718+1</f>
        <v>46375</v>
      </c>
      <c r="B719" s="25" t="n">
        <f aca="false">YEAR(A719)</f>
        <v>2026</v>
      </c>
      <c r="C719" s="25" t="n">
        <f aca="false">MONTH(A719)</f>
        <v>12</v>
      </c>
      <c r="D719" s="0" t="str">
        <f aca="false">CHOOSE(C719,"Ene","Feb","Mar","Abr","May","Jun","Jul","Ago","Sep","Oct","Nov","Dic")</f>
        <v>Dic</v>
      </c>
      <c r="E719" s="0" t="str">
        <f aca="false">D719&amp;"-"&amp;RIGHT(B719,2)</f>
        <v>Dic-26</v>
      </c>
      <c r="F719" s="0" t="str">
        <f aca="false">"T"&amp;ROUNDUP(C719/3,0)</f>
        <v>T4</v>
      </c>
      <c r="G719" s="35" t="n">
        <f aca="false">DATE(B719,C719,1)</f>
        <v>46357</v>
      </c>
      <c r="H719" s="25" t="n">
        <f aca="false">IF(DAY(A719+1)=1,1,0)</f>
        <v>0</v>
      </c>
    </row>
    <row r="720" customFormat="false" ht="15" hidden="false" customHeight="false" outlineLevel="0" collapsed="false">
      <c r="A720" s="8" t="n">
        <f aca="false">A719+1</f>
        <v>46376</v>
      </c>
      <c r="B720" s="25" t="n">
        <f aca="false">YEAR(A720)</f>
        <v>2026</v>
      </c>
      <c r="C720" s="25" t="n">
        <f aca="false">MONTH(A720)</f>
        <v>12</v>
      </c>
      <c r="D720" s="0" t="str">
        <f aca="false">CHOOSE(C720,"Ene","Feb","Mar","Abr","May","Jun","Jul","Ago","Sep","Oct","Nov","Dic")</f>
        <v>Dic</v>
      </c>
      <c r="E720" s="0" t="str">
        <f aca="false">D720&amp;"-"&amp;RIGHT(B720,2)</f>
        <v>Dic-26</v>
      </c>
      <c r="F720" s="0" t="str">
        <f aca="false">"T"&amp;ROUNDUP(C720/3,0)</f>
        <v>T4</v>
      </c>
      <c r="G720" s="35" t="n">
        <f aca="false">DATE(B720,C720,1)</f>
        <v>46357</v>
      </c>
      <c r="H720" s="25" t="n">
        <f aca="false">IF(DAY(A720+1)=1,1,0)</f>
        <v>0</v>
      </c>
    </row>
    <row r="721" customFormat="false" ht="15" hidden="false" customHeight="false" outlineLevel="0" collapsed="false">
      <c r="A721" s="8" t="n">
        <f aca="false">A720+1</f>
        <v>46377</v>
      </c>
      <c r="B721" s="25" t="n">
        <f aca="false">YEAR(A721)</f>
        <v>2026</v>
      </c>
      <c r="C721" s="25" t="n">
        <f aca="false">MONTH(A721)</f>
        <v>12</v>
      </c>
      <c r="D721" s="0" t="str">
        <f aca="false">CHOOSE(C721,"Ene","Feb","Mar","Abr","May","Jun","Jul","Ago","Sep","Oct","Nov","Dic")</f>
        <v>Dic</v>
      </c>
      <c r="E721" s="0" t="str">
        <f aca="false">D721&amp;"-"&amp;RIGHT(B721,2)</f>
        <v>Dic-26</v>
      </c>
      <c r="F721" s="0" t="str">
        <f aca="false">"T"&amp;ROUNDUP(C721/3,0)</f>
        <v>T4</v>
      </c>
      <c r="G721" s="35" t="n">
        <f aca="false">DATE(B721,C721,1)</f>
        <v>46357</v>
      </c>
      <c r="H721" s="25" t="n">
        <f aca="false">IF(DAY(A721+1)=1,1,0)</f>
        <v>0</v>
      </c>
    </row>
    <row r="722" customFormat="false" ht="15" hidden="false" customHeight="false" outlineLevel="0" collapsed="false">
      <c r="A722" s="8" t="n">
        <f aca="false">A721+1</f>
        <v>46378</v>
      </c>
      <c r="B722" s="25" t="n">
        <f aca="false">YEAR(A722)</f>
        <v>2026</v>
      </c>
      <c r="C722" s="25" t="n">
        <f aca="false">MONTH(A722)</f>
        <v>12</v>
      </c>
      <c r="D722" s="0" t="str">
        <f aca="false">CHOOSE(C722,"Ene","Feb","Mar","Abr","May","Jun","Jul","Ago","Sep","Oct","Nov","Dic")</f>
        <v>Dic</v>
      </c>
      <c r="E722" s="0" t="str">
        <f aca="false">D722&amp;"-"&amp;RIGHT(B722,2)</f>
        <v>Dic-26</v>
      </c>
      <c r="F722" s="0" t="str">
        <f aca="false">"T"&amp;ROUNDUP(C722/3,0)</f>
        <v>T4</v>
      </c>
      <c r="G722" s="35" t="n">
        <f aca="false">DATE(B722,C722,1)</f>
        <v>46357</v>
      </c>
      <c r="H722" s="25" t="n">
        <f aca="false">IF(DAY(A722+1)=1,1,0)</f>
        <v>0</v>
      </c>
    </row>
    <row r="723" customFormat="false" ht="15" hidden="false" customHeight="false" outlineLevel="0" collapsed="false">
      <c r="A723" s="8" t="n">
        <f aca="false">A722+1</f>
        <v>46379</v>
      </c>
      <c r="B723" s="25" t="n">
        <f aca="false">YEAR(A723)</f>
        <v>2026</v>
      </c>
      <c r="C723" s="25" t="n">
        <f aca="false">MONTH(A723)</f>
        <v>12</v>
      </c>
      <c r="D723" s="0" t="str">
        <f aca="false">CHOOSE(C723,"Ene","Feb","Mar","Abr","May","Jun","Jul","Ago","Sep","Oct","Nov","Dic")</f>
        <v>Dic</v>
      </c>
      <c r="E723" s="0" t="str">
        <f aca="false">D723&amp;"-"&amp;RIGHT(B723,2)</f>
        <v>Dic-26</v>
      </c>
      <c r="F723" s="0" t="str">
        <f aca="false">"T"&amp;ROUNDUP(C723/3,0)</f>
        <v>T4</v>
      </c>
      <c r="G723" s="35" t="n">
        <f aca="false">DATE(B723,C723,1)</f>
        <v>46357</v>
      </c>
      <c r="H723" s="25" t="n">
        <f aca="false">IF(DAY(A723+1)=1,1,0)</f>
        <v>0</v>
      </c>
    </row>
    <row r="724" customFormat="false" ht="15" hidden="false" customHeight="false" outlineLevel="0" collapsed="false">
      <c r="A724" s="8" t="n">
        <f aca="false">A723+1</f>
        <v>46380</v>
      </c>
      <c r="B724" s="25" t="n">
        <f aca="false">YEAR(A724)</f>
        <v>2026</v>
      </c>
      <c r="C724" s="25" t="n">
        <f aca="false">MONTH(A724)</f>
        <v>12</v>
      </c>
      <c r="D724" s="0" t="str">
        <f aca="false">CHOOSE(C724,"Ene","Feb","Mar","Abr","May","Jun","Jul","Ago","Sep","Oct","Nov","Dic")</f>
        <v>Dic</v>
      </c>
      <c r="E724" s="0" t="str">
        <f aca="false">D724&amp;"-"&amp;RIGHT(B724,2)</f>
        <v>Dic-26</v>
      </c>
      <c r="F724" s="0" t="str">
        <f aca="false">"T"&amp;ROUNDUP(C724/3,0)</f>
        <v>T4</v>
      </c>
      <c r="G724" s="35" t="n">
        <f aca="false">DATE(B724,C724,1)</f>
        <v>46357</v>
      </c>
      <c r="H724" s="25" t="n">
        <f aca="false">IF(DAY(A724+1)=1,1,0)</f>
        <v>0</v>
      </c>
    </row>
    <row r="725" customFormat="false" ht="15" hidden="false" customHeight="false" outlineLevel="0" collapsed="false">
      <c r="A725" s="8" t="n">
        <f aca="false">A724+1</f>
        <v>46381</v>
      </c>
      <c r="B725" s="25" t="n">
        <f aca="false">YEAR(A725)</f>
        <v>2026</v>
      </c>
      <c r="C725" s="25" t="n">
        <f aca="false">MONTH(A725)</f>
        <v>12</v>
      </c>
      <c r="D725" s="0" t="str">
        <f aca="false">CHOOSE(C725,"Ene","Feb","Mar","Abr","May","Jun","Jul","Ago","Sep","Oct","Nov","Dic")</f>
        <v>Dic</v>
      </c>
      <c r="E725" s="0" t="str">
        <f aca="false">D725&amp;"-"&amp;RIGHT(B725,2)</f>
        <v>Dic-26</v>
      </c>
      <c r="F725" s="0" t="str">
        <f aca="false">"T"&amp;ROUNDUP(C725/3,0)</f>
        <v>T4</v>
      </c>
      <c r="G725" s="35" t="n">
        <f aca="false">DATE(B725,C725,1)</f>
        <v>46357</v>
      </c>
      <c r="H725" s="25" t="n">
        <f aca="false">IF(DAY(A725+1)=1,1,0)</f>
        <v>0</v>
      </c>
    </row>
    <row r="726" customFormat="false" ht="15" hidden="false" customHeight="false" outlineLevel="0" collapsed="false">
      <c r="A726" s="8" t="n">
        <f aca="false">A725+1</f>
        <v>46382</v>
      </c>
      <c r="B726" s="25" t="n">
        <f aca="false">YEAR(A726)</f>
        <v>2026</v>
      </c>
      <c r="C726" s="25" t="n">
        <f aca="false">MONTH(A726)</f>
        <v>12</v>
      </c>
      <c r="D726" s="0" t="str">
        <f aca="false">CHOOSE(C726,"Ene","Feb","Mar","Abr","May","Jun","Jul","Ago","Sep","Oct","Nov","Dic")</f>
        <v>Dic</v>
      </c>
      <c r="E726" s="0" t="str">
        <f aca="false">D726&amp;"-"&amp;RIGHT(B726,2)</f>
        <v>Dic-26</v>
      </c>
      <c r="F726" s="0" t="str">
        <f aca="false">"T"&amp;ROUNDUP(C726/3,0)</f>
        <v>T4</v>
      </c>
      <c r="G726" s="35" t="n">
        <f aca="false">DATE(B726,C726,1)</f>
        <v>46357</v>
      </c>
      <c r="H726" s="25" t="n">
        <f aca="false">IF(DAY(A726+1)=1,1,0)</f>
        <v>0</v>
      </c>
    </row>
    <row r="727" customFormat="false" ht="15" hidden="false" customHeight="false" outlineLevel="0" collapsed="false">
      <c r="A727" s="8" t="n">
        <f aca="false">A726+1</f>
        <v>46383</v>
      </c>
      <c r="B727" s="25" t="n">
        <f aca="false">YEAR(A727)</f>
        <v>2026</v>
      </c>
      <c r="C727" s="25" t="n">
        <f aca="false">MONTH(A727)</f>
        <v>12</v>
      </c>
      <c r="D727" s="0" t="str">
        <f aca="false">CHOOSE(C727,"Ene","Feb","Mar","Abr","May","Jun","Jul","Ago","Sep","Oct","Nov","Dic")</f>
        <v>Dic</v>
      </c>
      <c r="E727" s="0" t="str">
        <f aca="false">D727&amp;"-"&amp;RIGHT(B727,2)</f>
        <v>Dic-26</v>
      </c>
      <c r="F727" s="0" t="str">
        <f aca="false">"T"&amp;ROUNDUP(C727/3,0)</f>
        <v>T4</v>
      </c>
      <c r="G727" s="35" t="n">
        <f aca="false">DATE(B727,C727,1)</f>
        <v>46357</v>
      </c>
      <c r="H727" s="25" t="n">
        <f aca="false">IF(DAY(A727+1)=1,1,0)</f>
        <v>0</v>
      </c>
    </row>
    <row r="728" customFormat="false" ht="15" hidden="false" customHeight="false" outlineLevel="0" collapsed="false">
      <c r="A728" s="8" t="n">
        <f aca="false">A727+1</f>
        <v>46384</v>
      </c>
      <c r="B728" s="25" t="n">
        <f aca="false">YEAR(A728)</f>
        <v>2026</v>
      </c>
      <c r="C728" s="25" t="n">
        <f aca="false">MONTH(A728)</f>
        <v>12</v>
      </c>
      <c r="D728" s="0" t="str">
        <f aca="false">CHOOSE(C728,"Ene","Feb","Mar","Abr","May","Jun","Jul","Ago","Sep","Oct","Nov","Dic")</f>
        <v>Dic</v>
      </c>
      <c r="E728" s="0" t="str">
        <f aca="false">D728&amp;"-"&amp;RIGHT(B728,2)</f>
        <v>Dic-26</v>
      </c>
      <c r="F728" s="0" t="str">
        <f aca="false">"T"&amp;ROUNDUP(C728/3,0)</f>
        <v>T4</v>
      </c>
      <c r="G728" s="35" t="n">
        <f aca="false">DATE(B728,C728,1)</f>
        <v>46357</v>
      </c>
      <c r="H728" s="25" t="n">
        <f aca="false">IF(DAY(A728+1)=1,1,0)</f>
        <v>0</v>
      </c>
    </row>
    <row r="729" customFormat="false" ht="15" hidden="false" customHeight="false" outlineLevel="0" collapsed="false">
      <c r="A729" s="8" t="n">
        <f aca="false">A728+1</f>
        <v>46385</v>
      </c>
      <c r="B729" s="25" t="n">
        <f aca="false">YEAR(A729)</f>
        <v>2026</v>
      </c>
      <c r="C729" s="25" t="n">
        <f aca="false">MONTH(A729)</f>
        <v>12</v>
      </c>
      <c r="D729" s="0" t="str">
        <f aca="false">CHOOSE(C729,"Ene","Feb","Mar","Abr","May","Jun","Jul","Ago","Sep","Oct","Nov","Dic")</f>
        <v>Dic</v>
      </c>
      <c r="E729" s="0" t="str">
        <f aca="false">D729&amp;"-"&amp;RIGHT(B729,2)</f>
        <v>Dic-26</v>
      </c>
      <c r="F729" s="0" t="str">
        <f aca="false">"T"&amp;ROUNDUP(C729/3,0)</f>
        <v>T4</v>
      </c>
      <c r="G729" s="35" t="n">
        <f aca="false">DATE(B729,C729,1)</f>
        <v>46357</v>
      </c>
      <c r="H729" s="25" t="n">
        <f aca="false">IF(DAY(A729+1)=1,1,0)</f>
        <v>0</v>
      </c>
    </row>
    <row r="730" customFormat="false" ht="15" hidden="false" customHeight="false" outlineLevel="0" collapsed="false">
      <c r="A730" s="8" t="n">
        <f aca="false">A729+1</f>
        <v>46386</v>
      </c>
      <c r="B730" s="25" t="n">
        <f aca="false">YEAR(A730)</f>
        <v>2026</v>
      </c>
      <c r="C730" s="25" t="n">
        <f aca="false">MONTH(A730)</f>
        <v>12</v>
      </c>
      <c r="D730" s="0" t="str">
        <f aca="false">CHOOSE(C730,"Ene","Feb","Mar","Abr","May","Jun","Jul","Ago","Sep","Oct","Nov","Dic")</f>
        <v>Dic</v>
      </c>
      <c r="E730" s="0" t="str">
        <f aca="false">D730&amp;"-"&amp;RIGHT(B730,2)</f>
        <v>Dic-26</v>
      </c>
      <c r="F730" s="0" t="str">
        <f aca="false">"T"&amp;ROUNDUP(C730/3,0)</f>
        <v>T4</v>
      </c>
      <c r="G730" s="35" t="n">
        <f aca="false">DATE(B730,C730,1)</f>
        <v>46357</v>
      </c>
      <c r="H730" s="25" t="n">
        <f aca="false">IF(DAY(A730+1)=1,1,0)</f>
        <v>0</v>
      </c>
    </row>
    <row r="731" customFormat="false" ht="15" hidden="false" customHeight="false" outlineLevel="0" collapsed="false">
      <c r="A731" s="8" t="n">
        <f aca="false">A730+1</f>
        <v>46387</v>
      </c>
      <c r="B731" s="25" t="n">
        <f aca="false">YEAR(A731)</f>
        <v>2026</v>
      </c>
      <c r="C731" s="25" t="n">
        <f aca="false">MONTH(A731)</f>
        <v>12</v>
      </c>
      <c r="D731" s="0" t="str">
        <f aca="false">CHOOSE(C731,"Ene","Feb","Mar","Abr","May","Jun","Jul","Ago","Sep","Oct","Nov","Dic")</f>
        <v>Dic</v>
      </c>
      <c r="E731" s="0" t="str">
        <f aca="false">D731&amp;"-"&amp;RIGHT(B731,2)</f>
        <v>Dic-26</v>
      </c>
      <c r="F731" s="0" t="str">
        <f aca="false">"T"&amp;ROUNDUP(C731/3,0)</f>
        <v>T4</v>
      </c>
      <c r="G731" s="35" t="n">
        <f aca="false">DATE(B731,C731,1)</f>
        <v>46357</v>
      </c>
      <c r="H731" s="25" t="n">
        <f aca="false">IF(DAY(A731+1)=1,1,0)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2026-09-25T04:46:15Z</dcterms:created>
  <dc:creator>openpyxl</dc:creator>
  <dc:description/>
  <dc:language>en-US</dc:language>
  <cp:lastModifiedBy/>
  <dcterms:modified xsi:type="dcterms:W3CDTF">2026-09-25T04:46:15Z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