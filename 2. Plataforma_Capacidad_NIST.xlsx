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pichincha-my.sharepoint.com/personal/mafalcon_pichincha_com/Documents/Documentos/Plataformas/PLANIFICACIÓN 2026/Sistema Gestion Gerencial/Portafolio de Plataformas de Ciberseguridad 2026/"/>
    </mc:Choice>
  </mc:AlternateContent>
  <xr:revisionPtr revIDLastSave="867" documentId="8_{4504F637-AA6A-4EB6-9089-4C08DF505107}" xr6:coauthVersionLast="47" xr6:coauthVersionMax="47" xr10:uidLastSave="{FBADAF1C-0B2F-7D46-AA83-46FA18C32632}"/>
  <bookViews>
    <workbookView xWindow="0" yWindow="600" windowWidth="38400" windowHeight="19880" activeTab="1" xr2:uid="{00000000-000D-0000-FFFF-FFFF00000000}"/>
  </bookViews>
  <sheets>
    <sheet name="Capacidades CIBER" sheetId="1" r:id="rId1"/>
    <sheet name="Subcategorias NIST" sheetId="2" r:id="rId2"/>
    <sheet name="TD _ Función" sheetId="3" r:id="rId3"/>
    <sheet name="1_Subcategorias" sheetId="5" r:id="rId4"/>
    <sheet name="2_Categorias" sheetId="6" r:id="rId5"/>
    <sheet name="3_Funciones" sheetId="7" r:id="rId6"/>
  </sheets>
  <definedNames>
    <definedName name="_xlnm._FilterDatabase" localSheetId="3" hidden="1">'1_Subcategorias'!$A$4:$I$110</definedName>
    <definedName name="_xlnm._FilterDatabase" localSheetId="0" hidden="1">'Capacidades CIBER'!$A$1:$E$103</definedName>
    <definedName name="_xlnm._FilterDatabase" localSheetId="1" hidden="1">'Subcategorias NIST'!$A$1:$G$200</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1" i="2" l="1"/>
  <c r="C201" i="2"/>
  <c r="D197" i="2"/>
  <c r="C197" i="2"/>
  <c r="D196" i="2"/>
  <c r="C196" i="2"/>
  <c r="D188" i="2"/>
  <c r="C188" i="2"/>
  <c r="C3" i="2"/>
  <c r="D3" i="2"/>
  <c r="C4" i="2"/>
  <c r="D4" i="2"/>
  <c r="C5" i="2"/>
  <c r="D5" i="2"/>
  <c r="C6" i="2"/>
  <c r="D6" i="2"/>
  <c r="C7" i="2"/>
  <c r="D7" i="2"/>
  <c r="C8" i="2"/>
  <c r="D8"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5"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C76" i="2"/>
  <c r="D76" i="2"/>
  <c r="C77" i="2"/>
  <c r="D77" i="2"/>
  <c r="C78" i="2"/>
  <c r="D78" i="2"/>
  <c r="C79" i="2"/>
  <c r="D79" i="2"/>
  <c r="C80" i="2"/>
  <c r="D80" i="2"/>
  <c r="C81" i="2"/>
  <c r="D81" i="2"/>
  <c r="C82" i="2"/>
  <c r="D82" i="2"/>
  <c r="C83" i="2"/>
  <c r="D83" i="2"/>
  <c r="C84" i="2"/>
  <c r="D84" i="2"/>
  <c r="C85" i="2"/>
  <c r="D85" i="2"/>
  <c r="C86" i="2"/>
  <c r="D86" i="2"/>
  <c r="C87" i="2"/>
  <c r="D87" i="2"/>
  <c r="C88" i="2"/>
  <c r="D88" i="2"/>
  <c r="C89" i="2"/>
  <c r="D89" i="2"/>
  <c r="C90" i="2"/>
  <c r="D90" i="2"/>
  <c r="C91" i="2"/>
  <c r="D91" i="2"/>
  <c r="C92" i="2"/>
  <c r="D92" i="2"/>
  <c r="C93" i="2"/>
  <c r="D93" i="2"/>
  <c r="C94" i="2"/>
  <c r="D94" i="2"/>
  <c r="C95" i="2"/>
  <c r="D95" i="2"/>
  <c r="C96" i="2"/>
  <c r="D96" i="2"/>
  <c r="C97" i="2"/>
  <c r="D97" i="2"/>
  <c r="C98" i="2"/>
  <c r="D98" i="2"/>
  <c r="C99" i="2"/>
  <c r="D99" i="2"/>
  <c r="C100" i="2"/>
  <c r="D100" i="2"/>
  <c r="C101" i="2"/>
  <c r="D101" i="2"/>
  <c r="C102" i="2"/>
  <c r="D102" i="2"/>
  <c r="C103" i="2"/>
  <c r="D103" i="2"/>
  <c r="C104" i="2"/>
  <c r="D104" i="2"/>
  <c r="C105" i="2"/>
  <c r="D105" i="2"/>
  <c r="C106" i="2"/>
  <c r="D106" i="2"/>
  <c r="C107" i="2"/>
  <c r="D107" i="2"/>
  <c r="C108" i="2"/>
  <c r="D108" i="2"/>
  <c r="C109" i="2"/>
  <c r="D109" i="2"/>
  <c r="C110" i="2"/>
  <c r="D110" i="2"/>
  <c r="C111" i="2"/>
  <c r="D111" i="2"/>
  <c r="C112" i="2"/>
  <c r="D112" i="2"/>
  <c r="C113" i="2"/>
  <c r="D113" i="2"/>
  <c r="C114" i="2"/>
  <c r="D114" i="2"/>
  <c r="C115" i="2"/>
  <c r="D115" i="2"/>
  <c r="C116" i="2"/>
  <c r="D116" i="2"/>
  <c r="C117" i="2"/>
  <c r="D117" i="2"/>
  <c r="C118" i="2"/>
  <c r="D118" i="2"/>
  <c r="C119" i="2"/>
  <c r="D119" i="2"/>
  <c r="C120" i="2"/>
  <c r="D120" i="2"/>
  <c r="C121" i="2"/>
  <c r="D121" i="2"/>
  <c r="C122" i="2"/>
  <c r="D122" i="2"/>
  <c r="C123" i="2"/>
  <c r="D123" i="2"/>
  <c r="C124" i="2"/>
  <c r="D124" i="2"/>
  <c r="C125" i="2"/>
  <c r="D125" i="2"/>
  <c r="C126" i="2"/>
  <c r="D126" i="2"/>
  <c r="C127" i="2"/>
  <c r="D127" i="2"/>
  <c r="C128" i="2"/>
  <c r="D128" i="2"/>
  <c r="C129" i="2"/>
  <c r="D129" i="2"/>
  <c r="C130" i="2"/>
  <c r="D130" i="2"/>
  <c r="C131" i="2"/>
  <c r="D131" i="2"/>
  <c r="C132" i="2"/>
  <c r="D132" i="2"/>
  <c r="C133" i="2"/>
  <c r="D133" i="2"/>
  <c r="C134" i="2"/>
  <c r="D134" i="2"/>
  <c r="C135" i="2"/>
  <c r="D135" i="2"/>
  <c r="C136" i="2"/>
  <c r="D136" i="2"/>
  <c r="C137" i="2"/>
  <c r="D137" i="2"/>
  <c r="C138" i="2"/>
  <c r="D138" i="2"/>
  <c r="C139" i="2"/>
  <c r="D139" i="2"/>
  <c r="C140" i="2"/>
  <c r="D140" i="2"/>
  <c r="C141" i="2"/>
  <c r="D141" i="2"/>
  <c r="C142" i="2"/>
  <c r="D142" i="2"/>
  <c r="C143" i="2"/>
  <c r="D143" i="2"/>
  <c r="C144" i="2"/>
  <c r="D144" i="2"/>
  <c r="C145" i="2"/>
  <c r="D145" i="2"/>
  <c r="C146" i="2"/>
  <c r="D146" i="2"/>
  <c r="C147" i="2"/>
  <c r="D147" i="2"/>
  <c r="C148" i="2"/>
  <c r="D148" i="2"/>
  <c r="C149" i="2"/>
  <c r="D149" i="2"/>
  <c r="C150" i="2"/>
  <c r="D150" i="2"/>
  <c r="C151" i="2"/>
  <c r="D151" i="2"/>
  <c r="C152" i="2"/>
  <c r="D152" i="2"/>
  <c r="C153" i="2"/>
  <c r="D153" i="2"/>
  <c r="C154" i="2"/>
  <c r="D154" i="2"/>
  <c r="C155" i="2"/>
  <c r="D155" i="2"/>
  <c r="C156" i="2"/>
  <c r="D156" i="2"/>
  <c r="C157" i="2"/>
  <c r="D157" i="2"/>
  <c r="C158" i="2"/>
  <c r="D158" i="2"/>
  <c r="C159" i="2"/>
  <c r="D159" i="2"/>
  <c r="C160" i="2"/>
  <c r="D160" i="2"/>
  <c r="C161" i="2"/>
  <c r="D161" i="2"/>
  <c r="C162" i="2"/>
  <c r="D162" i="2"/>
  <c r="C163" i="2"/>
  <c r="D163" i="2"/>
  <c r="C164" i="2"/>
  <c r="D164" i="2"/>
  <c r="C165" i="2"/>
  <c r="D165" i="2"/>
  <c r="C166" i="2"/>
  <c r="D166" i="2"/>
  <c r="C167" i="2"/>
  <c r="D167" i="2"/>
  <c r="C168" i="2"/>
  <c r="D168" i="2"/>
  <c r="C169" i="2"/>
  <c r="D169" i="2"/>
  <c r="C170" i="2"/>
  <c r="D170" i="2"/>
  <c r="C171" i="2"/>
  <c r="D171" i="2"/>
  <c r="C172" i="2"/>
  <c r="D172" i="2"/>
  <c r="C173" i="2"/>
  <c r="D173" i="2"/>
  <c r="C174" i="2"/>
  <c r="D174" i="2"/>
  <c r="C175" i="2"/>
  <c r="D175" i="2"/>
  <c r="C176" i="2"/>
  <c r="D176" i="2"/>
  <c r="C177" i="2"/>
  <c r="D177" i="2"/>
  <c r="C178" i="2"/>
  <c r="D178" i="2"/>
  <c r="C179" i="2"/>
  <c r="D179" i="2"/>
  <c r="C180" i="2"/>
  <c r="D180" i="2"/>
  <c r="C181" i="2"/>
  <c r="D181" i="2"/>
  <c r="C182" i="2"/>
  <c r="D182" i="2"/>
  <c r="C183" i="2"/>
  <c r="D183" i="2"/>
  <c r="C184" i="2"/>
  <c r="D184" i="2"/>
  <c r="C185" i="2"/>
  <c r="D185" i="2"/>
  <c r="C186" i="2"/>
  <c r="D186" i="2"/>
  <c r="C187" i="2"/>
  <c r="D187" i="2"/>
  <c r="C189" i="2"/>
  <c r="D189" i="2"/>
  <c r="C190" i="2"/>
  <c r="D190" i="2"/>
  <c r="C191" i="2"/>
  <c r="D191" i="2"/>
  <c r="C192" i="2"/>
  <c r="D192" i="2"/>
  <c r="C193" i="2"/>
  <c r="D193" i="2"/>
  <c r="C194" i="2"/>
  <c r="D194" i="2"/>
  <c r="C195" i="2"/>
  <c r="D195" i="2"/>
  <c r="C198" i="2"/>
  <c r="D198" i="2"/>
  <c r="C199" i="2"/>
  <c r="D199" i="2"/>
  <c r="C200" i="2"/>
  <c r="D200" i="2"/>
  <c r="D2" i="2"/>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5" i="5"/>
  <c r="E5" i="6" a="1"/>
  <c r="E5" i="6" s="1"/>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<sst xmlns="http://schemas.openxmlformats.org/spreadsheetml/2006/main" count="2342" uniqueCount="833">
  <si>
    <t>Plataforma</t>
  </si>
  <si>
    <t>Capacidad</t>
  </si>
  <si>
    <t>Rol</t>
  </si>
  <si>
    <t>%</t>
  </si>
  <si>
    <t>Razón</t>
  </si>
  <si>
    <t>360 Brand Guardian</t>
  </si>
  <si>
    <t>Ciberfraude, Abuso Digital y Protección de Marca</t>
  </si>
  <si>
    <t>PRIMARIA</t>
  </si>
  <si>
    <t>Vulnerabilidades y Superficie de Ataque</t>
  </si>
  <si>
    <t>SECUNDARIA</t>
  </si>
  <si>
    <t>Monitorea dominios y superficie externa expuesta, que es medición de exposición de ataque.</t>
  </si>
  <si>
    <t>Akamai WAF</t>
  </si>
  <si>
    <t>Redes, Perímetro y Conectividad Segura</t>
  </si>
  <si>
    <t>Es el control perimetral del tráfico entrante hacia las aplicaciones expuestas.</t>
  </si>
  <si>
    <t>Seguridad de Aplicaciones y DevSecOps</t>
  </si>
  <si>
    <t>Protege aplicaciones y APIs en ejecución, que es seguridad de aplicaciones en runtime.</t>
  </si>
  <si>
    <t>Alarmnet</t>
  </si>
  <si>
    <t>Seguridad Física Integral</t>
  </si>
  <si>
    <t>ÚNICA</t>
  </si>
  <si>
    <t>Recepción de señales de alarma de agencias. Comparte la línea TEC0152 con Softguard y SG-System III.</t>
  </si>
  <si>
    <t>AntiDDoS Radware</t>
  </si>
  <si>
    <t>Protege la disponibilidad del canal frente a ataques volumétricos; no aporta a otra capacidad.</t>
  </si>
  <si>
    <t>Atalla</t>
  </si>
  <si>
    <t>Criptografía y Confianza Digital</t>
  </si>
  <si>
    <t>Custodia el material criptográfico del banco y ejecuta las operaciones de llave.</t>
  </si>
  <si>
    <t>Biocatch</t>
  </si>
  <si>
    <t>Identidades, Accesos y Privilegios</t>
  </si>
  <si>
    <t>La biometría de comportamiento opera como autenticación continua del usuario en sesión.</t>
  </si>
  <si>
    <t>Certificados Digicert</t>
  </si>
  <si>
    <t>Autoridad certificadora pública para TLS de cara al exterior.</t>
  </si>
  <si>
    <t>Cloud Defender for Apps</t>
  </si>
  <si>
    <t>Correo, Web y Colaboración Segura</t>
  </si>
  <si>
    <t>CASB del usuario: controla el acceso y el uso de aplicaciones SaaS corporativas.</t>
  </si>
  <si>
    <t>Seguridad Cloud</t>
  </si>
  <si>
    <t>Descubre y gobierna aplicaciones cloud, incluido el shadow IT.</t>
  </si>
  <si>
    <t>Privacidad y Protección de Datos</t>
  </si>
  <si>
    <t>TERCIARIA</t>
  </si>
  <si>
    <t>Protege el dato corporativo alojado y en tránsito dentro de las aplicaciones en la nube.</t>
  </si>
  <si>
    <t>Colector de Eventos SOC (NXLog)</t>
  </si>
  <si>
    <t>Detección, Contención y Respuesta SOC</t>
  </si>
  <si>
    <t>Existe únicamente para alimentar al correlacionador; sin el SOC no tiene función.</t>
  </si>
  <si>
    <t>Compass</t>
  </si>
  <si>
    <t>Consola de programación de paneles de alarma.</t>
  </si>
  <si>
    <t>Coren Web</t>
  </si>
  <si>
    <t>Correlacionador de Eventos SOC (SPLUNK)</t>
  </si>
  <si>
    <t>Cortex Cloud</t>
  </si>
  <si>
    <t>CNAPP: postura de configuración y protección de workloads en los ambientes cloud.</t>
  </si>
  <si>
    <t>Identifica y prioriza vulnerabilidades en workloads y contenedores.</t>
  </si>
  <si>
    <t>Escanea infraestructura como código y contenedores dentro del pipeline de desarrollo.</t>
  </si>
  <si>
    <t>Crowdstrike</t>
  </si>
  <si>
    <t>Endpoint, Servidores y Workload</t>
  </si>
  <si>
    <t>El EDR alimenta la detección y aporta la línea de tiempo forense al SOC.</t>
  </si>
  <si>
    <t>Módulo de exposición: reporta vulnerabilidades y configuración del activo.</t>
  </si>
  <si>
    <t>Cyberark</t>
  </si>
  <si>
    <t>La grabación y auditoría de sesión privilegiada alimenta el monitoreo del SOC.</t>
  </si>
  <si>
    <t>DLS5</t>
  </si>
  <si>
    <t>Consola de programación de paneles para otro fabricante; mismo criterio que Compass.</t>
  </si>
  <si>
    <t>Darktrace</t>
  </si>
  <si>
    <t>DecisionCLoud</t>
  </si>
  <si>
    <t>Autorización y trazabilidad del acceso físico. CONTRATO VENCE 01/09/2026.</t>
  </si>
  <si>
    <t>Deep Security</t>
  </si>
  <si>
    <t>Protege la carga de trabajo del servidor con control de ejecución y línea base.</t>
  </si>
  <si>
    <t>Incorpora IDS/IPS basado en host, que es control de tráfico en el propio activo.</t>
  </si>
  <si>
    <t>El parchado virtual mitiga vulnerabilidades sin esperar al ciclo de parcheo.</t>
  </si>
  <si>
    <t>Detect ID</t>
  </si>
  <si>
    <t>DynamicsCodes</t>
  </si>
  <si>
    <t>Entidad Certificadora INTERNA</t>
  </si>
  <si>
    <t>PKI interna del banco: emite y gestiona el ciclo de vida del certificado.</t>
  </si>
  <si>
    <t>Emite certificados de autenticación de dispositivos, servicios y firma de código.</t>
  </si>
  <si>
    <t>Facephi</t>
  </si>
  <si>
    <t>Firemon</t>
  </si>
  <si>
    <t>Forcepoint DLP</t>
  </si>
  <si>
    <t>Gestión Identidades (WSO2)</t>
  </si>
  <si>
    <t>Gobierna el ciclo de vida de identidades y permisos corporativos; no produce resultado fuera.</t>
  </si>
  <si>
    <t>IPS CISCO</t>
  </si>
  <si>
    <t>Bloquea intrusiones en el perímetro por firma: es control de red.</t>
  </si>
  <si>
    <t>Genera detección de ataques de red que alimenta al SIEM y al análisis del SOC.</t>
  </si>
  <si>
    <t>ISE</t>
  </si>
  <si>
    <t>Impide que dispositivos no autorizados alcancen la red y comparte contrato con el bloque Cisco.</t>
  </si>
  <si>
    <t>Funcionalmente es NAC: autentica y autoriza usuarios y dispositivos antes de admitirlos.</t>
  </si>
  <si>
    <t>Keeper Security</t>
  </si>
  <si>
    <t>Administra credenciales empresariales en bóveda. SALIDA PREVISTA octubre 2026.</t>
  </si>
  <si>
    <t>KnowBe4</t>
  </si>
  <si>
    <t>Concientización y Cultura</t>
  </si>
  <si>
    <t>Única plataforma de formación y simulación del banco. CONTRATO VENCE 28/08/2026.</t>
  </si>
  <si>
    <t>Kriptos</t>
  </si>
  <si>
    <t>MAM Intune</t>
  </si>
  <si>
    <t>Condiciona el acceso al dato según la política y la postura del dispositivo.</t>
  </si>
  <si>
    <t>Microsoft 365 Defender / Email &amp; Colaboration Security</t>
  </si>
  <si>
    <t>Protege correo y herramientas de colaboración, que son los canales de trabajo del usuario.</t>
  </si>
  <si>
    <t>Protege la información dentro de las herramientas de colaboración.</t>
  </si>
  <si>
    <t>Su telemetría alimenta la detección centralizada del SOC.</t>
  </si>
  <si>
    <t>Netskope</t>
  </si>
  <si>
    <t>Secure web gateway: controla la navegación y el uso de aplicaciones SaaS del usuario.</t>
  </si>
  <si>
    <t>Módulo DLP en la nube sobre el dato en tránsito y en uso hacia servicios externos.</t>
  </si>
  <si>
    <t>Aporta visibilidad y control de aplicaciones cloud no inventariadas.</t>
  </si>
  <si>
    <t>Octopus</t>
  </si>
  <si>
    <t>Optimizador de Eventos SOC (ORXLog)</t>
  </si>
  <si>
    <t>Filtra y normaliza el evento antes del SIEM; su razón de compra es reducir el costo de ingesta del SOC.</t>
  </si>
  <si>
    <t>Proofpoint</t>
  </si>
  <si>
    <t>Plataforma de seguridad de correo: filtrado, análisis de adjuntos y URLs.</t>
  </si>
  <si>
    <t>Módulo DLP de correo saliente, licenciado y en uso.</t>
  </si>
  <si>
    <t>ProtegeGX</t>
  </si>
  <si>
    <t>Control de acceso físico a agencias y áreas restringidas.</t>
  </si>
  <si>
    <t>SG-System III Console</t>
  </si>
  <si>
    <t>Consola de receptores de alarma; comparte la línea TEC0152.</t>
  </si>
  <si>
    <t>SNOW (SIR &amp; TIP / Certificados)</t>
  </si>
  <si>
    <t>Los módulos SIR y TIP sostienen la gestión de incidentes y la inteligencia de amenazas.</t>
  </si>
  <si>
    <t>El módulo de certificados gestiona el ciclo de vida del certificado como activo.</t>
  </si>
  <si>
    <t>Security Scorecard</t>
  </si>
  <si>
    <t>Seguridad Perimetral Firewall Nube</t>
  </si>
  <si>
    <t>El tráfico que controla es el de los ambientes cloud, donde ejerce segmentación.</t>
  </si>
  <si>
    <t>Seguridad Perimetral Firewall Onpremise</t>
  </si>
  <si>
    <t>Sentinel Prevention</t>
  </si>
  <si>
    <t>Snyk</t>
  </si>
  <si>
    <t>Softguard</t>
  </si>
  <si>
    <t>Spartan</t>
  </si>
  <si>
    <t>Stackhawk</t>
  </si>
  <si>
    <t>Stealthwatch</t>
  </si>
  <si>
    <t>Tenable</t>
  </si>
  <si>
    <t>Trellix</t>
  </si>
  <si>
    <t>Subcategoría</t>
  </si>
  <si>
    <t>Categoría</t>
  </si>
  <si>
    <t>Función</t>
  </si>
  <si>
    <t>ID.RA-03</t>
  </si>
  <si>
    <t>Identificar</t>
  </si>
  <si>
    <t>Identifica y registra amenazas externas de suplantación de marca y dominio: es el resultado que la plataforma compra.</t>
  </si>
  <si>
    <t>DE.CM-09</t>
  </si>
  <si>
    <t>Detectar</t>
  </si>
  <si>
    <t>Monitorea de forma continua la exposición digital de la marca en Internet.</t>
  </si>
  <si>
    <t>DE.AE-02</t>
  </si>
  <si>
    <t>Analiza los hallazgos para determinar si constituyen actividad adversa real.</t>
  </si>
  <si>
    <t>RS.MI-01</t>
  </si>
  <si>
    <t>Los incidentes son contenidos</t>
  </si>
  <si>
    <t>Responder</t>
  </si>
  <si>
    <t>El takedown de un dominio suplantador es una acción de mitigación posterior a un evento confirmado.</t>
  </si>
  <si>
    <t>PR.IR-01</t>
  </si>
  <si>
    <t>Redes y entornos protegidos de acceso y uso lógico no autorizado</t>
  </si>
  <si>
    <t>Proteger</t>
  </si>
  <si>
    <t>Protege las aplicaciones y APIs expuestas frente a acceso y uso no autorizado.</t>
  </si>
  <si>
    <t>DE.CM-01</t>
  </si>
  <si>
    <t>Genera telemetría continua de capa 7 sobre el tráfico entrante.</t>
  </si>
  <si>
    <t>Analiza patrones de petición para distinguir ataque de tráfico legítimo.</t>
  </si>
  <si>
    <t>DE.CM-02</t>
  </si>
  <si>
    <t>RS.MA-02</t>
  </si>
  <si>
    <t>Los reportes de incidente son triados y validados</t>
  </si>
  <si>
    <t>Tría y valida los reportes de alarma recibidos.</t>
  </si>
  <si>
    <t>RS.CO-02</t>
  </si>
  <si>
    <t>PR.IR-03</t>
  </si>
  <si>
    <t>La mitigación volumétrica es un mecanismo permanente de resiliencia ante situación adversa, no una respuesta a incidente.</t>
  </si>
  <si>
    <t>Protege la disponibilidad del perímetro frente a uso no autorizado del canal.</t>
  </si>
  <si>
    <t>Monitorea continuamente el comportamiento del tráfico de red.</t>
  </si>
  <si>
    <t>PR.DS-01</t>
  </si>
  <si>
    <t>Confidencialidad, integridad y disponibilidad del dato en reposo protegidas</t>
  </si>
  <si>
    <t>Custodia el material criptográfico y protege el dato en reposo cifrado con esas llaves.</t>
  </si>
  <si>
    <t>PR.DS-02</t>
  </si>
  <si>
    <t>Confidencialidad, integridad y disponibilidad del dato en tránsito protegidas</t>
  </si>
  <si>
    <t>Cifrado de PIN en tránsito a lo largo de la cadena de pagos.</t>
  </si>
  <si>
    <t>PR.DS-10</t>
  </si>
  <si>
    <t>Confidencialidad, integridad y disponibilidad del dato en uso protegidas</t>
  </si>
  <si>
    <t>Operaciones criptográficas sobre el dato mientras está en uso.</t>
  </si>
  <si>
    <t>PR.AA-03</t>
  </si>
  <si>
    <t>Usuarios, servicios y hardware son autenticados</t>
  </si>
  <si>
    <t>La biometría de comportamiento opera como autenticación continua del usuario.</t>
  </si>
  <si>
    <t>DE.CM-03</t>
  </si>
  <si>
    <t>Analiza la desviación de comportamiento para determinar si es actividad adversa.</t>
  </si>
  <si>
    <t>DE.AE-04</t>
  </si>
  <si>
    <t>Puntúa el riesgo de la sesión, estimando impacto y alcance.</t>
  </si>
  <si>
    <t>ID.AM-08</t>
  </si>
  <si>
    <t>Sistemas, hardware, software, servicios y datos gestionados en todo su ciclo de vida</t>
  </si>
  <si>
    <t>El valor operativo es la gestión del ciclo de vida del certificado.</t>
  </si>
  <si>
    <t>Certificados TLS públicos: protegen el dato en tránsito de cara al exterior.</t>
  </si>
  <si>
    <t>PR.AA-04</t>
  </si>
  <si>
    <t>Aserciones de identidad protegidas, transmitidas y verificadas</t>
  </si>
  <si>
    <t>El certificado es la aserción de identidad protegida, transmitida y verificada.</t>
  </si>
  <si>
    <t>ID.AM-02</t>
  </si>
  <si>
    <t>Inventarios de software, servicios y sistemas son mantenidos</t>
  </si>
  <si>
    <t>Descubre aplicaciones SaaS no inventariadas (shadow IT).</t>
  </si>
  <si>
    <t>PR.AA-05</t>
  </si>
  <si>
    <t>Aplica y revisa permisos de acceso a aplicaciones SaaS.</t>
  </si>
  <si>
    <t>Controla el dato en uso dentro de las aplicaciones en la nube.</t>
  </si>
  <si>
    <t>Inspecciona y protege el dato en tránsito hacia servicios SaaS.</t>
  </si>
  <si>
    <t>Monitorea el uso de aplicaciones y sus datos para detectar eventos adversos.</t>
  </si>
  <si>
    <t>PR.PS-04</t>
  </si>
  <si>
    <t>Registros de log generados y disponibles para monitoreo continuo</t>
  </si>
  <si>
    <t>DE.AE-03</t>
  </si>
  <si>
    <t>La información es correlacionada desde múltiples fuentes</t>
  </si>
  <si>
    <t>Normaliza y consolida fuentes heterogéneas: habilita la correlación multifuente.</t>
  </si>
  <si>
    <t>PR.PS-01</t>
  </si>
  <si>
    <t>Prácticas de gestión de configuración establecidas y aplicadas</t>
  </si>
  <si>
    <t>Configura y mantiene la línea base de los paneles de alarma.</t>
  </si>
  <si>
    <t>PR.PS-03</t>
  </si>
  <si>
    <t>Hardware mantenido, reemplazado y retirado según el riesgo</t>
  </si>
  <si>
    <t>Gestiona mantenimiento, reemplazo y retiro del parque de paneles.</t>
  </si>
  <si>
    <t>PR.AA-06</t>
  </si>
  <si>
    <t>Acceso físico a los activos gestionado, monitoreado y exigido según el riesgo</t>
  </si>
  <si>
    <t>Programa la lógica de acceso físico a los recintos protegidos.</t>
  </si>
  <si>
    <t>Consola de paneles: sostiene el monitoreo del entorno físico.</t>
  </si>
  <si>
    <t>Define y controla quién puede solicitar y usar cada clave de contingencia.</t>
  </si>
  <si>
    <t>Registra y monitorea los eventos de apertura en el entorno físico.</t>
  </si>
  <si>
    <t>Almacena y hace disponible el registro para el monitoreo continuo.</t>
  </si>
  <si>
    <t>La correlación multifuente es la definición funcional de un SIEM.</t>
  </si>
  <si>
    <t>Analiza el evento correlacionado para entender la actividad asociada.</t>
  </si>
  <si>
    <t>Monitorea entornos de ejecución a través de la telemetría ingerida.</t>
  </si>
  <si>
    <t>RS.AN-03</t>
  </si>
  <si>
    <t>Es la herramienta central del análisis de causa raíz durante un incidente.</t>
  </si>
  <si>
    <t>ID.RA-01</t>
  </si>
  <si>
    <t>Vulnerabilidades en activos identificadas, validadas y registradas</t>
  </si>
  <si>
    <t>Identifica, valida y registra vulnerabilidades en workloads y contenedores.</t>
  </si>
  <si>
    <t>Mantiene el inventario de servicios y cargas desplegadas en la nube.</t>
  </si>
  <si>
    <t>Evalúa y exige la línea base de configuración de los entornos cloud.</t>
  </si>
  <si>
    <t>PR.PS-06</t>
  </si>
  <si>
    <t>Detecta exposición de datos en reposo en almacenamiento cloud.</t>
  </si>
  <si>
    <t>Monitorea entornos de ejecución cloud y sus datos.</t>
  </si>
  <si>
    <t>PR.PS-05</t>
  </si>
  <si>
    <t>Instalación y ejecución de software no autorizado son prevenidas</t>
  </si>
  <si>
    <t>Impide la ejecución de software no autorizado en el activo.</t>
  </si>
  <si>
    <t>Monitoreo continuo del endpoint, servidor y su entorno de ejecución.</t>
  </si>
  <si>
    <t>Analiza la cadena de ejecución para entender la actividad adversa.</t>
  </si>
  <si>
    <t>El aislamiento de host es contención real de un incidente declarado.</t>
  </si>
  <si>
    <t>Aporta la línea de tiempo forense del incidente en el activo.</t>
  </si>
  <si>
    <t>Impone mínimo privilegio y segregación sobre las cuentas privilegiadas.</t>
  </si>
  <si>
    <t>PR.AA-01</t>
  </si>
  <si>
    <t>Custodia y rota las credenciales privilegiadas a lo largo de su ciclo de vida.</t>
  </si>
  <si>
    <t>Autentica al operador antes de entregar la sesión privilegiada.</t>
  </si>
  <si>
    <t>Graba y audita la actividad de la sesión privilegiada.</t>
  </si>
  <si>
    <t>El corte de acceso privilegiado durante un incidente es contención legítima.</t>
  </si>
  <si>
    <t>Monitoreo continuo del tráfico y los servicios de red.</t>
  </si>
  <si>
    <t>Analiza la desviación de comportamiento de red frente a la línea base aprendida.</t>
  </si>
  <si>
    <t>Estima impacto y alcance del evento en función de los activos involucrados.</t>
  </si>
  <si>
    <t>Autoriza y controla el acceso físico según reglas de decisión.</t>
  </si>
  <si>
    <t>Administra las credenciales y perfiles habilitados para el acceso.</t>
  </si>
  <si>
    <t>Genera el registro de actividad disponible para monitoreo y auditoría.</t>
  </si>
  <si>
    <t>La trazabilidad de actividades es monitoreo del entorno físico, no mejora de proceso.</t>
  </si>
  <si>
    <t>Impide ejecución de software no autorizado en la carga de trabajo.</t>
  </si>
  <si>
    <t>Aplica y verifica la línea base de configuración del servidor.</t>
  </si>
  <si>
    <t>Monitoreo continuo del servidor y su entorno de ejecución.</t>
  </si>
  <si>
    <t>Analiza el evento en el host para entender la actividad asociada.</t>
  </si>
  <si>
    <t>El parchado virtual de emergencia contiene la explotación en curso.</t>
  </si>
  <si>
    <t>MFA: autenticación reforzada de usuarios y servicios, casi de forma exclusiva.</t>
  </si>
  <si>
    <t>Administra el ciclo de vida del segundo factor asociado a cada identidad.</t>
  </si>
  <si>
    <t>Condiciona el acceso a aplicaciones críticas según política.</t>
  </si>
  <si>
    <t>Autentica al portador del código antes de habilitar la apertura.</t>
  </si>
  <si>
    <t>Registra los eventos de apertura en el entorno físico.</t>
  </si>
  <si>
    <t>Gestiona el ciclo de vida del certificado interno.</t>
  </si>
  <si>
    <t>PKI interna: emite las aserciones de identidad que se transmiten y verifican.</t>
  </si>
  <si>
    <t>Habilita el cifrado de las comunicaciones internas.</t>
  </si>
  <si>
    <t>Autentica dispositivos y servicios mediante certificado.</t>
  </si>
  <si>
    <t>PR.AA-02</t>
  </si>
  <si>
    <t>Sostiene el enrolamiento de la identidad del cliente y su credencial biométrica.</t>
  </si>
  <si>
    <t>ID.IM-01</t>
  </si>
  <si>
    <t>Mejoras identificadas a partir de evaluaciones</t>
  </si>
  <si>
    <t>La auditoría de reglas produce mejoras identificadas a partir de evaluación.</t>
  </si>
  <si>
    <t>La higiene de reglas es lo que efectivamente protege la red del acceso no autorizado.</t>
  </si>
  <si>
    <t>Controla el dato en uso en el endpoint antes de que salga.</t>
  </si>
  <si>
    <t>Monitorea el uso del dato en los canales de salida.</t>
  </si>
  <si>
    <t>El bloqueo de una exfiltración en curso es contención de incidente.</t>
  </si>
  <si>
    <t>Gestiona la identidad como activo a lo largo de su ciclo de vida.</t>
  </si>
  <si>
    <t>Gestiona el ciclo de vida de identidades y credenciales corporativas.</t>
  </si>
  <si>
    <t>Define, aplica y revisa permisos y autorizaciones.</t>
  </si>
  <si>
    <t>Autentica usuarios y servicios contra el directorio.</t>
  </si>
  <si>
    <t>Bloquea por firma el tráfico no autorizado hacia la red interna.</t>
  </si>
  <si>
    <t>Monitorea continuamente el tráfico de red en busca de eventos adversos.</t>
  </si>
  <si>
    <t>Analiza la firma disparada para entender la actividad asociada.</t>
  </si>
  <si>
    <t>La regla de bloqueo dirigida durante un incidente es contención; el bloqueo por firma es prevención.</t>
  </si>
  <si>
    <t>ID.AM-01</t>
  </si>
  <si>
    <t>Inventarios de hardware administrado son mantenidos</t>
  </si>
  <si>
    <t>Descubre hardware conectado no inventariado.</t>
  </si>
  <si>
    <t>Aplica la política de acceso a red según rol y postura del dispositivo.</t>
  </si>
  <si>
    <t>Impide que dispositivos no autorizados alcancen la red.</t>
  </si>
  <si>
    <t>Autentica usuarios y dispositivos antes de admitirlos en la red.</t>
  </si>
  <si>
    <t>Administra credenciales empresariales a lo largo de su ciclo de vida.</t>
  </si>
  <si>
    <t>La bóveda cifrada protege el secreto almacenado como dato en reposo.</t>
  </si>
  <si>
    <t>El uso compartido por carpeta y rol impone mínimo privilegio sobre los secretos.</t>
  </si>
  <si>
    <t>ID.IM-02</t>
  </si>
  <si>
    <t>La simulación de phishing es un ejercicio de seguridad que produce mejoras.</t>
  </si>
  <si>
    <t>PR.AT-01</t>
  </si>
  <si>
    <t>Formación general del personal en riesgos de ciberseguridad.</t>
  </si>
  <si>
    <t>PR.AT-02</t>
  </si>
  <si>
    <t>Formación específica para roles especializados.</t>
  </si>
  <si>
    <t>ID.AM-05</t>
  </si>
  <si>
    <t>ID.AM-07</t>
  </si>
  <si>
    <t>Inventarios de datos y metadatos de tipos designados mantenidos</t>
  </si>
  <si>
    <t>Cifra y contiene el dato corporativo en reposo en el dispositivo.</t>
  </si>
  <si>
    <t>Impide la ejecución de aplicaciones no autorizadas sobre el dato corporativo.</t>
  </si>
  <si>
    <t>El filtrado de adjuntos y URLs impide la ejecución de contenido no autorizado.</t>
  </si>
  <si>
    <t>Protege el dato en tránsito en el canal de correo.</t>
  </si>
  <si>
    <t>Monitorea correo y herramientas de colaboración y sus datos.</t>
  </si>
  <si>
    <t>Analiza adjuntos y URLs para determinar si el mensaje es adverso.</t>
  </si>
  <si>
    <t>La cuarentena y la purga retroactiva contienen un incidente en curso.</t>
  </si>
  <si>
    <t>DLP en línea sobre el dato en uso hacia servicios web y cloud.</t>
  </si>
  <si>
    <t>Inspecciona y protege el dato en tránsito hacia la nube.</t>
  </si>
  <si>
    <t>Correlaciona señales de múltiples subsistemas físicos.</t>
  </si>
  <si>
    <t>Tría y valida los reportes de incidente físico.</t>
  </si>
  <si>
    <t>Notifica a los responsables internos según protocolo.</t>
  </si>
  <si>
    <t>Filtra y optimiza el volumen para que el registro esté disponible al monitoreo continuo.</t>
  </si>
  <si>
    <t>Normaliza y enriquece el evento para hacer posible la correlación multifuente: es el resultado que el SOC compra.</t>
  </si>
  <si>
    <t>Depura el ruido para que el evento analizado sea el relevante.</t>
  </si>
  <si>
    <t>ID.RA-02</t>
  </si>
  <si>
    <t>Inteligencia de amenazas recibida de foros y fuentes de intercambio</t>
  </si>
  <si>
    <t>El módulo TIP recibe inteligencia de amenazas de fuentes externas.</t>
  </si>
  <si>
    <t>El módulo de certificados gestiona su ciclo de vida como activo.</t>
  </si>
  <si>
    <t>Tría y valida los reportes de incidente de seguridad.</t>
  </si>
  <si>
    <t>RS.MA-03</t>
  </si>
  <si>
    <t>Los incidentes son categorizados y priorizados</t>
  </si>
  <si>
    <t>Notifica a los stakeholders internos y externos según protocolo.</t>
  </si>
  <si>
    <t>Documenta el análisis y la causa raíz del incidente.</t>
  </si>
  <si>
    <t>ID.RA-05</t>
  </si>
  <si>
    <t>Traduce exposición externa en riesgo inherente y prioriza la respuesta.</t>
  </si>
  <si>
    <t>Identifica y registra amenazas y exposiciones internas y externas.</t>
  </si>
  <si>
    <t>Detecta y registra vulnerabilidades observables desde el exterior.</t>
  </si>
  <si>
    <t>Controla el acceso lógico a los entornos cloud del banco.</t>
  </si>
  <si>
    <t>Mantiene la línea base de reglas y objetos del firewall.</t>
  </si>
  <si>
    <t>Monitorea el tráfico y los servicios de red en la nube.</t>
  </si>
  <si>
    <t>La regla de bloqueo de emergencia durante un incidente es contención.</t>
  </si>
  <si>
    <t>Monitorea el tráfico y los servicios de red.</t>
  </si>
  <si>
    <t>Monitorea la actividad transaccional del cliente en el canal.</t>
  </si>
  <si>
    <t>Analiza la transacción para determinar si es fraudulenta.</t>
  </si>
  <si>
    <t>Prueba dinámica: identifica y registra vulnerabilidades en la aplicación en ejecución.</t>
  </si>
  <si>
    <t>Monitoreo continuo de flujos de red interna.</t>
  </si>
  <si>
    <t>Analiza el flujo anómalo para entender la actividad asociada.</t>
  </si>
  <si>
    <t>Correlaciona telemetría de flujo de múltiples segmentos.</t>
  </si>
  <si>
    <t>Aporta la trazabilidad de red para el análisis de causa raíz.</t>
  </si>
  <si>
    <t>Suma de %</t>
  </si>
  <si>
    <t>Etiquetas de columna</t>
  </si>
  <si>
    <t>Etiquetas de fila</t>
  </si>
  <si>
    <t>Total general</t>
  </si>
  <si>
    <t>Sostiene el cifrado de PIN de tarjetas,ATMs y cheques, sin el cual no opera la cadena de pagos.</t>
  </si>
  <si>
    <t>Se tiene casos de uso que valida el SOC, correlaciona eventos de trafico de red  y gestiona la remediacion</t>
  </si>
  <si>
    <t>Detección sobre el tráfico de red y aporta visibilidad de segmento, no ejerce control sobre él.</t>
  </si>
  <si>
    <t>Autoridad certificadora pública para TLS de de uso interno</t>
  </si>
  <si>
    <t>Todo su valor se consume dentro del SOC: correlaciona el ecosistema completo, crea y lanza alertas para una respuesta efectiva y no produce resultado fuera de esa capacidad.</t>
  </si>
  <si>
    <t>Clasifica la información por sensibilidad y este etiquetado sirve para aplicar reglas en el DLP.</t>
  </si>
  <si>
    <t>Previene la fuga de información por los canales de salida: es su propósito declarado.</t>
  </si>
  <si>
    <t>Es el agente instalado en estaciones de trabajo y servidores: detecta, previene y bloquea en el propio activo.</t>
  </si>
  <si>
    <t xml:space="preserve">Consola que permite la gestion remota de los sistemas de alarmas en ATMs, activar/desactivar alarmas </t>
  </si>
  <si>
    <t>Contribuye a la seguridad de la informacion que accede a un sitio expuesto al internet</t>
  </si>
  <si>
    <t xml:space="preserve">Apertura de cajas fuertes de agencias </t>
  </si>
  <si>
    <t>Opera mediante agente instalado en el computador del usuario final, cuya cobertura se administra como la del resto del parque.</t>
  </si>
  <si>
    <t xml:space="preserve">Consola que permite la gestion remota de los sistemas de alarmas en agencias, activar/desactivar alarmas </t>
  </si>
  <si>
    <t>Generación y control de códigos dinámicos para cajas fuertes de red de Agencias</t>
  </si>
  <si>
    <t>Ejecuta una deteccion y bloqueos por medio de politicas de seguridad.</t>
  </si>
  <si>
    <t>Identifica y prioriza vulnerabilidades en en el front</t>
  </si>
  <si>
    <t>Custodia, rota, controla y audita el uso de cuentas privilegiadas.</t>
  </si>
  <si>
    <t>Solución In House de monitoreo de fraude, enfocada en la detección de posibles transacciones fraudulentas </t>
  </si>
  <si>
    <t>Secure web gateway: Protege la navegación hacia Internet y reduce el riesgo de accesos o conexiones no autorizadas.</t>
  </si>
  <si>
    <t>Módulo de detección y contención que permite el bloqueo en caso que sea un bloqueo en la cerradura IP</t>
  </si>
  <si>
    <t>Aplica controles de acceso de acuerdo con el usuario, grupo o aplicación utilizada.</t>
  </si>
  <si>
    <t>Proporciona visibilidad sobre el uso de aplicaciones cloud y las actividades realizadas por los usuarios.</t>
  </si>
  <si>
    <t>Mide exposición externa y riesgo sobre los dominios expuestos en internet de banco</t>
  </si>
  <si>
    <t>Protege la marca frente a suplantación de dominios y perfiles: abuso digital puro, Salida prevista Noviembre</t>
  </si>
  <si>
    <t>Administra autorizaciones asociadas a identidades para aplicar acceso físico según perfiles, zonas y principio de mínimo privilegio.</t>
  </si>
  <si>
    <t>Aporta alertas validadas y trazabilidad de eventos físicos para su escalamiento, coordinación y respuesta; su contribución es complementaria a la seguridad física.</t>
  </si>
  <si>
    <t>Modulo de control USB: permite/bloquea el uso y acceso de dispositivos de almacenamiento en los dispositivos endpoint.</t>
  </si>
  <si>
    <t>Permite la generación de reportes para higiene de reglas reduciendo la superficie de exposición.</t>
  </si>
  <si>
    <t>Protege el uso de aplicaciones corporativas en dispositivos personales o no administrados mediante controles aplicados directamente sobre la aplicación.</t>
  </si>
  <si>
    <t xml:space="preserve">Modulo de claves de desactivacion de alarmas de ATMs </t>
  </si>
  <si>
    <t>Proporciona visibilidad y trazabilidad técnica de los eventos recibidos para apoyar su análisis, escalamiento y atención coordinada.</t>
  </si>
  <si>
    <t>Autenticación multifactor que protege el acceso a aplicaciones críticas del negocio (cash)  mediante segundo factor con tokens virtuales (soft token) y físicos (hard token).</t>
  </si>
  <si>
    <t>Gestión de claves fijas para acceso a cajas fuertes y ATMs.</t>
  </si>
  <si>
    <t>Aporta alertas validadas y trazabilidad de eventos físicos para su escalamiento, coordinación y respuesta</t>
  </si>
  <si>
    <t>Restringe la copia, descarga y transferencia de información corporativa.</t>
  </si>
  <si>
    <t>Centraliza la recepción, supervisión, clasificación y escalamiento de señales de alarma de agencias para apoyar la vigilancia operativa del entorno físico</t>
  </si>
  <si>
    <t>Es un NDR, detecta comportamiento anómalo basado en modelos y las alertas generadas alimentan al SIEM y los correspondientes casos de uso del SOC BP</t>
  </si>
  <si>
    <t>Analiza flujos para detección; su resultado alimenta al SIEM y los correspondientes casos de uso del SOC BP</t>
  </si>
  <si>
    <t>Opera sobre telemetría de red.</t>
  </si>
  <si>
    <t>Recepción y monitoreo continuo de señales del entorno físico de agencias</t>
  </si>
  <si>
    <t>Identifica vulnerabilidades en código y componentes de terceros, inventariando dependencias y riesgos.</t>
  </si>
  <si>
    <t>Protección antimalware y control de ejecución de aplicaciones sobre el activo.</t>
  </si>
  <si>
    <t>Permite incorporar controles preventivos en el SDLC mediante SAST y políticas de validación en pipelines.</t>
  </si>
  <si>
    <t>Detecta continuamente vulnerabilidades nuevas durante el ciclo de desarrollo.</t>
  </si>
  <si>
    <t>Detectar fraude por comportamiento (físico y cognitivo) y apropiación de cuentas (ATO) en canales digitales.</t>
  </si>
  <si>
    <t>Conexion cifrada entre el agente instalado en el ATM y la consola</t>
  </si>
  <si>
    <t>Funcionalmente es verificación de clave fija en la cerradura IP, validación y permite el acceso</t>
  </si>
  <si>
    <t>Mantiene disponible la trazabilidad de las señales y eventos recibidos para seguimiento y consulta operativa.</t>
  </si>
  <si>
    <t>Prevención en suplantación en flujos de canales digitales (facial + prueba de vida + OCR)</t>
  </si>
  <si>
    <t>Administra la asociación entre identidades, credenciales y perfiles utilizados para el acceso físico.</t>
  </si>
  <si>
    <t>Gestiona, supervisa y aplica el acceso físico a agencias y áreas restringidas según el riesgo.</t>
  </si>
  <si>
    <t>Genera y conserva registros de accesos, puertas y alarmas para monitoreo y auditoría.</t>
  </si>
  <si>
    <t>Monitorea eventos de puerta, alarmas y condiciones asociadas al entorno físico protegido.</t>
  </si>
  <si>
    <t>Funcionalmente es verificación de identidad: prueba la identidad + cédula de identidad del cliente</t>
  </si>
  <si>
    <t>Centraliza el monitoreo continuo de señales de alarma generadas en el entorno físico de las agencias.</t>
  </si>
  <si>
    <t>Permite revisar, clasificar y validar la señal recibida antes de su escalamiento operativo.</t>
  </si>
  <si>
    <t>Facilita el triaje y la validación inicial de los reportes de alarma para determinar su tratamiento.</t>
  </si>
  <si>
    <t>Apoya la notificación y el escalamiento del evento validado hacia el centro de monitoreo y los responsables definidos.</t>
  </si>
  <si>
    <t>Control perimetral en nube, control de tráfico entre las zonas internas y externas.</t>
  </si>
  <si>
    <t xml:space="preserve">Correlacionador la recepción de incidentes de los sistemas de seguridad física (Alarmas, Accesos, Videos) de la red de Banco Pichincha </t>
  </si>
  <si>
    <t>Control perimetral, control de tráfico entre las zonas internas y externas.</t>
  </si>
  <si>
    <t>Centraliza y pone a disposición los registros de eventos requeridos para el monitoreo y análisis de seguridad.</t>
  </si>
  <si>
    <t>Apoya la gestión del mantenimiento y reemplazo de los receptores conforme a su estado operativo.</t>
  </si>
  <si>
    <t>Conserva y pone a disposición el registro técnico de eventos y estados de los receptores.</t>
  </si>
  <si>
    <t>Centraliza la recepción de alarmas que soporta el monitoreo continuo del entorno físico.</t>
  </si>
  <si>
    <t>Clasifica y prioriza activos de información según sensibilidad, criticidad e impacto para el negocio.</t>
  </si>
  <si>
    <t>Mantiene el inventario de datos y metadatos, proporcionando visibilidad sobre la información y su clasificación.</t>
  </si>
  <si>
    <t>Las etiquetas de clasificación permiten aplicar controles de protección sobre la información almacenada, habilitando mecanismos de seguridad sobre datos en reposo.</t>
  </si>
  <si>
    <t>La clasificación y etiquetado de la información sirven como insumo para herramientas DLP y otros controles que protegen el dato durante su uso.</t>
  </si>
  <si>
    <t>Protege el dato corporativo en uso dentro de la aplicación.</t>
  </si>
  <si>
    <t>Proporciona la trazabilidad de gestión detección-respuesta de incidentes del PSOC.</t>
  </si>
  <si>
    <t>Verifica la identidad y la vincula a la credencial en los flujos correspondientes a los canales digitales</t>
  </si>
  <si>
    <t>Autentica biométricamente al cliente en operaciones sensibles. (Challenge transaccional)</t>
  </si>
  <si>
    <t>Restringe el uso de aplicaciones no autorizadas para acceder, copiar o transferir información corporativa.</t>
  </si>
  <si>
    <t>Analiza y bloquea adjuntos, URLs y contenido malicioso, reduciendo el riesgo de ejecución de software no autorizado.</t>
  </si>
  <si>
    <t>Protege la confidencialidad de la información en tránsito mediante cifrado y controles de seguridad aplicados al correo electrónico.</t>
  </si>
  <si>
    <t>Monitorea continuamente el tráfico de correo electrónico, adjuntos, URLs y patrones de actividad para identificar amenazas potenciales.</t>
  </si>
  <si>
    <t>Analiza correos, adjuntos y enlaces para determinar si representan actividad maliciosa o potencialmente adversa.</t>
  </si>
  <si>
    <t>Contiene incidentes mediante cuarentena, retiro de mensajes y remediación retroactiva sobre correos ya entregados.</t>
  </si>
  <si>
    <t>Notifica al centro de monitoreo y a los responsables de seguridad.</t>
  </si>
  <si>
    <t>Genera y controla códigos dinámicos de apertura: acceso físico a activos.</t>
  </si>
  <si>
    <t>Define y revisa permisos de acceso por persona, nivel de acceso y zona, aplicando mínimo privilegio y segregación.</t>
  </si>
  <si>
    <t>Gestiona el acceso físico mediante claves fijas a cajas fuertes y ATMs</t>
  </si>
  <si>
    <t>Categoriza y prioriza el incidente: función core del módulo SIR.</t>
  </si>
  <si>
    <t>Controla el acceso lógico entre zonas de la red interna y externas</t>
  </si>
  <si>
    <t>Correlacionador de incidentes de los sistemas de seguridasd de red de agencias y atms</t>
  </si>
  <si>
    <t xml:space="preserve">monitoreo continuo centralizado de alertas </t>
  </si>
  <si>
    <t>Identifica vulnerabilidades y evalúa riesgos en aplicaciones y APIs.</t>
  </si>
  <si>
    <t>Detecta continuamente vulnerabilidades explotables en aplicaciones en ejecución.</t>
  </si>
  <si>
    <t>Apoya controles preventivos mediante validaciones en DevSecOps antes del despliegue.</t>
  </si>
  <si>
    <t>Verificación de la seguridad de aplicaciones antes de promover cambios a producción mediante escaneos DAST.</t>
  </si>
  <si>
    <t>Monitoreo de fraude, enfocada en la detección de posibles transacciones fraudulentas a través de tarjeta de débito.</t>
  </si>
  <si>
    <t>Monitoreo continuo del comportamiento del usuario durante la sesión.</t>
  </si>
  <si>
    <t>Estima el impacto de la operación sospechosa después de que se realizó.</t>
  </si>
  <si>
    <t>Estima el impacto de la operación sospechosa.</t>
  </si>
  <si>
    <t>Facilita hardening, remediación y reducción de exposición.</t>
  </si>
  <si>
    <t>Snyk SAST identifica vulnerabilidades en el código fuente durante el desarrollo, permitiendo registrar y gestionar los hallazgos encontrados.</t>
  </si>
  <si>
    <t>Identifica vulnerabilidades y exposiciones presentes en la infraestructura tecnológica.</t>
  </si>
  <si>
    <t>Monitorea continuamente vulnerabilidades y cambios en la postura de seguridad.</t>
  </si>
  <si>
    <t>(en blanco)</t>
  </si>
  <si>
    <t>Descripción.</t>
  </si>
  <si>
    <t>define, exige y verifica la línea base de las políticas de firewall del banco.</t>
  </si>
  <si>
    <t>ID.AM-03</t>
  </si>
  <si>
    <t>Mantiene el mapa vivo de qué está autorizado a comunicarse con qué. Único aporte del portafolio a este resultado</t>
  </si>
  <si>
    <t>CATÁLOGO COMPLETO NIST CSF 2.0 — 106 SUBCATEGORÍAS</t>
  </si>
  <si>
    <t>6 funciones · 22 categorías · 106 subcategorías. Texto oficial en inglés (NIST.CSWP.29, feb-2024) y glosa en español. La columna «En uso» marca las que aplica el portafolio de la Gerencia de Plataformas.</t>
  </si>
  <si>
    <t>Código función</t>
  </si>
  <si>
    <t>Nombre de la categoría</t>
  </si>
  <si>
    <t>Descripción / glosa (es)</t>
  </si>
  <si>
    <t>Texto oficial NIST CSF 2.0 (en)</t>
  </si>
  <si>
    <t>En uso en el portafolio</t>
  </si>
  <si>
    <t>Gobernar</t>
  </si>
  <si>
    <t>GV</t>
  </si>
  <si>
    <t>GV.OC</t>
  </si>
  <si>
    <t>Contexto organizacional</t>
  </si>
  <si>
    <t>GV.OC-01</t>
  </si>
  <si>
    <t>La misión organizacional se comprende e informa la gestión del riesgo de ciberseguridad</t>
  </si>
  <si>
    <t>The organizational mission is understood and informs cybersecurity risk management</t>
  </si>
  <si>
    <t>GV.OC-02</t>
  </si>
  <si>
    <t>Se comprenden las partes interesadas internas y externas y sus necesidades y expectativas sobre la gestión del riesgo</t>
  </si>
  <si>
    <t>Internal and external stakeholders are understood, and their needs and expectations regarding cybersecurity risk management are understood and considered</t>
  </si>
  <si>
    <t>GV.OC-03</t>
  </si>
  <si>
    <t>Los requisitos legales, regulatorios y contractuales de ciberseguridad, incluidas las obligaciones de privacidad, se comprenden y gestionan</t>
  </si>
  <si>
    <t>Legal, regulatory, and contractual requirements regarding cybersecurity — including privacy and civil liberties obligations — are understood and managed</t>
  </si>
  <si>
    <t>GV.OC-04</t>
  </si>
  <si>
    <t>Los objetivos, capacidades y servicios críticos que los terceros esperan de la organización se comprenden y comunican</t>
  </si>
  <si>
    <t>Critical objectives, capabilities, and services that external stakeholders depend on or expect from the organization are understood and communicated</t>
  </si>
  <si>
    <t>GV.OC-05</t>
  </si>
  <si>
    <t>Los resultados, capacidades y servicios de los que depende la organización se comprenden y comunican</t>
  </si>
  <si>
    <t>Outcomes, capabilities, and services that the organization depends on are understood and communicated</t>
  </si>
  <si>
    <t>GV.RM</t>
  </si>
  <si>
    <t>Estrategia de gestión de riesgo</t>
  </si>
  <si>
    <t>GV.RM-01</t>
  </si>
  <si>
    <t>Los objetivos de gestión del riesgo se establecen y son acordados por las partes interesadas</t>
  </si>
  <si>
    <t>Risk management objectives are established and agreed to by organizational stakeholders</t>
  </si>
  <si>
    <t>GV.RM-02</t>
  </si>
  <si>
    <t>Las declaraciones de apetito y tolerancia al riesgo se establecen, comunican y mantienen</t>
  </si>
  <si>
    <t>Risk appetite and risk tolerance statements are established, communicated, and maintained</t>
  </si>
  <si>
    <t>GV.RM-03</t>
  </si>
  <si>
    <t>Las actividades y resultados de gestión del riesgo de ciber se incluyen en la gestión de riesgo empresarial</t>
  </si>
  <si>
    <t>Cybersecurity risk management activities and outcomes are included in enterprise risk management processes</t>
  </si>
  <si>
    <t>GV.RM-04</t>
  </si>
  <si>
    <t>Se establece y comunica la dirección estratégica con las opciones de respuesta al riesgo</t>
  </si>
  <si>
    <t>Strategic direction that describes appropriate risk response options is established and communicated</t>
  </si>
  <si>
    <t>GV.RM-05</t>
  </si>
  <si>
    <t>Se establecen líneas de comunicación sobre riesgos de ciber, incluidos los de proveedores y terceros</t>
  </si>
  <si>
    <t>Lines of communication across the organization are established for cybersecurity risks, including risks from suppliers and other third parties</t>
  </si>
  <si>
    <t>GV.RM-06</t>
  </si>
  <si>
    <t>Se establece y comunica un método estandarizado para calcular, documentar, categorizar y priorizar riesgos</t>
  </si>
  <si>
    <t>A standardized method for calculating, documenting, categorizing, and prioritizing cybersecurity risks is established and communicated</t>
  </si>
  <si>
    <t>GV.RM-07</t>
  </si>
  <si>
    <t>Las oportunidades estratégicas (riesgos positivos) se caracterizan e incluyen en la discusión de riesgo</t>
  </si>
  <si>
    <t>Strategic opportunities (i.e., positive risks) are characterized and are included in organizational cybersecurity risk discussions</t>
  </si>
  <si>
    <t>GV.RR</t>
  </si>
  <si>
    <t>Roles, responsabilidades y autoridades</t>
  </si>
  <si>
    <t>GV.RR-01</t>
  </si>
  <si>
    <t>El liderazgo es responsable del riesgo de ciber y fomenta una cultura consciente del riesgo, ética y en mejora continua</t>
  </si>
  <si>
    <t>Organizational leadership is responsible and accountable for cybersecurity risk and fosters a culture that is risk-aware, ethical, and continually improving</t>
  </si>
  <si>
    <t>GV.RR-02</t>
  </si>
  <si>
    <t>Los roles, responsabilidades y autoridades de gestión del riesgo se establecen, comunican, comprenden y exigen</t>
  </si>
  <si>
    <t>Roles, responsibilities, and authorities related to cybersecurity risk management are established, communicated, understood, and enforced</t>
  </si>
  <si>
    <t>GV.RR-03</t>
  </si>
  <si>
    <t>Se asignan recursos adecuados en proporción a la estrategia de riesgo, roles, responsabilidades y políticas</t>
  </si>
  <si>
    <t>Adequate resources are allocated commensurate with the cybersecurity risk strategy, roles, responsibilities, and policies</t>
  </si>
  <si>
    <t>GV.RR-04</t>
  </si>
  <si>
    <t>La ciberseguridad se incorpora en las prácticas de recursos humanos</t>
  </si>
  <si>
    <t>Cybersecurity is included in human resources practices</t>
  </si>
  <si>
    <t>GV.PO</t>
  </si>
  <si>
    <t>Política</t>
  </si>
  <si>
    <t>GV.PO-01</t>
  </si>
  <si>
    <t>La política de gestión del riesgo se establece según el contexto, la estrategia y las prioridades, y se comunica y exige</t>
  </si>
  <si>
    <t>Policy for managing cybersecurity risks is established based on organizational context, cybersecurity strategy, and priorities and is communicated and enforced</t>
  </si>
  <si>
    <t>GV.PO-02</t>
  </si>
  <si>
    <t>La política se revisa, actualiza, comunica y exige para reflejar cambios en requisitos, amenazas, tecnología y misión</t>
  </si>
  <si>
    <t>Policy for managing cybersecurity risks is reviewed, updated, communicated, and enforced to reflect changes in requirements, threats, technology, and organizational mission</t>
  </si>
  <si>
    <t>GV.OV</t>
  </si>
  <si>
    <t>Supervisión</t>
  </si>
  <si>
    <t>GV.OV-01</t>
  </si>
  <si>
    <t>Los resultados de la estrategia de gestión del riesgo se revisan para informar y ajustar la estrategia y la dirección</t>
  </si>
  <si>
    <t>Cybersecurity risk management strategy outcomes are reviewed to inform and adjust strategy and direction</t>
  </si>
  <si>
    <t>GV.OV-02</t>
  </si>
  <si>
    <t>La estrategia se revisa y ajusta para asegurar cobertura de los requisitos y riesgos organizacionales</t>
  </si>
  <si>
    <t>The cybersecurity risk management strategy is reviewed and adjusted to ensure coverage of organizational requirements and risks</t>
  </si>
  <si>
    <t>GV.OV-03</t>
  </si>
  <si>
    <t>El desempeño de la gestión del riesgo se evalúa y revisa para determinar los ajustes necesarios</t>
  </si>
  <si>
    <t>Organizational cybersecurity risk management performance is evaluated and reviewed for adjustments needed</t>
  </si>
  <si>
    <t>GV.SC</t>
  </si>
  <si>
    <t>Gestión del riesgo de la cadena de suministro</t>
  </si>
  <si>
    <t>GV.SC-01</t>
  </si>
  <si>
    <t>Se establece y acuerda un programa, estrategia, objetivos, políticas y procesos de gestión del riesgo de la cadena de suministro</t>
  </si>
  <si>
    <t>A cybersecurity supply chain risk management program, strategy, objectives, policies, and processes are established and agreed to by organizational stakeholders</t>
  </si>
  <si>
    <t>GV.SC-02</t>
  </si>
  <si>
    <t>Los roles y responsabilidades de ciber para proveedores, clientes y socios se establecen, comunican y coordinan</t>
  </si>
  <si>
    <t>Cybersecurity roles and responsibilities for suppliers, customers, and partners are established, communicated, and coordinated internally and externally</t>
  </si>
  <si>
    <t>GV.SC-03</t>
  </si>
  <si>
    <t>La gestión del riesgo de la cadena de suministro se integra en la gestión de riesgo de ciber y empresarial</t>
  </si>
  <si>
    <t>Cybersecurity supply chain risk management is integrated into cybersecurity and enterprise risk management, risk assessment, and improvement processes</t>
  </si>
  <si>
    <t>GV.SC-04</t>
  </si>
  <si>
    <t>Los proveedores son conocidos y priorizados por criticidad</t>
  </si>
  <si>
    <t>Suppliers are known and prioritized by criticality</t>
  </si>
  <si>
    <t>GV.SC-05</t>
  </si>
  <si>
    <t>Los requisitos para atender riesgos de la cadena de suministro se establecen, priorizan e integran en contratos y acuerdos</t>
  </si>
  <si>
    <t>Requirements to address cybersecurity risks in supply chains are established, prioritized, and integrated into contracts and other types of agreements with suppliers and other relevant third parties</t>
  </si>
  <si>
    <t>GV.SC-06</t>
  </si>
  <si>
    <t>Se planifica y realiza debida diligencia para reducir riesgos antes de formalizar relaciones con terceros</t>
  </si>
  <si>
    <t>Planning and due diligence are performed to reduce risks before entering into formal supplier or other third-party relationships</t>
  </si>
  <si>
    <t>GV.SC-07</t>
  </si>
  <si>
    <t>Los riesgos de un proveedor, sus productos y servicios se comprenden, registran, priorizan, evalúan, atienden y monitorean durante la relación</t>
  </si>
  <si>
    <t>The risks posed by a supplier, their products and services, and other third parties are understood, recorded, prioritized, assessed, responded to, and monitored over the course of the relationship</t>
  </si>
  <si>
    <t>GV.SC-08</t>
  </si>
  <si>
    <t>Los proveedores relevantes se incluyen en la planificación, respuesta y recuperación de incidentes</t>
  </si>
  <si>
    <t>Relevant suppliers and other third parties are included in incident planning, response, and recovery activities</t>
  </si>
  <si>
    <t>GV.SC-09</t>
  </si>
  <si>
    <t>Las prácticas de seguridad de la cadena de suministro se integran a los programas de riesgo y su desempeño se monitorea en todo el ciclo de vida</t>
  </si>
  <si>
    <t>Supply chain security practices are integrated into cybersecurity and enterprise risk management programs, and their performance is monitored throughout the technology product and service life cycle</t>
  </si>
  <si>
    <t>GV.SC-10</t>
  </si>
  <si>
    <t>Los planes incluyen previsiones para las actividades posteriores al término de la relación o del acuerdo de servicio</t>
  </si>
  <si>
    <t>Cybersecurity supply chain risk management plans include provisions for activities that occur after the conclusion of a partnership or service agreement</t>
  </si>
  <si>
    <t>ID</t>
  </si>
  <si>
    <t>ID.AM</t>
  </si>
  <si>
    <t>Gestión de activos</t>
  </si>
  <si>
    <t>Inventories of hardware managed by the organization are maintained</t>
  </si>
  <si>
    <t>SÍ</t>
  </si>
  <si>
    <t>Inventories of software, services, and systems managed by the organization are maintained</t>
  </si>
  <si>
    <t>Representaciones de la comunicación de red autorizada y flujos de datos internos y externos mantenidas</t>
  </si>
  <si>
    <t>Representations of the organization’s authorized network communication and internal and external network data flows are maintained</t>
  </si>
  <si>
    <t>ID.AM-04</t>
  </si>
  <si>
    <t>Inventarios de servicios provistos por proveedores son mantenidos</t>
  </si>
  <si>
    <t>Inventories of services provided by suppliers are maintained</t>
  </si>
  <si>
    <t>Activos priorizados por clasificación, criticidad, recursos e impacto en la misión</t>
  </si>
  <si>
    <t>Assets are prioritized based on classification, criticality, resources, and impact on the mission</t>
  </si>
  <si>
    <t>Inventories of data and corresponding metadata for designated data types are maintained</t>
  </si>
  <si>
    <t>Systems, hardware, software, services, and data are managed throughout their life cycles</t>
  </si>
  <si>
    <t>ID.RA</t>
  </si>
  <si>
    <t>Evaluación de riesgo</t>
  </si>
  <si>
    <t>Vulnerabilities in assets are identified, validated, and recorded</t>
  </si>
  <si>
    <t>Cyber threat intelligence is received from information sharing forums and sources</t>
  </si>
  <si>
    <t>Amenazas internas y externas a la organización identificadas y registradas</t>
  </si>
  <si>
    <t>Internal and external threats to the organization are identified and recorded</t>
  </si>
  <si>
    <t>ID.RA-04</t>
  </si>
  <si>
    <t>Impactos potenciales y probabilidades de que las amenazas exploten vulnerabilidades identificados y registrados</t>
  </si>
  <si>
    <t>Potential impacts and likelihoods of threats exploiting vulnerabilities are identified and recorded</t>
  </si>
  <si>
    <t>Amenazas, vulnerabilidades, probabilidades e impactos usados para entender el riesgo inherente y priorizar la respuesta</t>
  </si>
  <si>
    <t>Threats, vulnerabilities, likelihoods, and impacts are used to understand inherent risk and inform risk response prioritization</t>
  </si>
  <si>
    <t>ID.RA-06</t>
  </si>
  <si>
    <t>Las respuestas al riesgo se eligen, priorizan, planifican, siguen y comunican</t>
  </si>
  <si>
    <t>Risk responses are chosen, prioritized, planned, tracked, and communicated</t>
  </si>
  <si>
    <t>ID.RA-07</t>
  </si>
  <si>
    <t>Los cambios y excepciones se gestionan, evalúan por impacto de riesgo, registran y siguen</t>
  </si>
  <si>
    <t>Changes and exceptions are managed, assessed for risk impact, recorded, and tracked</t>
  </si>
  <si>
    <t>ID.RA-08</t>
  </si>
  <si>
    <t>Se establecen procesos para recibir, analizar y responder a divulgaciones de vulnerabilidades</t>
  </si>
  <si>
    <t>Processes for receiving, analyzing, and responding to vulnerability disclosures are established</t>
  </si>
  <si>
    <t>ID.RA-09</t>
  </si>
  <si>
    <t>La autenticidad e integridad del hardware y software se evalúan antes de su adquisición y uso</t>
  </si>
  <si>
    <t>The authenticity and integrity of hardware and software are assessed prior to acquisition and use</t>
  </si>
  <si>
    <t>ID.RA-10</t>
  </si>
  <si>
    <t>Los proveedores críticos se evalúan antes de la adquisición</t>
  </si>
  <si>
    <t>Critical suppliers are assessed prior to acquisition</t>
  </si>
  <si>
    <t>ID.IM</t>
  </si>
  <si>
    <t>Mejora</t>
  </si>
  <si>
    <t>Improvements are identified from evaluations</t>
  </si>
  <si>
    <t>Mejoras identificadas de pruebas y ejercicios de seguridad, incluidos los coordinados con terceros</t>
  </si>
  <si>
    <t>Improvements are identified from security tests and exercises, including those done in coordination with suppliers and relevant third parties</t>
  </si>
  <si>
    <t>ID.IM-03</t>
  </si>
  <si>
    <t>Mejoras identificadas a partir de la ejecución de procesos, procedimientos y actividades operativas</t>
  </si>
  <si>
    <t>Improvements are identified from execution of operational processes, procedures, and activities</t>
  </si>
  <si>
    <t>ID.IM-04</t>
  </si>
  <si>
    <t>Los planes de respuesta a incidentes y otros planes que afectan la operación se establecen, comunican, mantienen y mejoran</t>
  </si>
  <si>
    <t>Incident response plans and other cybersecurity plans that affect operations are established, communicated, maintained, and improved</t>
  </si>
  <si>
    <t>PR</t>
  </si>
  <si>
    <t>PR.AA</t>
  </si>
  <si>
    <t>Identidad, autenticación y control de acceso</t>
  </si>
  <si>
    <t>Identidades y credenciales de usuarios, servicios y hardware autorizados gestionadas por la organización</t>
  </si>
  <si>
    <t>Identities and credentials for authorized users, services, and hardware are managed by the organization</t>
  </si>
  <si>
    <t>Identidades verificadas y vinculadas a credenciales según el contexto de las interacciones</t>
  </si>
  <si>
    <t>Identities are proofed and bound to credentials based on the context of interactions</t>
  </si>
  <si>
    <t>Users, services, and hardware are authenticated</t>
  </si>
  <si>
    <t>Identity assertions are protected, conveyed, and verified</t>
  </si>
  <si>
    <t>Permisos y autorizaciones definidos en política, gestionados, exigidos y revisados, con mínimo privilegio y segregación de funciones</t>
  </si>
  <si>
    <t>Access permissions, entitlements, and authorizations are defined in a policy, managed, enforced, and reviewed, and incorporate the principles of least privilege and separation of duties</t>
  </si>
  <si>
    <t>Physical access to assets is managed, monitored, and enforced commensurate with risk</t>
  </si>
  <si>
    <t>PR.AT</t>
  </si>
  <si>
    <t>Concientización y formación</t>
  </si>
  <si>
    <t>El personal recibe concientización y formación general para ejecutar sus tareas considerando los riesgos de ciber</t>
  </si>
  <si>
    <t>Personnel are provided with awareness and training so that they possess the knowledge and skills to perform general tasks with cybersecurity risks in mind</t>
  </si>
  <si>
    <t>Los roles especializados reciben concientización y formación específica para sus tareas relevantes</t>
  </si>
  <si>
    <t>Individuals in specialized roles are provided with awareness and training so that they possess the knowledge and skills to perform relevant tasks with cybersecurity risks in mind</t>
  </si>
  <si>
    <t>PR.DS</t>
  </si>
  <si>
    <t>Seguridad de datos</t>
  </si>
  <si>
    <t>The confidentiality, integrity, and availability of data-at-rest are protected</t>
  </si>
  <si>
    <t>The confidentiality, integrity, and availability of data-in-transit are protected</t>
  </si>
  <si>
    <t>The confidentiality, integrity, and availability of data-in-use are protected</t>
  </si>
  <si>
    <t>PR.DS-11</t>
  </si>
  <si>
    <t>Los respaldos de datos se crean, protegen, mantienen y prueban</t>
  </si>
  <si>
    <t>Backups of data are created, protected, maintained, and tested</t>
  </si>
  <si>
    <t>PR.PS</t>
  </si>
  <si>
    <t>Seguridad de plataforma</t>
  </si>
  <si>
    <t>Configuration management practices are established and applied</t>
  </si>
  <si>
    <t>PR.PS-02</t>
  </si>
  <si>
    <t>Software mantenido, reemplazado y retirado según el riesgo</t>
  </si>
  <si>
    <t>Software is maintained, replaced, and removed commensurate with risk</t>
  </si>
  <si>
    <t>Hardware is maintained, replaced, and removed commensurate with risk</t>
  </si>
  <si>
    <t>Log records are generated and made available for continuous monitoring</t>
  </si>
  <si>
    <t>Installation and execution of unauthorized software are prevented</t>
  </si>
  <si>
    <t>Prácticas de desarrollo seguro integradas y su desempeño monitoreado en todo el ciclo de vida del software</t>
  </si>
  <si>
    <t>Secure software development practices are integrated, and their performance is monitored throughout the software development life cycle</t>
  </si>
  <si>
    <t>PR.IR</t>
  </si>
  <si>
    <t>Resiliencia de la infraestructura tecnológica</t>
  </si>
  <si>
    <t>Networks and environments are protected from unauthorized logical access and usage</t>
  </si>
  <si>
    <t>PR.IR-02</t>
  </si>
  <si>
    <t>Los activos tecnológicos de la organización están protegidos de amenazas ambientales</t>
  </si>
  <si>
    <t>The organization’s technology assets are protected from environmental threats</t>
  </si>
  <si>
    <t>Mecanismos implementados para lograr los requisitos de resiliencia en situaciones normales y adversas</t>
  </si>
  <si>
    <t>Mechanisms are implemented to achieve resilience requirements in normal and adverse situations</t>
  </si>
  <si>
    <t>PR.IR-04</t>
  </si>
  <si>
    <t>Se mantiene capacidad de recursos adecuada para asegurar la disponibilidad</t>
  </si>
  <si>
    <t>Adequate resource capacity to ensure availability is maintained</t>
  </si>
  <si>
    <t>DE</t>
  </si>
  <si>
    <t>DE.CM</t>
  </si>
  <si>
    <t>Monitoreo continuo</t>
  </si>
  <si>
    <t>Redes y servicios de red monitoreados para hallar eventos potencialmente adversos</t>
  </si>
  <si>
    <t>Networks and network services are monitored to find potentially adverse events</t>
  </si>
  <si>
    <t>El entorno físico es monitoreado para hallar eventos potencialmente adversos</t>
  </si>
  <si>
    <t>The physical environment is monitored to find potentially adverse events</t>
  </si>
  <si>
    <t>La actividad del personal y el uso de la tecnología son monitoreados para hallar eventos adversos</t>
  </si>
  <si>
    <t>Personnel activity and technology usage are monitored to find potentially adverse events</t>
  </si>
  <si>
    <t>DE.CM-06</t>
  </si>
  <si>
    <t>Las actividades y servicios de proveedores externos son monitoreados para hallar eventos adversos</t>
  </si>
  <si>
    <t>External service provider activities and services are monitored to find potentially adverse events</t>
  </si>
  <si>
    <t>Hardware y software de cómputo, entornos de ejecución y sus datos monitoreados para hallar eventos adversos</t>
  </si>
  <si>
    <t>Computing hardware and software, runtime environments, and their data are monitored to find potentially adverse events</t>
  </si>
  <si>
    <t>DE.AE</t>
  </si>
  <si>
    <t>Análisis de eventos adversos</t>
  </si>
  <si>
    <t>Eventos potencialmente adversos analizados para comprender mejor la actividad asociada</t>
  </si>
  <si>
    <t>Potentially adverse events are analyzed to better understand associated activities</t>
  </si>
  <si>
    <t>Information is correlated from multiple sources</t>
  </si>
  <si>
    <t>El impacto y alcance estimados de los eventos adversos son comprendidos</t>
  </si>
  <si>
    <t>The estimated impact and scope of adverse events are understood</t>
  </si>
  <si>
    <t>DE.AE-06</t>
  </si>
  <si>
    <t>La información sobre eventos adversos se pone a disposición del personal y las herramientas autorizadas</t>
  </si>
  <si>
    <t>Information on adverse events is provided to authorized staff and tools</t>
  </si>
  <si>
    <t>DE.AE-07</t>
  </si>
  <si>
    <t>La inteligencia de amenazas y otra información contextual se integran en el análisis</t>
  </si>
  <si>
    <t>Cyber threat intelligence and other contextual information are integrated into the analysis</t>
  </si>
  <si>
    <t>DE.AE-08</t>
  </si>
  <si>
    <t>Se declaran incidentes cuando los eventos adversos cumplen los criterios definidos</t>
  </si>
  <si>
    <t>Incidents are declared when adverse events meet the defined incident criteria</t>
  </si>
  <si>
    <t>RS</t>
  </si>
  <si>
    <t>RS.MA</t>
  </si>
  <si>
    <t>Gestión de incidentes</t>
  </si>
  <si>
    <t>RS.MA-01</t>
  </si>
  <si>
    <t>El plan de respuesta se ejecuta en coordinación con terceros relevantes una vez declarado el incidente</t>
  </si>
  <si>
    <t>The incident response plan is executed in coordination with relevant third parties once an incident is declared</t>
  </si>
  <si>
    <t>Incident reports are triaged and validated</t>
  </si>
  <si>
    <t>Incidents are categorized and prioritized</t>
  </si>
  <si>
    <t>RS.MA-04</t>
  </si>
  <si>
    <t>Los incidentes se escalan o elevan según sea necesario</t>
  </si>
  <si>
    <t>Incidents are escalated or elevated as needed</t>
  </si>
  <si>
    <t>RS.MA-05</t>
  </si>
  <si>
    <t>Se aplican los criterios para iniciar la recuperación del incidente</t>
  </si>
  <si>
    <t>The criteria for initiating incident recovery are applied</t>
  </si>
  <si>
    <t>RS.AN</t>
  </si>
  <si>
    <t>Análisis de incidentes</t>
  </si>
  <si>
    <t>Se realiza análisis para establecer qué ocurrió durante el incidente y su causa raíz</t>
  </si>
  <si>
    <t>Analysis is performed to establish what has taken place during an incident and the root cause of the incident</t>
  </si>
  <si>
    <t>RS.AN-06</t>
  </si>
  <si>
    <t>Las acciones de la investigación se registran y se preserva la integridad y procedencia de los registros</t>
  </si>
  <si>
    <t>Actions performed during an investigation are recorded, and the records’ integrity and provenance are preserved</t>
  </si>
  <si>
    <t>RS.AN-07</t>
  </si>
  <si>
    <t>Los datos y metadatos del incidente se recolectan y se preserva su integridad y procedencia</t>
  </si>
  <si>
    <t>Incident data and metadata are collected, and their integrity and provenance are preserved</t>
  </si>
  <si>
    <t>RS.AN-08</t>
  </si>
  <si>
    <t>La magnitud del incidente se estima y valida</t>
  </si>
  <si>
    <t>An incident’s magnitude is estimated and validated</t>
  </si>
  <si>
    <t>RS.CO</t>
  </si>
  <si>
    <t>Reporte y comunicación del incidente</t>
  </si>
  <si>
    <t>Las partes interesadas internas y externas son notificadas de los incidentes</t>
  </si>
  <si>
    <t>Internal and external stakeholders are notified of incidents</t>
  </si>
  <si>
    <t>RS.CO-03</t>
  </si>
  <si>
    <t>Se comparte información con las partes interesadas internas y externas designadas</t>
  </si>
  <si>
    <t>Information is shared with designated internal and external stakeholders</t>
  </si>
  <si>
    <t>RS.MI</t>
  </si>
  <si>
    <t>Mitigación del incidente</t>
  </si>
  <si>
    <t>Incidents are contained</t>
  </si>
  <si>
    <t>RS.MI-02</t>
  </si>
  <si>
    <t>Los incidentes son erradicados</t>
  </si>
  <si>
    <t>Incidents are eradicated</t>
  </si>
  <si>
    <t>Recuperar</t>
  </si>
  <si>
    <t>RC</t>
  </si>
  <si>
    <t>RC.RP</t>
  </si>
  <si>
    <t>Ejecución del plan de recuperación</t>
  </si>
  <si>
    <t>RC.RP-01</t>
  </si>
  <si>
    <t>La porción de recuperación del plan de respuesta se ejecuta una vez iniciada desde el proceso de respuesta</t>
  </si>
  <si>
    <t>The recovery portion of the incident response plan is executed once initiated from the incident response process</t>
  </si>
  <si>
    <t>RC.RP-02</t>
  </si>
  <si>
    <t>Las acciones de recuperación se seleccionan, dimensionan, priorizan y ejecutan</t>
  </si>
  <si>
    <t>Recovery actions are selected, scoped, prioritized, and performed</t>
  </si>
  <si>
    <t>RC.RP-03</t>
  </si>
  <si>
    <t>La integridad de los respaldos y activos de restauración se verifica antes de usarlos</t>
  </si>
  <si>
    <t>The integrity of backups and other restoration assets is verified before using them for restoration</t>
  </si>
  <si>
    <t>RC.RP-04</t>
  </si>
  <si>
    <t>Las funciones críticas de la misión y la gestión del riesgo se consideran para establecer las normas operativas posincidente</t>
  </si>
  <si>
    <t>Critical mission functions and cybersecurity risk management are considered to establish post-incident operational norms</t>
  </si>
  <si>
    <t>RC.RP-05</t>
  </si>
  <si>
    <t>Se verifica la integridad de los activos restaurados, se restauran sistemas y servicios y se confirma el estado normal de operación</t>
  </si>
  <si>
    <t>The integrity of restored assets is verified, systems and services are restored, and normal operating status is confirmed</t>
  </si>
  <si>
    <t>RC.RP-06</t>
  </si>
  <si>
    <t>Se declara el fin de la recuperación con base en criterios y se completa la documentación del incidente</t>
  </si>
  <si>
    <t>The end of incident recovery is declared based on criteria, and incident-related documentation is completed</t>
  </si>
  <si>
    <t>RC.CO</t>
  </si>
  <si>
    <t>Comunicación de la recuperación</t>
  </si>
  <si>
    <t>RC.CO-03</t>
  </si>
  <si>
    <t>Las actividades y el avance de la recuperación se comunican a las partes interesadas designadas</t>
  </si>
  <si>
    <t>Recovery activities and progress in restoring operational capabilities are communicated to designated internal and external stakeholders</t>
  </si>
  <si>
    <t>RC.CO-04</t>
  </si>
  <si>
    <t>Las actualizaciones públicas sobre la recuperación se comparten con métodos y mensajes aprobados</t>
  </si>
  <si>
    <t>Public updates on incident recovery are shared using approved methods and messaging</t>
  </si>
  <si>
    <t>CATEGORÍAS NIST CSF 2.0 — 22</t>
  </si>
  <si>
    <t>Cada categoría agrupa las subcategorías de un mismo resultado de gestión.</t>
  </si>
  <si>
    <t>Nombre</t>
  </si>
  <si>
    <t>Subcategorías</t>
  </si>
  <si>
    <t>Se comprenden las circunstancias que rodean las decisiones de gestión del riesgo: misión, expectativas de las partes interesadas, dependencias y requisitos legales, regulatorios y contractuales.</t>
  </si>
  <si>
    <t>The circumstances — mission, stakeholder expectations, dependencies, and legal, regulatory, and contractual requirements — surrounding the organization’s cybersecurity risk management decisions are understood</t>
  </si>
  <si>
    <t>Se establecen, comunican y usan las prioridades, restricciones, declaraciones de apetito y tolerancia al riesgo y supuestos que sustentan las decisiones operativas.</t>
  </si>
  <si>
    <t>The organization’s priorities, constraints, risk tolerance and appetite statements, and assumptions are established, communicated, and used to support operational risk decisions</t>
  </si>
  <si>
    <t>Se establecen y comunican roles, responsabilidades y autoridades de ciberseguridad para sostener la rendición de cuentas, la evaluación del desempeño y la mejora continua.</t>
  </si>
  <si>
    <t>Cybersecurity roles, responsibilities, and authorities to foster accountability, performance assessment, and continuous improvement are established and communicated</t>
  </si>
  <si>
    <t>Se establece, comunica y exige el cumplimiento de la política de ciberseguridad de la organización.</t>
  </si>
  <si>
    <t>Organizational cybersecurity policy is established, communicated, and enforced</t>
  </si>
  <si>
    <t>Los resultados y el desempeño de la gestión del riesgo se usan para informar, mejorar y ajustar la estrategia.</t>
  </si>
  <si>
    <t>Results of organization-wide cybersecurity risk management activities and performance are used to inform, improve, and adjust the risk management strategy</t>
  </si>
  <si>
    <t>Se identifican, establecen, gestionan, monitorean y mejoran los procesos de gestión del riesgo de la cadena de suministro cibernética.</t>
  </si>
  <si>
    <t>Cyber supply chain risk management processes are identified, established, managed, monitored, and improved by organizational stakeholders</t>
  </si>
  <si>
    <t>Los activos que permiten a la organización cumplir sus propósitos se identifican y gestionan según su importancia relativa y la estrategia de riesgo.</t>
  </si>
  <si>
    <t>Assets (e.g., data, hardware, software, systems, facilities, services, people) that enable the organization to achieve business purposes are identified and managed consistent with their relative importance to organizational objectives and the organization’s risk strategy</t>
  </si>
  <si>
    <t>6 de 7</t>
  </si>
  <si>
    <t>La organización comprende el riesgo de ciberseguridad para sí misma, sus activos y las personas.</t>
  </si>
  <si>
    <t>The cybersecurity risk to the organization, assets, and individuals is understood by the organization</t>
  </si>
  <si>
    <t>4 de 10</t>
  </si>
  <si>
    <t>Se identifican mejoras a los procesos, procedimientos y actividades de gestión del riesgo en todas las funciones del marco.</t>
  </si>
  <si>
    <t>Improvements to organizational cybersecurity risk management processes, procedures and activities are identified across all CSF Functions</t>
  </si>
  <si>
    <t>2 de 4</t>
  </si>
  <si>
    <t>El acceso a activos físicos y lógicos se limita a usuarios, servicios y hardware autorizados y se gestiona según el riesgo de acceso no autorizado.</t>
  </si>
  <si>
    <t>Access to physical and logical assets is limited to authorized users, services, and hardware and managed commensurate with the assessed risk of unauthorized access</t>
  </si>
  <si>
    <t>6 de 6</t>
  </si>
  <si>
    <t>El personal recibe concientización y formación en ciberseguridad para poder ejecutar sus tareas relacionadas.</t>
  </si>
  <si>
    <t>The organization’s personnel are provided with cybersecurity awareness and training so that they can perform their cybersecurity-related tasks</t>
  </si>
  <si>
    <t>2 de 2</t>
  </si>
  <si>
    <t>Los datos se gestionan conforme a la estrategia de riesgo para proteger su confidencialidad, integridad y disponibilidad.</t>
  </si>
  <si>
    <t>Data are managed consistent with the organization’s risk strategy to protect the confidentiality, integrity, and availability of information</t>
  </si>
  <si>
    <t>3 de 4</t>
  </si>
  <si>
    <t>El hardware, software y servicios de las plataformas físicas y virtuales se gestionan conforme a la estrategia de riesgo.</t>
  </si>
  <si>
    <t>The hardware, software (e.g., firmware, operating systems, applications), and services of physical and virtual platforms are managed consistent with the organization’s risk strategy to protect their confidentiality, integrity, and availability</t>
  </si>
  <si>
    <t>5 de 6</t>
  </si>
  <si>
    <t>Las arquitecturas de seguridad se gestionan para proteger los activos y sostener la resiliencia organizacional.</t>
  </si>
  <si>
    <t>Security architectures are managed with the organization’s risk strategy to protect asset confidentiality, integrity, and availability, and organizational resilience</t>
  </si>
  <si>
    <t>Los activos se monitorean para hallar anomalías, indicadores de compromiso y otros eventos potencialmente adversos.</t>
  </si>
  <si>
    <t>Assets are monitored to find anomalies, indicators of compromise, and other potentially adverse events</t>
  </si>
  <si>
    <t>4 de 5</t>
  </si>
  <si>
    <t>Las anomalías, indicadores de compromiso y eventos adversos se analizan para caracterizarlos y detectar incidentes.</t>
  </si>
  <si>
    <t>Anomalies, indicators of compromise, and other potentially adverse events are analyzed to characterize the events and detect cybersecurity incidents</t>
  </si>
  <si>
    <t>3 de 6</t>
  </si>
  <si>
    <t>Se gestionan las respuestas a los incidentes de ciberseguridad detectados.</t>
  </si>
  <si>
    <t>Responses to detected cybersecurity incidents are managed</t>
  </si>
  <si>
    <t>2 de 5</t>
  </si>
  <si>
    <t>Se realizan investigaciones para asegurar una respuesta efectiva y sostener las actividades forenses y de recuperación.</t>
  </si>
  <si>
    <t>Investigations are conducted to ensure effective response and support forensics and recovery activities</t>
  </si>
  <si>
    <t>1 de 4</t>
  </si>
  <si>
    <t>Las actividades de respuesta se coordinan con partes interesadas internas y externas según lo exijan leyes, regulaciones o políticas.</t>
  </si>
  <si>
    <t>Response activities are coordinated with internal and external stakeholders as required by laws, regulations, or policies</t>
  </si>
  <si>
    <t>1 de 2</t>
  </si>
  <si>
    <t>Se ejecutan actividades para impedir la expansión del evento y mitigar sus efectos.</t>
  </si>
  <si>
    <t>Activities are performed to prevent expansion of an event and mitigate its effects</t>
  </si>
  <si>
    <t>Se ejecutan actividades de restauración para asegurar la disponibilidad operativa de los sistemas y servicios afectados.</t>
  </si>
  <si>
    <t>Restoration activities are performed to ensure operational availability of systems and services affected by cybersecurity incidents</t>
  </si>
  <si>
    <t>Las actividades de restauración se coordinan con partes internas y externas.</t>
  </si>
  <si>
    <t>Restoration activities are coordinated with internal and external parties</t>
  </si>
  <si>
    <t>FUNCIONES NIST CSF 2.0 — 6</t>
  </si>
  <si>
    <t>Gobernar es transversal: informa cómo la organización implementa las otras cinco.</t>
  </si>
  <si>
    <t>Código</t>
  </si>
  <si>
    <t>Categorías</t>
  </si>
  <si>
    <t>Establecer, comunicar y supervisar la estrategia, las expectativas y la política de gestión del riesgo de ciberseguridad de la organización.</t>
  </si>
  <si>
    <t>The organization’s cybersecurity risk management strategy, expectations, and policy are established, communicated, and monitored</t>
  </si>
  <si>
    <t>sin aporte</t>
  </si>
  <si>
    <t>Comprender los riesgos de ciberseguridad actuales de la organización.</t>
  </si>
  <si>
    <t>The organization’s current cybersecurity risks are understood</t>
  </si>
  <si>
    <t>12 de 21</t>
  </si>
  <si>
    <t>Aplicar salvaguardas para gestionar los riesgos de ciberseguridad de la organización.</t>
  </si>
  <si>
    <t>Safeguards to manage the organization’s cybersecurity risks are used</t>
  </si>
  <si>
    <t>18 de 22</t>
  </si>
  <si>
    <t>Encontrar y analizar posibles ataques y compromisos de ciberseguridad.</t>
  </si>
  <si>
    <t>Possible cybersecurity attacks and compromises are found and analyzed</t>
  </si>
  <si>
    <t>7 de 11</t>
  </si>
  <si>
    <t>Ejecutar acciones frente a un incidente de ciberseguridad detectado.</t>
  </si>
  <si>
    <t>Actions regarding a detected cybersecurity incident are taken</t>
  </si>
  <si>
    <t>5 de 13</t>
  </si>
  <si>
    <t>Restaurar los activos y las operaciones afectados por un incidente de ciberseguridad.</t>
  </si>
  <si>
    <t>Assets and operations affected by a cybersecurity incident are restored</t>
  </si>
  <si>
    <t>Categoría - Nombre</t>
  </si>
  <si>
    <t>Cat - Nomb</t>
  </si>
  <si>
    <t>Es la plataforma de escaneo del banco: identifica, valida, registra y prioriza las vulnerabilidades de la infraestructura, y descubre activos conectados que no estaban inventariados. Su salida es el insumo del ciclo de remediación, que ejecutan otras áreas.</t>
  </si>
  <si>
    <t>El control de aplicaciones sobre el cajero solo permite ejecutar el software de la lista autorizada.</t>
  </si>
  <si>
    <t>Vigila de forma continua el entorno de ejecución del cajero y reporta ejecución bloqueada, cambios de integridad y actividad anómala.</t>
  </si>
  <si>
    <t>Aplica y verifica la línea base de configuración del parque y detecta desviaciones del estándar.</t>
  </si>
  <si>
    <t>Impone el cifrado del canal de comunicación del cajero, protegiendo la transacción y los datos del cliente frente a interceptación en el trayecto.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</si>
</sst>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0"/>
      <color rgb="FFFFFFFF"/>
      <name val="Calibri"/>
      <family val="2"/>
    </font>
    <font>
      <b/>
      <sz val="10"/>
      <name val="Calibri"/>
      <family val="2"/>
    </font>
    <font>
      <sz val="9"/>
      <name val="Calibri"/>
      <family val="2"/>
    </font>
    <font>
      <b/>
      <sz val="9"/>
      <name val="Calibri"/>
      <family val="2"/>
    </font>
    <font>
      <b/>
      <sz val="10"/>
      <name val="Calibri"/>
      <family val="2"/>
      <scheme val="minor"/>
    </font>
    <font>
      <sz val="9"/>
      <name val="Calibri"/>
      <family val="2"/>
      <scheme val="minor"/>
    </font>
    <font>
      <b/>
      <sz val="9"/>
      <name val="Calibri"/>
      <family val="2"/>
      <scheme val="minor"/>
    </font>
    <font>
      <b/>
      <sz val="14"/>
      <color rgb="FF0C1E50"/>
      <name val="Calibri"/>
      <family val="2"/>
    </font>
    <font>
      <i/>
      <sz val="9"/>
      <color rgb="FF5B6472"/>
      <name val="Calibri"/>
      <family val="2"/>
    </font>
    <font>
      <b/>
      <sz val="9"/>
      <color rgb="FF6B4F9E"/>
      <name val="Calibri"/>
      <family val="2"/>
    </font>
    <font>
      <b/>
      <sz val="9"/>
      <color rgb="FF1F2937"/>
      <name val="Calibri"/>
      <family val="2"/>
    </font>
    <font>
      <sz val="9"/>
      <color rgb="FF1F2937"/>
      <name val="Calibri"/>
      <family val="2"/>
    </font>
    <font>
      <b/>
      <sz val="10"/>
      <color rgb="FF1F2937"/>
      <name val="Calibri"/>
      <family val="2"/>
    </font>
    <font>
      <b/>
      <sz val="9"/>
      <color rgb="FF0C6E8F"/>
      <name val="Calibri"/>
      <family val="2"/>
    </font>
    <font>
      <b/>
      <sz val="9"/>
      <color rgb="FF1F7A4D"/>
      <name val="Calibri"/>
      <family val="2"/>
    </font>
    <font>
      <b/>
      <sz val="9"/>
      <color rgb="FFB07A00"/>
      <name val="Calibri"/>
      <family val="2"/>
    </font>
    <font>
      <b/>
      <sz val="9"/>
      <color rgb="FFB0503A"/>
      <name val="Calibri"/>
      <family val="2"/>
    </font>
    <font>
      <b/>
      <sz val="9"/>
      <color rgb="FF55606E"/>
      <name val="Calibri"/>
      <family val="2"/>
    </font>
    <font>
      <b/>
      <sz val="11"/>
      <color rgb="FF6B4F9E"/>
      <name val="Calibri"/>
      <family val="2"/>
    </font>
    <font>
      <b/>
      <sz val="11"/>
      <color rgb="FF1F2937"/>
      <name val="Calibri"/>
      <family val="2"/>
    </font>
    <font>
      <b/>
      <sz val="11"/>
      <color rgb="FF0C6E8F"/>
      <name val="Calibri"/>
      <family val="2"/>
    </font>
    <font>
      <b/>
      <sz val="11"/>
      <color rgb="FF1F7A4D"/>
      <name val="Calibri"/>
      <family val="2"/>
    </font>
    <font>
      <b/>
      <sz val="11"/>
      <color rgb="FFB07A00"/>
      <name val="Calibri"/>
      <family val="2"/>
    </font>
    <font>
      <b/>
      <sz val="11"/>
      <color rgb="FFB0503A"/>
      <name val="Calibri"/>
      <family val="2"/>
    </font>
    <font>
      <b/>
      <sz val="11"/>
      <color rgb="FF55606E"/>
      <name val="Calibri"/>
      <family val="2"/>
    </font>
  </fonts>
  <fills count="10">
    <fill>
      <patternFill patternType="none"/>
    </fill>
    <fill>
      <patternFill patternType="gray125"/>
    </fill>
    <fill>
      <patternFill patternType="solid">
        <fgColor rgb="FF0C1E50"/>
      </patternFill>
    </fill>
    <fill>
      <patternFill patternType="solid">
        <fgColor rgb="FFF5F6FA"/>
      </patternFill>
    </fill>
    <fill>
      <patternFill patternType="solid">
        <fgColor rgb="FFE8ECF5"/>
      </patternFill>
    </fill>
    <fill>
      <patternFill patternType="solid">
        <fgColor rgb="FF92D050"/>
        <bgColor indexed="64"/>
      </patternFill>
    </fill>
    <fill>
      <patternFill patternType="solid">
        <fgColor rgb="FF92D050"/>
        <bgColor rgb="FF000000"/>
      </patternFill>
    </fill>
    <fill>
      <patternFill patternType="solid">
        <fgColor rgb="FF92D050"/>
      </patternFill>
    </fill>
    <fill>
      <patternFill patternType="solid">
        <fgColor rgb="FFE8F5E9"/>
      </patternFill>
    </fill>
    <fill>
      <patternFill patternType="solid">
        <fgColor rgb="FFFDECE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E3E6EE"/>
      </left>
      <right style="thin">
        <color rgb="FFE3E6EE"/>
      </right>
      <top style="thin">
        <color rgb="FFE3E6EE"/>
      </top>
      <bottom style="thin">
        <color rgb="FFE3E6EE"/>
      </bottom>
      <diagonal/>
    </border>
  </borders>
  <cellStyleXfs count="1">
    <xf numFmtId="0" fontId="0" fillId="0" borderId="0"/>
  </cellStyleXfs>
  <cellXfs count="53">
    <xf numFmtId="0" fontId="0" fillId="0" borderId="0" xfId="0"/>
    <xf numFmtId="0" fontId="0" fillId="0" borderId="0" xfId="0" pivotButton="1"/>
    <xf numFmtId="0" fontId="0" fillId="0" borderId="0" xfId="0" applyAlignment="1">
      <alignment horizontal="left"/>
    </xf>
    <xf numFmtId="9" fontId="0" fillId="0" borderId="0" xfId="0" applyNumberForma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horizontal="center" vertical="top"/>
    </xf>
    <xf numFmtId="9" fontId="4" fillId="0" borderId="1" xfId="0" applyNumberFormat="1" applyFont="1" applyBorder="1" applyAlignment="1">
      <alignment horizontal="center" vertical="top"/>
    </xf>
    <xf numFmtId="0" fontId="3" fillId="0" borderId="1" xfId="0" applyFont="1" applyBorder="1" applyAlignment="1">
      <alignment horizontal="center" vertical="top"/>
    </xf>
    <xf numFmtId="0" fontId="4" fillId="4" borderId="1" xfId="0" applyFont="1" applyFill="1" applyBorder="1" applyAlignment="1">
      <alignment horizontal="center" vertical="top"/>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3" fillId="5" borderId="1" xfId="0" applyFont="1" applyFill="1" applyBorder="1" applyAlignment="1">
      <alignment horizontal="center" vertical="top"/>
    </xf>
    <xf numFmtId="9" fontId="4" fillId="5" borderId="1" xfId="0" applyNumberFormat="1" applyFont="1" applyFill="1" applyBorder="1" applyAlignment="1">
      <alignment horizontal="center" vertical="top"/>
    </xf>
    <xf numFmtId="0" fontId="4" fillId="5" borderId="1" xfId="0" applyFont="1" applyFill="1" applyBorder="1" applyAlignment="1">
      <alignment horizontal="center" vertical="top"/>
    </xf>
    <xf numFmtId="0" fontId="0" fillId="5" borderId="0" xfId="0" applyFill="1"/>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6" fillId="6" borderId="1" xfId="0" applyFont="1" applyFill="1" applyBorder="1" applyAlignment="1">
      <alignment horizontal="center" vertical="top"/>
    </xf>
    <xf numFmtId="9" fontId="7" fillId="6" borderId="1" xfId="0" applyNumberFormat="1" applyFont="1" applyFill="1" applyBorder="1" applyAlignment="1">
      <alignment horizontal="center" vertical="top"/>
    </xf>
    <xf numFmtId="0" fontId="7" fillId="6" borderId="1" xfId="0" applyFont="1" applyFill="1" applyBorder="1" applyAlignment="1">
      <alignment horizontal="center" vertical="top"/>
    </xf>
    <xf numFmtId="0" fontId="6" fillId="5" borderId="1" xfId="0" applyFont="1" applyFill="1" applyBorder="1" applyAlignment="1">
      <alignment vertical="top" wrapText="1"/>
    </xf>
    <xf numFmtId="0" fontId="6" fillId="5" borderId="1" xfId="0" applyFont="1" applyFill="1" applyBorder="1" applyAlignment="1">
      <alignment horizontal="center" vertical="top"/>
    </xf>
    <xf numFmtId="9" fontId="7" fillId="5" borderId="1" xfId="0" applyNumberFormat="1" applyFont="1" applyFill="1" applyBorder="1" applyAlignment="1">
      <alignment horizontal="center" vertical="top"/>
    </xf>
    <xf numFmtId="0" fontId="2" fillId="7" borderId="1" xfId="0" applyFont="1" applyFill="1" applyBorder="1" applyAlignment="1">
      <alignment vertical="top" wrapText="1"/>
    </xf>
    <xf numFmtId="0" fontId="4" fillId="7" borderId="1" xfId="0" applyFont="1" applyFill="1" applyBorder="1" applyAlignment="1">
      <alignment horizontal="center" vertical="top"/>
    </xf>
    <xf numFmtId="0" fontId="2" fillId="5" borderId="1" xfId="0" applyFont="1" applyFill="1" applyBorder="1" applyAlignment="1">
      <alignment vertical="center"/>
    </xf>
    <xf numFmtId="0" fontId="8" fillId="0" borderId="0" xfId="0" applyFont="1"/>
    <xf numFmtId="0" fontId="9" fillId="0" borderId="0" xfId="0" applyFont="1"/>
    <xf numFmtId="0" fontId="1" fillId="2" borderId="2" xfId="0" applyFont="1" applyFill="1" applyBorder="1" applyAlignment="1">
      <alignment horizontal="center" vertical="center" wrapText="1"/>
    </xf>
    <xf numFmtId="0" fontId="10" fillId="0" borderId="2" xfId="0" applyFont="1" applyBorder="1" applyAlignment="1">
      <alignment horizontal="center" vertical="top"/>
    </xf>
    <xf numFmtId="0" fontId="11" fillId="0" borderId="2" xfId="0" applyFont="1" applyBorder="1" applyAlignment="1">
      <alignment horizontal="center" vertical="top"/>
    </xf>
    <xf numFmtId="0" fontId="11" fillId="4" borderId="2" xfId="0" applyFont="1" applyFill="1" applyBorder="1" applyAlignment="1">
      <alignment horizontal="center" vertical="top"/>
    </xf>
    <xf numFmtId="0" fontId="12" fillId="0" borderId="2" xfId="0" applyFont="1" applyBorder="1" applyAlignment="1">
      <alignment vertical="top" wrapText="1"/>
    </xf>
    <xf numFmtId="0" fontId="13" fillId="0" borderId="2" xfId="0" applyFont="1" applyBorder="1" applyAlignment="1">
      <alignment horizontal="center" vertical="top"/>
    </xf>
    <xf numFmtId="0" fontId="14" fillId="0" borderId="2" xfId="0" applyFont="1" applyBorder="1" applyAlignment="1">
      <alignment horizontal="center" vertical="top"/>
    </xf>
    <xf numFmtId="0" fontId="11" fillId="8" borderId="2" xfId="0" applyFont="1" applyFill="1" applyBorder="1" applyAlignment="1">
      <alignment horizontal="center" vertical="top"/>
    </xf>
    <xf numFmtId="0" fontId="15" fillId="0" borderId="2" xfId="0" applyFont="1" applyBorder="1" applyAlignment="1">
      <alignment horizontal="center" vertical="top"/>
    </xf>
    <xf numFmtId="0" fontId="16" fillId="0" borderId="2" xfId="0" applyFont="1" applyBorder="1" applyAlignment="1">
      <alignment horizontal="center" vertical="top"/>
    </xf>
    <xf numFmtId="0" fontId="17" fillId="0" borderId="2" xfId="0" applyFont="1" applyBorder="1" applyAlignment="1">
      <alignment horizontal="center" vertical="top"/>
    </xf>
    <xf numFmtId="0" fontId="18" fillId="0" borderId="2" xfId="0" applyFont="1" applyBorder="1" applyAlignment="1">
      <alignment horizontal="center" vertical="top"/>
    </xf>
    <xf numFmtId="0" fontId="11" fillId="0" borderId="2" xfId="0" applyFont="1" applyBorder="1" applyAlignment="1">
      <alignment vertical="top" wrapText="1"/>
    </xf>
    <xf numFmtId="0" fontId="12" fillId="0" borderId="2" xfId="0" applyFont="1" applyBorder="1" applyAlignment="1">
      <alignment horizontal="center" vertical="top"/>
    </xf>
    <xf numFmtId="0" fontId="12" fillId="8" borderId="2" xfId="0" applyFont="1" applyFill="1" applyBorder="1" applyAlignment="1">
      <alignment horizontal="center" vertical="top"/>
    </xf>
    <xf numFmtId="0" fontId="19" fillId="0" borderId="2" xfId="0" applyFont="1" applyBorder="1" applyAlignment="1">
      <alignment horizontal="center" vertical="top"/>
    </xf>
    <xf numFmtId="0" fontId="20" fillId="0" borderId="2" xfId="0" applyFont="1" applyBorder="1" applyAlignment="1">
      <alignment vertical="top"/>
    </xf>
    <xf numFmtId="0" fontId="11" fillId="9" borderId="2" xfId="0" applyFont="1" applyFill="1" applyBorder="1" applyAlignment="1">
      <alignment horizontal="center" vertical="top"/>
    </xf>
    <xf numFmtId="0" fontId="21" fillId="0" borderId="2" xfId="0" applyFont="1" applyBorder="1" applyAlignment="1">
      <alignment horizontal="center" vertical="top"/>
    </xf>
    <xf numFmtId="0" fontId="22" fillId="0" borderId="2" xfId="0" applyFont="1" applyBorder="1" applyAlignment="1">
      <alignment horizontal="center" vertical="top"/>
    </xf>
    <xf numFmtId="0" fontId="23" fillId="0" borderId="2" xfId="0" applyFont="1" applyBorder="1" applyAlignment="1">
      <alignment horizontal="center" vertical="top"/>
    </xf>
    <xf numFmtId="0" fontId="24" fillId="0" borderId="2" xfId="0" applyFont="1" applyBorder="1" applyAlignment="1">
      <alignment horizontal="center" vertical="top"/>
    </xf>
    <xf numFmtId="0" fontId="25"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falcon" refreshedDate="46269.675908912039" createdVersion="8" refreshedVersion="8" minRefreshableVersion="3" recordCount="105" xr:uid="{44EDE6C8-FA8A-D542-91ED-09AEB3F86AB3}">
  <cacheSource type="worksheet">
    <worksheetSource ref="A1:E1048576" sheet="Capacidades CIBER"/>
  </cacheSource>
  <cacheFields count="5">
    <cacheField name="Plataforma" numFmtId="0">
      <sharedItems containsBlank="1" count="52">
        <s v="360 Brand Guardian"/>
        <s v="Akamai WAF"/>
        <s v="Alarmnet"/>
        <s v="AntiDDoS Radware"/>
        <s v="Atalla"/>
        <s v="Biocatch"/>
        <s v="Certificados Digicert"/>
        <s v="Cloud Defender for Apps"/>
        <s v="Colector de Eventos SOC (NXLog)"/>
        <s v="Compass"/>
        <s v="Coren Web"/>
        <s v="Correlacionador de Eventos SOC (SPLUNK)"/>
        <s v="Cortex Cloud"/>
        <s v="Crowdstrike"/>
        <s v="Cyberark"/>
        <s v="DLS5"/>
        <s v="Darktrace"/>
        <s v="DecisionCLoud"/>
        <s v="Deep Security"/>
        <s v="Detect ID"/>
        <s v="DynamicsCodes"/>
        <s v="Entidad Certificadora INTERNA"/>
        <s v="Facephi"/>
        <s v="Firemon"/>
        <s v="Forcepoint DLP"/>
        <s v="Gestión Identidades (WSO2)"/>
        <s v="IPS CISCO"/>
        <s v="ISE"/>
        <s v="Keeper Security"/>
        <s v="KnowBe4"/>
        <s v="Kriptos"/>
        <s v="MAM Intune"/>
        <s v="Microsoft 365 Defender / Email &amp; Colaboration Security"/>
        <s v="Netskope"/>
        <s v="Octopus"/>
        <s v="Optimizador de Eventos SOC (ORXLog)"/>
        <s v="Proofpoint"/>
        <s v="ProtegeGX"/>
        <s v="SG-System III Console"/>
        <s v="SNOW (SIR &amp; TIP / Certificados)"/>
        <s v="Security Scorecard"/>
        <s v="Seguridad Perimetral Firewall Nube"/>
        <s v="Seguridad Perimetral Firewall Onpremise"/>
        <s v="Sentinel Prevention"/>
        <s v="Snyk"/>
        <s v="Softguard"/>
        <s v="Spartan"/>
        <s v="Stackhawk"/>
        <s v="Stealthwatch"/>
        <s v="Tenable"/>
        <s v="Trellix"/>
        <m/>
      </sharedItems>
    </cacheField>
    <cacheField name="Capacidad" numFmtId="0">
      <sharedItems containsBlank="1" count="15">
        <s v="Ciberfraude, Abuso Digital y Protección de Marca"/>
        <s v="Vulnerabilidades y Superficie de Ataque"/>
        <s v="Redes, Perímetro y Conectividad Segura"/>
        <s v="Seguridad de Aplicaciones y DevSecOps"/>
        <s v="Detección, Contención y Respuesta SOC"/>
        <s v="Seguridad Física Integral"/>
        <s v="Criptografía y Confianza Digital"/>
        <s v="Identidades, Accesos y Privilegios"/>
        <s v="Seguridad Cloud"/>
        <s v="Correo, Web y Colaboración Segura"/>
        <s v="Privacidad y Protección de Datos"/>
        <s v="Endpoint, Servidores y Workload"/>
        <s v="Concientización y Cultura"/>
        <m/>
        <s v="Seguridad de Infraestructura y Activos" u="1"/>
      </sharedItems>
    </cacheField>
    <cacheField name="Rol" numFmtId="0">
      <sharedItems containsBlank="1"/>
    </cacheField>
    <cacheField name="%" numFmtId="0">
      <sharedItems containsString="0" containsBlank="1" containsNumber="1" minValue="0.05" maxValue="1"/>
    </cacheField>
    <cacheField name="Razó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falcon" refreshedDate="46269.675909027777" createdVersion="8" refreshedVersion="8" minRefreshableVersion="3" recordCount="199" xr:uid="{724E1C86-C33D-E44F-ADD3-2D70080AA4EC}">
  <cacheSource type="worksheet">
    <worksheetSource ref="A1:G200" sheet="Subcategorias NIST"/>
  </cacheSource>
  <cacheFields count="7">
    <cacheField name="Plataforma" numFmtId="0">
      <sharedItems count="52">
        <s v="360 Brand Guardian"/>
        <s v="Akamai WAF"/>
        <s v="Alarmnet"/>
        <s v="AntiDDoS Radware"/>
        <s v="Atalla"/>
        <s v="Biocatch"/>
        <s v="Certificados Digicert"/>
        <s v="Cloud Defender for Apps"/>
        <s v="Colector de Eventos SOC (NXLog)"/>
        <s v="Compass"/>
        <s v="Coren Web"/>
        <s v="Correlacionador de Eventos SOC (SPLUNK)"/>
        <s v="Cortex Cloud"/>
        <s v="Crowdstrike"/>
        <s v="Cyberark"/>
        <s v="DLS5"/>
        <s v="Darktrace"/>
        <s v="DecisionCLoud"/>
        <s v="Deep Security"/>
        <s v="Detect ID"/>
        <s v="DynamicsCodes"/>
        <s v="Entidad Certificadora INTERNA"/>
        <s v="Facephi"/>
        <s v="Firemon"/>
        <s v="Forcepoint DLP"/>
        <s v="Gestión Identidades (WSO2)"/>
        <s v="IPS CISCO"/>
        <s v="ISE"/>
        <s v="Keeper Security"/>
        <s v="KnowBe4"/>
        <s v="Kriptos"/>
        <s v="MAM Intune"/>
        <s v="Microsoft 365 Defender / Email &amp; Colaboration Security"/>
        <s v="Netskope"/>
        <s v="Octopus"/>
        <s v="Optimizador de Eventos SOC (ORXLog)"/>
        <s v="Proofpoint"/>
        <s v="ProtegeGX"/>
        <s v="SG-System III Console"/>
        <s v="SNOW (SIR &amp; TIP / Certificados)"/>
        <s v="Security Scorecard"/>
        <s v="Seguridad Perimetral Firewall Nube"/>
        <s v="Seguridad Perimetral Firewall Onpremise"/>
        <s v="Sentinel Prevention"/>
        <s v="Snyk"/>
        <s v="Softguard"/>
        <s v="Spartan"/>
        <s v="Stackhawk"/>
        <s v="Stealthwatch"/>
        <s v="Tenable"/>
        <s v="Trellix"/>
        <s v="ProtegeGXA146:G150" u="1"/>
      </sharedItems>
    </cacheField>
    <cacheField name="Subcategoría" numFmtId="0">
      <sharedItems/>
    </cacheField>
    <cacheField name="Descripción." numFmtId="0">
      <sharedItems/>
    </cacheField>
    <cacheField name="Categoría" numFmtId="0">
      <sharedItems/>
    </cacheField>
    <cacheField name="Función" numFmtId="0">
      <sharedItems count="4">
        <s v="Identificar"/>
        <s v="Detectar"/>
        <s v="Responder"/>
        <s v="Proteger"/>
      </sharedItems>
    </cacheField>
    <cacheField name="%" numFmtId="9">
      <sharedItems containsSemiMixedTypes="0" containsString="0" containsNumber="1" minValue="0.05" maxValue="0.7"/>
    </cacheField>
    <cacheField name="Razó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s v="PRIMARIA"/>
    <n v="0.65"/>
    <s v="Protege la marca frente a suplantación de dominios y perfiles: abuso digital puro, Salida prevista Noviembre"/>
  </r>
  <r>
    <x v="0"/>
    <x v="1"/>
    <s v="SECUNDARIA"/>
    <n v="0.35"/>
    <s v="Monitorea dominios y superficie externa expuesta, que es medición de exposición de ataque."/>
  </r>
  <r>
    <x v="1"/>
    <x v="2"/>
    <s v="TERCIARIA"/>
    <n v="0.2"/>
    <s v="Es el control perimetral del tráfico entrante hacia las aplicaciones expuestas."/>
  </r>
  <r>
    <x v="1"/>
    <x v="3"/>
    <s v="PRIMARIA"/>
    <n v="0.5"/>
    <s v="Protege aplicaciones y APIs en ejecución, que es seguridad de aplicaciones en runtime."/>
  </r>
  <r>
    <x v="1"/>
    <x v="4"/>
    <s v="SECUNDARIA"/>
    <n v="0.3"/>
    <s v="Ejecuta una deteccion y bloqueos por medio de politicas de seguridad."/>
  </r>
  <r>
    <x v="2"/>
    <x v="5"/>
    <s v="PRIMARIA"/>
    <n v="0.85"/>
    <s v="Recepción de señales de alarma de agencias. Comparte la línea TEC0152 con Softguard y SG-System III."/>
  </r>
  <r>
    <x v="2"/>
    <x v="4"/>
    <s v="SECUNDARIA"/>
    <n v="0.15"/>
    <s v="Aporta alertas validadas y trazabilidad de eventos físicos para su escalamiento, coordinación y respuesta; su contribución es complementaria a la seguridad física."/>
  </r>
  <r>
    <x v="3"/>
    <x v="2"/>
    <s v="PRIMARIA"/>
    <n v="0.8"/>
    <s v="Protege la disponibilidad del canal frente a ataques volumétricos; no aporta a otra capacidad."/>
  </r>
  <r>
    <x v="3"/>
    <x v="4"/>
    <s v="SECUNDARIA"/>
    <n v="0.2"/>
    <s v="Se tiene casos de uso que valida el SOC, correlaciona eventos de trafico de red  y gestiona la remediacion"/>
  </r>
  <r>
    <x v="4"/>
    <x v="6"/>
    <s v="PRIMARIA"/>
    <n v="0.6"/>
    <s v="Custodia el material criptográfico del banco y ejecuta las operaciones de llave."/>
  </r>
  <r>
    <x v="4"/>
    <x v="0"/>
    <s v="SECUNDARIA"/>
    <n v="0.4"/>
    <s v="Sostiene el cifrado de PIN de tarjetas,ATMs y cheques, sin el cual no opera la cadena de pagos."/>
  </r>
  <r>
    <x v="5"/>
    <x v="0"/>
    <s v="PRIMARIA"/>
    <n v="0.85"/>
    <s v="Detectar fraude por comportamiento (físico y cognitivo) y apropiación de cuentas (ATO) en canales digitales."/>
  </r>
  <r>
    <x v="5"/>
    <x v="7"/>
    <s v="SECUNDARIA"/>
    <n v="0.15"/>
    <s v="La biometría de comportamiento opera como autenticación continua del usuario en sesión."/>
  </r>
  <r>
    <x v="6"/>
    <x v="6"/>
    <s v="PRIMARIA"/>
    <n v="0.5"/>
    <s v="Autoridad certificadora pública para TLS de cara al exterior."/>
  </r>
  <r>
    <x v="6"/>
    <x v="8"/>
    <s v="SECUNDARIA"/>
    <n v="0.2"/>
    <s v="Contribuye a la seguridad de la informacion que accede a un sitio expuesto al internet"/>
  </r>
  <r>
    <x v="6"/>
    <x v="6"/>
    <s v="TERCIARIA"/>
    <n v="0.2"/>
    <s v="Autoridad certificadora pública para TLS de de uso interno"/>
  </r>
  <r>
    <x v="6"/>
    <x v="1"/>
    <s v="CUARTERNARIA"/>
    <n v="0.1"/>
    <s v="Identifica y prioriza vulnerabilidades en en el front"/>
  </r>
  <r>
    <x v="7"/>
    <x v="9"/>
    <s v="PRIMARIA"/>
    <n v="0.4"/>
    <s v="CASB del usuario: controla el acceso y el uso de aplicaciones SaaS corporativas."/>
  </r>
  <r>
    <x v="7"/>
    <x v="8"/>
    <s v="SECUNDARIA"/>
    <n v="0.2"/>
    <s v="Descubre y gobierna aplicaciones cloud, incluido el shadow IT."/>
  </r>
  <r>
    <x v="7"/>
    <x v="10"/>
    <s v="TERCIARIA"/>
    <n v="0.4"/>
    <s v="Protege el dato corporativo alojado y en tránsito dentro de las aplicaciones en la nube."/>
  </r>
  <r>
    <x v="8"/>
    <x v="4"/>
    <s v="ÚNICA"/>
    <n v="1"/>
    <s v="Existe únicamente para alimentar al correlacionador; sin el SOC no tiene función."/>
  </r>
  <r>
    <x v="9"/>
    <x v="5"/>
    <s v="PRIMARIA"/>
    <n v="0.75"/>
    <s v="Consola de programación de paneles de alarma."/>
  </r>
  <r>
    <x v="9"/>
    <x v="4"/>
    <s v="SECUNDARIA"/>
    <n v="0.25"/>
    <s v="Consola que permite la gestion remota de los sistemas de alarmas en agencias, activar/desactivar alarmas "/>
  </r>
  <r>
    <x v="10"/>
    <x v="5"/>
    <s v="PRIMARIA"/>
    <n v="0.6"/>
    <s v="Gestión de claves fijas para acceso a cajas fuertes y ATMs."/>
  </r>
  <r>
    <x v="10"/>
    <x v="7"/>
    <s v="SECUNDARIA"/>
    <n v="0.4"/>
    <s v="Funcionalmente es verificación de clave fija en la cerradura IP, validación y permite el acceso"/>
  </r>
  <r>
    <x v="11"/>
    <x v="4"/>
    <s v="ÚNICA"/>
    <n v="1"/>
    <s v="Todo su valor se consume dentro del SOC: correlaciona el ecosistema completo, crea y lanza alertas para una respuesta efectiva y no produce resultado fuera de esa capacidad."/>
  </r>
  <r>
    <x v="12"/>
    <x v="8"/>
    <s v="PRIMARIA"/>
    <n v="0.55000000000000004"/>
    <s v="CNAPP: postura de configuración y protección de workloads en los ambientes cloud."/>
  </r>
  <r>
    <x v="12"/>
    <x v="1"/>
    <s v="SECUNDARIA"/>
    <n v="0.3"/>
    <s v="Identifica y prioriza vulnerabilidades en workloads y contenedores."/>
  </r>
  <r>
    <x v="12"/>
    <x v="3"/>
    <s v="TERCIARIA"/>
    <n v="0.15"/>
    <s v="Escanea infraestructura como código y contenedores dentro del pipeline de desarrollo."/>
  </r>
  <r>
    <x v="13"/>
    <x v="11"/>
    <s v="PRIMARIA"/>
    <n v="0.55000000000000004"/>
    <s v="Es el agente instalado en estaciones de trabajo y servidores: detecta, previene y bloquea en el propio activo."/>
  </r>
  <r>
    <x v="13"/>
    <x v="4"/>
    <s v="SECUNDARIA"/>
    <n v="0.3"/>
    <s v="El EDR alimenta la detección y aporta la línea de tiempo forense al SOC."/>
  </r>
  <r>
    <x v="13"/>
    <x v="1"/>
    <s v="TERCIARIA"/>
    <n v="0.1"/>
    <s v="Módulo de exposición: reporta vulnerabilidades y configuración del activo."/>
  </r>
  <r>
    <x v="13"/>
    <x v="7"/>
    <s v="TERCIARIA"/>
    <n v="0.05"/>
    <s v="Modulo de control USB: permite/bloquea el uso y acceso de dispositivos de almacenamiento en los dispositivos endpoint."/>
  </r>
  <r>
    <x v="14"/>
    <x v="7"/>
    <s v="PRIMARIA"/>
    <n v="0.85"/>
    <s v="Custodia, rota, controla y audita el uso de cuentas privilegiadas."/>
  </r>
  <r>
    <x v="14"/>
    <x v="4"/>
    <s v="SECUNDARIA"/>
    <n v="0.15"/>
    <s v="La grabación y auditoría de sesión privilegiada alimenta el monitoreo del SOC."/>
  </r>
  <r>
    <x v="15"/>
    <x v="5"/>
    <s v="PRIMARIA"/>
    <n v="0.75"/>
    <s v="Consola de programación de paneles para otro fabricante; mismo criterio que Compass."/>
  </r>
  <r>
    <x v="15"/>
    <x v="4"/>
    <s v="SECUNDARIA"/>
    <n v="0.25"/>
    <s v="Consola que permite la gestion remota de los sistemas de alarmas en ATMs, activar/desactivar alarmas "/>
  </r>
  <r>
    <x v="16"/>
    <x v="4"/>
    <s v="PRIMARIA"/>
    <n v="0.75"/>
    <s v="Es un NDR, detecta comportamiento anómalo basado en modelos y las alertas generadas alimentan al SIEM y los correspondientes casos de uso del SOC BP"/>
  </r>
  <r>
    <x v="16"/>
    <x v="2"/>
    <s v="SECUNDARIA"/>
    <n v="0.25"/>
    <s v="Detección sobre el tráfico de red y aporta visibilidad de segmento, no ejerce control sobre él."/>
  </r>
  <r>
    <x v="17"/>
    <x v="5"/>
    <s v="PRIMARIA"/>
    <n v="0.8"/>
    <s v="Autorización y trazabilidad del acceso físico. CONTRATO VENCE 01/09/2026."/>
  </r>
  <r>
    <x v="17"/>
    <x v="7"/>
    <s v="SECUNDARIA"/>
    <n v="0.2"/>
    <s v="Modulo de claves de desactivacion de alarmas de ATMs "/>
  </r>
  <r>
    <x v="18"/>
    <x v="11"/>
    <s v="PRIMARIA"/>
    <n v="0.5"/>
    <s v="Protege la carga de trabajo del servidor con control de ejecución y línea base."/>
  </r>
  <r>
    <x v="18"/>
    <x v="2"/>
    <s v="SECUNDARIA"/>
    <n v="0.25"/>
    <s v="Incorpora IDS/IPS basado en host, que es control de tráfico en el propio activo."/>
  </r>
  <r>
    <x v="18"/>
    <x v="1"/>
    <s v="TERCIARIA"/>
    <n v="0.25"/>
    <s v="El parchado virtual mitiga vulnerabilidades sin esperar al ciclo de parcheo."/>
  </r>
  <r>
    <x v="19"/>
    <x v="7"/>
    <s v="ÚNICA"/>
    <n v="1"/>
    <s v="Autenticación multifactor que protege el acceso a aplicaciones críticas del negocio (cash)  mediante segundo factor con tokens virtuales (soft token) y físicos (hard token)."/>
  </r>
  <r>
    <x v="20"/>
    <x v="5"/>
    <s v="PRIMARIA"/>
    <n v="0.6"/>
    <s v="Generación y control de códigos dinámicos para cajas fuertes de red de Agencias"/>
  </r>
  <r>
    <x v="20"/>
    <x v="7"/>
    <s v="SECUNDARIA"/>
    <n v="0.3"/>
    <s v="Apertura de cajas fuertes de agencias "/>
  </r>
  <r>
    <x v="20"/>
    <x v="4"/>
    <s v="TERCIARIA"/>
    <n v="0.1"/>
    <s v="Módulo de detección y contención que permite el bloqueo en caso que sea un bloqueo en la cerradura IP"/>
  </r>
  <r>
    <x v="21"/>
    <x v="6"/>
    <s v="PRIMARIA"/>
    <n v="0.7"/>
    <s v="PKI interna del banco: emite y gestiona el ciclo de vida del certificado."/>
  </r>
  <r>
    <x v="21"/>
    <x v="7"/>
    <s v="SECUNDARIA"/>
    <n v="0.3"/>
    <s v="Emite certificados de autenticación de dispositivos, servicios y firma de código."/>
  </r>
  <r>
    <x v="22"/>
    <x v="0"/>
    <s v="PRIMARIA"/>
    <n v="0.6"/>
    <s v="Prevención en suplantación en flujos de canales digitales (facial + prueba de vida + OCR)"/>
  </r>
  <r>
    <x v="22"/>
    <x v="7"/>
    <s v="SECUNDARIA"/>
    <n v="0.4"/>
    <s v="Funcionalmente es verificación de identidad: prueba la identidad + cédula de identidad del cliente"/>
  </r>
  <r>
    <x v="23"/>
    <x v="2"/>
    <s v="PRIMARIA"/>
    <n v="1"/>
    <s v="Permite la generación de reportes para higiene de reglas reduciendo la superficie de exposición."/>
  </r>
  <r>
    <x v="24"/>
    <x v="10"/>
    <s v="PRIMARIA"/>
    <n v="0.75"/>
    <s v="Previene la fuga de información por los canales de salida: es su propósito declarado."/>
  </r>
  <r>
    <x v="24"/>
    <x v="11"/>
    <s v="SECUNDARIA"/>
    <n v="0.25"/>
    <s v="Opera mediante agente instalado en el computador del usuario final, cuya cobertura se administra como la del resto del parque."/>
  </r>
  <r>
    <x v="25"/>
    <x v="7"/>
    <s v="ÚNICA"/>
    <n v="1"/>
    <s v="Gobierna el ciclo de vida de identidades y permisos corporativos; no produce resultado fuera."/>
  </r>
  <r>
    <x v="26"/>
    <x v="2"/>
    <s v="PRIMARIA"/>
    <n v="0.6"/>
    <s v="Bloquea intrusiones en el perímetro por firma: es control de red."/>
  </r>
  <r>
    <x v="26"/>
    <x v="4"/>
    <s v="SECUNDARIA"/>
    <n v="0.4"/>
    <s v="Genera detección de ataques de red que alimenta al SIEM y al análisis del SOC."/>
  </r>
  <r>
    <x v="27"/>
    <x v="2"/>
    <s v="PRIMARIA"/>
    <n v="0.55000000000000004"/>
    <s v="Impide que dispositivos no autorizados alcancen la red y comparte contrato con el bloque Cisco."/>
  </r>
  <r>
    <x v="27"/>
    <x v="7"/>
    <s v="SECUNDARIA"/>
    <n v="0.45"/>
    <s v="Funcionalmente es NAC: autentica y autoriza usuarios y dispositivos antes de admitirlos."/>
  </r>
  <r>
    <x v="28"/>
    <x v="7"/>
    <s v="ÚNICA"/>
    <n v="1"/>
    <s v="Administra credenciales empresariales en bóveda. SALIDA PREVISTA octubre 2026."/>
  </r>
  <r>
    <x v="29"/>
    <x v="12"/>
    <s v="ÚNICA"/>
    <n v="1"/>
    <s v="Única plataforma de formación y simulación del banco. CONTRATO VENCE 28/08/2026."/>
  </r>
  <r>
    <x v="30"/>
    <x v="10"/>
    <s v="ÚNICA"/>
    <n v="1"/>
    <s v="Clasifica la información por sensibilidad y este etiquetado sirve para aplicar reglas en el DLP."/>
  </r>
  <r>
    <x v="31"/>
    <x v="11"/>
    <s v="PRIMARIA"/>
    <n v="0.5"/>
    <s v="Protege el uso de aplicaciones corporativas en dispositivos personales o no administrados mediante controles aplicados directamente sobre la aplicación."/>
  </r>
  <r>
    <x v="31"/>
    <x v="10"/>
    <s v="SECUNDARIA"/>
    <n v="0.35"/>
    <s v="Restringe la copia, descarga y transferencia de información corporativa."/>
  </r>
  <r>
    <x v="31"/>
    <x v="7"/>
    <s v="TERCIARIA"/>
    <n v="0.15"/>
    <s v="Condiciona el acceso al dato según la política y la postura del dispositivo."/>
  </r>
  <r>
    <x v="32"/>
    <x v="9"/>
    <s v="PRIMARIA"/>
    <n v="0.65"/>
    <s v="Protege correo y herramientas de colaboración, que son los canales de trabajo del usuario."/>
  </r>
  <r>
    <x v="32"/>
    <x v="10"/>
    <s v="SECUNDARIA"/>
    <n v="0.2"/>
    <s v="Protege la información dentro de las herramientas de colaboración."/>
  </r>
  <r>
    <x v="32"/>
    <x v="4"/>
    <s v="TERCIARIA"/>
    <n v="0.15"/>
    <s v="Su telemetría alimenta la detección centralizada del SOC."/>
  </r>
  <r>
    <x v="33"/>
    <x v="9"/>
    <s v="PRIMARIA"/>
    <n v="0.5"/>
    <s v="Secure web gateway: controla la navegación y el uso de aplicaciones SaaS del usuario."/>
  </r>
  <r>
    <x v="33"/>
    <x v="10"/>
    <s v="SECUNDARIA"/>
    <n v="0.3"/>
    <s v="Módulo DLP en la nube sobre el dato en tránsito y en uso hacia servicios externos."/>
  </r>
  <r>
    <x v="33"/>
    <x v="8"/>
    <s v="TERCIARIA"/>
    <n v="0.2"/>
    <s v="Aporta visibilidad y control de aplicaciones cloud no inventariadas."/>
  </r>
  <r>
    <x v="34"/>
    <x v="5"/>
    <s v="PRIMARIA"/>
    <n v="0.6"/>
    <s v="Correlacionador la recepción de incidentes de los sistemas de seguridad física (Alarmas, Accesos, Videos) de la red de Banco Pichincha "/>
  </r>
  <r>
    <x v="34"/>
    <x v="4"/>
    <s v="SECUNDARIA"/>
    <n v="0.4"/>
    <s v="Proporciona la trazabilidad de gestión detección-respuesta de incidentes del PSOC."/>
  </r>
  <r>
    <x v="35"/>
    <x v="4"/>
    <s v="ÚNICA"/>
    <n v="1"/>
    <s v="Filtra y normaliza el evento antes del SIEM; su razón de compra es reducir el costo de ingesta del SOC."/>
  </r>
  <r>
    <x v="36"/>
    <x v="9"/>
    <s v="PRIMARIA"/>
    <n v="0.6"/>
    <s v="Plataforma de seguridad de correo: filtrado, análisis de adjuntos y URLs."/>
  </r>
  <r>
    <x v="36"/>
    <x v="10"/>
    <s v="SECUNDARIA"/>
    <n v="0.4"/>
    <s v="Módulo DLP de correo saliente, licenciado y en uso."/>
  </r>
  <r>
    <x v="37"/>
    <x v="5"/>
    <s v="PRIMARIA"/>
    <n v="0.85"/>
    <s v="Control de acceso físico a agencias y áreas restringidas."/>
  </r>
  <r>
    <x v="37"/>
    <x v="7"/>
    <s v="SECUNDARIA"/>
    <n v="0.15"/>
    <s v="Administra autorizaciones asociadas a identidades para aplicar acceso físico según perfiles, zonas y principio de mínimo privilegio."/>
  </r>
  <r>
    <x v="38"/>
    <x v="5"/>
    <s v="PRIMARIA"/>
    <n v="0.85"/>
    <s v="Consola de receptores de alarma; comparte la línea TEC0152."/>
  </r>
  <r>
    <x v="38"/>
    <x v="4"/>
    <s v="SECUNDARIA"/>
    <n v="0.15"/>
    <s v="Proporciona visibilidad y trazabilidad técnica de los eventos recibidos para apoyar su análisis, escalamiento y atención coordinada."/>
  </r>
  <r>
    <x v="39"/>
    <x v="4"/>
    <s v="PRIMARIA"/>
    <n v="0.75"/>
    <s v="Los módulos SIR y TIP sostienen la gestión de incidentes y la inteligencia de amenazas."/>
  </r>
  <r>
    <x v="39"/>
    <x v="6"/>
    <s v="SECUNDARIA"/>
    <n v="0.25"/>
    <s v="El módulo de certificados gestiona el ciclo de vida del certificado como activo."/>
  </r>
  <r>
    <x v="40"/>
    <x v="1"/>
    <s v="ÚNICA"/>
    <n v="1"/>
    <s v="Mide exposición externa y riesgo sobre los dominios expuestos en internet de banco"/>
  </r>
  <r>
    <x v="41"/>
    <x v="2"/>
    <s v="PRIMARIA"/>
    <n v="0.7"/>
    <s v="Control perimetral en nube, control de tráfico entre las zonas internas y externas."/>
  </r>
  <r>
    <x v="41"/>
    <x v="8"/>
    <s v="SECUNDARIA"/>
    <n v="0.3"/>
    <s v="El tráfico que controla es el de los ambientes cloud, donde ejerce segmentación."/>
  </r>
  <r>
    <x v="42"/>
    <x v="2"/>
    <s v="ÚNICA"/>
    <n v="1"/>
    <s v="Control perimetral, control de tráfico entre las zonas internas y externas."/>
  </r>
  <r>
    <x v="43"/>
    <x v="0"/>
    <s v="ÚNICA"/>
    <n v="1"/>
    <s v="Monitoreo de fraude, enfocada en la detección de posibles transacciones fraudulentas a través de tarjeta de débito."/>
  </r>
  <r>
    <x v="44"/>
    <x v="3"/>
    <s v="PRIMARIA"/>
    <n v="0.55000000000000004"/>
    <s v="Identifica vulnerabilidades en código y componentes de terceros, inventariando dependencias y riesgos."/>
  </r>
  <r>
    <x v="44"/>
    <x v="4"/>
    <s v="SECUNDARIA"/>
    <n v="0.3"/>
    <s v="Permite incorporar controles preventivos en el SDLC mediante SAST y políticas de validación en pipelines."/>
  </r>
  <r>
    <x v="44"/>
    <x v="1"/>
    <s v="TERCIARIA"/>
    <n v="0.15"/>
    <s v="Detecta continuamente vulnerabilidades nuevas durante el ciclo de desarrollo."/>
  </r>
  <r>
    <x v="45"/>
    <x v="5"/>
    <s v="PRIMARIA"/>
    <n v="0.8"/>
    <s v="Centraliza la recepción, supervisión, clasificación y escalamiento de señales de alarma de agencias para apoyar la vigilancia operativa del entorno físico"/>
  </r>
  <r>
    <x v="45"/>
    <x v="4"/>
    <s v="SECUNDARIA"/>
    <n v="0.2"/>
    <s v="Aporta alertas validadas y trazabilidad de eventos físicos para su escalamiento, coordinación y respuesta"/>
  </r>
  <r>
    <x v="46"/>
    <x v="0"/>
    <s v="PRIMARIA"/>
    <n v="1"/>
    <s v="Solución In House de monitoreo de fraude, enfocada en la detección de posibles transacciones fraudulentas "/>
  </r>
  <r>
    <x v="47"/>
    <x v="3"/>
    <s v="PRIMARIA"/>
    <n v="0.5"/>
    <s v="Detecta continuamente vulnerabilidades explotables en aplicaciones en ejecución."/>
  </r>
  <r>
    <x v="47"/>
    <x v="1"/>
    <s v="SECUNDARIA"/>
    <n v="0.35"/>
    <s v="Identifica vulnerabilidades y evalúa riesgos en aplicaciones y APIs."/>
  </r>
  <r>
    <x v="47"/>
    <x v="4"/>
    <s v="TERCIARIA"/>
    <n v="0.15"/>
    <s v="Apoya controles preventivos mediante validaciones en DevSecOps antes del despliegue."/>
  </r>
  <r>
    <x v="48"/>
    <x v="4"/>
    <s v="PRIMARIA"/>
    <n v="0.75"/>
    <s v="Analiza flujos para detección; su resultado alimenta al SIEM y los correspondientes casos de uso del SOC BP"/>
  </r>
  <r>
    <x v="48"/>
    <x v="2"/>
    <s v="SECUNDARIA"/>
    <n v="0.25"/>
    <s v="Opera sobre telemetría de red."/>
  </r>
  <r>
    <x v="49"/>
    <x v="1"/>
    <s v="PRIMARIA"/>
    <n v="1"/>
    <s v="Es la plataforma de escaneo del banco: identifica, valida, registra y prioriza las vulnerabilidades de la infraestructura, y descubre activos conectados que no estaban inventariados. Su salida es el insumo del ciclo de remediación, que ejecutan otras áreas."/>
  </r>
  <r>
    <x v="50"/>
    <x v="11"/>
    <s v="PRIMARIA"/>
    <n v="0.6"/>
    <s v="Protección antimalware y control de ejecución de aplicaciones sobre el activo."/>
  </r>
  <r>
    <x v="50"/>
    <x v="5"/>
    <s v="SECUNDARIA"/>
    <n v="0.1"/>
    <s v="El parque que protege son los cajeros automáticos, activo de seguridad física/Logica."/>
  </r>
  <r>
    <x v="50"/>
    <x v="6"/>
    <s v="TERCIARIA"/>
    <n v="0.15"/>
    <s v="Conexion cifrada entre el agente instalado en el ATM y la consola"/>
  </r>
  <r>
    <x v="50"/>
    <x v="3"/>
    <s v="CUARTERCIARIA"/>
    <n v="0.15"/>
    <s v="Prueba de aplicaciones y funcioanalidades que se autorizan ejecutar en el ATM"/>
  </r>
  <r>
    <x v="51"/>
    <x v="1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s v="ID.RA-03"/>
    <s v="Amenazas internas y externas a la organización identificadas y registradas"/>
    <s v="ID.RA - Evaluación de riesgo"/>
    <x v="0"/>
    <n v="0.35"/>
    <s v="Identifica y registra amenazas externas de suplantación de marca y dominio: es el resultado que la plataforma compra."/>
  </r>
  <r>
    <x v="0"/>
    <s v="DE.CM-09"/>
    <s v="Hardware y software de cómputo, entornos de ejecución y sus datos monitoreados para hallar eventos adversos"/>
    <s v="DE.CM - Monitoreo continuo"/>
    <x v="1"/>
    <n v="0.25"/>
    <s v="Monitorea de forma continua la exposición digital de la marca en Internet."/>
  </r>
  <r>
    <x v="0"/>
    <s v="DE.AE-02"/>
    <s v="Eventos potencialmente adversos analizados para comprender mejor la actividad asociada"/>
    <s v="DE.AE - Análisis de eventos adversos"/>
    <x v="1"/>
    <n v="0.25"/>
    <s v="Analiza los hallazgos para determinar si constituyen actividad adversa real."/>
  </r>
  <r>
    <x v="0"/>
    <s v="RS.MI-01"/>
    <s v="Los incidentes son contenidos"/>
    <s v="RS.MI - Mitigación del incidente"/>
    <x v="2"/>
    <n v="0.15"/>
    <s v="El takedown de un dominio suplantador es una acción de mitigación posterior a un evento confirmado."/>
  </r>
  <r>
    <x v="1"/>
    <s v="PR.IR-01"/>
    <s v="Redes y entornos protegidos de acceso y uso lógico no autorizado"/>
    <s v="PR.IR - Resiliencia de la infraestructura tecnológica"/>
    <x v="3"/>
    <n v="0.5"/>
    <s v="Protege las aplicaciones y APIs expuestas frente a acceso y uso no autorizado."/>
  </r>
  <r>
    <x v="1"/>
    <s v="DE.CM-01"/>
    <s v="Redes y servicios de red monitoreados para hallar eventos potencialmente adversos"/>
    <s v="DE.CM - Monitoreo continuo"/>
    <x v="1"/>
    <n v="0.3"/>
    <s v="Genera telemetría continua de capa 7 sobre el tráfico entrante."/>
  </r>
  <r>
    <x v="1"/>
    <s v="DE.AE-02"/>
    <s v="Eventos potencialmente adversos analizados para comprender mejor la actividad asociada"/>
    <s v="DE.AE - Análisis de eventos adversos"/>
    <x v="1"/>
    <n v="0.2"/>
    <s v="Analiza patrones de petición para distinguir ataque de tráfico legítimo."/>
  </r>
  <r>
    <x v="2"/>
    <s v="DE.CM-02"/>
    <s v="El entorno físico es monitoreado para hallar eventos potencialmente adversos"/>
    <s v="DE.CM - Monitoreo continuo"/>
    <x v="1"/>
    <n v="0.7"/>
    <s v="Recepción y monitoreo continuo de señales del entorno físico de agencias"/>
  </r>
  <r>
    <x v="2"/>
    <s v="PR.PS-04"/>
    <s v="Registros de log generados y disponibles para monitoreo continuo"/>
    <s v="PR.PS - Seguridad de plataforma"/>
    <x v="3"/>
    <n v="0.1"/>
    <s v="Mantiene disponible la trazabilidad de las señales y eventos recibidos para seguimiento y consulta operativa."/>
  </r>
  <r>
    <x v="2"/>
    <s v="RS.MA-02"/>
    <s v="Los reportes de incidente son triados y validados"/>
    <s v="RS.MA - Gestión de incidentes"/>
    <x v="2"/>
    <n v="0.1"/>
    <s v="Tría y valida los reportes de alarma recibidos."/>
  </r>
  <r>
    <x v="2"/>
    <s v="RS.CO-02"/>
    <s v="Las partes interesadas internas y externas son notificadas de los incidentes"/>
    <s v="RS.CO - Reporte y comunicación del incidente"/>
    <x v="2"/>
    <n v="0.1"/>
    <s v="Notifica al centro de monitoreo y a los responsables de seguridad."/>
  </r>
  <r>
    <x v="3"/>
    <s v="PR.IR-03"/>
    <s v="Mecanismos implementados para lograr los requisitos de resiliencia en situaciones normales y adversas"/>
    <s v="PR.IR - Resiliencia de la infraestructura tecnológica"/>
    <x v="3"/>
    <n v="0.45"/>
    <s v="La mitigación volumétrica es un mecanismo permanente de resiliencia ante situación adversa, no una respuesta a incidente."/>
  </r>
  <r>
    <x v="3"/>
    <s v="PR.IR-01"/>
    <s v="Redes y entornos protegidos de acceso y uso lógico no autorizado"/>
    <s v="PR.IR - Resiliencia de la infraestructura tecnológica"/>
    <x v="3"/>
    <n v="0.35"/>
    <s v="Protege la disponibilidad del perímetro frente a uso no autorizado del canal."/>
  </r>
  <r>
    <x v="3"/>
    <s v="DE.CM-01"/>
    <s v="Redes y servicios de red monitoreados para hallar eventos potencialmente adversos"/>
    <s v="DE.CM - Monitoreo continuo"/>
    <x v="1"/>
    <n v="0.2"/>
    <s v="Monitorea continuamente el comportamiento del tráfico de red."/>
  </r>
  <r>
    <x v="4"/>
    <s v="PR.DS-01"/>
    <s v="Confidencialidad, integridad y disponibilidad del dato en reposo protegidas"/>
    <s v="PR.DS - Seguridad de datos"/>
    <x v="3"/>
    <n v="0.4"/>
    <s v="Custodia el material criptográfico y protege el dato en reposo cifrado con esas llaves."/>
  </r>
  <r>
    <x v="4"/>
    <s v="PR.DS-02"/>
    <s v="Confidencialidad, integridad y disponibilidad del dato en tránsito protegidas"/>
    <s v="PR.DS - Seguridad de datos"/>
    <x v="3"/>
    <n v="0.35"/>
    <s v="Cifrado de PIN en tránsito a lo largo de la cadena de pagos."/>
  </r>
  <r>
    <x v="4"/>
    <s v="PR.DS-10"/>
    <s v="Confidencialidad, integridad y disponibilidad del dato en uso protegidas"/>
    <s v="PR.DS - Seguridad de datos"/>
    <x v="3"/>
    <n v="0.25"/>
    <s v="Operaciones criptográficas sobre el dato mientras está en uso."/>
  </r>
  <r>
    <x v="5"/>
    <s v="PR.AA-03"/>
    <s v="Usuarios, servicios y hardware son autenticados"/>
    <s v="PR.AA - Identidad, autenticación y control de acceso"/>
    <x v="3"/>
    <n v="0.15"/>
    <s v="La biometría de comportamiento opera como autenticación continua del usuario."/>
  </r>
  <r>
    <x v="5"/>
    <s v="DE.CM-03"/>
    <s v="La actividad del personal y el uso de la tecnología son monitoreados para hallar eventos adversos"/>
    <s v="DE.CM - Monitoreo continuo"/>
    <x v="1"/>
    <n v="0.4"/>
    <s v="Monitoreo continuo del comportamiento del usuario durante la sesión."/>
  </r>
  <r>
    <x v="5"/>
    <s v="DE.AE-02"/>
    <s v="Eventos potencialmente adversos analizados para comprender mejor la actividad asociada"/>
    <s v="DE.AE - Análisis de eventos adversos"/>
    <x v="1"/>
    <n v="0.3"/>
    <s v="Analiza la desviación de comportamiento para determinar si es actividad adversa."/>
  </r>
  <r>
    <x v="5"/>
    <s v="DE.AE-04"/>
    <s v="El impacto y alcance estimados de los eventos adversos son comprendidos"/>
    <s v="DE.AE - Análisis de eventos adversos"/>
    <x v="1"/>
    <n v="0.15"/>
    <s v="Puntúa el riesgo de la sesión, estimando impacto y alcance."/>
  </r>
  <r>
    <x v="6"/>
    <s v="ID.AM-08"/>
    <s v="Sistemas, hardware, software, servicios y datos gestionados en todo su ciclo de vida"/>
    <s v="ID.AM - Gestión de activos"/>
    <x v="0"/>
    <n v="0.25"/>
    <s v="El valor operativo es la gestión del ciclo de vida del certificado."/>
  </r>
  <r>
    <x v="6"/>
    <s v="PR.DS-02"/>
    <s v="Confidencialidad, integridad y disponibilidad del dato en tránsito protegidas"/>
    <s v="PR.DS - Seguridad de datos"/>
    <x v="3"/>
    <n v="0.45"/>
    <s v="Certificados TLS públicos: protegen el dato en tránsito de cara al exterior."/>
  </r>
  <r>
    <x v="6"/>
    <s v="PR.AA-04"/>
    <s v="Aserciones de identidad protegidas, transmitidas y verificadas"/>
    <s v="PR.AA - Identidad, autenticación y control de acceso"/>
    <x v="3"/>
    <n v="0.3"/>
    <s v="El certificado es la aserción de identidad protegida, transmitida y verificada."/>
  </r>
  <r>
    <x v="7"/>
    <s v="ID.AM-02"/>
    <s v="Inventarios de software, servicios y sistemas son mantenidos"/>
    <s v="ID.AM - Gestión de activos"/>
    <x v="0"/>
    <n v="0.1"/>
    <s v="Descubre aplicaciones SaaS no inventariadas (shadow IT)."/>
  </r>
  <r>
    <x v="7"/>
    <s v="PR.AA-05"/>
    <s v="Permisos y autorizaciones definidos en política, gestionados, exigidos y revisados, con mínimo privilegio y segregación de funciones"/>
    <s v="PR.AA - Identidad, autenticación y control de acceso"/>
    <x v="3"/>
    <n v="0.25"/>
    <s v="Aplica y revisa permisos de acceso a aplicaciones SaaS."/>
  </r>
  <r>
    <x v="7"/>
    <s v="PR.DS-10"/>
    <s v="Confidencialidad, integridad y disponibilidad del dato en uso protegidas"/>
    <s v="PR.DS - Seguridad de datos"/>
    <x v="3"/>
    <n v="0.25"/>
    <s v="Controla el dato en uso dentro de las aplicaciones en la nube."/>
  </r>
  <r>
    <x v="7"/>
    <s v="PR.DS-02"/>
    <s v="Confidencialidad, integridad y disponibilidad del dato en tránsito protegidas"/>
    <s v="PR.DS - Seguridad de datos"/>
    <x v="3"/>
    <n v="0.2"/>
    <s v="Inspecciona y protege el dato en tránsito hacia servicios SaaS."/>
  </r>
  <r>
    <x v="7"/>
    <s v="DE.CM-09"/>
    <s v="Hardware y software de cómputo, entornos de ejecución y sus datos monitoreados para hallar eventos adversos"/>
    <s v="DE.CM - Monitoreo continuo"/>
    <x v="1"/>
    <n v="0.2"/>
    <s v="Monitorea el uso de aplicaciones y sus datos para detectar eventos adversos."/>
  </r>
  <r>
    <x v="8"/>
    <s v="PR.PS-04"/>
    <s v="Registros de log generados y disponibles para monitoreo continuo"/>
    <s v="PR.PS - Seguridad de plataforma"/>
    <x v="3"/>
    <n v="0.6"/>
    <s v="Centraliza y pone a disposición los registros de eventos requeridos para el monitoreo y análisis de seguridad."/>
  </r>
  <r>
    <x v="8"/>
    <s v="DE.AE-03"/>
    <s v="La información es correlacionada desde múltiples fuentes"/>
    <s v="DE.AE - Análisis de eventos adversos"/>
    <x v="1"/>
    <n v="0.4"/>
    <s v="Normaliza y consolida fuentes heterogéneas: habilita la correlación multifuente."/>
  </r>
  <r>
    <x v="9"/>
    <s v="PR.PS-01"/>
    <s v="Prácticas de gestión de configuración establecidas y aplicadas"/>
    <s v="PR.PS - Seguridad de plataforma"/>
    <x v="3"/>
    <n v="0.3"/>
    <s v="Configura y mantiene la línea base de los paneles de alarma."/>
  </r>
  <r>
    <x v="9"/>
    <s v="PR.PS-03"/>
    <s v="Hardware mantenido, reemplazado y retirado según el riesgo"/>
    <s v="PR.PS - Seguridad de plataforma"/>
    <x v="3"/>
    <n v="0.15"/>
    <s v="Gestiona mantenimiento, reemplazo y retiro del parque de paneles."/>
  </r>
  <r>
    <x v="9"/>
    <s v="PR.AA-06"/>
    <s v="Acceso físico a los activos gestionado, monitoreado y exigido según el riesgo"/>
    <s v="PR.AA - Identidad, autenticación y control de acceso"/>
    <x v="3"/>
    <n v="0.1"/>
    <s v="Programa la lógica de acceso físico a los recintos protegidos."/>
  </r>
  <r>
    <x v="9"/>
    <s v="DE.CM-02"/>
    <s v="El entorno físico es monitoreado para hallar eventos potencialmente adversos"/>
    <s v="DE.CM - Monitoreo continuo"/>
    <x v="1"/>
    <n v="0.45"/>
    <s v="Consola de paneles: sostiene el monitoreo del entorno físico."/>
  </r>
  <r>
    <x v="10"/>
    <s v="PR.AA-06"/>
    <s v="Acceso físico a los activos gestionado, monitoreado y exigido según el riesgo"/>
    <s v="PR.AA - Identidad, autenticación y control de acceso"/>
    <x v="3"/>
    <n v="0.55000000000000004"/>
    <s v="Gestiona el acceso físico mediante claves fijas a cajas fuertes y ATMs"/>
  </r>
  <r>
    <x v="10"/>
    <s v="PR.AA-05"/>
    <s v="Permisos y autorizaciones definidos en política, gestionados, exigidos y revisados, con mínimo privilegio y segregación de funciones"/>
    <s v="PR.AA - Identidad, autenticación y control de acceso"/>
    <x v="3"/>
    <n v="0.2"/>
    <s v="Define y controla quién puede solicitar y usar cada clave de contingencia."/>
  </r>
  <r>
    <x v="10"/>
    <s v="DE.CM-02"/>
    <s v="El entorno físico es monitoreado para hallar eventos potencialmente adversos"/>
    <s v="DE.CM - Monitoreo continuo"/>
    <x v="1"/>
    <n v="0.25"/>
    <s v="Registra y monitorea los eventos de apertura en el entorno físico."/>
  </r>
  <r>
    <x v="11"/>
    <s v="PR.PS-04"/>
    <s v="Registros de log generados y disponibles para monitoreo continuo"/>
    <s v="PR.PS - Seguridad de plataforma"/>
    <x v="3"/>
    <n v="0.1"/>
    <s v="Almacena y hace disponible el registro para el monitoreo continuo."/>
  </r>
  <r>
    <x v="11"/>
    <s v="DE.AE-03"/>
    <s v="La información es correlacionada desde múltiples fuentes"/>
    <s v="DE.AE - Análisis de eventos adversos"/>
    <x v="1"/>
    <n v="0.4"/>
    <s v="La correlación multifuente es la definición funcional de un SIEM."/>
  </r>
  <r>
    <x v="11"/>
    <s v="DE.AE-02"/>
    <s v="Eventos potencialmente adversos analizados para comprender mejor la actividad asociada"/>
    <s v="DE.AE - Análisis de eventos adversos"/>
    <x v="1"/>
    <n v="0.2"/>
    <s v="Analiza el evento correlacionado para entender la actividad asociada."/>
  </r>
  <r>
    <x v="11"/>
    <s v="DE.CM-09"/>
    <s v="Hardware y software de cómputo, entornos de ejecución y sus datos monitoreados para hallar eventos adversos"/>
    <s v="DE.CM - Monitoreo continuo"/>
    <x v="1"/>
    <n v="0.15"/>
    <s v="Monitorea entornos de ejecución a través de la telemetría ingerida."/>
  </r>
  <r>
    <x v="11"/>
    <s v="RS.AN-03"/>
    <s v="Se realiza análisis para establecer qué ocurrió durante el incidente y su causa raíz"/>
    <s v="RS.AN - Análisis de incidentes"/>
    <x v="2"/>
    <n v="0.15"/>
    <s v="Es la herramienta central del análisis de causa raíz durante un incidente."/>
  </r>
  <r>
    <x v="12"/>
    <s v="ID.RA-01"/>
    <s v="Vulnerabilidades en activos identificadas, validadas y registradas"/>
    <s v="ID.RA - Evaluación de riesgo"/>
    <x v="0"/>
    <n v="0.2"/>
    <s v="Identifica, valida y registra vulnerabilidades en workloads y contenedores."/>
  </r>
  <r>
    <x v="12"/>
    <s v="ID.AM-02"/>
    <s v="Inventarios de software, servicios y sistemas son mantenidos"/>
    <s v="ID.AM - Gestión de activos"/>
    <x v="0"/>
    <n v="0.15"/>
    <s v="Mantiene el inventario de servicios y cargas desplegadas en la nube."/>
  </r>
  <r>
    <x v="12"/>
    <s v="PR.PS-01"/>
    <s v="Prácticas de gestión de configuración establecidas y aplicadas"/>
    <s v="PR.PS - Seguridad de plataforma"/>
    <x v="3"/>
    <n v="0.25"/>
    <s v="Evalúa y exige la línea base de configuración de los entornos cloud."/>
  </r>
  <r>
    <x v="12"/>
    <s v="PR.PS-06"/>
    <s v="Prácticas de desarrollo seguro integradas y su desempeño monitoreado en todo el ciclo de vida del software"/>
    <s v="PR.PS - Seguridad de plataforma"/>
    <x v="3"/>
    <n v="0.1"/>
    <s v="Escanea infraestructura como código y contenedores dentro del pipeline de desarrollo."/>
  </r>
  <r>
    <x v="12"/>
    <s v="PR.DS-01"/>
    <s v="Confidencialidad, integridad y disponibilidad del dato en reposo protegidas"/>
    <s v="PR.DS - Seguridad de datos"/>
    <x v="3"/>
    <n v="0.1"/>
    <s v="Detecta exposición de datos en reposo en almacenamiento cloud."/>
  </r>
  <r>
    <x v="12"/>
    <s v="DE.CM-09"/>
    <s v="Hardware y software de cómputo, entornos de ejecución y sus datos monitoreados para hallar eventos adversos"/>
    <s v="DE.CM - Monitoreo continuo"/>
    <x v="1"/>
    <n v="0.2"/>
    <s v="Monitorea entornos de ejecución cloud y sus datos."/>
  </r>
  <r>
    <x v="13"/>
    <s v="PR.PS-05"/>
    <s v="Instalación y ejecución de software no autorizado son prevenidas"/>
    <s v="PR.PS - Seguridad de plataforma"/>
    <x v="3"/>
    <n v="0.2"/>
    <s v="Impide la ejecución de software no autorizado en el activo."/>
  </r>
  <r>
    <x v="13"/>
    <s v="DE.CM-09"/>
    <s v="Hardware y software de cómputo, entornos de ejecución y sus datos monitoreados para hallar eventos adversos"/>
    <s v="DE.CM - Monitoreo continuo"/>
    <x v="1"/>
    <n v="0.3"/>
    <s v="Monitoreo continuo del endpoint, servidor y su entorno de ejecución."/>
  </r>
  <r>
    <x v="13"/>
    <s v="DE.AE-02"/>
    <s v="Eventos potencialmente adversos analizados para comprender mejor la actividad asociada"/>
    <s v="DE.AE - Análisis de eventos adversos"/>
    <x v="1"/>
    <n v="0.2"/>
    <s v="Analiza la cadena de ejecución para entender la actividad adversa."/>
  </r>
  <r>
    <x v="13"/>
    <s v="RS.MI-01"/>
    <s v="Los incidentes son contenidos"/>
    <s v="RS.MI - Mitigación del incidente"/>
    <x v="2"/>
    <n v="0.2"/>
    <s v="El aislamiento de host es contención real de un incidente declarado."/>
  </r>
  <r>
    <x v="13"/>
    <s v="RS.AN-03"/>
    <s v="Se realiza análisis para establecer qué ocurrió durante el incidente y su causa raíz"/>
    <s v="RS.AN - Análisis de incidentes"/>
    <x v="2"/>
    <n v="0.1"/>
    <s v="Aporta la línea de tiempo forense del incidente en el activo."/>
  </r>
  <r>
    <x v="14"/>
    <s v="PR.AA-05"/>
    <s v="Permisos y autorizaciones definidos en política, gestionados, exigidos y revisados, con mínimo privilegio y segregación de funciones"/>
    <s v="PR.AA - Identidad, autenticación y control de acceso"/>
    <x v="3"/>
    <n v="0.4"/>
    <s v="Impone mínimo privilegio y segregación sobre las cuentas privilegiadas."/>
  </r>
  <r>
    <x v="14"/>
    <s v="PR.AA-01"/>
    <s v="Identidades y credenciales de usuarios, servicios y hardware autorizados gestionadas por la organización"/>
    <s v="PR.AA - Identidad, autenticación y control de acceso"/>
    <x v="3"/>
    <n v="0.2"/>
    <s v="Custodia y rota las credenciales privilegiadas a lo largo de su ciclo de vida."/>
  </r>
  <r>
    <x v="14"/>
    <s v="PR.AA-03"/>
    <s v="Usuarios, servicios y hardware son autenticados"/>
    <s v="PR.AA - Identidad, autenticación y control de acceso"/>
    <x v="3"/>
    <n v="0.15"/>
    <s v="Autentica al operador antes de entregar la sesión privilegiada."/>
  </r>
  <r>
    <x v="14"/>
    <s v="DE.CM-03"/>
    <s v="La actividad del personal y el uso de la tecnología son monitoreados para hallar eventos adversos"/>
    <s v="DE.CM - Monitoreo continuo"/>
    <x v="1"/>
    <n v="0.15"/>
    <s v="Graba y audita la actividad de la sesión privilegiada."/>
  </r>
  <r>
    <x v="14"/>
    <s v="RS.MI-01"/>
    <s v="Los incidentes son contenidos"/>
    <s v="RS.MI - Mitigación del incidente"/>
    <x v="2"/>
    <n v="0.1"/>
    <s v="El corte de acceso privilegiado durante un incidente es contención legítima."/>
  </r>
  <r>
    <x v="15"/>
    <s v="PR.PS-01"/>
    <s v="Prácticas de gestión de configuración establecidas y aplicadas"/>
    <s v="PR.PS - Seguridad de plataforma"/>
    <x v="3"/>
    <n v="0.3"/>
    <s v="Configura y mantiene la línea base de los paneles de alarma."/>
  </r>
  <r>
    <x v="15"/>
    <s v="PR.PS-03"/>
    <s v="Hardware mantenido, reemplazado y retirado según el riesgo"/>
    <s v="PR.PS - Seguridad de plataforma"/>
    <x v="3"/>
    <n v="0.15"/>
    <s v="Gestiona mantenimiento, reemplazo y retiro del parque de paneles."/>
  </r>
  <r>
    <x v="15"/>
    <s v="PR.AA-06"/>
    <s v="Acceso físico a los activos gestionado, monitoreado y exigido según el riesgo"/>
    <s v="PR.AA - Identidad, autenticación y control de acceso"/>
    <x v="3"/>
    <n v="0.1"/>
    <s v="Programa la lógica de acceso físico a los recintos protegidos."/>
  </r>
  <r>
    <x v="15"/>
    <s v="DE.CM-02"/>
    <s v="El entorno físico es monitoreado para hallar eventos potencialmente adversos"/>
    <s v="DE.CM - Monitoreo continuo"/>
    <x v="1"/>
    <n v="0.45"/>
    <s v="Consola de paneles: sostiene el monitoreo del entorno físico."/>
  </r>
  <r>
    <x v="16"/>
    <s v="DE.CM-01"/>
    <s v="Redes y servicios de red monitoreados para hallar eventos potencialmente adversos"/>
    <s v="DE.CM - Monitoreo continuo"/>
    <x v="1"/>
    <n v="0.5"/>
    <s v="Monitoreo continuo del tráfico y los servicios de red."/>
  </r>
  <r>
    <x v="16"/>
    <s v="DE.AE-02"/>
    <s v="Eventos potencialmente adversos analizados para comprender mejor la actividad asociada"/>
    <s v="DE.AE - Análisis de eventos adversos"/>
    <x v="1"/>
    <n v="0.3"/>
    <s v="Analiza la desviación de comportamiento de red frente a la línea base aprendida."/>
  </r>
  <r>
    <x v="16"/>
    <s v="DE.AE-04"/>
    <s v="El impacto y alcance estimados de los eventos adversos son comprendidos"/>
    <s v="DE.AE - Análisis de eventos adversos"/>
    <x v="1"/>
    <n v="0.2"/>
    <s v="Estima impacto y alcance del evento en función de los activos involucrados."/>
  </r>
  <r>
    <x v="17"/>
    <s v="PR.AA-06"/>
    <s v="Acceso físico a los activos gestionado, monitoreado y exigido según el riesgo"/>
    <s v="PR.AA - Identidad, autenticación y control de acceso"/>
    <x v="3"/>
    <n v="0.4"/>
    <s v="Autoriza y controla el acceso físico según reglas de decisión."/>
  </r>
  <r>
    <x v="17"/>
    <s v="PR.AA-01"/>
    <s v="Identidades y credenciales de usuarios, servicios y hardware autorizados gestionadas por la organización"/>
    <s v="PR.AA - Identidad, autenticación y control de acceso"/>
    <x v="3"/>
    <n v="0.25"/>
    <s v="Administra las credenciales y perfiles habilitados para el acceso."/>
  </r>
  <r>
    <x v="17"/>
    <s v="PR.PS-04"/>
    <s v="Registros de log generados y disponibles para monitoreo continuo"/>
    <s v="PR.PS - Seguridad de plataforma"/>
    <x v="3"/>
    <n v="0.2"/>
    <s v="Genera el registro de actividad disponible para monitoreo y auditoría."/>
  </r>
  <r>
    <x v="17"/>
    <s v="DE.CM-02"/>
    <s v="El entorno físico es monitoreado para hallar eventos potencialmente adversos"/>
    <s v="DE.CM - Monitoreo continuo"/>
    <x v="1"/>
    <n v="0.15"/>
    <s v="La trazabilidad de actividades es monitoreo del entorno físico, no mejora de proceso."/>
  </r>
  <r>
    <x v="18"/>
    <s v="PR.PS-05"/>
    <s v="Instalación y ejecución de software no autorizado son prevenidas"/>
    <s v="PR.PS - Seguridad de plataforma"/>
    <x v="3"/>
    <n v="0.15"/>
    <s v="Impide ejecución de software no autorizado en la carga de trabajo."/>
  </r>
  <r>
    <x v="18"/>
    <s v="PR.PS-01"/>
    <s v="Prácticas de gestión de configuración establecidas y aplicadas"/>
    <s v="PR.PS - Seguridad de plataforma"/>
    <x v="3"/>
    <n v="0.1"/>
    <s v="Aplica y verifica la línea base de configuración del servidor."/>
  </r>
  <r>
    <x v="18"/>
    <s v="DE.CM-09"/>
    <s v="Hardware y software de cómputo, entornos de ejecución y sus datos monitoreados para hallar eventos adversos"/>
    <s v="DE.CM - Monitoreo continuo"/>
    <x v="1"/>
    <n v="0.3"/>
    <s v="Monitoreo continuo del servidor y su entorno de ejecución."/>
  </r>
  <r>
    <x v="18"/>
    <s v="DE.AE-02"/>
    <s v="Eventos potencialmente adversos analizados para comprender mejor la actividad asociada"/>
    <s v="DE.AE - Análisis de eventos adversos"/>
    <x v="1"/>
    <n v="0.15"/>
    <s v="Analiza el evento en el host para entender la actividad asociada."/>
  </r>
  <r>
    <x v="18"/>
    <s v="RS.MI-01"/>
    <s v="Los incidentes son contenidos"/>
    <s v="RS.MI - Mitigación del incidente"/>
    <x v="2"/>
    <n v="0.3"/>
    <s v="El parchado virtual de emergencia contiene la explotación en curso."/>
  </r>
  <r>
    <x v="19"/>
    <s v="PR.AA-03"/>
    <s v="Usuarios, servicios y hardware son autenticados"/>
    <s v="PR.AA - Identidad, autenticación y control de acceso"/>
    <x v="3"/>
    <n v="0.6"/>
    <s v="MFA: autenticación reforzada de usuarios y servicios, casi de forma exclusiva."/>
  </r>
  <r>
    <x v="19"/>
    <s v="PR.AA-01"/>
    <s v="Identidades y credenciales de usuarios, servicios y hardware autorizados gestionadas por la organización"/>
    <s v="PR.AA - Identidad, autenticación y control de acceso"/>
    <x v="3"/>
    <n v="0.25"/>
    <s v="Administra el ciclo de vida del segundo factor asociado a cada identidad."/>
  </r>
  <r>
    <x v="19"/>
    <s v="PR.AA-05"/>
    <s v="Permisos y autorizaciones definidos en política, gestionados, exigidos y revisados, con mínimo privilegio y segregación de funciones"/>
    <s v="PR.AA - Identidad, autenticación y control de acceso"/>
    <x v="3"/>
    <n v="0.15"/>
    <s v="Condiciona el acceso a aplicaciones críticas según política."/>
  </r>
  <r>
    <x v="20"/>
    <s v="PR.AA-06"/>
    <s v="Acceso físico a los activos gestionado, monitoreado y exigido según el riesgo"/>
    <s v="PR.AA - Identidad, autenticación y control de acceso"/>
    <x v="3"/>
    <n v="0.6"/>
    <s v="Genera y controla códigos dinámicos de apertura: acceso físico a activos."/>
  </r>
  <r>
    <x v="20"/>
    <s v="PR.AA-03"/>
    <s v="Usuarios, servicios y hardware son autenticados"/>
    <s v="PR.AA - Identidad, autenticación y control de acceso"/>
    <x v="3"/>
    <n v="0.25"/>
    <s v="Autentica al portador del código antes de habilitar la apertura."/>
  </r>
  <r>
    <x v="20"/>
    <s v="DE.CM-02"/>
    <s v="El entorno físico es monitoreado para hallar eventos potencialmente adversos"/>
    <s v="DE.CM - Monitoreo continuo"/>
    <x v="1"/>
    <n v="0.15"/>
    <s v="Registra los eventos de apertura en el entorno físico."/>
  </r>
  <r>
    <x v="21"/>
    <s v="ID.AM-08"/>
    <s v="Sistemas, hardware, software, servicios y datos gestionados en todo su ciclo de vida"/>
    <s v="ID.AM - Gestión de activos"/>
    <x v="0"/>
    <n v="0.15"/>
    <s v="Gestiona el ciclo de vida del certificado interno."/>
  </r>
  <r>
    <x v="21"/>
    <s v="PR.AA-04"/>
    <s v="Aserciones de identidad protegidas, transmitidas y verificadas"/>
    <s v="PR.AA - Identidad, autenticación y control de acceso"/>
    <x v="3"/>
    <n v="0.35"/>
    <s v="PKI interna: emite las aserciones de identidad que se transmiten y verifican."/>
  </r>
  <r>
    <x v="21"/>
    <s v="PR.DS-02"/>
    <s v="Confidencialidad, integridad y disponibilidad del dato en tránsito protegidas"/>
    <s v="PR.DS - Seguridad de datos"/>
    <x v="3"/>
    <n v="0.3"/>
    <s v="Habilita el cifrado de las comunicaciones internas."/>
  </r>
  <r>
    <x v="21"/>
    <s v="PR.AA-03"/>
    <s v="Usuarios, servicios y hardware son autenticados"/>
    <s v="PR.AA - Identidad, autenticación y control de acceso"/>
    <x v="3"/>
    <n v="0.2"/>
    <s v="Autentica dispositivos y servicios mediante certificado."/>
  </r>
  <r>
    <x v="22"/>
    <s v="PR.AA-02"/>
    <s v="Identidades verificadas y vinculadas a credenciales según el contexto de las interacciones"/>
    <s v="PR.AA - Identidad, autenticación y control de acceso"/>
    <x v="3"/>
    <n v="0.45"/>
    <s v="Verifica la identidad y la vincula a la credencial en los flujos correspondientes a los canales digitales"/>
  </r>
  <r>
    <x v="22"/>
    <s v="PR.AA-03"/>
    <s v="Usuarios, servicios y hardware son autenticados"/>
    <s v="PR.AA - Identidad, autenticación y control de acceso"/>
    <x v="3"/>
    <n v="0.35"/>
    <s v="Autentica biométricamente al cliente en operaciones sensibles. (Challenge transaccional)"/>
  </r>
  <r>
    <x v="22"/>
    <s v="PR.AA-01"/>
    <s v="Identidades y credenciales de usuarios, servicios y hardware autorizados gestionadas por la organización"/>
    <s v="PR.AA - Identidad, autenticación y control de acceso"/>
    <x v="3"/>
    <n v="0.2"/>
    <s v="Sostiene el enrolamiento de la identidad del cliente y su credencial biométrica."/>
  </r>
  <r>
    <x v="23"/>
    <s v="ID.AM-03"/>
    <s v="Representaciones de la comunicación de red autorizada y flujos de datos internos y externos mantenidas"/>
    <s v="ID.AM - Gestión de activos"/>
    <x v="0"/>
    <n v="0.2"/>
    <s v="Mantiene el mapa vivo de qué está autorizado a comunicarse con qué. Único aporte del portafolio a este resultado"/>
  </r>
  <r>
    <x v="23"/>
    <s v="PR.PS-01"/>
    <s v="Prácticas de gestión de configuración establecidas y aplicadas"/>
    <s v="PR.PS - Seguridad de plataforma"/>
    <x v="3"/>
    <n v="0.4"/>
    <s v="define, exige y verifica la línea base de las políticas de firewall del banco."/>
  </r>
  <r>
    <x v="23"/>
    <s v="ID.IM-01"/>
    <s v="Mejoras identificadas a partir de evaluaciones"/>
    <s v="ID.IM - Mejora"/>
    <x v="0"/>
    <n v="0.2"/>
    <s v="La auditoría de reglas produce mejoras identificadas a partir de evaluación."/>
  </r>
  <r>
    <x v="23"/>
    <s v="PR.IR-01"/>
    <s v="Redes y entornos protegidos de acceso y uso lógico no autorizado"/>
    <s v="PR.IR - Resiliencia de la infraestructura tecnológica"/>
    <x v="3"/>
    <n v="0.2"/>
    <s v="La higiene de reglas es lo que efectivamente protege la red del acceso no autorizado."/>
  </r>
  <r>
    <x v="24"/>
    <s v="PR.DS-10"/>
    <s v="Confidencialidad, integridad y disponibilidad del dato en uso protegidas"/>
    <s v="PR.DS - Seguridad de datos"/>
    <x v="3"/>
    <n v="0.65"/>
    <s v="Controla el dato en uso en el endpoint antes de que salga."/>
  </r>
  <r>
    <x v="24"/>
    <s v="DE.CM-09"/>
    <s v="Hardware y software de cómputo, entornos de ejecución y sus datos monitoreados para hallar eventos adversos"/>
    <s v="DE.CM - Monitoreo continuo"/>
    <x v="1"/>
    <n v="0.2"/>
    <s v="Monitorea el uso del dato en los canales de salida."/>
  </r>
  <r>
    <x v="24"/>
    <s v="RS.MI-01"/>
    <s v="Los incidentes son contenidos"/>
    <s v="RS.MI - Mitigación del incidente"/>
    <x v="2"/>
    <n v="0.15"/>
    <s v="El bloqueo de una exfiltración en curso es contención de incidente."/>
  </r>
  <r>
    <x v="25"/>
    <s v="ID.AM-08"/>
    <s v="Sistemas, hardware, software, servicios y datos gestionados en todo su ciclo de vida"/>
    <s v="ID.AM - Gestión de activos"/>
    <x v="0"/>
    <n v="0.1"/>
    <s v="Gestiona la identidad como activo a lo largo de su ciclo de vida."/>
  </r>
  <r>
    <x v="25"/>
    <s v="PR.AA-01"/>
    <s v="Identidades y credenciales de usuarios, servicios y hardware autorizados gestionadas por la organización"/>
    <s v="PR.AA - Identidad, autenticación y control de acceso"/>
    <x v="3"/>
    <n v="0.35"/>
    <s v="Gestiona el ciclo de vida de identidades y credenciales corporativas."/>
  </r>
  <r>
    <x v="25"/>
    <s v="PR.AA-05"/>
    <s v="Permisos y autorizaciones definidos en política, gestionados, exigidos y revisados, con mínimo privilegio y segregación de funciones"/>
    <s v="PR.AA - Identidad, autenticación y control de acceso"/>
    <x v="3"/>
    <n v="0.35"/>
    <s v="Define, aplica y revisa permisos y autorizaciones."/>
  </r>
  <r>
    <x v="25"/>
    <s v="PR.AA-03"/>
    <s v="Usuarios, servicios y hardware son autenticados"/>
    <s v="PR.AA - Identidad, autenticación y control de acceso"/>
    <x v="3"/>
    <n v="0.2"/>
    <s v="Autentica usuarios y servicios contra el directorio."/>
  </r>
  <r>
    <x v="26"/>
    <s v="PR.IR-01"/>
    <s v="Redes y entornos protegidos de acceso y uso lógico no autorizado"/>
    <s v="PR.IR - Resiliencia de la infraestructura tecnológica"/>
    <x v="3"/>
    <n v="0.45"/>
    <s v="Bloquea por firma el tráfico no autorizado hacia la red interna."/>
  </r>
  <r>
    <x v="26"/>
    <s v="DE.CM-01"/>
    <s v="Redes y servicios de red monitoreados para hallar eventos potencialmente adversos"/>
    <s v="DE.CM - Monitoreo continuo"/>
    <x v="1"/>
    <n v="0.3"/>
    <s v="Monitorea continuamente el tráfico de red en busca de eventos adversos."/>
  </r>
  <r>
    <x v="26"/>
    <s v="DE.AE-02"/>
    <s v="Eventos potencialmente adversos analizados para comprender mejor la actividad asociada"/>
    <s v="DE.AE - Análisis de eventos adversos"/>
    <x v="1"/>
    <n v="0.15"/>
    <s v="Analiza la firma disparada para entender la actividad asociada."/>
  </r>
  <r>
    <x v="26"/>
    <s v="RS.MI-01"/>
    <s v="Los incidentes son contenidos"/>
    <s v="RS.MI - Mitigación del incidente"/>
    <x v="2"/>
    <n v="0.1"/>
    <s v="La regla de bloqueo dirigida durante un incidente es contención; el bloqueo por firma es prevención."/>
  </r>
  <r>
    <x v="27"/>
    <s v="ID.AM-01"/>
    <s v="Inventarios de hardware administrado son mantenidos"/>
    <s v="ID.AM - Gestión de activos"/>
    <x v="0"/>
    <n v="0.15"/>
    <s v="Descubre hardware conectado no inventariado."/>
  </r>
  <r>
    <x v="27"/>
    <s v="PR.AA-05"/>
    <s v="Permisos y autorizaciones definidos en política, gestionados, exigidos y revisados, con mínimo privilegio y segregación de funciones"/>
    <s v="PR.AA - Identidad, autenticación y control de acceso"/>
    <x v="3"/>
    <n v="0.3"/>
    <s v="Aplica la política de acceso a red según rol y postura del dispositivo."/>
  </r>
  <r>
    <x v="27"/>
    <s v="PR.IR-01"/>
    <s v="Redes y entornos protegidos de acceso y uso lógico no autorizado"/>
    <s v="PR.IR - Resiliencia de la infraestructura tecnológica"/>
    <x v="3"/>
    <n v="0.3"/>
    <s v="Impide que dispositivos no autorizados alcancen la red."/>
  </r>
  <r>
    <x v="27"/>
    <s v="PR.AA-03"/>
    <s v="Usuarios, servicios y hardware son autenticados"/>
    <s v="PR.AA - Identidad, autenticación y control de acceso"/>
    <x v="3"/>
    <n v="0.25"/>
    <s v="Autentica usuarios y dispositivos antes de admitirlos en la red."/>
  </r>
  <r>
    <x v="28"/>
    <s v="PR.AA-01"/>
    <s v="Identidades y credenciales de usuarios, servicios y hardware autorizados gestionadas por la organización"/>
    <s v="PR.AA - Identidad, autenticación y control de acceso"/>
    <x v="3"/>
    <n v="0.45"/>
    <s v="Administra credenciales empresariales a lo largo de su ciclo de vida."/>
  </r>
  <r>
    <x v="28"/>
    <s v="PR.DS-01"/>
    <s v="Confidencialidad, integridad y disponibilidad del dato en reposo protegidas"/>
    <s v="PR.DS - Seguridad de datos"/>
    <x v="3"/>
    <n v="0.3"/>
    <s v="La bóveda cifrada protege el secreto almacenado como dato en reposo."/>
  </r>
  <r>
    <x v="28"/>
    <s v="PR.AA-05"/>
    <s v="Permisos y autorizaciones definidos en política, gestionados, exigidos y revisados, con mínimo privilegio y segregación de funciones"/>
    <s v="PR.AA - Identidad, autenticación y control de acceso"/>
    <x v="3"/>
    <n v="0.25"/>
    <s v="El uso compartido por carpeta y rol impone mínimo privilegio sobre los secretos."/>
  </r>
  <r>
    <x v="29"/>
    <s v="ID.IM-02"/>
    <s v="Mejoras identificadas de pruebas y ejercicios de seguridad, incluidos los coordinados con terceros"/>
    <s v="ID.IM - Mejora"/>
    <x v="0"/>
    <n v="0.2"/>
    <s v="La simulación de phishing es un ejercicio de seguridad que produce mejoras."/>
  </r>
  <r>
    <x v="29"/>
    <s v="PR.AT-01"/>
    <s v="El personal recibe concientización y formación general para ejecutar sus tareas considerando los riesgos de ciber"/>
    <s v="PR.AT - Concientización y formación"/>
    <x v="3"/>
    <n v="0.6"/>
    <s v="Formación general del personal en riesgos de ciberseguridad."/>
  </r>
  <r>
    <x v="29"/>
    <s v="PR.AT-02"/>
    <s v="Los roles especializados reciben concientización y formación específica para sus tareas relevantes"/>
    <s v="PR.AT - Concientización y formación"/>
    <x v="3"/>
    <n v="0.2"/>
    <s v="Formación específica para roles especializados."/>
  </r>
  <r>
    <x v="30"/>
    <s v="ID.AM-05"/>
    <s v="Activos priorizados por clasificación, criticidad, recursos e impacto en la misión"/>
    <s v="ID.AM - Gestión de activos"/>
    <x v="0"/>
    <n v="0.4"/>
    <s v="Clasifica y prioriza activos de información según sensibilidad, criticidad e impacto para el negocio."/>
  </r>
  <r>
    <x v="30"/>
    <s v="ID.AM-07"/>
    <s v="Inventarios de datos y metadatos de tipos designados mantenidos"/>
    <s v="ID.AM - Gestión de activos"/>
    <x v="0"/>
    <n v="0.35"/>
    <s v="Mantiene el inventario de datos y metadatos, proporcionando visibilidad sobre la información y su clasificación."/>
  </r>
  <r>
    <x v="30"/>
    <s v="PR.DS-01"/>
    <s v="Confidencialidad, integridad y disponibilidad del dato en reposo protegidas"/>
    <s v="PR.DS - Seguridad de datos"/>
    <x v="3"/>
    <n v="0.15"/>
    <s v="Las etiquetas de clasificación permiten aplicar controles de protección sobre la información almacenada, habilitando mecanismos de seguridad sobre datos en reposo."/>
  </r>
  <r>
    <x v="30"/>
    <s v="PR.DS-10"/>
    <s v="Confidencialidad, integridad y disponibilidad del dato en uso protegidas"/>
    <s v="PR.DS - Seguridad de datos"/>
    <x v="3"/>
    <n v="0.1"/>
    <s v="La clasificación y etiquetado de la información sirven como insumo para herramientas DLP y otros controles que protegen el dato durante su uso."/>
  </r>
  <r>
    <x v="31"/>
    <s v="PR.DS-10"/>
    <s v="Confidencialidad, integridad y disponibilidad del dato en uso protegidas"/>
    <s v="PR.DS - Seguridad de datos"/>
    <x v="3"/>
    <n v="0.4"/>
    <s v="Protege el dato corporativo en uso dentro de la aplicación."/>
  </r>
  <r>
    <x v="31"/>
    <s v="PR.DS-01"/>
    <s v="Confidencialidad, integridad y disponibilidad del dato en reposo protegidas"/>
    <s v="PR.DS - Seguridad de datos"/>
    <x v="3"/>
    <n v="0.25"/>
    <s v="Cifra y contiene el dato corporativo en reposo en el dispositivo."/>
  </r>
  <r>
    <x v="31"/>
    <s v="PR.PS-05"/>
    <s v="Instalación y ejecución de software no autorizado son prevenidas"/>
    <s v="PR.PS - Seguridad de plataforma"/>
    <x v="3"/>
    <n v="0.2"/>
    <s v="Impide la ejecución de aplicaciones no autorizadas sobre el dato corporativo."/>
  </r>
  <r>
    <x v="31"/>
    <s v="PR.AA-05"/>
    <s v="Permisos y autorizaciones definidos en política, gestionados, exigidos y revisados, con mínimo privilegio y segregación de funciones"/>
    <s v="PR.AA - Identidad, autenticación y control de acceso"/>
    <x v="3"/>
    <n v="0.15"/>
    <s v="Restringe el uso de aplicaciones no autorizadas para acceder, copiar o transferir información corporativa."/>
  </r>
  <r>
    <x v="32"/>
    <s v="PR.PS-05"/>
    <s v="Instalación y ejecución de software no autorizado son prevenidas"/>
    <s v="PR.PS - Seguridad de plataforma"/>
    <x v="3"/>
    <n v="0.2"/>
    <s v="El filtrado de adjuntos y URLs impide la ejecución de contenido no autorizado."/>
  </r>
  <r>
    <x v="32"/>
    <s v="PR.DS-02"/>
    <s v="Confidencialidad, integridad y disponibilidad del dato en tránsito protegidas"/>
    <s v="PR.DS - Seguridad de datos"/>
    <x v="3"/>
    <n v="0.1"/>
    <s v="Protege el dato en tránsito en el canal de correo."/>
  </r>
  <r>
    <x v="32"/>
    <s v="DE.CM-09"/>
    <s v="Hardware y software de cómputo, entornos de ejecución y sus datos monitoreados para hallar eventos adversos"/>
    <s v="DE.CM - Monitoreo continuo"/>
    <x v="1"/>
    <n v="0.3"/>
    <s v="Monitorea correo y herramientas de colaboración y sus datos."/>
  </r>
  <r>
    <x v="32"/>
    <s v="DE.AE-02"/>
    <s v="Eventos potencialmente adversos analizados para comprender mejor la actividad asociada"/>
    <s v="DE.AE - Análisis de eventos adversos"/>
    <x v="1"/>
    <n v="0.25"/>
    <s v="Analiza adjuntos y URLs para determinar si el mensaje es adverso."/>
  </r>
  <r>
    <x v="32"/>
    <s v="RS.MI-01"/>
    <s v="Los incidentes son contenidos"/>
    <s v="RS.MI - Mitigación del incidente"/>
    <x v="2"/>
    <n v="0.15"/>
    <s v="La cuarentena y la purga retroactiva contienen un incidente en curso."/>
  </r>
  <r>
    <x v="33"/>
    <s v="PR.DS-10"/>
    <s v="Confidencialidad, integridad y disponibilidad del dato en uso protegidas"/>
    <s v="PR.DS - Seguridad de datos"/>
    <x v="3"/>
    <n v="0.25"/>
    <s v="DLP en línea sobre el dato en uso hacia servicios web y cloud."/>
  </r>
  <r>
    <x v="33"/>
    <s v="PR.IR-01"/>
    <s v="Redes y entornos protegidos de acceso y uso lógico no autorizado"/>
    <s v="PR.IR - Resiliencia de la infraestructura tecnológica"/>
    <x v="3"/>
    <n v="0.25"/>
    <s v="Secure web gateway: Protege la navegación hacia Internet y reduce el riesgo de accesos o conexiones no autorizadas."/>
  </r>
  <r>
    <x v="33"/>
    <s v="PR.DS-02"/>
    <s v="Confidencialidad, integridad y disponibilidad del dato en tránsito protegidas"/>
    <s v="PR.DS - Seguridad de datos"/>
    <x v="3"/>
    <n v="0.2"/>
    <s v="Inspecciona y protege el dato en tránsito hacia la nube."/>
  </r>
  <r>
    <x v="33"/>
    <s v="PR.AA-05"/>
    <s v="Permisos y autorizaciones definidos en política, gestionados, exigidos y revisados, con mínimo privilegio y segregación de funciones"/>
    <s v="PR.AA - Identidad, autenticación y control de acceso"/>
    <x v="3"/>
    <n v="0.15"/>
    <s v="Aplica controles de acceso de acuerdo con el usuario, grupo o aplicación utilizada."/>
  </r>
  <r>
    <x v="33"/>
    <s v="DE.CM-09"/>
    <s v="Hardware y software de cómputo, entornos de ejecución y sus datos monitoreados para hallar eventos adversos"/>
    <s v="DE.CM - Monitoreo continuo"/>
    <x v="1"/>
    <n v="0.15"/>
    <s v="Proporciona visibilidad sobre el uso de aplicaciones cloud y las actividades realizadas por los usuarios."/>
  </r>
  <r>
    <x v="34"/>
    <s v="PR.AA-06"/>
    <s v="Acceso físico a los activos gestionado, monitoreado y exigido según el riesgo"/>
    <s v="PR.AA - Identidad, autenticación y control de acceso"/>
    <x v="3"/>
    <n v="0.1"/>
    <s v="Correlacionador de incidentes de los sistemas de seguridasd de red de agencias y atms"/>
  </r>
  <r>
    <x v="34"/>
    <s v="DE.CM-02"/>
    <s v="El entorno físico es monitoreado para hallar eventos potencialmente adversos"/>
    <s v="DE.CM - Monitoreo continuo"/>
    <x v="1"/>
    <n v="0.35"/>
    <s v="monitoreo continuo centralizado de alertas "/>
  </r>
  <r>
    <x v="34"/>
    <s v="DE.AE-03"/>
    <s v="La información es correlacionada desde múltiples fuentes"/>
    <s v="DE.AE - Análisis de eventos adversos"/>
    <x v="1"/>
    <n v="0.25"/>
    <s v="Correlaciona señales de múltiples subsistemas físicos."/>
  </r>
  <r>
    <x v="34"/>
    <s v="RS.MA-02"/>
    <s v="Los reportes de incidente son triados y validados"/>
    <s v="RS.MA - Gestión de incidentes"/>
    <x v="2"/>
    <n v="0.2"/>
    <s v="Tría y valida los reportes de incidente físico."/>
  </r>
  <r>
    <x v="34"/>
    <s v="RS.CO-02"/>
    <s v="Las partes interesadas internas y externas son notificadas de los incidentes"/>
    <s v="RS.CO - Reporte y comunicación del incidente"/>
    <x v="2"/>
    <n v="0.1"/>
    <s v="Notifica a los responsables internos según protocolo."/>
  </r>
  <r>
    <x v="35"/>
    <s v="PR.PS-04"/>
    <s v="Registros de log generados y disponibles para monitoreo continuo"/>
    <s v="PR.PS - Seguridad de plataforma"/>
    <x v="3"/>
    <n v="0.35"/>
    <s v="Filtra y optimiza el volumen para que el registro esté disponible al monitoreo continuo."/>
  </r>
  <r>
    <x v="35"/>
    <s v="DE.AE-03"/>
    <s v="La información es correlacionada desde múltiples fuentes"/>
    <s v="DE.AE - Análisis de eventos adversos"/>
    <x v="1"/>
    <n v="0.45"/>
    <s v="Normaliza y enriquece el evento para hacer posible la correlación multifuente: es el resultado que el SOC compra."/>
  </r>
  <r>
    <x v="35"/>
    <s v="DE.AE-02"/>
    <s v="Eventos potencialmente adversos analizados para comprender mejor la actividad asociada"/>
    <s v="DE.AE - Análisis de eventos adversos"/>
    <x v="1"/>
    <n v="0.2"/>
    <s v="Depura el ruido para que el evento analizado sea el relevante."/>
  </r>
  <r>
    <x v="36"/>
    <s v="PR.PS-05"/>
    <s v="Instalación y ejecución de software no autorizado son prevenidas"/>
    <s v="PR.PS - Seguridad de plataforma"/>
    <x v="3"/>
    <n v="0.2"/>
    <s v="Analiza y bloquea adjuntos, URLs y contenido malicioso, reduciendo el riesgo de ejecución de software no autorizado."/>
  </r>
  <r>
    <x v="36"/>
    <s v="PR.DS-02"/>
    <s v="Confidencialidad, integridad y disponibilidad del dato en tránsito protegidas"/>
    <s v="PR.DS - Seguridad de datos"/>
    <x v="3"/>
    <n v="0.1"/>
    <s v="Protege la confidencialidad de la información en tránsito mediante cifrado y controles de seguridad aplicados al correo electrónico."/>
  </r>
  <r>
    <x v="36"/>
    <s v="DE.CM-09"/>
    <s v="Hardware y software de cómputo, entornos de ejecución y sus datos monitoreados para hallar eventos adversos"/>
    <s v="DE.CM - Monitoreo continuo"/>
    <x v="1"/>
    <n v="0.3"/>
    <s v="Monitorea continuamente el tráfico de correo electrónico, adjuntos, URLs y patrones de actividad para identificar amenazas potenciales."/>
  </r>
  <r>
    <x v="36"/>
    <s v="DE.AE-02"/>
    <s v="Eventos potencialmente adversos analizados para comprender mejor la actividad asociada"/>
    <s v="DE.AE - Análisis de eventos adversos"/>
    <x v="1"/>
    <n v="0.25"/>
    <s v="Analiza correos, adjuntos y enlaces para determinar si representan actividad maliciosa o potencialmente adversa."/>
  </r>
  <r>
    <x v="36"/>
    <s v="RS.MI-01"/>
    <s v="Los incidentes son contenidos"/>
    <s v="RS.MI - Mitigación del incidente"/>
    <x v="2"/>
    <n v="0.15"/>
    <s v="Contiene incidentes mediante cuarentena, retiro de mensajes y remediación retroactiva sobre correos ya entregados."/>
  </r>
  <r>
    <x v="37"/>
    <s v="PR.AA-06"/>
    <s v="Acceso físico a los activos gestionado, monitoreado y exigido según el riesgo"/>
    <s v="PR.AA - Identidad, autenticación y control de acceso"/>
    <x v="3"/>
    <n v="0.35"/>
    <s v="Gestiona, supervisa y aplica el acceso físico a agencias y áreas restringidas según el riesgo."/>
  </r>
  <r>
    <x v="37"/>
    <s v="PR.AA-05"/>
    <s v="Permisos y autorizaciones definidos en política, gestionados, exigidos y revisados, con mínimo privilegio y segregación de funciones"/>
    <s v="PR.AA - Identidad, autenticación y control de acceso"/>
    <x v="3"/>
    <n v="0.25"/>
    <s v="Define y revisa permisos de acceso por persona, nivel de acceso y zona, aplicando mínimo privilegio y segregación."/>
  </r>
  <r>
    <x v="37"/>
    <s v="PR.AA-01"/>
    <s v="Identidades y credenciales de usuarios, servicios y hardware autorizados gestionadas por la organización"/>
    <s v="PR.AA - Identidad, autenticación y control de acceso"/>
    <x v="3"/>
    <n v="0.1"/>
    <s v="Administra la asociación entre identidades, credenciales y perfiles utilizados para el acceso físico."/>
  </r>
  <r>
    <x v="37"/>
    <s v="PR.PS-04"/>
    <s v="Registros de log generados y disponibles para monitoreo continuo"/>
    <s v="PR.PS - Seguridad de plataforma"/>
    <x v="3"/>
    <n v="0.1"/>
    <s v="Genera y conserva registros de accesos, puertas y alarmas para monitoreo y auditoría."/>
  </r>
  <r>
    <x v="37"/>
    <s v="DE.CM-02"/>
    <s v="El entorno físico es monitoreado para hallar eventos potencialmente adversos"/>
    <s v="DE.CM - Monitoreo continuo"/>
    <x v="1"/>
    <n v="0.2"/>
    <s v="Monitorea eventos de puerta, alarmas y condiciones asociadas al entorno físico protegido."/>
  </r>
  <r>
    <x v="38"/>
    <s v="PR.PS-03"/>
    <s v="Hardware mantenido, reemplazado y retirado según el riesgo"/>
    <s v="PR.PS - Seguridad de plataforma"/>
    <x v="3"/>
    <n v="0.1"/>
    <s v="Apoya la gestión del mantenimiento y reemplazo de los receptores conforme a su estado operativo."/>
  </r>
  <r>
    <x v="38"/>
    <s v="PR.PS-04"/>
    <s v="Registros de log generados y disponibles para monitoreo continuo"/>
    <s v="PR.PS - Seguridad de plataforma"/>
    <x v="3"/>
    <n v="0.3"/>
    <s v="Conserva y pone a disposición el registro técnico de eventos y estados de los receptores."/>
  </r>
  <r>
    <x v="38"/>
    <s v="DE.CM-02"/>
    <s v="El entorno físico es monitoreado para hallar eventos potencialmente adversos"/>
    <s v="DE.CM - Monitoreo continuo"/>
    <x v="1"/>
    <n v="0.4"/>
    <s v="Centraliza la recepción de alarmas que soporta el monitoreo continuo del entorno físico."/>
  </r>
  <r>
    <x v="38"/>
    <s v="RS.MA-02"/>
    <s v="Los reportes de incidente son triados y validados"/>
    <s v="RS.MA - Gestión de incidentes"/>
    <x v="2"/>
    <n v="0.1"/>
    <s v="Facilita el triaje y la validación inicial de los reportes de alarma para determinar su tratamiento."/>
  </r>
  <r>
    <x v="38"/>
    <s v="RS.CO-02"/>
    <s v="Las partes interesadas internas y externas son notificadas de los incidentes"/>
    <s v="RS.CO - Reporte y comunicación del incidente"/>
    <x v="2"/>
    <n v="0.1"/>
    <s v="Apoya la notificación y el escalamiento del evento validado hacia el centro de monitoreo y los responsables definidos."/>
  </r>
  <r>
    <x v="39"/>
    <s v="ID.RA-02"/>
    <s v="Inteligencia de amenazas recibida de foros y fuentes de intercambio"/>
    <s v="ID.RA - Evaluación de riesgo"/>
    <x v="0"/>
    <n v="0.15"/>
    <s v="El módulo TIP recibe inteligencia de amenazas de fuentes externas."/>
  </r>
  <r>
    <x v="39"/>
    <s v="ID.AM-08"/>
    <s v="Sistemas, hardware, software, servicios y datos gestionados en todo su ciclo de vida"/>
    <s v="ID.AM - Gestión de activos"/>
    <x v="0"/>
    <n v="0.15"/>
    <s v="El módulo de certificados gestiona su ciclo de vida como activo."/>
  </r>
  <r>
    <x v="39"/>
    <s v="RS.MA-02"/>
    <s v="Los reportes de incidente son triados y validados"/>
    <s v="RS.MA - Gestión de incidentes"/>
    <x v="2"/>
    <n v="0.25"/>
    <s v="Tría y valida los reportes de incidente de seguridad."/>
  </r>
  <r>
    <x v="39"/>
    <s v="RS.MA-03"/>
    <s v="Los incidentes son categorizados y priorizados"/>
    <s v="RS.MA - Gestión de incidentes"/>
    <x v="2"/>
    <n v="0.15"/>
    <s v="Categoriza y prioriza el incidente: función core del módulo SIR."/>
  </r>
  <r>
    <x v="39"/>
    <s v="RS.CO-02"/>
    <s v="Las partes interesadas internas y externas son notificadas de los incidentes"/>
    <s v="RS.CO - Reporte y comunicación del incidente"/>
    <x v="2"/>
    <n v="0.15"/>
    <s v="Notifica a los stakeholders internos y externos según protocolo."/>
  </r>
  <r>
    <x v="39"/>
    <s v="RS.AN-03"/>
    <s v="Se realiza análisis para establecer qué ocurrió durante el incidente y su causa raíz"/>
    <s v="RS.AN - Análisis de incidentes"/>
    <x v="2"/>
    <n v="0.15"/>
    <s v="Documenta el análisis y la causa raíz del incidente."/>
  </r>
  <r>
    <x v="40"/>
    <s v="ID.RA-05"/>
    <s v="Amenazas, vulnerabilidades, probabilidades e impactos usados para entender el riesgo inherente y priorizar la respuesta"/>
    <s v="ID.RA - Evaluación de riesgo"/>
    <x v="0"/>
    <n v="0.45"/>
    <s v="Traduce exposición externa en riesgo inherente y prioriza la respuesta."/>
  </r>
  <r>
    <x v="40"/>
    <s v="ID.RA-03"/>
    <s v="Amenazas internas y externas a la organización identificadas y registradas"/>
    <s v="ID.RA - Evaluación de riesgo"/>
    <x v="0"/>
    <n v="0.35"/>
    <s v="Identifica y registra amenazas y exposiciones internas y externas."/>
  </r>
  <r>
    <x v="40"/>
    <s v="ID.RA-01"/>
    <s v="Vulnerabilidades en activos identificadas, validadas y registradas"/>
    <s v="ID.RA - Evaluación de riesgo"/>
    <x v="0"/>
    <n v="0.2"/>
    <s v="Detecta y registra vulnerabilidades observables desde el exterior."/>
  </r>
  <r>
    <x v="41"/>
    <s v="PR.IR-01"/>
    <s v="Redes y entornos protegidos de acceso y uso lógico no autorizado"/>
    <s v="PR.IR - Resiliencia de la infraestructura tecnológica"/>
    <x v="3"/>
    <n v="0.5"/>
    <s v="Controla el acceso lógico a los entornos cloud del banco."/>
  </r>
  <r>
    <x v="41"/>
    <s v="PR.PS-01"/>
    <s v="Prácticas de gestión de configuración establecidas y aplicadas"/>
    <s v="PR.PS - Seguridad de plataforma"/>
    <x v="3"/>
    <n v="0.15"/>
    <s v="Mantiene la línea base de reglas y objetos del firewall."/>
  </r>
  <r>
    <x v="41"/>
    <s v="DE.CM-01"/>
    <s v="Redes y servicios de red monitoreados para hallar eventos potencialmente adversos"/>
    <s v="DE.CM - Monitoreo continuo"/>
    <x v="1"/>
    <n v="0.25"/>
    <s v="Monitorea el tráfico y los servicios de red en la nube."/>
  </r>
  <r>
    <x v="41"/>
    <s v="RS.MI-01"/>
    <s v="Los incidentes son contenidos"/>
    <s v="RS.MI - Mitigación del incidente"/>
    <x v="2"/>
    <n v="0.1"/>
    <s v="La regla de bloqueo de emergencia durante un incidente es contención."/>
  </r>
  <r>
    <x v="42"/>
    <s v="PR.IR-01"/>
    <s v="Redes y entornos protegidos de acceso y uso lógico no autorizado"/>
    <s v="PR.IR - Resiliencia de la infraestructura tecnológica"/>
    <x v="3"/>
    <n v="0.5"/>
    <s v="Controla el acceso lógico entre zonas de la red interna y externas"/>
  </r>
  <r>
    <x v="42"/>
    <s v="PR.PS-01"/>
    <s v="Prácticas de gestión de configuración establecidas y aplicadas"/>
    <s v="PR.PS - Seguridad de plataforma"/>
    <x v="3"/>
    <n v="0.15"/>
    <s v="Mantiene la línea base de reglas y objetos del firewall."/>
  </r>
  <r>
    <x v="42"/>
    <s v="DE.CM-01"/>
    <s v="Redes y servicios de red monitoreados para hallar eventos potencialmente adversos"/>
    <s v="DE.CM - Monitoreo continuo"/>
    <x v="1"/>
    <n v="0.25"/>
    <s v="Monitorea el tráfico y los servicios de red."/>
  </r>
  <r>
    <x v="42"/>
    <s v="RS.MI-01"/>
    <s v="Los incidentes son contenidos"/>
    <s v="RS.MI - Mitigación del incidente"/>
    <x v="2"/>
    <n v="0.1"/>
    <s v="La regla de bloqueo de emergencia durante un incidente es contención."/>
  </r>
  <r>
    <x v="43"/>
    <s v="DE.CM-03"/>
    <s v="La actividad del personal y el uso de la tecnología son monitoreados para hallar eventos adversos"/>
    <s v="DE.CM - Monitoreo continuo"/>
    <x v="1"/>
    <n v="0.4"/>
    <s v="Monitorea la actividad transaccional del cliente en el canal."/>
  </r>
  <r>
    <x v="43"/>
    <s v="DE.AE-02"/>
    <s v="Eventos potencialmente adversos analizados para comprender mejor la actividad asociada"/>
    <s v="DE.AE - Análisis de eventos adversos"/>
    <x v="1"/>
    <n v="0.35"/>
    <s v="Analiza la transacción para determinar si es fraudulenta."/>
  </r>
  <r>
    <x v="43"/>
    <s v="DE.AE-04"/>
    <s v="El impacto y alcance estimados de los eventos adversos son comprendidos"/>
    <s v="DE.AE - Análisis de eventos adversos"/>
    <x v="1"/>
    <n v="0.25"/>
    <s v="Estima el impacto de la operación sospechosa."/>
  </r>
  <r>
    <x v="44"/>
    <s v="ID.RA-01"/>
    <s v="Vulnerabilidades en activos identificadas, validadas y registradas"/>
    <s v="ID.RA - Evaluación de riesgo"/>
    <x v="0"/>
    <n v="0.7"/>
    <s v="Snyk SAST identifica vulnerabilidades en el código fuente durante el desarrollo, permitiendo registrar y gestionar los hallazgos encontrados."/>
  </r>
  <r>
    <x v="44"/>
    <s v="PR.PS-06"/>
    <s v="Prácticas de desarrollo seguro integradas y su desempeño monitoreado en todo el ciclo de vida del software"/>
    <s v="PR.PS - Seguridad de plataforma"/>
    <x v="3"/>
    <n v="0.3"/>
    <s v="Permite incorporar controles preventivos en el SDLC mediante SAST y políticas de validación en pipelines."/>
  </r>
  <r>
    <x v="45"/>
    <s v="DE.CM-02"/>
    <s v="El entorno físico es monitoreado para hallar eventos potencialmente adversos"/>
    <s v="DE.CM - Monitoreo continuo"/>
    <x v="1"/>
    <n v="0.35"/>
    <s v="Centraliza el monitoreo continuo de señales de alarma generadas en el entorno físico de las agencias."/>
  </r>
  <r>
    <x v="45"/>
    <s v="DE.AE-02"/>
    <s v="Eventos potencialmente adversos analizados para comprender mejor la actividad asociada"/>
    <s v="DE.AE - Análisis de eventos adversos"/>
    <x v="1"/>
    <n v="0.2"/>
    <s v="Permite revisar, clasificar y validar la señal recibida antes de su escalamiento operativo."/>
  </r>
  <r>
    <x v="45"/>
    <s v="PR.PS-04"/>
    <s v="Registros de log generados y disponibles para monitoreo continuo"/>
    <s v="PR.PS - Seguridad de plataforma"/>
    <x v="3"/>
    <n v="0.1"/>
    <s v="Mantiene disponible la trazabilidad de las señales y eventos recibidos para seguimiento y consulta operativa."/>
  </r>
  <r>
    <x v="45"/>
    <s v="RS.MA-02"/>
    <s v="Los reportes de incidente son triados y validados"/>
    <s v="RS.MA - Gestión de incidentes"/>
    <x v="2"/>
    <n v="0.2"/>
    <s v="Facilita el triaje y la validación inicial de los reportes de alarma para determinar su tratamiento."/>
  </r>
  <r>
    <x v="45"/>
    <s v="RS.CO-02"/>
    <s v="Las partes interesadas internas y externas son notificadas de los incidentes"/>
    <s v="RS.CO - Reporte y comunicación del incidente"/>
    <x v="2"/>
    <n v="0.15"/>
    <s v="Apoya la notificación y el escalamiento del evento validado hacia el centro de monitoreo y los responsables definidos."/>
  </r>
  <r>
    <x v="46"/>
    <s v="DE.CM-03"/>
    <s v="La actividad del personal y el uso de la tecnología son monitoreados para hallar eventos adversos"/>
    <s v="DE.CM - Monitoreo continuo"/>
    <x v="1"/>
    <n v="0.4"/>
    <s v="Monitorea la actividad transaccional del cliente en el canal."/>
  </r>
  <r>
    <x v="46"/>
    <s v="DE.AE-02"/>
    <s v="Eventos potencialmente adversos analizados para comprender mejor la actividad asociada"/>
    <s v="DE.AE - Análisis de eventos adversos"/>
    <x v="1"/>
    <n v="0.35"/>
    <s v="Analiza la transacción para determinar si es fraudulenta."/>
  </r>
  <r>
    <x v="46"/>
    <s v="DE.AE-04"/>
    <s v="El impacto y alcance estimados de los eventos adversos son comprendidos"/>
    <s v="DE.AE - Análisis de eventos adversos"/>
    <x v="1"/>
    <n v="0.25"/>
    <s v="Estima el impacto de la operación sospechosa después de que se realizó."/>
  </r>
  <r>
    <x v="47"/>
    <s v="ID.RA-01"/>
    <s v="Vulnerabilidades en activos identificadas, validadas y registradas"/>
    <s v="ID.RA - Evaluación de riesgo"/>
    <x v="0"/>
    <n v="0.45"/>
    <s v="Prueba dinámica: identifica y registra vulnerabilidades en la aplicación en ejecución."/>
  </r>
  <r>
    <x v="47"/>
    <s v="ID.IM-02"/>
    <s v="Mejoras identificadas de pruebas y ejercicios de seguridad, incluidos los coordinados con terceros"/>
    <s v="ID.IM - Mejora"/>
    <x v="0"/>
    <n v="0.15"/>
    <s v="Verificación de la seguridad de aplicaciones antes de promover cambios a producción mediante escaneos DAST."/>
  </r>
  <r>
    <x v="47"/>
    <s v="PR.PS-06"/>
    <s v="Prácticas de desarrollo seguro integradas y su desempeño monitoreado en todo el ciclo de vida del software"/>
    <s v="PR.PS - Seguridad de plataforma"/>
    <x v="3"/>
    <n v="0.4"/>
    <s v="Verificación de la seguridad de aplicaciones antes de promover cambios a producción mediante escaneos DAST."/>
  </r>
  <r>
    <x v="48"/>
    <s v="DE.CM-01"/>
    <s v="Redes y servicios de red monitoreados para hallar eventos potencialmente adversos"/>
    <s v="DE.CM - Monitoreo continuo"/>
    <x v="1"/>
    <n v="0.5"/>
    <s v="Monitoreo continuo de flujos de red interna."/>
  </r>
  <r>
    <x v="48"/>
    <s v="DE.AE-02"/>
    <s v="Eventos potencialmente adversos analizados para comprender mejor la actividad asociada"/>
    <s v="DE.AE - Análisis de eventos adversos"/>
    <x v="1"/>
    <n v="0.25"/>
    <s v="Analiza el flujo anómalo para entender la actividad asociada."/>
  </r>
  <r>
    <x v="48"/>
    <s v="DE.AE-03"/>
    <s v="La información es correlacionada desde múltiples fuentes"/>
    <s v="DE.AE - Análisis de eventos adversos"/>
    <x v="1"/>
    <n v="0.15"/>
    <s v="Correlaciona telemetría de flujo de múltiples segmentos."/>
  </r>
  <r>
    <x v="48"/>
    <s v="RS.AN-03"/>
    <s v="Se realiza análisis para establecer qué ocurrió durante el incidente y su causa raíz"/>
    <s v="RS.AN - Análisis de incidentes"/>
    <x v="2"/>
    <n v="0.1"/>
    <s v="Aporta la trazabilidad de red para el análisis de causa raíz."/>
  </r>
  <r>
    <x v="49"/>
    <s v="ID.RA-01"/>
    <s v="Vulnerabilidades en activos identificadas, validadas y registradas"/>
    <s v="ID.RA - Evaluación de riesgo"/>
    <x v="0"/>
    <n v="0.45"/>
    <s v="Identifica vulnerabilidades y exposiciones presentes en la infraestructura tecnológica."/>
  </r>
  <r>
    <x v="49"/>
    <s v="ID.RA-05"/>
    <s v="Amenazas, vulnerabilidades, probabilidades e impactos usados para entender el riesgo inherente y priorizar la respuesta"/>
    <s v="ID.RA - Evaluación de riesgo"/>
    <x v="0"/>
    <n v="0.2"/>
    <s v="Facilita hardening, remediación y reducción de exposición."/>
  </r>
  <r>
    <x v="49"/>
    <s v="DE.CM-09"/>
    <s v="Hardware y software de cómputo, entornos de ejecución y sus datos monitoreados para hallar eventos adversos"/>
    <s v="DE.CM - Monitoreo continuo"/>
    <x v="1"/>
    <n v="0.2"/>
    <s v="Monitorea continuamente vulnerabilidades y cambios en la postura de seguridad."/>
  </r>
  <r>
    <x v="49"/>
    <s v="ID.AM-01"/>
    <s v="Inventarios de hardware administrado son mantenidos"/>
    <s v="ID.AM - Gestión de activos"/>
    <x v="0"/>
    <n v="0.1"/>
    <s v="Monitorea continuamente vulnerabilidades y cambios en la postura de seguridad."/>
  </r>
  <r>
    <x v="49"/>
    <s v="ID.IM-01"/>
    <s v="Mejoras identificadas a partir de evaluaciones"/>
    <s v="ID.IM - Mejora"/>
    <x v="0"/>
    <n v="0.05"/>
    <s v="Monitorea continuamente vulnerabilidades y cambios en la postura de seguridad."/>
  </r>
  <r>
    <x v="50"/>
    <s v="PR.PS-05"/>
    <s v="Instalación y ejecución de software no autorizado son prevenidas"/>
    <s v="PR.PS - Seguridad de plataforma"/>
    <x v="3"/>
    <n v="0.5"/>
    <s v="Impide la ejecución de software no autorizado en el parque de cajeros automáticos."/>
  </r>
  <r>
    <x v="50"/>
    <s v="PR.PS-01"/>
    <s v="Prácticas de gestión de configuración establecidas y aplicadas"/>
    <s v="PR.PS - Seguridad de plataforma"/>
    <x v="3"/>
    <n v="0.2"/>
    <s v="Aplica y verifica la línea base de configuración del ATM."/>
  </r>
  <r>
    <x v="50"/>
    <s v="DE.CM-09"/>
    <s v="Hardware y software de cómputo, entornos de ejecución y sus datos monitoreados para hallar eventos adversos"/>
    <s v="DE.CM - Monitoreo continuo"/>
    <x v="1"/>
    <n v="0.3"/>
    <s v="Monitorea el entorno de ejecución del AT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9B13D-5B4F-E645-9004-3B4CB228E6D2}"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F56" firstHeaderRow="1" firstDataRow="2" firstDataCol="1"/>
  <pivotFields count="7">
    <pivotField axis="axisRow" showAll="0">
      <items count="53">
        <item x="0"/>
        <item x="1"/>
        <item x="2"/>
        <item x="3"/>
        <item x="4"/>
        <item x="5"/>
        <item x="6"/>
        <item x="7"/>
        <item x="8"/>
        <item x="9"/>
        <item x="10"/>
        <item x="11"/>
        <item x="12"/>
        <item x="13"/>
        <item x="14"/>
        <item x="16"/>
        <item x="17"/>
        <item x="18"/>
        <item x="19"/>
        <item x="15"/>
        <item x="20"/>
        <item x="21"/>
        <item x="22"/>
        <item x="23"/>
        <item x="24"/>
        <item x="25"/>
        <item x="26"/>
        <item x="27"/>
        <item x="28"/>
        <item x="29"/>
        <item x="30"/>
        <item x="31"/>
        <item x="32"/>
        <item x="33"/>
        <item x="34"/>
        <item x="35"/>
        <item x="36"/>
        <item x="37"/>
        <item x="40"/>
        <item x="41"/>
        <item x="42"/>
        <item x="43"/>
        <item x="38"/>
        <item x="39"/>
        <item x="44"/>
        <item x="45"/>
        <item x="46"/>
        <item x="47"/>
        <item x="48"/>
        <item x="49"/>
        <item x="50"/>
        <item m="1" x="51"/>
        <item t="default"/>
      </items>
    </pivotField>
    <pivotField showAll="0"/>
    <pivotField showAll="0"/>
    <pivotField showAll="0"/>
    <pivotField axis="axisCol" showAll="0">
      <items count="5">
        <item x="1"/>
        <item x="0"/>
        <item x="3"/>
        <item x="2"/>
        <item t="default"/>
      </items>
    </pivotField>
    <pivotField dataField="1" numFmtId="9"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4"/>
  </colFields>
  <colItems count="5">
    <i>
      <x/>
    </i>
    <i>
      <x v="1"/>
    </i>
    <i>
      <x v="2"/>
    </i>
    <i>
      <x v="3"/>
    </i>
    <i t="grand">
      <x/>
    </i>
  </colItems>
  <dataFields count="1">
    <dataField name="Suma de %" fld="5"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0858B-A255-5341-A0BA-CAF18B5EF79A}"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3:W57" firstHeaderRow="1" firstDataRow="2" firstDataCol="1"/>
  <pivotFields count="5">
    <pivotField axis="axisRow" showAll="0">
      <items count="53">
        <item x="0"/>
        <item x="1"/>
        <item x="2"/>
        <item x="3"/>
        <item x="4"/>
        <item x="5"/>
        <item x="6"/>
        <item x="7"/>
        <item x="8"/>
        <item x="9"/>
        <item x="10"/>
        <item x="11"/>
        <item x="12"/>
        <item x="13"/>
        <item x="14"/>
        <item x="16"/>
        <item x="17"/>
        <item x="18"/>
        <item x="19"/>
        <item x="15"/>
        <item x="20"/>
        <item x="21"/>
        <item x="22"/>
        <item x="23"/>
        <item x="24"/>
        <item x="25"/>
        <item x="26"/>
        <item x="27"/>
        <item x="28"/>
        <item x="29"/>
        <item x="30"/>
        <item x="31"/>
        <item x="32"/>
        <item x="33"/>
        <item x="34"/>
        <item x="35"/>
        <item x="36"/>
        <item x="37"/>
        <item x="40"/>
        <item x="41"/>
        <item x="42"/>
        <item x="43"/>
        <item x="38"/>
        <item x="39"/>
        <item x="44"/>
        <item x="45"/>
        <item x="46"/>
        <item x="47"/>
        <item x="48"/>
        <item x="49"/>
        <item x="50"/>
        <item x="51"/>
        <item t="default"/>
      </items>
    </pivotField>
    <pivotField axis="axisCol" showAll="0">
      <items count="16">
        <item x="0"/>
        <item x="12"/>
        <item x="9"/>
        <item x="6"/>
        <item x="4"/>
        <item x="11"/>
        <item x="7"/>
        <item x="10"/>
        <item x="2"/>
        <item x="8"/>
        <item x="3"/>
        <item m="1" x="14"/>
        <item x="5"/>
        <item x="1"/>
        <item x="13"/>
        <item t="default"/>
      </items>
    </pivotField>
    <pivotField showAll="0"/>
    <pivotField dataField="1" showAll="0"/>
    <pivotField showAll="0"/>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1"/>
  </colFields>
  <colItems count="15">
    <i>
      <x/>
    </i>
    <i>
      <x v="1"/>
    </i>
    <i>
      <x v="2"/>
    </i>
    <i>
      <x v="3"/>
    </i>
    <i>
      <x v="4"/>
    </i>
    <i>
      <x v="5"/>
    </i>
    <i>
      <x v="6"/>
    </i>
    <i>
      <x v="7"/>
    </i>
    <i>
      <x v="8"/>
    </i>
    <i>
      <x v="9"/>
    </i>
    <i>
      <x v="10"/>
    </i>
    <i>
      <x v="12"/>
    </i>
    <i>
      <x v="13"/>
    </i>
    <i>
      <x v="14"/>
    </i>
    <i t="grand">
      <x/>
    </i>
  </colItems>
  <dataFields count="1">
    <dataField name="Suma de %"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E103"/>
  <sheetViews>
    <sheetView workbookViewId="0">
      <pane ySplit="1" topLeftCell="A85" activePane="bottomLeft" state="frozen"/>
      <selection activeCell="D221" sqref="D221"/>
      <selection pane="bottomLeft" activeCell="A104" sqref="A104:XFD104"/>
    </sheetView>
  </sheetViews>
  <sheetFormatPr baseColWidth="10" defaultColWidth="8.83203125" defaultRowHeight="15" x14ac:dyDescent="0.2"/>
  <cols>
    <col min="1" max="1" width="33.6640625" customWidth="1"/>
    <col min="2" max="2" width="36" customWidth="1"/>
    <col min="3" max="3" width="14" customWidth="1"/>
    <col min="4" max="4" width="10.33203125" customWidth="1"/>
    <col min="5" max="5" width="118.6640625" customWidth="1"/>
  </cols>
  <sheetData>
    <row r="1" spans="1:5" ht="28" customHeight="1" x14ac:dyDescent="0.2">
      <c r="A1" s="4" t="s">
        <v>0</v>
      </c>
      <c r="B1" s="4" t="s">
        <v>1</v>
      </c>
      <c r="C1" s="4" t="s">
        <v>2</v>
      </c>
      <c r="D1" s="4" t="s">
        <v>3</v>
      </c>
      <c r="E1" s="4" t="s">
        <v>4</v>
      </c>
    </row>
    <row r="2" spans="1:5" x14ac:dyDescent="0.2">
      <c r="A2" s="11" t="s">
        <v>5</v>
      </c>
      <c r="B2" s="12" t="s">
        <v>6</v>
      </c>
      <c r="C2" s="13" t="s">
        <v>7</v>
      </c>
      <c r="D2" s="14">
        <v>0.65</v>
      </c>
      <c r="E2" s="12" t="s">
        <v>350</v>
      </c>
    </row>
    <row r="3" spans="1:5" x14ac:dyDescent="0.2">
      <c r="A3" s="11" t="s">
        <v>5</v>
      </c>
      <c r="B3" s="12" t="s">
        <v>8</v>
      </c>
      <c r="C3" s="13" t="s">
        <v>9</v>
      </c>
      <c r="D3" s="14">
        <v>0.35</v>
      </c>
      <c r="E3" s="12" t="s">
        <v>10</v>
      </c>
    </row>
    <row r="4" spans="1:5" x14ac:dyDescent="0.2">
      <c r="A4" s="11" t="s">
        <v>11</v>
      </c>
      <c r="B4" s="12" t="s">
        <v>12</v>
      </c>
      <c r="C4" s="13" t="s">
        <v>36</v>
      </c>
      <c r="D4" s="14">
        <v>0.2</v>
      </c>
      <c r="E4" s="12" t="s">
        <v>13</v>
      </c>
    </row>
    <row r="5" spans="1:5" x14ac:dyDescent="0.2">
      <c r="A5" s="11" t="s">
        <v>11</v>
      </c>
      <c r="B5" s="12" t="s">
        <v>14</v>
      </c>
      <c r="C5" s="13" t="s">
        <v>7</v>
      </c>
      <c r="D5" s="14">
        <v>0.5</v>
      </c>
      <c r="E5" s="12" t="s">
        <v>15</v>
      </c>
    </row>
    <row r="6" spans="1:5" x14ac:dyDescent="0.2">
      <c r="A6" s="11" t="s">
        <v>11</v>
      </c>
      <c r="B6" s="12" t="s">
        <v>39</v>
      </c>
      <c r="C6" s="13" t="s">
        <v>9</v>
      </c>
      <c r="D6" s="14">
        <v>0.3</v>
      </c>
      <c r="E6" s="12" t="s">
        <v>341</v>
      </c>
    </row>
    <row r="7" spans="1:5" x14ac:dyDescent="0.2">
      <c r="A7" s="11" t="s">
        <v>16</v>
      </c>
      <c r="B7" s="12" t="s">
        <v>17</v>
      </c>
      <c r="C7" s="13" t="s">
        <v>7</v>
      </c>
      <c r="D7" s="14">
        <v>0.85</v>
      </c>
      <c r="E7" s="12" t="s">
        <v>19</v>
      </c>
    </row>
    <row r="8" spans="1:5" x14ac:dyDescent="0.2">
      <c r="A8" s="17" t="s">
        <v>16</v>
      </c>
      <c r="B8" s="18" t="s">
        <v>39</v>
      </c>
      <c r="C8" s="19" t="s">
        <v>9</v>
      </c>
      <c r="D8" s="20">
        <v>0.15</v>
      </c>
      <c r="E8" s="18" t="s">
        <v>352</v>
      </c>
    </row>
    <row r="9" spans="1:5" x14ac:dyDescent="0.2">
      <c r="A9" s="11" t="s">
        <v>20</v>
      </c>
      <c r="B9" s="12" t="s">
        <v>12</v>
      </c>
      <c r="C9" s="13" t="s">
        <v>7</v>
      </c>
      <c r="D9" s="14">
        <v>0.8</v>
      </c>
      <c r="E9" s="12" t="s">
        <v>21</v>
      </c>
    </row>
    <row r="10" spans="1:5" x14ac:dyDescent="0.2">
      <c r="A10" s="11" t="s">
        <v>20</v>
      </c>
      <c r="B10" s="12" t="s">
        <v>39</v>
      </c>
      <c r="C10" s="13" t="s">
        <v>9</v>
      </c>
      <c r="D10" s="14">
        <v>0.2</v>
      </c>
      <c r="E10" s="12" t="s">
        <v>328</v>
      </c>
    </row>
    <row r="11" spans="1:5" x14ac:dyDescent="0.2">
      <c r="A11" s="11" t="s">
        <v>22</v>
      </c>
      <c r="B11" s="12" t="s">
        <v>23</v>
      </c>
      <c r="C11" s="13" t="s">
        <v>7</v>
      </c>
      <c r="D11" s="14">
        <v>0.6</v>
      </c>
      <c r="E11" s="12" t="s">
        <v>24</v>
      </c>
    </row>
    <row r="12" spans="1:5" x14ac:dyDescent="0.2">
      <c r="A12" s="11" t="s">
        <v>22</v>
      </c>
      <c r="B12" s="12" t="s">
        <v>6</v>
      </c>
      <c r="C12" s="13" t="s">
        <v>9</v>
      </c>
      <c r="D12" s="14">
        <v>0.4</v>
      </c>
      <c r="E12" s="12" t="s">
        <v>327</v>
      </c>
    </row>
    <row r="13" spans="1:5" x14ac:dyDescent="0.2">
      <c r="A13" s="11" t="s">
        <v>25</v>
      </c>
      <c r="B13" s="12" t="s">
        <v>6</v>
      </c>
      <c r="C13" s="13" t="s">
        <v>7</v>
      </c>
      <c r="D13" s="14">
        <v>0.85</v>
      </c>
      <c r="E13" s="12" t="s">
        <v>371</v>
      </c>
    </row>
    <row r="14" spans="1:5" x14ac:dyDescent="0.2">
      <c r="A14" s="11" t="s">
        <v>25</v>
      </c>
      <c r="B14" s="12" t="s">
        <v>26</v>
      </c>
      <c r="C14" s="13" t="s">
        <v>9</v>
      </c>
      <c r="D14" s="14">
        <v>0.15</v>
      </c>
      <c r="E14" s="12" t="s">
        <v>27</v>
      </c>
    </row>
    <row r="15" spans="1:5" x14ac:dyDescent="0.2">
      <c r="A15" s="11" t="s">
        <v>28</v>
      </c>
      <c r="B15" s="12" t="s">
        <v>23</v>
      </c>
      <c r="C15" s="13" t="s">
        <v>7</v>
      </c>
      <c r="D15" s="14">
        <v>0.5</v>
      </c>
      <c r="E15" s="12" t="s">
        <v>29</v>
      </c>
    </row>
    <row r="16" spans="1:5" x14ac:dyDescent="0.2">
      <c r="A16" s="11" t="s">
        <v>28</v>
      </c>
      <c r="B16" s="12" t="s">
        <v>33</v>
      </c>
      <c r="C16" s="16" t="s">
        <v>9</v>
      </c>
      <c r="D16" s="14">
        <v>0.2</v>
      </c>
      <c r="E16" s="16" t="s">
        <v>336</v>
      </c>
    </row>
    <row r="17" spans="1:5" x14ac:dyDescent="0.2">
      <c r="A17" s="11" t="s">
        <v>28</v>
      </c>
      <c r="B17" s="12" t="s">
        <v>23</v>
      </c>
      <c r="C17" s="13" t="s">
        <v>36</v>
      </c>
      <c r="D17" s="14">
        <v>0.2</v>
      </c>
      <c r="E17" s="12" t="s">
        <v>330</v>
      </c>
    </row>
    <row r="18" spans="1:5" x14ac:dyDescent="0.2">
      <c r="A18" s="11" t="s">
        <v>28</v>
      </c>
      <c r="B18" s="12" t="s">
        <v>8</v>
      </c>
      <c r="C18" s="13" t="s">
        <v>36</v>
      </c>
      <c r="D18" s="14">
        <v>0.1</v>
      </c>
      <c r="E18" s="12" t="s">
        <v>342</v>
      </c>
    </row>
    <row r="19" spans="1:5" x14ac:dyDescent="0.2">
      <c r="A19" s="5" t="s">
        <v>30</v>
      </c>
      <c r="B19" s="6" t="s">
        <v>31</v>
      </c>
      <c r="C19" s="7" t="s">
        <v>7</v>
      </c>
      <c r="D19" s="8">
        <v>0.4</v>
      </c>
      <c r="E19" s="6" t="s">
        <v>32</v>
      </c>
    </row>
    <row r="20" spans="1:5" x14ac:dyDescent="0.2">
      <c r="A20" s="5" t="s">
        <v>30</v>
      </c>
      <c r="B20" s="6" t="s">
        <v>33</v>
      </c>
      <c r="C20" s="9" t="s">
        <v>9</v>
      </c>
      <c r="D20" s="8">
        <v>0.2</v>
      </c>
      <c r="E20" s="6" t="s">
        <v>34</v>
      </c>
    </row>
    <row r="21" spans="1:5" x14ac:dyDescent="0.2">
      <c r="A21" s="5" t="s">
        <v>30</v>
      </c>
      <c r="B21" s="6" t="s">
        <v>35</v>
      </c>
      <c r="C21" s="9" t="s">
        <v>36</v>
      </c>
      <c r="D21" s="8">
        <v>0.4</v>
      </c>
      <c r="E21" s="6" t="s">
        <v>37</v>
      </c>
    </row>
    <row r="22" spans="1:5" x14ac:dyDescent="0.2">
      <c r="A22" s="11" t="s">
        <v>38</v>
      </c>
      <c r="B22" s="12" t="s">
        <v>39</v>
      </c>
      <c r="C22" s="13" t="s">
        <v>18</v>
      </c>
      <c r="D22" s="14">
        <v>1</v>
      </c>
      <c r="E22" s="12" t="s">
        <v>40</v>
      </c>
    </row>
    <row r="23" spans="1:5" x14ac:dyDescent="0.2">
      <c r="A23" s="11" t="s">
        <v>41</v>
      </c>
      <c r="B23" s="12" t="s">
        <v>17</v>
      </c>
      <c r="C23" s="13" t="s">
        <v>7</v>
      </c>
      <c r="D23" s="14">
        <v>0.75</v>
      </c>
      <c r="E23" s="12" t="s">
        <v>42</v>
      </c>
    </row>
    <row r="24" spans="1:5" x14ac:dyDescent="0.2">
      <c r="A24" s="11" t="s">
        <v>41</v>
      </c>
      <c r="B24" s="12" t="s">
        <v>39</v>
      </c>
      <c r="C24" s="13" t="s">
        <v>9</v>
      </c>
      <c r="D24" s="14">
        <v>0.25</v>
      </c>
      <c r="E24" s="12" t="s">
        <v>339</v>
      </c>
    </row>
    <row r="25" spans="1:5" x14ac:dyDescent="0.2">
      <c r="A25" s="11" t="s">
        <v>43</v>
      </c>
      <c r="B25" s="12" t="s">
        <v>17</v>
      </c>
      <c r="C25" s="13" t="s">
        <v>7</v>
      </c>
      <c r="D25" s="14">
        <v>0.6</v>
      </c>
      <c r="E25" s="12" t="s">
        <v>359</v>
      </c>
    </row>
    <row r="26" spans="1:5" x14ac:dyDescent="0.2">
      <c r="A26" s="11" t="s">
        <v>43</v>
      </c>
      <c r="B26" s="12" t="s">
        <v>26</v>
      </c>
      <c r="C26" s="13" t="s">
        <v>9</v>
      </c>
      <c r="D26" s="14">
        <v>0.4</v>
      </c>
      <c r="E26" s="12" t="s">
        <v>373</v>
      </c>
    </row>
    <row r="27" spans="1:5" x14ac:dyDescent="0.2">
      <c r="A27" s="11" t="s">
        <v>44</v>
      </c>
      <c r="B27" s="12" t="s">
        <v>39</v>
      </c>
      <c r="C27" s="13" t="s">
        <v>18</v>
      </c>
      <c r="D27" s="14">
        <v>1</v>
      </c>
      <c r="E27" s="12" t="s">
        <v>331</v>
      </c>
    </row>
    <row r="28" spans="1:5" x14ac:dyDescent="0.2">
      <c r="A28" s="5" t="s">
        <v>45</v>
      </c>
      <c r="B28" s="6" t="s">
        <v>33</v>
      </c>
      <c r="C28" s="7" t="s">
        <v>7</v>
      </c>
      <c r="D28" s="8">
        <v>0.55000000000000004</v>
      </c>
      <c r="E28" s="6" t="s">
        <v>46</v>
      </c>
    </row>
    <row r="29" spans="1:5" x14ac:dyDescent="0.2">
      <c r="A29" s="5" t="s">
        <v>45</v>
      </c>
      <c r="B29" s="6" t="s">
        <v>8</v>
      </c>
      <c r="C29" s="9" t="s">
        <v>9</v>
      </c>
      <c r="D29" s="8">
        <v>0.3</v>
      </c>
      <c r="E29" s="6" t="s">
        <v>47</v>
      </c>
    </row>
    <row r="30" spans="1:5" x14ac:dyDescent="0.2">
      <c r="A30" s="5" t="s">
        <v>45</v>
      </c>
      <c r="B30" s="6" t="s">
        <v>14</v>
      </c>
      <c r="C30" s="9" t="s">
        <v>36</v>
      </c>
      <c r="D30" s="8">
        <v>0.15</v>
      </c>
      <c r="E30" s="6" t="s">
        <v>48</v>
      </c>
    </row>
    <row r="31" spans="1:5" x14ac:dyDescent="0.2">
      <c r="A31" s="11" t="s">
        <v>49</v>
      </c>
      <c r="B31" s="12" t="s">
        <v>50</v>
      </c>
      <c r="C31" s="13" t="s">
        <v>7</v>
      </c>
      <c r="D31" s="14">
        <v>0.55000000000000004</v>
      </c>
      <c r="E31" s="12" t="s">
        <v>334</v>
      </c>
    </row>
    <row r="32" spans="1:5" x14ac:dyDescent="0.2">
      <c r="A32" s="11" t="s">
        <v>49</v>
      </c>
      <c r="B32" s="12" t="s">
        <v>39</v>
      </c>
      <c r="C32" s="13" t="s">
        <v>9</v>
      </c>
      <c r="D32" s="14">
        <v>0.3</v>
      </c>
      <c r="E32" s="12" t="s">
        <v>51</v>
      </c>
    </row>
    <row r="33" spans="1:5" x14ac:dyDescent="0.2">
      <c r="A33" s="11" t="s">
        <v>49</v>
      </c>
      <c r="B33" s="12" t="s">
        <v>8</v>
      </c>
      <c r="C33" s="13" t="s">
        <v>36</v>
      </c>
      <c r="D33" s="14">
        <v>0.1</v>
      </c>
      <c r="E33" s="12" t="s">
        <v>52</v>
      </c>
    </row>
    <row r="34" spans="1:5" x14ac:dyDescent="0.2">
      <c r="A34" s="11" t="s">
        <v>49</v>
      </c>
      <c r="B34" s="12" t="s">
        <v>26</v>
      </c>
      <c r="C34" s="13" t="s">
        <v>36</v>
      </c>
      <c r="D34" s="14">
        <v>0.05</v>
      </c>
      <c r="E34" s="12" t="s">
        <v>353</v>
      </c>
    </row>
    <row r="35" spans="1:5" x14ac:dyDescent="0.2">
      <c r="A35" s="11" t="s">
        <v>53</v>
      </c>
      <c r="B35" s="12" t="s">
        <v>26</v>
      </c>
      <c r="C35" s="13" t="s">
        <v>7</v>
      </c>
      <c r="D35" s="14">
        <v>0.85</v>
      </c>
      <c r="E35" s="12" t="s">
        <v>343</v>
      </c>
    </row>
    <row r="36" spans="1:5" x14ac:dyDescent="0.2">
      <c r="A36" s="11" t="s">
        <v>53</v>
      </c>
      <c r="B36" s="12" t="s">
        <v>39</v>
      </c>
      <c r="C36" s="13" t="s">
        <v>9</v>
      </c>
      <c r="D36" s="14">
        <v>0.15</v>
      </c>
      <c r="E36" s="12" t="s">
        <v>54</v>
      </c>
    </row>
    <row r="37" spans="1:5" x14ac:dyDescent="0.2">
      <c r="A37" s="11" t="s">
        <v>55</v>
      </c>
      <c r="B37" s="12" t="s">
        <v>17</v>
      </c>
      <c r="C37" s="13" t="s">
        <v>7</v>
      </c>
      <c r="D37" s="14">
        <v>0.75</v>
      </c>
      <c r="E37" s="12" t="s">
        <v>56</v>
      </c>
    </row>
    <row r="38" spans="1:5" x14ac:dyDescent="0.2">
      <c r="A38" s="11" t="s">
        <v>55</v>
      </c>
      <c r="B38" s="12" t="s">
        <v>39</v>
      </c>
      <c r="C38" s="13" t="s">
        <v>9</v>
      </c>
      <c r="D38" s="14">
        <v>0.25</v>
      </c>
      <c r="E38" s="12" t="s">
        <v>335</v>
      </c>
    </row>
    <row r="39" spans="1:5" x14ac:dyDescent="0.2">
      <c r="A39" s="11" t="s">
        <v>57</v>
      </c>
      <c r="B39" s="12" t="s">
        <v>39</v>
      </c>
      <c r="C39" s="13" t="s">
        <v>7</v>
      </c>
      <c r="D39" s="14">
        <v>0.75</v>
      </c>
      <c r="E39" s="12" t="s">
        <v>363</v>
      </c>
    </row>
    <row r="40" spans="1:5" x14ac:dyDescent="0.2">
      <c r="A40" s="11" t="s">
        <v>57</v>
      </c>
      <c r="B40" s="12" t="s">
        <v>12</v>
      </c>
      <c r="C40" s="13" t="s">
        <v>9</v>
      </c>
      <c r="D40" s="14">
        <v>0.25</v>
      </c>
      <c r="E40" s="12" t="s">
        <v>329</v>
      </c>
    </row>
    <row r="41" spans="1:5" x14ac:dyDescent="0.2">
      <c r="A41" s="11" t="s">
        <v>58</v>
      </c>
      <c r="B41" s="12" t="s">
        <v>17</v>
      </c>
      <c r="C41" s="13" t="s">
        <v>7</v>
      </c>
      <c r="D41" s="14">
        <v>0.8</v>
      </c>
      <c r="E41" s="12" t="s">
        <v>59</v>
      </c>
    </row>
    <row r="42" spans="1:5" x14ac:dyDescent="0.2">
      <c r="A42" s="11" t="s">
        <v>58</v>
      </c>
      <c r="B42" s="12" t="s">
        <v>26</v>
      </c>
      <c r="C42" s="13" t="s">
        <v>9</v>
      </c>
      <c r="D42" s="14">
        <v>0.2</v>
      </c>
      <c r="E42" s="12" t="s">
        <v>356</v>
      </c>
    </row>
    <row r="43" spans="1:5" x14ac:dyDescent="0.2">
      <c r="A43" s="11" t="s">
        <v>60</v>
      </c>
      <c r="B43" s="12" t="s">
        <v>50</v>
      </c>
      <c r="C43" s="13" t="s">
        <v>7</v>
      </c>
      <c r="D43" s="14">
        <v>0.5</v>
      </c>
      <c r="E43" s="12" t="s">
        <v>61</v>
      </c>
    </row>
    <row r="44" spans="1:5" x14ac:dyDescent="0.2">
      <c r="A44" s="11" t="s">
        <v>60</v>
      </c>
      <c r="B44" s="12" t="s">
        <v>12</v>
      </c>
      <c r="C44" s="13" t="s">
        <v>9</v>
      </c>
      <c r="D44" s="14">
        <v>0.25</v>
      </c>
      <c r="E44" s="12" t="s">
        <v>62</v>
      </c>
    </row>
    <row r="45" spans="1:5" x14ac:dyDescent="0.2">
      <c r="A45" s="11" t="s">
        <v>60</v>
      </c>
      <c r="B45" s="12" t="s">
        <v>8</v>
      </c>
      <c r="C45" s="13" t="s">
        <v>36</v>
      </c>
      <c r="D45" s="14">
        <v>0.25</v>
      </c>
      <c r="E45" s="12" t="s">
        <v>63</v>
      </c>
    </row>
    <row r="46" spans="1:5" x14ac:dyDescent="0.2">
      <c r="A46" s="11" t="s">
        <v>64</v>
      </c>
      <c r="B46" s="12" t="s">
        <v>26</v>
      </c>
      <c r="C46" s="13" t="s">
        <v>18</v>
      </c>
      <c r="D46" s="14">
        <v>1</v>
      </c>
      <c r="E46" s="12" t="s">
        <v>358</v>
      </c>
    </row>
    <row r="47" spans="1:5" x14ac:dyDescent="0.2">
      <c r="A47" s="11" t="s">
        <v>65</v>
      </c>
      <c r="B47" s="12" t="s">
        <v>17</v>
      </c>
      <c r="C47" s="13" t="s">
        <v>7</v>
      </c>
      <c r="D47" s="14">
        <v>0.6</v>
      </c>
      <c r="E47" s="12" t="s">
        <v>340</v>
      </c>
    </row>
    <row r="48" spans="1:5" x14ac:dyDescent="0.2">
      <c r="A48" s="11" t="s">
        <v>65</v>
      </c>
      <c r="B48" s="12" t="s">
        <v>26</v>
      </c>
      <c r="C48" s="13" t="s">
        <v>9</v>
      </c>
      <c r="D48" s="14">
        <v>0.3</v>
      </c>
      <c r="E48" s="12" t="s">
        <v>337</v>
      </c>
    </row>
    <row r="49" spans="1:5" x14ac:dyDescent="0.2">
      <c r="A49" s="11" t="s">
        <v>65</v>
      </c>
      <c r="B49" s="12" t="s">
        <v>39</v>
      </c>
      <c r="C49" s="13" t="s">
        <v>36</v>
      </c>
      <c r="D49" s="14">
        <v>0.1</v>
      </c>
      <c r="E49" s="12" t="s">
        <v>346</v>
      </c>
    </row>
    <row r="50" spans="1:5" x14ac:dyDescent="0.2">
      <c r="A50" s="11" t="s">
        <v>66</v>
      </c>
      <c r="B50" s="12" t="s">
        <v>23</v>
      </c>
      <c r="C50" s="13" t="s">
        <v>7</v>
      </c>
      <c r="D50" s="14">
        <v>0.7</v>
      </c>
      <c r="E50" s="12" t="s">
        <v>67</v>
      </c>
    </row>
    <row r="51" spans="1:5" x14ac:dyDescent="0.2">
      <c r="A51" s="11" t="s">
        <v>66</v>
      </c>
      <c r="B51" s="12" t="s">
        <v>26</v>
      </c>
      <c r="C51" s="13" t="s">
        <v>9</v>
      </c>
      <c r="D51" s="14">
        <v>0.3</v>
      </c>
      <c r="E51" s="12" t="s">
        <v>68</v>
      </c>
    </row>
    <row r="52" spans="1:5" x14ac:dyDescent="0.2">
      <c r="A52" s="11" t="s">
        <v>69</v>
      </c>
      <c r="B52" s="12" t="s">
        <v>6</v>
      </c>
      <c r="C52" s="13" t="s">
        <v>7</v>
      </c>
      <c r="D52" s="14">
        <v>0.6</v>
      </c>
      <c r="E52" s="12" t="s">
        <v>375</v>
      </c>
    </row>
    <row r="53" spans="1:5" x14ac:dyDescent="0.2">
      <c r="A53" s="11" t="s">
        <v>69</v>
      </c>
      <c r="B53" s="12" t="s">
        <v>26</v>
      </c>
      <c r="C53" s="13" t="s">
        <v>9</v>
      </c>
      <c r="D53" s="14">
        <v>0.4</v>
      </c>
      <c r="E53" s="12" t="s">
        <v>380</v>
      </c>
    </row>
    <row r="54" spans="1:5" x14ac:dyDescent="0.2">
      <c r="A54" s="11" t="s">
        <v>70</v>
      </c>
      <c r="B54" s="12" t="s">
        <v>12</v>
      </c>
      <c r="C54" s="13" t="s">
        <v>7</v>
      </c>
      <c r="D54" s="14">
        <v>1</v>
      </c>
      <c r="E54" s="12" t="s">
        <v>354</v>
      </c>
    </row>
    <row r="55" spans="1:5" x14ac:dyDescent="0.2">
      <c r="A55" s="11" t="s">
        <v>71</v>
      </c>
      <c r="B55" s="12" t="s">
        <v>35</v>
      </c>
      <c r="C55" s="13" t="s">
        <v>7</v>
      </c>
      <c r="D55" s="14">
        <v>0.75</v>
      </c>
      <c r="E55" s="12" t="s">
        <v>333</v>
      </c>
    </row>
    <row r="56" spans="1:5" x14ac:dyDescent="0.2">
      <c r="A56" s="11" t="s">
        <v>71</v>
      </c>
      <c r="B56" s="12" t="s">
        <v>50</v>
      </c>
      <c r="C56" s="13" t="s">
        <v>9</v>
      </c>
      <c r="D56" s="14">
        <v>0.25</v>
      </c>
      <c r="E56" s="12" t="s">
        <v>338</v>
      </c>
    </row>
    <row r="57" spans="1:5" x14ac:dyDescent="0.2">
      <c r="A57" s="11" t="s">
        <v>72</v>
      </c>
      <c r="B57" s="12" t="s">
        <v>26</v>
      </c>
      <c r="C57" s="13" t="s">
        <v>18</v>
      </c>
      <c r="D57" s="14">
        <v>1</v>
      </c>
      <c r="E57" s="12" t="s">
        <v>73</v>
      </c>
    </row>
    <row r="58" spans="1:5" x14ac:dyDescent="0.2">
      <c r="A58" s="11" t="s">
        <v>74</v>
      </c>
      <c r="B58" s="12" t="s">
        <v>12</v>
      </c>
      <c r="C58" s="13" t="s">
        <v>7</v>
      </c>
      <c r="D58" s="14">
        <v>0.6</v>
      </c>
      <c r="E58" s="12" t="s">
        <v>75</v>
      </c>
    </row>
    <row r="59" spans="1:5" x14ac:dyDescent="0.2">
      <c r="A59" s="11" t="s">
        <v>74</v>
      </c>
      <c r="B59" s="12" t="s">
        <v>39</v>
      </c>
      <c r="C59" s="13" t="s">
        <v>9</v>
      </c>
      <c r="D59" s="14">
        <v>0.4</v>
      </c>
      <c r="E59" s="12" t="s">
        <v>76</v>
      </c>
    </row>
    <row r="60" spans="1:5" x14ac:dyDescent="0.2">
      <c r="A60" s="11" t="s">
        <v>77</v>
      </c>
      <c r="B60" s="12" t="s">
        <v>12</v>
      </c>
      <c r="C60" s="13" t="s">
        <v>7</v>
      </c>
      <c r="D60" s="14">
        <v>0.55000000000000004</v>
      </c>
      <c r="E60" s="12" t="s">
        <v>78</v>
      </c>
    </row>
    <row r="61" spans="1:5" x14ac:dyDescent="0.2">
      <c r="A61" s="11" t="s">
        <v>77</v>
      </c>
      <c r="B61" s="12" t="s">
        <v>26</v>
      </c>
      <c r="C61" s="13" t="s">
        <v>9</v>
      </c>
      <c r="D61" s="14">
        <v>0.45</v>
      </c>
      <c r="E61" s="12" t="s">
        <v>79</v>
      </c>
    </row>
    <row r="62" spans="1:5" x14ac:dyDescent="0.2">
      <c r="A62" s="11" t="s">
        <v>80</v>
      </c>
      <c r="B62" s="12" t="s">
        <v>26</v>
      </c>
      <c r="C62" s="13" t="s">
        <v>18</v>
      </c>
      <c r="D62" s="14">
        <v>1</v>
      </c>
      <c r="E62" s="12" t="s">
        <v>81</v>
      </c>
    </row>
    <row r="63" spans="1:5" x14ac:dyDescent="0.2">
      <c r="A63" s="11" t="s">
        <v>82</v>
      </c>
      <c r="B63" s="12" t="s">
        <v>83</v>
      </c>
      <c r="C63" s="13" t="s">
        <v>18</v>
      </c>
      <c r="D63" s="14">
        <v>1</v>
      </c>
      <c r="E63" s="12" t="s">
        <v>84</v>
      </c>
    </row>
    <row r="64" spans="1:5" x14ac:dyDescent="0.2">
      <c r="A64" s="11" t="s">
        <v>85</v>
      </c>
      <c r="B64" s="12" t="s">
        <v>35</v>
      </c>
      <c r="C64" s="13" t="s">
        <v>18</v>
      </c>
      <c r="D64" s="14">
        <v>1</v>
      </c>
      <c r="E64" s="12" t="s">
        <v>332</v>
      </c>
    </row>
    <row r="65" spans="1:5" x14ac:dyDescent="0.2">
      <c r="A65" s="11" t="s">
        <v>86</v>
      </c>
      <c r="B65" s="12" t="s">
        <v>50</v>
      </c>
      <c r="C65" s="13" t="s">
        <v>7</v>
      </c>
      <c r="D65" s="14">
        <v>0.5</v>
      </c>
      <c r="E65" s="12" t="s">
        <v>355</v>
      </c>
    </row>
    <row r="66" spans="1:5" x14ac:dyDescent="0.2">
      <c r="A66" s="11" t="s">
        <v>86</v>
      </c>
      <c r="B66" s="12" t="s">
        <v>35</v>
      </c>
      <c r="C66" s="13" t="s">
        <v>9</v>
      </c>
      <c r="D66" s="14">
        <v>0.35</v>
      </c>
      <c r="E66" s="12" t="s">
        <v>361</v>
      </c>
    </row>
    <row r="67" spans="1:5" x14ac:dyDescent="0.2">
      <c r="A67" s="11" t="s">
        <v>86</v>
      </c>
      <c r="B67" s="12" t="s">
        <v>26</v>
      </c>
      <c r="C67" s="13" t="s">
        <v>36</v>
      </c>
      <c r="D67" s="14">
        <v>0.15</v>
      </c>
      <c r="E67" s="12" t="s">
        <v>87</v>
      </c>
    </row>
    <row r="68" spans="1:5" ht="30" x14ac:dyDescent="0.2">
      <c r="A68" s="11" t="s">
        <v>88</v>
      </c>
      <c r="B68" s="12" t="s">
        <v>31</v>
      </c>
      <c r="C68" s="13" t="s">
        <v>7</v>
      </c>
      <c r="D68" s="14">
        <v>0.65</v>
      </c>
      <c r="E68" s="12" t="s">
        <v>89</v>
      </c>
    </row>
    <row r="69" spans="1:5" ht="30" x14ac:dyDescent="0.2">
      <c r="A69" s="11" t="s">
        <v>88</v>
      </c>
      <c r="B69" s="12" t="s">
        <v>35</v>
      </c>
      <c r="C69" s="13" t="s">
        <v>9</v>
      </c>
      <c r="D69" s="14">
        <v>0.2</v>
      </c>
      <c r="E69" s="12" t="s">
        <v>90</v>
      </c>
    </row>
    <row r="70" spans="1:5" ht="30" x14ac:dyDescent="0.2">
      <c r="A70" s="11" t="s">
        <v>88</v>
      </c>
      <c r="B70" s="12" t="s">
        <v>39</v>
      </c>
      <c r="C70" s="13" t="s">
        <v>36</v>
      </c>
      <c r="D70" s="14">
        <v>0.15</v>
      </c>
      <c r="E70" s="12" t="s">
        <v>91</v>
      </c>
    </row>
    <row r="71" spans="1:5" x14ac:dyDescent="0.2">
      <c r="A71" s="11" t="s">
        <v>92</v>
      </c>
      <c r="B71" s="12" t="s">
        <v>31</v>
      </c>
      <c r="C71" s="13" t="s">
        <v>7</v>
      </c>
      <c r="D71" s="14">
        <v>0.5</v>
      </c>
      <c r="E71" s="12" t="s">
        <v>93</v>
      </c>
    </row>
    <row r="72" spans="1:5" x14ac:dyDescent="0.2">
      <c r="A72" s="11" t="s">
        <v>92</v>
      </c>
      <c r="B72" s="12" t="s">
        <v>35</v>
      </c>
      <c r="C72" s="13" t="s">
        <v>9</v>
      </c>
      <c r="D72" s="14">
        <v>0.3</v>
      </c>
      <c r="E72" s="12" t="s">
        <v>94</v>
      </c>
    </row>
    <row r="73" spans="1:5" x14ac:dyDescent="0.2">
      <c r="A73" s="11" t="s">
        <v>92</v>
      </c>
      <c r="B73" s="12" t="s">
        <v>33</v>
      </c>
      <c r="C73" s="13" t="s">
        <v>36</v>
      </c>
      <c r="D73" s="14">
        <v>0.2</v>
      </c>
      <c r="E73" s="12" t="s">
        <v>95</v>
      </c>
    </row>
    <row r="74" spans="1:5" x14ac:dyDescent="0.2">
      <c r="A74" s="11" t="s">
        <v>96</v>
      </c>
      <c r="B74" s="12" t="s">
        <v>17</v>
      </c>
      <c r="C74" s="13" t="s">
        <v>7</v>
      </c>
      <c r="D74" s="14">
        <v>0.6</v>
      </c>
      <c r="E74" s="12" t="s">
        <v>386</v>
      </c>
    </row>
    <row r="75" spans="1:5" x14ac:dyDescent="0.2">
      <c r="A75" s="11" t="s">
        <v>96</v>
      </c>
      <c r="B75" s="12" t="s">
        <v>39</v>
      </c>
      <c r="C75" s="13" t="s">
        <v>9</v>
      </c>
      <c r="D75" s="14">
        <v>0.4</v>
      </c>
      <c r="E75" s="12" t="s">
        <v>397</v>
      </c>
    </row>
    <row r="76" spans="1:5" x14ac:dyDescent="0.2">
      <c r="A76" s="11" t="s">
        <v>97</v>
      </c>
      <c r="B76" s="12" t="s">
        <v>39</v>
      </c>
      <c r="C76" s="13" t="s">
        <v>18</v>
      </c>
      <c r="D76" s="14">
        <v>1</v>
      </c>
      <c r="E76" s="12" t="s">
        <v>98</v>
      </c>
    </row>
    <row r="77" spans="1:5" x14ac:dyDescent="0.2">
      <c r="A77" s="11" t="s">
        <v>99</v>
      </c>
      <c r="B77" s="12" t="s">
        <v>31</v>
      </c>
      <c r="C77" s="13" t="s">
        <v>7</v>
      </c>
      <c r="D77" s="14">
        <v>0.6</v>
      </c>
      <c r="E77" s="12" t="s">
        <v>100</v>
      </c>
    </row>
    <row r="78" spans="1:5" x14ac:dyDescent="0.2">
      <c r="A78" s="11" t="s">
        <v>99</v>
      </c>
      <c r="B78" s="12" t="s">
        <v>35</v>
      </c>
      <c r="C78" s="13" t="s">
        <v>9</v>
      </c>
      <c r="D78" s="14">
        <v>0.4</v>
      </c>
      <c r="E78" s="12" t="s">
        <v>101</v>
      </c>
    </row>
    <row r="79" spans="1:5" x14ac:dyDescent="0.2">
      <c r="A79" s="11" t="s">
        <v>102</v>
      </c>
      <c r="B79" s="12" t="s">
        <v>17</v>
      </c>
      <c r="C79" s="13" t="s">
        <v>7</v>
      </c>
      <c r="D79" s="14">
        <v>0.85</v>
      </c>
      <c r="E79" s="12" t="s">
        <v>103</v>
      </c>
    </row>
    <row r="80" spans="1:5" x14ac:dyDescent="0.2">
      <c r="A80" s="17" t="s">
        <v>102</v>
      </c>
      <c r="B80" s="18" t="s">
        <v>26</v>
      </c>
      <c r="C80" s="19" t="s">
        <v>9</v>
      </c>
      <c r="D80" s="20">
        <v>0.15</v>
      </c>
      <c r="E80" s="18" t="s">
        <v>351</v>
      </c>
    </row>
    <row r="81" spans="1:5" x14ac:dyDescent="0.2">
      <c r="A81" s="11" t="s">
        <v>104</v>
      </c>
      <c r="B81" s="12" t="s">
        <v>17</v>
      </c>
      <c r="C81" s="13" t="s">
        <v>7</v>
      </c>
      <c r="D81" s="14">
        <v>0.85</v>
      </c>
      <c r="E81" s="12" t="s">
        <v>105</v>
      </c>
    </row>
    <row r="82" spans="1:5" x14ac:dyDescent="0.2">
      <c r="A82" s="17" t="s">
        <v>104</v>
      </c>
      <c r="B82" s="18" t="s">
        <v>39</v>
      </c>
      <c r="C82" s="19" t="s">
        <v>9</v>
      </c>
      <c r="D82" s="20">
        <v>0.15</v>
      </c>
      <c r="E82" s="18" t="s">
        <v>357</v>
      </c>
    </row>
    <row r="83" spans="1:5" x14ac:dyDescent="0.2">
      <c r="A83" s="11" t="s">
        <v>106</v>
      </c>
      <c r="B83" s="12" t="s">
        <v>39</v>
      </c>
      <c r="C83" s="13" t="s">
        <v>7</v>
      </c>
      <c r="D83" s="14">
        <v>0.75</v>
      </c>
      <c r="E83" s="12" t="s">
        <v>107</v>
      </c>
    </row>
    <row r="84" spans="1:5" x14ac:dyDescent="0.2">
      <c r="A84" s="11" t="s">
        <v>106</v>
      </c>
      <c r="B84" s="12" t="s">
        <v>23</v>
      </c>
      <c r="C84" s="13" t="s">
        <v>9</v>
      </c>
      <c r="D84" s="14">
        <v>0.25</v>
      </c>
      <c r="E84" s="12" t="s">
        <v>108</v>
      </c>
    </row>
    <row r="85" spans="1:5" x14ac:dyDescent="0.2">
      <c r="A85" s="11" t="s">
        <v>109</v>
      </c>
      <c r="B85" s="12" t="s">
        <v>8</v>
      </c>
      <c r="C85" s="13" t="s">
        <v>18</v>
      </c>
      <c r="D85" s="14">
        <v>1</v>
      </c>
      <c r="E85" s="12" t="s">
        <v>349</v>
      </c>
    </row>
    <row r="86" spans="1:5" x14ac:dyDescent="0.2">
      <c r="A86" s="11" t="s">
        <v>110</v>
      </c>
      <c r="B86" s="12" t="s">
        <v>12</v>
      </c>
      <c r="C86" s="13" t="s">
        <v>7</v>
      </c>
      <c r="D86" s="14">
        <v>0.7</v>
      </c>
      <c r="E86" s="12" t="s">
        <v>385</v>
      </c>
    </row>
    <row r="87" spans="1:5" x14ac:dyDescent="0.2">
      <c r="A87" s="11" t="s">
        <v>110</v>
      </c>
      <c r="B87" s="12" t="s">
        <v>33</v>
      </c>
      <c r="C87" s="13" t="s">
        <v>9</v>
      </c>
      <c r="D87" s="14">
        <v>0.3</v>
      </c>
      <c r="E87" s="12" t="s">
        <v>111</v>
      </c>
    </row>
    <row r="88" spans="1:5" x14ac:dyDescent="0.2">
      <c r="A88" s="11" t="s">
        <v>112</v>
      </c>
      <c r="B88" s="12" t="s">
        <v>12</v>
      </c>
      <c r="C88" s="13" t="s">
        <v>18</v>
      </c>
      <c r="D88" s="14">
        <v>1</v>
      </c>
      <c r="E88" s="12" t="s">
        <v>387</v>
      </c>
    </row>
    <row r="89" spans="1:5" x14ac:dyDescent="0.2">
      <c r="A89" s="11" t="s">
        <v>113</v>
      </c>
      <c r="B89" s="12" t="s">
        <v>6</v>
      </c>
      <c r="C89" s="13" t="s">
        <v>18</v>
      </c>
      <c r="D89" s="14">
        <v>1</v>
      </c>
      <c r="E89" s="12" t="s">
        <v>418</v>
      </c>
    </row>
    <row r="90" spans="1:5" x14ac:dyDescent="0.2">
      <c r="A90" s="11" t="s">
        <v>114</v>
      </c>
      <c r="B90" s="12" t="s">
        <v>14</v>
      </c>
      <c r="C90" s="13" t="s">
        <v>7</v>
      </c>
      <c r="D90" s="14">
        <v>0.55000000000000004</v>
      </c>
      <c r="E90" s="12" t="s">
        <v>367</v>
      </c>
    </row>
    <row r="91" spans="1:5" x14ac:dyDescent="0.2">
      <c r="A91" s="11" t="s">
        <v>114</v>
      </c>
      <c r="B91" s="12" t="s">
        <v>39</v>
      </c>
      <c r="C91" s="13" t="s">
        <v>9</v>
      </c>
      <c r="D91" s="14">
        <v>0.3</v>
      </c>
      <c r="E91" s="12" t="s">
        <v>369</v>
      </c>
    </row>
    <row r="92" spans="1:5" x14ac:dyDescent="0.2">
      <c r="A92" s="11" t="s">
        <v>114</v>
      </c>
      <c r="B92" s="12" t="s">
        <v>8</v>
      </c>
      <c r="C92" s="13" t="s">
        <v>36</v>
      </c>
      <c r="D92" s="14">
        <v>0.15</v>
      </c>
      <c r="E92" s="12" t="s">
        <v>370</v>
      </c>
    </row>
    <row r="93" spans="1:5" x14ac:dyDescent="0.2">
      <c r="A93" s="11" t="s">
        <v>115</v>
      </c>
      <c r="B93" s="12" t="s">
        <v>17</v>
      </c>
      <c r="C93" s="13" t="s">
        <v>7</v>
      </c>
      <c r="D93" s="14">
        <v>0.8</v>
      </c>
      <c r="E93" s="12" t="s">
        <v>362</v>
      </c>
    </row>
    <row r="94" spans="1:5" x14ac:dyDescent="0.2">
      <c r="A94" s="11" t="s">
        <v>115</v>
      </c>
      <c r="B94" s="12" t="s">
        <v>39</v>
      </c>
      <c r="C94" s="13" t="s">
        <v>9</v>
      </c>
      <c r="D94" s="14">
        <v>0.2</v>
      </c>
      <c r="E94" s="12" t="s">
        <v>360</v>
      </c>
    </row>
    <row r="95" spans="1:5" x14ac:dyDescent="0.2">
      <c r="A95" s="11" t="s">
        <v>116</v>
      </c>
      <c r="B95" s="12" t="s">
        <v>6</v>
      </c>
      <c r="C95" s="13" t="s">
        <v>7</v>
      </c>
      <c r="D95" s="14">
        <v>1</v>
      </c>
      <c r="E95" s="12" t="s">
        <v>344</v>
      </c>
    </row>
    <row r="96" spans="1:5" x14ac:dyDescent="0.2">
      <c r="A96" s="11" t="s">
        <v>117</v>
      </c>
      <c r="B96" s="12" t="s">
        <v>14</v>
      </c>
      <c r="C96" s="13" t="s">
        <v>7</v>
      </c>
      <c r="D96" s="14">
        <v>0.5</v>
      </c>
      <c r="E96" s="12" t="s">
        <v>415</v>
      </c>
    </row>
    <row r="97" spans="1:5" x14ac:dyDescent="0.2">
      <c r="A97" s="11" t="s">
        <v>117</v>
      </c>
      <c r="B97" s="12" t="s">
        <v>8</v>
      </c>
      <c r="C97" s="13" t="s">
        <v>9</v>
      </c>
      <c r="D97" s="14">
        <v>0.35</v>
      </c>
      <c r="E97" s="12" t="s">
        <v>414</v>
      </c>
    </row>
    <row r="98" spans="1:5" x14ac:dyDescent="0.2">
      <c r="A98" s="11" t="s">
        <v>117</v>
      </c>
      <c r="B98" s="12" t="s">
        <v>39</v>
      </c>
      <c r="C98" s="13" t="s">
        <v>36</v>
      </c>
      <c r="D98" s="14">
        <v>0.15</v>
      </c>
      <c r="E98" s="12" t="s">
        <v>416</v>
      </c>
    </row>
    <row r="99" spans="1:5" x14ac:dyDescent="0.2">
      <c r="A99" s="11" t="s">
        <v>118</v>
      </c>
      <c r="B99" s="12" t="s">
        <v>39</v>
      </c>
      <c r="C99" s="13" t="s">
        <v>7</v>
      </c>
      <c r="D99" s="14">
        <v>0.75</v>
      </c>
      <c r="E99" s="12" t="s">
        <v>364</v>
      </c>
    </row>
    <row r="100" spans="1:5" x14ac:dyDescent="0.2">
      <c r="A100" s="11" t="s">
        <v>118</v>
      </c>
      <c r="B100" s="12" t="s">
        <v>12</v>
      </c>
      <c r="C100" s="13" t="s">
        <v>9</v>
      </c>
      <c r="D100" s="14">
        <v>0.25</v>
      </c>
      <c r="E100" s="12" t="s">
        <v>365</v>
      </c>
    </row>
    <row r="101" spans="1:5" ht="26" x14ac:dyDescent="0.2">
      <c r="A101" s="11" t="s">
        <v>119</v>
      </c>
      <c r="B101" s="12" t="s">
        <v>8</v>
      </c>
      <c r="C101" s="13" t="s">
        <v>7</v>
      </c>
      <c r="D101" s="14">
        <v>1</v>
      </c>
      <c r="E101" s="12" t="s">
        <v>828</v>
      </c>
    </row>
    <row r="102" spans="1:5" x14ac:dyDescent="0.2">
      <c r="A102" s="11" t="s">
        <v>120</v>
      </c>
      <c r="B102" s="12" t="s">
        <v>50</v>
      </c>
      <c r="C102" s="13" t="s">
        <v>7</v>
      </c>
      <c r="D102" s="14">
        <v>0.8</v>
      </c>
      <c r="E102" s="12" t="s">
        <v>368</v>
      </c>
    </row>
    <row r="103" spans="1:5" x14ac:dyDescent="0.2">
      <c r="A103" s="11" t="s">
        <v>120</v>
      </c>
      <c r="B103" s="12" t="s">
        <v>35</v>
      </c>
      <c r="C103" s="12" t="s">
        <v>9</v>
      </c>
      <c r="D103" s="14">
        <v>0.2</v>
      </c>
      <c r="E103" s="12" t="s">
        <v>372</v>
      </c>
    </row>
  </sheetData>
  <autoFilter ref="A1:E10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G201"/>
  <sheetViews>
    <sheetView tabSelected="1" workbookViewId="0">
      <pane ySplit="1" topLeftCell="A190" activePane="bottomLeft" state="frozen"/>
      <selection pane="bottomLeft" activeCell="D206" sqref="D206"/>
    </sheetView>
  </sheetViews>
  <sheetFormatPr baseColWidth="10" defaultColWidth="8.83203125" defaultRowHeight="15" x14ac:dyDescent="0.2"/>
  <cols>
    <col min="1" max="1" width="20.6640625" customWidth="1"/>
    <col min="2" max="2" width="12" customWidth="1"/>
    <col min="3" max="3" width="44.5" customWidth="1"/>
    <col min="4" max="4" width="32" customWidth="1"/>
    <col min="5" max="5" width="13" customWidth="1"/>
    <col min="6" max="6" width="8" customWidth="1"/>
    <col min="7" max="7" width="53.1640625" customWidth="1"/>
  </cols>
  <sheetData>
    <row r="1" spans="1:7" ht="28" customHeight="1" x14ac:dyDescent="0.2">
      <c r="A1" s="4" t="s">
        <v>0</v>
      </c>
      <c r="B1" s="4" t="s">
        <v>121</v>
      </c>
      <c r="C1" s="4" t="s">
        <v>427</v>
      </c>
      <c r="D1" s="4" t="s">
        <v>122</v>
      </c>
      <c r="E1" s="4" t="s">
        <v>123</v>
      </c>
      <c r="F1" s="4" t="s">
        <v>3</v>
      </c>
      <c r="G1" s="4" t="s">
        <v>4</v>
      </c>
    </row>
    <row r="2" spans="1:7" ht="26" x14ac:dyDescent="0.2">
      <c r="A2" s="11" t="s">
        <v>5</v>
      </c>
      <c r="B2" s="15" t="s">
        <v>124</v>
      </c>
      <c r="C2" s="12" t="str">
        <f>VLOOKUP(B2,'1_Subcategorias'!E:F,2,0)</f>
        <v>Amenazas internas y externas a la organización identificadas y registradas</v>
      </c>
      <c r="D2" s="12" t="str">
        <f>VLOOKUP(B2,'1_Subcategorias'!E:H,4,0)</f>
        <v>ID.RA - Evaluación de riesgo</v>
      </c>
      <c r="E2" s="13" t="s">
        <v>125</v>
      </c>
      <c r="F2" s="14">
        <v>0.35</v>
      </c>
      <c r="G2" s="12" t="s">
        <v>126</v>
      </c>
    </row>
    <row r="3" spans="1:7" ht="26" x14ac:dyDescent="0.2">
      <c r="A3" s="11" t="s">
        <v>5</v>
      </c>
      <c r="B3" s="15" t="s">
        <v>127</v>
      </c>
      <c r="C3" s="12" t="str">
        <f>VLOOKUP(B3,'1_Subcategorias'!E:F,2,0)</f>
        <v>Hardware y software de cómputo, entornos de ejecución y sus datos monitoreados para hallar eventos adversos</v>
      </c>
      <c r="D3" s="12" t="str">
        <f>VLOOKUP(B3,'1_Subcategorias'!E:H,4,0)</f>
        <v>DE.CM - Monitoreo continuo</v>
      </c>
      <c r="E3" s="13" t="s">
        <v>128</v>
      </c>
      <c r="F3" s="14">
        <v>0.25</v>
      </c>
      <c r="G3" s="12" t="s">
        <v>129</v>
      </c>
    </row>
    <row r="4" spans="1:7" ht="26" x14ac:dyDescent="0.2">
      <c r="A4" s="11" t="s">
        <v>5</v>
      </c>
      <c r="B4" s="15" t="s">
        <v>130</v>
      </c>
      <c r="C4" s="12" t="str">
        <f>VLOOKUP(B4,'1_Subcategorias'!E:F,2,0)</f>
        <v>Eventos potencialmente adversos analizados para comprender mejor la actividad asociada</v>
      </c>
      <c r="D4" s="12" t="str">
        <f>VLOOKUP(B4,'1_Subcategorias'!E:H,4,0)</f>
        <v>DE.AE - Análisis de eventos adversos</v>
      </c>
      <c r="E4" s="13" t="s">
        <v>128</v>
      </c>
      <c r="F4" s="14">
        <v>0.25</v>
      </c>
      <c r="G4" s="12" t="s">
        <v>131</v>
      </c>
    </row>
    <row r="5" spans="1:7" ht="26" x14ac:dyDescent="0.2">
      <c r="A5" s="11" t="s">
        <v>5</v>
      </c>
      <c r="B5" s="15" t="s">
        <v>132</v>
      </c>
      <c r="C5" s="12" t="str">
        <f>VLOOKUP(B5,'1_Subcategorias'!E:F,2,0)</f>
        <v>Los incidentes son contenidos</v>
      </c>
      <c r="D5" s="12" t="str">
        <f>VLOOKUP(B5,'1_Subcategorias'!E:H,4,0)</f>
        <v>RS.MI - Mitigación del incidente</v>
      </c>
      <c r="E5" s="13" t="s">
        <v>134</v>
      </c>
      <c r="F5" s="14">
        <v>0.15</v>
      </c>
      <c r="G5" s="12" t="s">
        <v>135</v>
      </c>
    </row>
    <row r="6" spans="1:7" ht="26" x14ac:dyDescent="0.2">
      <c r="A6" s="11" t="s">
        <v>11</v>
      </c>
      <c r="B6" s="15" t="s">
        <v>136</v>
      </c>
      <c r="C6" s="12" t="str">
        <f>VLOOKUP(B6,'1_Subcategorias'!E:F,2,0)</f>
        <v>Redes y entornos protegidos de acceso y uso lógico no autorizado</v>
      </c>
      <c r="D6" s="12" t="str">
        <f>VLOOKUP(B6,'1_Subcategorias'!E:H,4,0)</f>
        <v>PR.IR - Resiliencia de la infraestructura tecnológica</v>
      </c>
      <c r="E6" s="13" t="s">
        <v>138</v>
      </c>
      <c r="F6" s="14">
        <v>0.5</v>
      </c>
      <c r="G6" s="12" t="s">
        <v>139</v>
      </c>
    </row>
    <row r="7" spans="1:7" ht="26" x14ac:dyDescent="0.2">
      <c r="A7" s="11" t="s">
        <v>11</v>
      </c>
      <c r="B7" s="15" t="s">
        <v>140</v>
      </c>
      <c r="C7" s="12" t="str">
        <f>VLOOKUP(B7,'1_Subcategorias'!E:F,2,0)</f>
        <v>Redes y servicios de red monitoreados para hallar eventos potencialmente adversos</v>
      </c>
      <c r="D7" s="12" t="str">
        <f>VLOOKUP(B7,'1_Subcategorias'!E:H,4,0)</f>
        <v>DE.CM - Monitoreo continuo</v>
      </c>
      <c r="E7" s="13" t="s">
        <v>128</v>
      </c>
      <c r="F7" s="14">
        <v>0.3</v>
      </c>
      <c r="G7" s="12" t="s">
        <v>141</v>
      </c>
    </row>
    <row r="8" spans="1:7" ht="26" x14ac:dyDescent="0.2">
      <c r="A8" s="11" t="s">
        <v>11</v>
      </c>
      <c r="B8" s="15" t="s">
        <v>130</v>
      </c>
      <c r="C8" s="12" t="str">
        <f>VLOOKUP(B8,'1_Subcategorias'!E:F,2,0)</f>
        <v>Eventos potencialmente adversos analizados para comprender mejor la actividad asociada</v>
      </c>
      <c r="D8" s="12" t="str">
        <f>VLOOKUP(B8,'1_Subcategorias'!E:H,4,0)</f>
        <v>DE.AE - Análisis de eventos adversos</v>
      </c>
      <c r="E8" s="13" t="s">
        <v>128</v>
      </c>
      <c r="F8" s="14">
        <v>0.2</v>
      </c>
      <c r="G8" s="12" t="s">
        <v>142</v>
      </c>
    </row>
    <row r="9" spans="1:7" ht="26" x14ac:dyDescent="0.2">
      <c r="A9" s="25" t="s">
        <v>16</v>
      </c>
      <c r="B9" s="26" t="s">
        <v>143</v>
      </c>
      <c r="C9" s="12" t="str">
        <f>VLOOKUP(B9,'1_Subcategorias'!E:F,2,0)</f>
        <v>El entorno físico es monitoreado para hallar eventos potencialmente adversos</v>
      </c>
      <c r="D9" s="12" t="str">
        <f>VLOOKUP(B9,'1_Subcategorias'!E:H,4,0)</f>
        <v>DE.CM - Monitoreo continuo</v>
      </c>
      <c r="E9" s="13" t="s">
        <v>128</v>
      </c>
      <c r="F9" s="14">
        <v>0.7</v>
      </c>
      <c r="G9" s="12" t="s">
        <v>366</v>
      </c>
    </row>
    <row r="10" spans="1:7" ht="26" x14ac:dyDescent="0.2">
      <c r="A10" s="17" t="s">
        <v>16</v>
      </c>
      <c r="B10" s="21" t="s">
        <v>183</v>
      </c>
      <c r="C10" s="12" t="str">
        <f>VLOOKUP(B10,'1_Subcategorias'!E:F,2,0)</f>
        <v>Registros de log generados y disponibles para monitoreo continuo</v>
      </c>
      <c r="D10" s="12" t="str">
        <f>VLOOKUP(B10,'1_Subcategorias'!E:H,4,0)</f>
        <v>PR.PS - Seguridad de plataforma</v>
      </c>
      <c r="E10" s="23" t="s">
        <v>138</v>
      </c>
      <c r="F10" s="24">
        <v>0.1</v>
      </c>
      <c r="G10" s="22" t="s">
        <v>374</v>
      </c>
    </row>
    <row r="11" spans="1:7" ht="15" customHeight="1" x14ac:dyDescent="0.2">
      <c r="A11" s="25" t="s">
        <v>16</v>
      </c>
      <c r="B11" s="26" t="s">
        <v>144</v>
      </c>
      <c r="C11" s="12" t="str">
        <f>VLOOKUP(B11,'1_Subcategorias'!E:F,2,0)</f>
        <v>Los reportes de incidente son triados y validados</v>
      </c>
      <c r="D11" s="12" t="str">
        <f>VLOOKUP(B11,'1_Subcategorias'!E:H,4,0)</f>
        <v>RS.MA - Gestión de incidentes</v>
      </c>
      <c r="E11" s="13" t="s">
        <v>134</v>
      </c>
      <c r="F11" s="14">
        <v>0.1</v>
      </c>
      <c r="G11" s="12" t="s">
        <v>146</v>
      </c>
    </row>
    <row r="12" spans="1:7" ht="26" x14ac:dyDescent="0.2">
      <c r="A12" s="25" t="s">
        <v>16</v>
      </c>
      <c r="B12" s="26" t="s">
        <v>147</v>
      </c>
      <c r="C12" s="12" t="str">
        <f>VLOOKUP(B12,'1_Subcategorias'!E:F,2,0)</f>
        <v>Las partes interesadas internas y externas son notificadas de los incidentes</v>
      </c>
      <c r="D12" s="12" t="str">
        <f>VLOOKUP(B12,'1_Subcategorias'!E:H,4,0)</f>
        <v>RS.CO - Reporte y comunicación del incidente</v>
      </c>
      <c r="E12" s="13" t="s">
        <v>134</v>
      </c>
      <c r="F12" s="14">
        <v>0.1</v>
      </c>
      <c r="G12" s="12" t="s">
        <v>406</v>
      </c>
    </row>
    <row r="13" spans="1:7" ht="26" x14ac:dyDescent="0.2">
      <c r="A13" s="11" t="s">
        <v>20</v>
      </c>
      <c r="B13" s="15" t="s">
        <v>148</v>
      </c>
      <c r="C13" s="12" t="str">
        <f>VLOOKUP(B13,'1_Subcategorias'!E:F,2,0)</f>
        <v>Mecanismos implementados para lograr los requisitos de resiliencia en situaciones normales y adversas</v>
      </c>
      <c r="D13" s="12" t="str">
        <f>VLOOKUP(B13,'1_Subcategorias'!E:H,4,0)</f>
        <v>PR.IR - Resiliencia de la infraestructura tecnológica</v>
      </c>
      <c r="E13" s="13" t="s">
        <v>138</v>
      </c>
      <c r="F13" s="14">
        <v>0.45</v>
      </c>
      <c r="G13" s="12" t="s">
        <v>149</v>
      </c>
    </row>
    <row r="14" spans="1:7" ht="26" x14ac:dyDescent="0.2">
      <c r="A14" s="11" t="s">
        <v>20</v>
      </c>
      <c r="B14" s="15" t="s">
        <v>136</v>
      </c>
      <c r="C14" s="12" t="str">
        <f>VLOOKUP(B14,'1_Subcategorias'!E:F,2,0)</f>
        <v>Redes y entornos protegidos de acceso y uso lógico no autorizado</v>
      </c>
      <c r="D14" s="12" t="str">
        <f>VLOOKUP(B14,'1_Subcategorias'!E:H,4,0)</f>
        <v>PR.IR - Resiliencia de la infraestructura tecnológica</v>
      </c>
      <c r="E14" s="13" t="s">
        <v>138</v>
      </c>
      <c r="F14" s="14">
        <v>0.35</v>
      </c>
      <c r="G14" s="12" t="s">
        <v>150</v>
      </c>
    </row>
    <row r="15" spans="1:7" ht="26" x14ac:dyDescent="0.2">
      <c r="A15" s="11" t="s">
        <v>20</v>
      </c>
      <c r="B15" s="15" t="s">
        <v>140</v>
      </c>
      <c r="C15" s="12" t="str">
        <f>VLOOKUP(B15,'1_Subcategorias'!E:F,2,0)</f>
        <v>Redes y servicios de red monitoreados para hallar eventos potencialmente adversos</v>
      </c>
      <c r="D15" s="12" t="str">
        <f>VLOOKUP(B15,'1_Subcategorias'!E:H,4,0)</f>
        <v>DE.CM - Monitoreo continuo</v>
      </c>
      <c r="E15" s="13" t="s">
        <v>128</v>
      </c>
      <c r="F15" s="14">
        <v>0.2</v>
      </c>
      <c r="G15" s="12" t="s">
        <v>151</v>
      </c>
    </row>
    <row r="16" spans="1:7" ht="26" x14ac:dyDescent="0.2">
      <c r="A16" s="11" t="s">
        <v>22</v>
      </c>
      <c r="B16" s="15" t="s">
        <v>152</v>
      </c>
      <c r="C16" s="12" t="str">
        <f>VLOOKUP(B16,'1_Subcategorias'!E:F,2,0)</f>
        <v>Confidencialidad, integridad y disponibilidad del dato en reposo protegidas</v>
      </c>
      <c r="D16" s="12" t="str">
        <f>VLOOKUP(B16,'1_Subcategorias'!E:H,4,0)</f>
        <v>PR.DS - Seguridad de datos</v>
      </c>
      <c r="E16" s="13" t="s">
        <v>138</v>
      </c>
      <c r="F16" s="14">
        <v>0.4</v>
      </c>
      <c r="G16" s="12" t="s">
        <v>154</v>
      </c>
    </row>
    <row r="17" spans="1:7" ht="26" x14ac:dyDescent="0.2">
      <c r="A17" s="11" t="s">
        <v>22</v>
      </c>
      <c r="B17" s="15" t="s">
        <v>155</v>
      </c>
      <c r="C17" s="12" t="str">
        <f>VLOOKUP(B17,'1_Subcategorias'!E:F,2,0)</f>
        <v>Confidencialidad, integridad y disponibilidad del dato en tránsito protegidas</v>
      </c>
      <c r="D17" s="12" t="str">
        <f>VLOOKUP(B17,'1_Subcategorias'!E:H,4,0)</f>
        <v>PR.DS - Seguridad de datos</v>
      </c>
      <c r="E17" s="13" t="s">
        <v>138</v>
      </c>
      <c r="F17" s="14">
        <v>0.35</v>
      </c>
      <c r="G17" s="12" t="s">
        <v>157</v>
      </c>
    </row>
    <row r="18" spans="1:7" ht="26" x14ac:dyDescent="0.2">
      <c r="A18" s="11" t="s">
        <v>22</v>
      </c>
      <c r="B18" s="15" t="s">
        <v>158</v>
      </c>
      <c r="C18" s="12" t="str">
        <f>VLOOKUP(B18,'1_Subcategorias'!E:F,2,0)</f>
        <v>Confidencialidad, integridad y disponibilidad del dato en uso protegidas</v>
      </c>
      <c r="D18" s="12" t="str">
        <f>VLOOKUP(B18,'1_Subcategorias'!E:H,4,0)</f>
        <v>PR.DS - Seguridad de datos</v>
      </c>
      <c r="E18" s="13" t="s">
        <v>138</v>
      </c>
      <c r="F18" s="14">
        <v>0.25</v>
      </c>
      <c r="G18" s="12" t="s">
        <v>160</v>
      </c>
    </row>
    <row r="19" spans="1:7" ht="26" x14ac:dyDescent="0.2">
      <c r="A19" s="11" t="s">
        <v>25</v>
      </c>
      <c r="B19" s="15" t="s">
        <v>161</v>
      </c>
      <c r="C19" s="12" t="str">
        <f>VLOOKUP(B19,'1_Subcategorias'!E:F,2,0)</f>
        <v>Usuarios, servicios y hardware son autenticados</v>
      </c>
      <c r="D19" s="12" t="str">
        <f>VLOOKUP(B19,'1_Subcategorias'!E:H,4,0)</f>
        <v>PR.AA - Identidad, autenticación y control de acceso</v>
      </c>
      <c r="E19" s="13" t="s">
        <v>138</v>
      </c>
      <c r="F19" s="14">
        <v>0.15</v>
      </c>
      <c r="G19" s="12" t="s">
        <v>163</v>
      </c>
    </row>
    <row r="20" spans="1:7" ht="26" x14ac:dyDescent="0.2">
      <c r="A20" s="11" t="s">
        <v>25</v>
      </c>
      <c r="B20" s="15" t="s">
        <v>164</v>
      </c>
      <c r="C20" s="12" t="str">
        <f>VLOOKUP(B20,'1_Subcategorias'!E:F,2,0)</f>
        <v>La actividad del personal y el uso de la tecnología son monitoreados para hallar eventos adversos</v>
      </c>
      <c r="D20" s="12" t="str">
        <f>VLOOKUP(B20,'1_Subcategorias'!E:H,4,0)</f>
        <v>DE.CM - Monitoreo continuo</v>
      </c>
      <c r="E20" s="13" t="s">
        <v>128</v>
      </c>
      <c r="F20" s="14">
        <v>0.4</v>
      </c>
      <c r="G20" s="12" t="s">
        <v>419</v>
      </c>
    </row>
    <row r="21" spans="1:7" ht="26" x14ac:dyDescent="0.2">
      <c r="A21" s="11" t="s">
        <v>25</v>
      </c>
      <c r="B21" s="15" t="s">
        <v>130</v>
      </c>
      <c r="C21" s="12" t="str">
        <f>VLOOKUP(B21,'1_Subcategorias'!E:F,2,0)</f>
        <v>Eventos potencialmente adversos analizados para comprender mejor la actividad asociada</v>
      </c>
      <c r="D21" s="12" t="str">
        <f>VLOOKUP(B21,'1_Subcategorias'!E:H,4,0)</f>
        <v>DE.AE - Análisis de eventos adversos</v>
      </c>
      <c r="E21" s="13" t="s">
        <v>128</v>
      </c>
      <c r="F21" s="14">
        <v>0.3</v>
      </c>
      <c r="G21" s="12" t="s">
        <v>165</v>
      </c>
    </row>
    <row r="22" spans="1:7" ht="26" x14ac:dyDescent="0.2">
      <c r="A22" s="11" t="s">
        <v>25</v>
      </c>
      <c r="B22" s="15" t="s">
        <v>166</v>
      </c>
      <c r="C22" s="12" t="str">
        <f>VLOOKUP(B22,'1_Subcategorias'!E:F,2,0)</f>
        <v>El impacto y alcance estimados de los eventos adversos son comprendidos</v>
      </c>
      <c r="D22" s="12" t="str">
        <f>VLOOKUP(B22,'1_Subcategorias'!E:H,4,0)</f>
        <v>DE.AE - Análisis de eventos adversos</v>
      </c>
      <c r="E22" s="13" t="s">
        <v>128</v>
      </c>
      <c r="F22" s="14">
        <v>0.15</v>
      </c>
      <c r="G22" s="12" t="s">
        <v>167</v>
      </c>
    </row>
    <row r="23" spans="1:7" ht="26" x14ac:dyDescent="0.2">
      <c r="A23" s="11" t="s">
        <v>28</v>
      </c>
      <c r="B23" s="15" t="s">
        <v>168</v>
      </c>
      <c r="C23" s="12" t="str">
        <f>VLOOKUP(B23,'1_Subcategorias'!E:F,2,0)</f>
        <v>Sistemas, hardware, software, servicios y datos gestionados en todo su ciclo de vida</v>
      </c>
      <c r="D23" s="12" t="str">
        <f>VLOOKUP(B23,'1_Subcategorias'!E:H,4,0)</f>
        <v>ID.AM - Gestión de activos</v>
      </c>
      <c r="E23" s="13" t="s">
        <v>125</v>
      </c>
      <c r="F23" s="14">
        <v>0.25</v>
      </c>
      <c r="G23" s="12" t="s">
        <v>170</v>
      </c>
    </row>
    <row r="24" spans="1:7" ht="26" x14ac:dyDescent="0.2">
      <c r="A24" s="11" t="s">
        <v>28</v>
      </c>
      <c r="B24" s="15" t="s">
        <v>155</v>
      </c>
      <c r="C24" s="12" t="str">
        <f>VLOOKUP(B24,'1_Subcategorias'!E:F,2,0)</f>
        <v>Confidencialidad, integridad y disponibilidad del dato en tránsito protegidas</v>
      </c>
      <c r="D24" s="12" t="str">
        <f>VLOOKUP(B24,'1_Subcategorias'!E:H,4,0)</f>
        <v>PR.DS - Seguridad de datos</v>
      </c>
      <c r="E24" s="13" t="s">
        <v>138</v>
      </c>
      <c r="F24" s="14">
        <v>0.45</v>
      </c>
      <c r="G24" s="12" t="s">
        <v>171</v>
      </c>
    </row>
    <row r="25" spans="1:7" ht="26" x14ac:dyDescent="0.2">
      <c r="A25" s="11" t="s">
        <v>28</v>
      </c>
      <c r="B25" s="15" t="s">
        <v>172</v>
      </c>
      <c r="C25" s="12" t="str">
        <f>VLOOKUP(B25,'1_Subcategorias'!E:F,2,0)</f>
        <v>Aserciones de identidad protegidas, transmitidas y verificadas</v>
      </c>
      <c r="D25" s="12" t="str">
        <f>VLOOKUP(B25,'1_Subcategorias'!E:H,4,0)</f>
        <v>PR.AA - Identidad, autenticación y control de acceso</v>
      </c>
      <c r="E25" s="13" t="s">
        <v>138</v>
      </c>
      <c r="F25" s="14">
        <v>0.3</v>
      </c>
      <c r="G25" s="12" t="s">
        <v>174</v>
      </c>
    </row>
    <row r="26" spans="1:7" x14ac:dyDescent="0.2">
      <c r="A26" s="5" t="s">
        <v>30</v>
      </c>
      <c r="B26" s="10" t="s">
        <v>175</v>
      </c>
      <c r="C26" s="12" t="str">
        <f>VLOOKUP(B26,'1_Subcategorias'!E:F,2,0)</f>
        <v>Inventarios de software, servicios y sistemas son mantenidos</v>
      </c>
      <c r="D26" s="12" t="str">
        <f>VLOOKUP(B26,'1_Subcategorias'!E:H,4,0)</f>
        <v>ID.AM - Gestión de activos</v>
      </c>
      <c r="E26" s="9" t="s">
        <v>125</v>
      </c>
      <c r="F26" s="8">
        <v>0.1</v>
      </c>
      <c r="G26" s="6" t="s">
        <v>177</v>
      </c>
    </row>
    <row r="27" spans="1:7" ht="39" x14ac:dyDescent="0.2">
      <c r="A27" s="5" t="s">
        <v>30</v>
      </c>
      <c r="B27" s="10" t="s">
        <v>178</v>
      </c>
      <c r="C27" s="12" t="str">
        <f>VLOOKUP(B27,'1_Subcategorias'!E:F,2,0)</f>
        <v>Permisos y autorizaciones definidos en política, gestionados, exigidos y revisados, con mínimo privilegio y segregación de funciones</v>
      </c>
      <c r="D27" s="12" t="str">
        <f>VLOOKUP(B27,'1_Subcategorias'!E:H,4,0)</f>
        <v>PR.AA - Identidad, autenticación y control de acceso</v>
      </c>
      <c r="E27" s="9" t="s">
        <v>138</v>
      </c>
      <c r="F27" s="8">
        <v>0.25</v>
      </c>
      <c r="G27" s="6" t="s">
        <v>179</v>
      </c>
    </row>
    <row r="28" spans="1:7" ht="26" x14ac:dyDescent="0.2">
      <c r="A28" s="5" t="s">
        <v>30</v>
      </c>
      <c r="B28" s="10" t="s">
        <v>158</v>
      </c>
      <c r="C28" s="12" t="str">
        <f>VLOOKUP(B28,'1_Subcategorias'!E:F,2,0)</f>
        <v>Confidencialidad, integridad y disponibilidad del dato en uso protegidas</v>
      </c>
      <c r="D28" s="12" t="str">
        <f>VLOOKUP(B28,'1_Subcategorias'!E:H,4,0)</f>
        <v>PR.DS - Seguridad de datos</v>
      </c>
      <c r="E28" s="9" t="s">
        <v>138</v>
      </c>
      <c r="F28" s="8">
        <v>0.25</v>
      </c>
      <c r="G28" s="6" t="s">
        <v>180</v>
      </c>
    </row>
    <row r="29" spans="1:7" ht="26" x14ac:dyDescent="0.2">
      <c r="A29" s="5" t="s">
        <v>30</v>
      </c>
      <c r="B29" s="10" t="s">
        <v>155</v>
      </c>
      <c r="C29" s="12" t="str">
        <f>VLOOKUP(B29,'1_Subcategorias'!E:F,2,0)</f>
        <v>Confidencialidad, integridad y disponibilidad del dato en tránsito protegidas</v>
      </c>
      <c r="D29" s="12" t="str">
        <f>VLOOKUP(B29,'1_Subcategorias'!E:H,4,0)</f>
        <v>PR.DS - Seguridad de datos</v>
      </c>
      <c r="E29" s="9" t="s">
        <v>138</v>
      </c>
      <c r="F29" s="8">
        <v>0.2</v>
      </c>
      <c r="G29" s="6" t="s">
        <v>181</v>
      </c>
    </row>
    <row r="30" spans="1:7" ht="26" x14ac:dyDescent="0.2">
      <c r="A30" s="5" t="s">
        <v>30</v>
      </c>
      <c r="B30" s="10" t="s">
        <v>127</v>
      </c>
      <c r="C30" s="12" t="str">
        <f>VLOOKUP(B30,'1_Subcategorias'!E:F,2,0)</f>
        <v>Hardware y software de cómputo, entornos de ejecución y sus datos monitoreados para hallar eventos adversos</v>
      </c>
      <c r="D30" s="12" t="str">
        <f>VLOOKUP(B30,'1_Subcategorias'!E:H,4,0)</f>
        <v>DE.CM - Monitoreo continuo</v>
      </c>
      <c r="E30" s="9" t="s">
        <v>128</v>
      </c>
      <c r="F30" s="8">
        <v>0.2</v>
      </c>
      <c r="G30" s="6" t="s">
        <v>182</v>
      </c>
    </row>
    <row r="31" spans="1:7" ht="30" x14ac:dyDescent="0.2">
      <c r="A31" s="11" t="s">
        <v>38</v>
      </c>
      <c r="B31" s="15" t="s">
        <v>183</v>
      </c>
      <c r="C31" s="12" t="str">
        <f>VLOOKUP(B31,'1_Subcategorias'!E:F,2,0)</f>
        <v>Registros de log generados y disponibles para monitoreo continuo</v>
      </c>
      <c r="D31" s="12" t="str">
        <f>VLOOKUP(B31,'1_Subcategorias'!E:H,4,0)</f>
        <v>PR.PS - Seguridad de plataforma</v>
      </c>
      <c r="E31" s="13" t="s">
        <v>138</v>
      </c>
      <c r="F31" s="14">
        <v>0.6</v>
      </c>
      <c r="G31" s="12" t="s">
        <v>388</v>
      </c>
    </row>
    <row r="32" spans="1:7" ht="30" x14ac:dyDescent="0.2">
      <c r="A32" s="11" t="s">
        <v>38</v>
      </c>
      <c r="B32" s="15" t="s">
        <v>185</v>
      </c>
      <c r="C32" s="12" t="str">
        <f>VLOOKUP(B32,'1_Subcategorias'!E:F,2,0)</f>
        <v>La información es correlacionada desde múltiples fuentes</v>
      </c>
      <c r="D32" s="12" t="str">
        <f>VLOOKUP(B32,'1_Subcategorias'!E:H,4,0)</f>
        <v>DE.AE - Análisis de eventos adversos</v>
      </c>
      <c r="E32" s="13" t="s">
        <v>128</v>
      </c>
      <c r="F32" s="14">
        <v>0.4</v>
      </c>
      <c r="G32" s="12" t="s">
        <v>187</v>
      </c>
    </row>
    <row r="33" spans="1:7" x14ac:dyDescent="0.2">
      <c r="A33" s="11" t="s">
        <v>41</v>
      </c>
      <c r="B33" s="15" t="s">
        <v>188</v>
      </c>
      <c r="C33" s="12" t="str">
        <f>VLOOKUP(B33,'1_Subcategorias'!E:F,2,0)</f>
        <v>Prácticas de gestión de configuración establecidas y aplicadas</v>
      </c>
      <c r="D33" s="12" t="str">
        <f>VLOOKUP(B33,'1_Subcategorias'!E:H,4,0)</f>
        <v>PR.PS - Seguridad de plataforma</v>
      </c>
      <c r="E33" s="13" t="s">
        <v>138</v>
      </c>
      <c r="F33" s="14">
        <v>0.3</v>
      </c>
      <c r="G33" s="12" t="s">
        <v>190</v>
      </c>
    </row>
    <row r="34" spans="1:7" x14ac:dyDescent="0.2">
      <c r="A34" s="11" t="s">
        <v>41</v>
      </c>
      <c r="B34" s="15" t="s">
        <v>191</v>
      </c>
      <c r="C34" s="12" t="str">
        <f>VLOOKUP(B34,'1_Subcategorias'!E:F,2,0)</f>
        <v>Hardware mantenido, reemplazado y retirado según el riesgo</v>
      </c>
      <c r="D34" s="12" t="str">
        <f>VLOOKUP(B34,'1_Subcategorias'!E:H,4,0)</f>
        <v>PR.PS - Seguridad de plataforma</v>
      </c>
      <c r="E34" s="13" t="s">
        <v>138</v>
      </c>
      <c r="F34" s="14">
        <v>0.15</v>
      </c>
      <c r="G34" s="12" t="s">
        <v>193</v>
      </c>
    </row>
    <row r="35" spans="1:7" ht="26" x14ac:dyDescent="0.2">
      <c r="A35" s="11" t="s">
        <v>41</v>
      </c>
      <c r="B35" s="15" t="s">
        <v>194</v>
      </c>
      <c r="C35" s="12" t="str">
        <f>VLOOKUP(B35,'1_Subcategorias'!E:F,2,0)</f>
        <v>Acceso físico a los activos gestionado, monitoreado y exigido según el riesgo</v>
      </c>
      <c r="D35" s="12" t="str">
        <f>VLOOKUP(B35,'1_Subcategorias'!E:H,4,0)</f>
        <v>PR.AA - Identidad, autenticación y control de acceso</v>
      </c>
      <c r="E35" s="13" t="s">
        <v>138</v>
      </c>
      <c r="F35" s="14">
        <v>0.1</v>
      </c>
      <c r="G35" s="12" t="s">
        <v>196</v>
      </c>
    </row>
    <row r="36" spans="1:7" ht="26" x14ac:dyDescent="0.2">
      <c r="A36" s="11" t="s">
        <v>41</v>
      </c>
      <c r="B36" s="15" t="s">
        <v>143</v>
      </c>
      <c r="C36" s="12" t="str">
        <f>VLOOKUP(B36,'1_Subcategorias'!E:F,2,0)</f>
        <v>El entorno físico es monitoreado para hallar eventos potencialmente adversos</v>
      </c>
      <c r="D36" s="12" t="str">
        <f>VLOOKUP(B36,'1_Subcategorias'!E:H,4,0)</f>
        <v>DE.CM - Monitoreo continuo</v>
      </c>
      <c r="E36" s="13" t="s">
        <v>128</v>
      </c>
      <c r="F36" s="14">
        <v>0.45</v>
      </c>
      <c r="G36" s="12" t="s">
        <v>197</v>
      </c>
    </row>
    <row r="37" spans="1:7" ht="26" x14ac:dyDescent="0.2">
      <c r="A37" s="11" t="s">
        <v>43</v>
      </c>
      <c r="B37" s="15" t="s">
        <v>194</v>
      </c>
      <c r="C37" s="12" t="str">
        <f>VLOOKUP(B37,'1_Subcategorias'!E:F,2,0)</f>
        <v>Acceso físico a los activos gestionado, monitoreado y exigido según el riesgo</v>
      </c>
      <c r="D37" s="12" t="str">
        <f>VLOOKUP(B37,'1_Subcategorias'!E:H,4,0)</f>
        <v>PR.AA - Identidad, autenticación y control de acceso</v>
      </c>
      <c r="E37" s="13" t="s">
        <v>138</v>
      </c>
      <c r="F37" s="14">
        <v>0.55000000000000004</v>
      </c>
      <c r="G37" s="12" t="s">
        <v>409</v>
      </c>
    </row>
    <row r="38" spans="1:7" ht="39" x14ac:dyDescent="0.2">
      <c r="A38" s="11" t="s">
        <v>43</v>
      </c>
      <c r="B38" s="15" t="s">
        <v>178</v>
      </c>
      <c r="C38" s="12" t="str">
        <f>VLOOKUP(B38,'1_Subcategorias'!E:F,2,0)</f>
        <v>Permisos y autorizaciones definidos en política, gestionados, exigidos y revisados, con mínimo privilegio y segregación de funciones</v>
      </c>
      <c r="D38" s="12" t="str">
        <f>VLOOKUP(B38,'1_Subcategorias'!E:H,4,0)</f>
        <v>PR.AA - Identidad, autenticación y control de acceso</v>
      </c>
      <c r="E38" s="13" t="s">
        <v>138</v>
      </c>
      <c r="F38" s="14">
        <v>0.2</v>
      </c>
      <c r="G38" s="12" t="s">
        <v>198</v>
      </c>
    </row>
    <row r="39" spans="1:7" ht="26" x14ac:dyDescent="0.2">
      <c r="A39" s="11" t="s">
        <v>43</v>
      </c>
      <c r="B39" s="15" t="s">
        <v>143</v>
      </c>
      <c r="C39" s="12" t="str">
        <f>VLOOKUP(B39,'1_Subcategorias'!E:F,2,0)</f>
        <v>El entorno físico es monitoreado para hallar eventos potencialmente adversos</v>
      </c>
      <c r="D39" s="12" t="str">
        <f>VLOOKUP(B39,'1_Subcategorias'!E:H,4,0)</f>
        <v>DE.CM - Monitoreo continuo</v>
      </c>
      <c r="E39" s="13" t="s">
        <v>128</v>
      </c>
      <c r="F39" s="14">
        <v>0.25</v>
      </c>
      <c r="G39" s="12" t="s">
        <v>199</v>
      </c>
    </row>
    <row r="40" spans="1:7" ht="30" x14ac:dyDescent="0.2">
      <c r="A40" s="11" t="s">
        <v>44</v>
      </c>
      <c r="B40" s="15" t="s">
        <v>183</v>
      </c>
      <c r="C40" s="12" t="str">
        <f>VLOOKUP(B40,'1_Subcategorias'!E:F,2,0)</f>
        <v>Registros de log generados y disponibles para monitoreo continuo</v>
      </c>
      <c r="D40" s="12" t="str">
        <f>VLOOKUP(B40,'1_Subcategorias'!E:H,4,0)</f>
        <v>PR.PS - Seguridad de plataforma</v>
      </c>
      <c r="E40" s="13" t="s">
        <v>138</v>
      </c>
      <c r="F40" s="14">
        <v>0.1</v>
      </c>
      <c r="G40" s="12" t="s">
        <v>200</v>
      </c>
    </row>
    <row r="41" spans="1:7" ht="30" x14ac:dyDescent="0.2">
      <c r="A41" s="11" t="s">
        <v>44</v>
      </c>
      <c r="B41" s="15" t="s">
        <v>185</v>
      </c>
      <c r="C41" s="12" t="str">
        <f>VLOOKUP(B41,'1_Subcategorias'!E:F,2,0)</f>
        <v>La información es correlacionada desde múltiples fuentes</v>
      </c>
      <c r="D41" s="12" t="str">
        <f>VLOOKUP(B41,'1_Subcategorias'!E:H,4,0)</f>
        <v>DE.AE - Análisis de eventos adversos</v>
      </c>
      <c r="E41" s="13" t="s">
        <v>128</v>
      </c>
      <c r="F41" s="14">
        <v>0.4</v>
      </c>
      <c r="G41" s="12" t="s">
        <v>201</v>
      </c>
    </row>
    <row r="42" spans="1:7" ht="30" x14ac:dyDescent="0.2">
      <c r="A42" s="11" t="s">
        <v>44</v>
      </c>
      <c r="B42" s="15" t="s">
        <v>130</v>
      </c>
      <c r="C42" s="12" t="str">
        <f>VLOOKUP(B42,'1_Subcategorias'!E:F,2,0)</f>
        <v>Eventos potencialmente adversos analizados para comprender mejor la actividad asociada</v>
      </c>
      <c r="D42" s="12" t="str">
        <f>VLOOKUP(B42,'1_Subcategorias'!E:H,4,0)</f>
        <v>DE.AE - Análisis de eventos adversos</v>
      </c>
      <c r="E42" s="13" t="s">
        <v>128</v>
      </c>
      <c r="F42" s="14">
        <v>0.2</v>
      </c>
      <c r="G42" s="12" t="s">
        <v>202</v>
      </c>
    </row>
    <row r="43" spans="1:7" ht="30" x14ac:dyDescent="0.2">
      <c r="A43" s="11" t="s">
        <v>44</v>
      </c>
      <c r="B43" s="15" t="s">
        <v>127</v>
      </c>
      <c r="C43" s="12" t="str">
        <f>VLOOKUP(B43,'1_Subcategorias'!E:F,2,0)</f>
        <v>Hardware y software de cómputo, entornos de ejecución y sus datos monitoreados para hallar eventos adversos</v>
      </c>
      <c r="D43" s="12" t="str">
        <f>VLOOKUP(B43,'1_Subcategorias'!E:H,4,0)</f>
        <v>DE.CM - Monitoreo continuo</v>
      </c>
      <c r="E43" s="13" t="s">
        <v>128</v>
      </c>
      <c r="F43" s="14">
        <v>0.15</v>
      </c>
      <c r="G43" s="12" t="s">
        <v>203</v>
      </c>
    </row>
    <row r="44" spans="1:7" ht="30" x14ac:dyDescent="0.2">
      <c r="A44" s="11" t="s">
        <v>44</v>
      </c>
      <c r="B44" s="15" t="s">
        <v>204</v>
      </c>
      <c r="C44" s="12" t="str">
        <f>VLOOKUP(B44,'1_Subcategorias'!E:F,2,0)</f>
        <v>Se realiza análisis para establecer qué ocurrió durante el incidente y su causa raíz</v>
      </c>
      <c r="D44" s="12" t="str">
        <f>VLOOKUP(B44,'1_Subcategorias'!E:H,4,0)</f>
        <v>RS.AN - Análisis de incidentes</v>
      </c>
      <c r="E44" s="13" t="s">
        <v>134</v>
      </c>
      <c r="F44" s="14">
        <v>0.15</v>
      </c>
      <c r="G44" s="12" t="s">
        <v>205</v>
      </c>
    </row>
    <row r="45" spans="1:7" x14ac:dyDescent="0.2">
      <c r="A45" s="5" t="s">
        <v>45</v>
      </c>
      <c r="B45" s="10" t="s">
        <v>206</v>
      </c>
      <c r="C45" s="12" t="str">
        <f>VLOOKUP(B45,'1_Subcategorias'!E:F,2,0)</f>
        <v>Vulnerabilidades en activos identificadas, validadas y registradas</v>
      </c>
      <c r="D45" s="12" t="str">
        <f>VLOOKUP(B45,'1_Subcategorias'!E:H,4,0)</f>
        <v>ID.RA - Evaluación de riesgo</v>
      </c>
      <c r="E45" s="9" t="s">
        <v>125</v>
      </c>
      <c r="F45" s="8">
        <v>0.2</v>
      </c>
      <c r="G45" s="6" t="s">
        <v>208</v>
      </c>
    </row>
    <row r="46" spans="1:7" x14ac:dyDescent="0.2">
      <c r="A46" s="5" t="s">
        <v>45</v>
      </c>
      <c r="B46" s="10" t="s">
        <v>175</v>
      </c>
      <c r="C46" s="12" t="str">
        <f>VLOOKUP(B46,'1_Subcategorias'!E:F,2,0)</f>
        <v>Inventarios de software, servicios y sistemas son mantenidos</v>
      </c>
      <c r="D46" s="12" t="str">
        <f>VLOOKUP(B46,'1_Subcategorias'!E:H,4,0)</f>
        <v>ID.AM - Gestión de activos</v>
      </c>
      <c r="E46" s="9" t="s">
        <v>125</v>
      </c>
      <c r="F46" s="8">
        <v>0.15</v>
      </c>
      <c r="G46" s="6" t="s">
        <v>209</v>
      </c>
    </row>
    <row r="47" spans="1:7" x14ac:dyDescent="0.2">
      <c r="A47" s="5" t="s">
        <v>45</v>
      </c>
      <c r="B47" s="10" t="s">
        <v>188</v>
      </c>
      <c r="C47" s="12" t="str">
        <f>VLOOKUP(B47,'1_Subcategorias'!E:F,2,0)</f>
        <v>Prácticas de gestión de configuración establecidas y aplicadas</v>
      </c>
      <c r="D47" s="12" t="str">
        <f>VLOOKUP(B47,'1_Subcategorias'!E:H,4,0)</f>
        <v>PR.PS - Seguridad de plataforma</v>
      </c>
      <c r="E47" s="9" t="s">
        <v>138</v>
      </c>
      <c r="F47" s="8">
        <v>0.25</v>
      </c>
      <c r="G47" s="6" t="s">
        <v>210</v>
      </c>
    </row>
    <row r="48" spans="1:7" ht="26" x14ac:dyDescent="0.2">
      <c r="A48" s="5" t="s">
        <v>45</v>
      </c>
      <c r="B48" s="10" t="s">
        <v>211</v>
      </c>
      <c r="C48" s="12" t="str">
        <f>VLOOKUP(B48,'1_Subcategorias'!E:F,2,0)</f>
        <v>Prácticas de desarrollo seguro integradas y su desempeño monitoreado en todo el ciclo de vida del software</v>
      </c>
      <c r="D48" s="12" t="str">
        <f>VLOOKUP(B48,'1_Subcategorias'!E:H,4,0)</f>
        <v>PR.PS - Seguridad de plataforma</v>
      </c>
      <c r="E48" s="9" t="s">
        <v>138</v>
      </c>
      <c r="F48" s="8">
        <v>0.1</v>
      </c>
      <c r="G48" s="6" t="s">
        <v>48</v>
      </c>
    </row>
    <row r="49" spans="1:7" ht="26" x14ac:dyDescent="0.2">
      <c r="A49" s="5" t="s">
        <v>45</v>
      </c>
      <c r="B49" s="10" t="s">
        <v>152</v>
      </c>
      <c r="C49" s="12" t="str">
        <f>VLOOKUP(B49,'1_Subcategorias'!E:F,2,0)</f>
        <v>Confidencialidad, integridad y disponibilidad del dato en reposo protegidas</v>
      </c>
      <c r="D49" s="12" t="str">
        <f>VLOOKUP(B49,'1_Subcategorias'!E:H,4,0)</f>
        <v>PR.DS - Seguridad de datos</v>
      </c>
      <c r="E49" s="9" t="s">
        <v>138</v>
      </c>
      <c r="F49" s="8">
        <v>0.1</v>
      </c>
      <c r="G49" s="6" t="s">
        <v>212</v>
      </c>
    </row>
    <row r="50" spans="1:7" ht="26" x14ac:dyDescent="0.2">
      <c r="A50" s="5" t="s">
        <v>45</v>
      </c>
      <c r="B50" s="10" t="s">
        <v>127</v>
      </c>
      <c r="C50" s="12" t="str">
        <f>VLOOKUP(B50,'1_Subcategorias'!E:F,2,0)</f>
        <v>Hardware y software de cómputo, entornos de ejecución y sus datos monitoreados para hallar eventos adversos</v>
      </c>
      <c r="D50" s="12" t="str">
        <f>VLOOKUP(B50,'1_Subcategorias'!E:H,4,0)</f>
        <v>DE.CM - Monitoreo continuo</v>
      </c>
      <c r="E50" s="9" t="s">
        <v>128</v>
      </c>
      <c r="F50" s="8">
        <v>0.2</v>
      </c>
      <c r="G50" s="6" t="s">
        <v>213</v>
      </c>
    </row>
    <row r="51" spans="1:7" x14ac:dyDescent="0.2">
      <c r="A51" s="11" t="s">
        <v>49</v>
      </c>
      <c r="B51" s="15" t="s">
        <v>214</v>
      </c>
      <c r="C51" s="12" t="str">
        <f>VLOOKUP(B51,'1_Subcategorias'!E:F,2,0)</f>
        <v>Instalación y ejecución de software no autorizado son prevenidas</v>
      </c>
      <c r="D51" s="12" t="str">
        <f>VLOOKUP(B51,'1_Subcategorias'!E:H,4,0)</f>
        <v>PR.PS - Seguridad de plataforma</v>
      </c>
      <c r="E51" s="13" t="s">
        <v>138</v>
      </c>
      <c r="F51" s="14">
        <v>0.2</v>
      </c>
      <c r="G51" s="12" t="s">
        <v>216</v>
      </c>
    </row>
    <row r="52" spans="1:7" ht="26" x14ac:dyDescent="0.2">
      <c r="A52" s="11" t="s">
        <v>49</v>
      </c>
      <c r="B52" s="15" t="s">
        <v>127</v>
      </c>
      <c r="C52" s="12" t="str">
        <f>VLOOKUP(B52,'1_Subcategorias'!E:F,2,0)</f>
        <v>Hardware y software de cómputo, entornos de ejecución y sus datos monitoreados para hallar eventos adversos</v>
      </c>
      <c r="D52" s="12" t="str">
        <f>VLOOKUP(B52,'1_Subcategorias'!E:H,4,0)</f>
        <v>DE.CM - Monitoreo continuo</v>
      </c>
      <c r="E52" s="13" t="s">
        <v>128</v>
      </c>
      <c r="F52" s="14">
        <v>0.3</v>
      </c>
      <c r="G52" s="12" t="s">
        <v>217</v>
      </c>
    </row>
    <row r="53" spans="1:7" ht="26" x14ac:dyDescent="0.2">
      <c r="A53" s="11" t="s">
        <v>49</v>
      </c>
      <c r="B53" s="15" t="s">
        <v>130</v>
      </c>
      <c r="C53" s="12" t="str">
        <f>VLOOKUP(B53,'1_Subcategorias'!E:F,2,0)</f>
        <v>Eventos potencialmente adversos analizados para comprender mejor la actividad asociada</v>
      </c>
      <c r="D53" s="12" t="str">
        <f>VLOOKUP(B53,'1_Subcategorias'!E:H,4,0)</f>
        <v>DE.AE - Análisis de eventos adversos</v>
      </c>
      <c r="E53" s="13" t="s">
        <v>128</v>
      </c>
      <c r="F53" s="14">
        <v>0.2</v>
      </c>
      <c r="G53" s="12" t="s">
        <v>218</v>
      </c>
    </row>
    <row r="54" spans="1:7" x14ac:dyDescent="0.2">
      <c r="A54" s="11" t="s">
        <v>49</v>
      </c>
      <c r="B54" s="15" t="s">
        <v>132</v>
      </c>
      <c r="C54" s="12" t="str">
        <f>VLOOKUP(B54,'1_Subcategorias'!E:F,2,0)</f>
        <v>Los incidentes son contenidos</v>
      </c>
      <c r="D54" s="12" t="str">
        <f>VLOOKUP(B54,'1_Subcategorias'!E:H,4,0)</f>
        <v>RS.MI - Mitigación del incidente</v>
      </c>
      <c r="E54" s="13" t="s">
        <v>134</v>
      </c>
      <c r="F54" s="14">
        <v>0.2</v>
      </c>
      <c r="G54" s="12" t="s">
        <v>219</v>
      </c>
    </row>
    <row r="55" spans="1:7" ht="26" x14ac:dyDescent="0.2">
      <c r="A55" s="11" t="s">
        <v>49</v>
      </c>
      <c r="B55" s="15" t="s">
        <v>204</v>
      </c>
      <c r="C55" s="12" t="str">
        <f>VLOOKUP(B55,'1_Subcategorias'!E:F,2,0)</f>
        <v>Se realiza análisis para establecer qué ocurrió durante el incidente y su causa raíz</v>
      </c>
      <c r="D55" s="12" t="str">
        <f>VLOOKUP(B55,'1_Subcategorias'!E:H,4,0)</f>
        <v>RS.AN - Análisis de incidentes</v>
      </c>
      <c r="E55" s="13" t="s">
        <v>134</v>
      </c>
      <c r="F55" s="14">
        <v>0.1</v>
      </c>
      <c r="G55" s="12" t="s">
        <v>220</v>
      </c>
    </row>
    <row r="56" spans="1:7" ht="39" x14ac:dyDescent="0.2">
      <c r="A56" s="11" t="s">
        <v>53</v>
      </c>
      <c r="B56" s="15" t="s">
        <v>178</v>
      </c>
      <c r="C56" s="12" t="str">
        <f>VLOOKUP(B56,'1_Subcategorias'!E:F,2,0)</f>
        <v>Permisos y autorizaciones definidos en política, gestionados, exigidos y revisados, con mínimo privilegio y segregación de funciones</v>
      </c>
      <c r="D56" s="12" t="str">
        <f>VLOOKUP(B56,'1_Subcategorias'!E:H,4,0)</f>
        <v>PR.AA - Identidad, autenticación y control de acceso</v>
      </c>
      <c r="E56" s="13" t="s">
        <v>138</v>
      </c>
      <c r="F56" s="14">
        <v>0.4</v>
      </c>
      <c r="G56" s="12" t="s">
        <v>221</v>
      </c>
    </row>
    <row r="57" spans="1:7" ht="26" x14ac:dyDescent="0.2">
      <c r="A57" s="11" t="s">
        <v>53</v>
      </c>
      <c r="B57" s="15" t="s">
        <v>222</v>
      </c>
      <c r="C57" s="12" t="str">
        <f>VLOOKUP(B57,'1_Subcategorias'!E:F,2,0)</f>
        <v>Identidades y credenciales de usuarios, servicios y hardware autorizados gestionadas por la organización</v>
      </c>
      <c r="D57" s="12" t="str">
        <f>VLOOKUP(B57,'1_Subcategorias'!E:H,4,0)</f>
        <v>PR.AA - Identidad, autenticación y control de acceso</v>
      </c>
      <c r="E57" s="13" t="s">
        <v>138</v>
      </c>
      <c r="F57" s="14">
        <v>0.2</v>
      </c>
      <c r="G57" s="12" t="s">
        <v>223</v>
      </c>
    </row>
    <row r="58" spans="1:7" ht="26" x14ac:dyDescent="0.2">
      <c r="A58" s="11" t="s">
        <v>53</v>
      </c>
      <c r="B58" s="15" t="s">
        <v>161</v>
      </c>
      <c r="C58" s="12" t="str">
        <f>VLOOKUP(B58,'1_Subcategorias'!E:F,2,0)</f>
        <v>Usuarios, servicios y hardware son autenticados</v>
      </c>
      <c r="D58" s="12" t="str">
        <f>VLOOKUP(B58,'1_Subcategorias'!E:H,4,0)</f>
        <v>PR.AA - Identidad, autenticación y control de acceso</v>
      </c>
      <c r="E58" s="13" t="s">
        <v>138</v>
      </c>
      <c r="F58" s="14">
        <v>0.15</v>
      </c>
      <c r="G58" s="12" t="s">
        <v>224</v>
      </c>
    </row>
    <row r="59" spans="1:7" ht="26" x14ac:dyDescent="0.2">
      <c r="A59" s="11" t="s">
        <v>53</v>
      </c>
      <c r="B59" s="15" t="s">
        <v>164</v>
      </c>
      <c r="C59" s="12" t="str">
        <f>VLOOKUP(B59,'1_Subcategorias'!E:F,2,0)</f>
        <v>La actividad del personal y el uso de la tecnología son monitoreados para hallar eventos adversos</v>
      </c>
      <c r="D59" s="12" t="str">
        <f>VLOOKUP(B59,'1_Subcategorias'!E:H,4,0)</f>
        <v>DE.CM - Monitoreo continuo</v>
      </c>
      <c r="E59" s="13" t="s">
        <v>128</v>
      </c>
      <c r="F59" s="14">
        <v>0.15</v>
      </c>
      <c r="G59" s="12" t="s">
        <v>225</v>
      </c>
    </row>
    <row r="60" spans="1:7" x14ac:dyDescent="0.2">
      <c r="A60" s="11" t="s">
        <v>53</v>
      </c>
      <c r="B60" s="15" t="s">
        <v>132</v>
      </c>
      <c r="C60" s="12" t="str">
        <f>VLOOKUP(B60,'1_Subcategorias'!E:F,2,0)</f>
        <v>Los incidentes son contenidos</v>
      </c>
      <c r="D60" s="12" t="str">
        <f>VLOOKUP(B60,'1_Subcategorias'!E:H,4,0)</f>
        <v>RS.MI - Mitigación del incidente</v>
      </c>
      <c r="E60" s="13" t="s">
        <v>134</v>
      </c>
      <c r="F60" s="14">
        <v>0.1</v>
      </c>
      <c r="G60" s="12" t="s">
        <v>226</v>
      </c>
    </row>
    <row r="61" spans="1:7" x14ac:dyDescent="0.2">
      <c r="A61" s="11" t="s">
        <v>55</v>
      </c>
      <c r="B61" s="15" t="s">
        <v>188</v>
      </c>
      <c r="C61" s="12" t="str">
        <f>VLOOKUP(B61,'1_Subcategorias'!E:F,2,0)</f>
        <v>Prácticas de gestión de configuración establecidas y aplicadas</v>
      </c>
      <c r="D61" s="12" t="str">
        <f>VLOOKUP(B61,'1_Subcategorias'!E:H,4,0)</f>
        <v>PR.PS - Seguridad de plataforma</v>
      </c>
      <c r="E61" s="13" t="s">
        <v>138</v>
      </c>
      <c r="F61" s="14">
        <v>0.3</v>
      </c>
      <c r="G61" s="12" t="s">
        <v>190</v>
      </c>
    </row>
    <row r="62" spans="1:7" x14ac:dyDescent="0.2">
      <c r="A62" s="11" t="s">
        <v>55</v>
      </c>
      <c r="B62" s="15" t="s">
        <v>191</v>
      </c>
      <c r="C62" s="12" t="str">
        <f>VLOOKUP(B62,'1_Subcategorias'!E:F,2,0)</f>
        <v>Hardware mantenido, reemplazado y retirado según el riesgo</v>
      </c>
      <c r="D62" s="12" t="str">
        <f>VLOOKUP(B62,'1_Subcategorias'!E:H,4,0)</f>
        <v>PR.PS - Seguridad de plataforma</v>
      </c>
      <c r="E62" s="13" t="s">
        <v>138</v>
      </c>
      <c r="F62" s="14">
        <v>0.15</v>
      </c>
      <c r="G62" s="12" t="s">
        <v>193</v>
      </c>
    </row>
    <row r="63" spans="1:7" ht="26" x14ac:dyDescent="0.2">
      <c r="A63" s="11" t="s">
        <v>55</v>
      </c>
      <c r="B63" s="15" t="s">
        <v>194</v>
      </c>
      <c r="C63" s="12" t="str">
        <f>VLOOKUP(B63,'1_Subcategorias'!E:F,2,0)</f>
        <v>Acceso físico a los activos gestionado, monitoreado y exigido según el riesgo</v>
      </c>
      <c r="D63" s="12" t="str">
        <f>VLOOKUP(B63,'1_Subcategorias'!E:H,4,0)</f>
        <v>PR.AA - Identidad, autenticación y control de acceso</v>
      </c>
      <c r="E63" s="13" t="s">
        <v>138</v>
      </c>
      <c r="F63" s="14">
        <v>0.1</v>
      </c>
      <c r="G63" s="12" t="s">
        <v>196</v>
      </c>
    </row>
    <row r="64" spans="1:7" ht="26" x14ac:dyDescent="0.2">
      <c r="A64" s="11" t="s">
        <v>55</v>
      </c>
      <c r="B64" s="15" t="s">
        <v>143</v>
      </c>
      <c r="C64" s="12" t="str">
        <f>VLOOKUP(B64,'1_Subcategorias'!E:F,2,0)</f>
        <v>El entorno físico es monitoreado para hallar eventos potencialmente adversos</v>
      </c>
      <c r="D64" s="12" t="str">
        <f>VLOOKUP(B64,'1_Subcategorias'!E:H,4,0)</f>
        <v>DE.CM - Monitoreo continuo</v>
      </c>
      <c r="E64" s="13" t="s">
        <v>128</v>
      </c>
      <c r="F64" s="14">
        <v>0.45</v>
      </c>
      <c r="G64" s="12" t="s">
        <v>197</v>
      </c>
    </row>
    <row r="65" spans="1:7" ht="26" x14ac:dyDescent="0.2">
      <c r="A65" s="11" t="s">
        <v>57</v>
      </c>
      <c r="B65" s="15" t="s">
        <v>140</v>
      </c>
      <c r="C65" s="12" t="str">
        <f>VLOOKUP(B65,'1_Subcategorias'!E:F,2,0)</f>
        <v>Redes y servicios de red monitoreados para hallar eventos potencialmente adversos</v>
      </c>
      <c r="D65" s="12" t="str">
        <f>VLOOKUP(B65,'1_Subcategorias'!E:H,4,0)</f>
        <v>DE.CM - Monitoreo continuo</v>
      </c>
      <c r="E65" s="13" t="s">
        <v>128</v>
      </c>
      <c r="F65" s="14">
        <v>0.5</v>
      </c>
      <c r="G65" s="12" t="s">
        <v>227</v>
      </c>
    </row>
    <row r="66" spans="1:7" ht="26" x14ac:dyDescent="0.2">
      <c r="A66" s="11" t="s">
        <v>57</v>
      </c>
      <c r="B66" s="15" t="s">
        <v>130</v>
      </c>
      <c r="C66" s="12" t="str">
        <f>VLOOKUP(B66,'1_Subcategorias'!E:F,2,0)</f>
        <v>Eventos potencialmente adversos analizados para comprender mejor la actividad asociada</v>
      </c>
      <c r="D66" s="12" t="str">
        <f>VLOOKUP(B66,'1_Subcategorias'!E:H,4,0)</f>
        <v>DE.AE - Análisis de eventos adversos</v>
      </c>
      <c r="E66" s="13" t="s">
        <v>128</v>
      </c>
      <c r="F66" s="14">
        <v>0.3</v>
      </c>
      <c r="G66" s="12" t="s">
        <v>228</v>
      </c>
    </row>
    <row r="67" spans="1:7" ht="26" x14ac:dyDescent="0.2">
      <c r="A67" s="11" t="s">
        <v>57</v>
      </c>
      <c r="B67" s="15" t="s">
        <v>166</v>
      </c>
      <c r="C67" s="12" t="str">
        <f>VLOOKUP(B67,'1_Subcategorias'!E:F,2,0)</f>
        <v>El impacto y alcance estimados de los eventos adversos son comprendidos</v>
      </c>
      <c r="D67" s="12" t="str">
        <f>VLOOKUP(B67,'1_Subcategorias'!E:H,4,0)</f>
        <v>DE.AE - Análisis de eventos adversos</v>
      </c>
      <c r="E67" s="13" t="s">
        <v>128</v>
      </c>
      <c r="F67" s="14">
        <v>0.2</v>
      </c>
      <c r="G67" s="12" t="s">
        <v>229</v>
      </c>
    </row>
    <row r="68" spans="1:7" ht="26" x14ac:dyDescent="0.2">
      <c r="A68" s="11" t="s">
        <v>58</v>
      </c>
      <c r="B68" s="15" t="s">
        <v>194</v>
      </c>
      <c r="C68" s="12" t="str">
        <f>VLOOKUP(B68,'1_Subcategorias'!E:F,2,0)</f>
        <v>Acceso físico a los activos gestionado, monitoreado y exigido según el riesgo</v>
      </c>
      <c r="D68" s="12" t="str">
        <f>VLOOKUP(B68,'1_Subcategorias'!E:H,4,0)</f>
        <v>PR.AA - Identidad, autenticación y control de acceso</v>
      </c>
      <c r="E68" s="13" t="s">
        <v>138</v>
      </c>
      <c r="F68" s="14">
        <v>0.4</v>
      </c>
      <c r="G68" s="12" t="s">
        <v>230</v>
      </c>
    </row>
    <row r="69" spans="1:7" ht="26" x14ac:dyDescent="0.2">
      <c r="A69" s="11" t="s">
        <v>58</v>
      </c>
      <c r="B69" s="15" t="s">
        <v>222</v>
      </c>
      <c r="C69" s="12" t="str">
        <f>VLOOKUP(B69,'1_Subcategorias'!E:F,2,0)</f>
        <v>Identidades y credenciales de usuarios, servicios y hardware autorizados gestionadas por la organización</v>
      </c>
      <c r="D69" s="12" t="str">
        <f>VLOOKUP(B69,'1_Subcategorias'!E:H,4,0)</f>
        <v>PR.AA - Identidad, autenticación y control de acceso</v>
      </c>
      <c r="E69" s="13" t="s">
        <v>138</v>
      </c>
      <c r="F69" s="14">
        <v>0.25</v>
      </c>
      <c r="G69" s="12" t="s">
        <v>231</v>
      </c>
    </row>
    <row r="70" spans="1:7" x14ac:dyDescent="0.2">
      <c r="A70" s="11" t="s">
        <v>58</v>
      </c>
      <c r="B70" s="15" t="s">
        <v>183</v>
      </c>
      <c r="C70" s="12" t="str">
        <f>VLOOKUP(B70,'1_Subcategorias'!E:F,2,0)</f>
        <v>Registros de log generados y disponibles para monitoreo continuo</v>
      </c>
      <c r="D70" s="12" t="str">
        <f>VLOOKUP(B70,'1_Subcategorias'!E:H,4,0)</f>
        <v>PR.PS - Seguridad de plataforma</v>
      </c>
      <c r="E70" s="13" t="s">
        <v>138</v>
      </c>
      <c r="F70" s="14">
        <v>0.2</v>
      </c>
      <c r="G70" s="12" t="s">
        <v>232</v>
      </c>
    </row>
    <row r="71" spans="1:7" ht="26" x14ac:dyDescent="0.2">
      <c r="A71" s="11" t="s">
        <v>58</v>
      </c>
      <c r="B71" s="15" t="s">
        <v>143</v>
      </c>
      <c r="C71" s="12" t="str">
        <f>VLOOKUP(B71,'1_Subcategorias'!E:F,2,0)</f>
        <v>El entorno físico es monitoreado para hallar eventos potencialmente adversos</v>
      </c>
      <c r="D71" s="12" t="str">
        <f>VLOOKUP(B71,'1_Subcategorias'!E:H,4,0)</f>
        <v>DE.CM - Monitoreo continuo</v>
      </c>
      <c r="E71" s="13" t="s">
        <v>128</v>
      </c>
      <c r="F71" s="14">
        <v>0.15</v>
      </c>
      <c r="G71" s="12" t="s">
        <v>233</v>
      </c>
    </row>
    <row r="72" spans="1:7" x14ac:dyDescent="0.2">
      <c r="A72" s="11" t="s">
        <v>60</v>
      </c>
      <c r="B72" s="15" t="s">
        <v>214</v>
      </c>
      <c r="C72" s="12" t="str">
        <f>VLOOKUP(B72,'1_Subcategorias'!E:F,2,0)</f>
        <v>Instalación y ejecución de software no autorizado son prevenidas</v>
      </c>
      <c r="D72" s="12" t="str">
        <f>VLOOKUP(B72,'1_Subcategorias'!E:H,4,0)</f>
        <v>PR.PS - Seguridad de plataforma</v>
      </c>
      <c r="E72" s="13" t="s">
        <v>138</v>
      </c>
      <c r="F72" s="14">
        <v>0.15</v>
      </c>
      <c r="G72" s="12" t="s">
        <v>234</v>
      </c>
    </row>
    <row r="73" spans="1:7" x14ac:dyDescent="0.2">
      <c r="A73" s="11" t="s">
        <v>60</v>
      </c>
      <c r="B73" s="15" t="s">
        <v>188</v>
      </c>
      <c r="C73" s="12" t="str">
        <f>VLOOKUP(B73,'1_Subcategorias'!E:F,2,0)</f>
        <v>Prácticas de gestión de configuración establecidas y aplicadas</v>
      </c>
      <c r="D73" s="12" t="str">
        <f>VLOOKUP(B73,'1_Subcategorias'!E:H,4,0)</f>
        <v>PR.PS - Seguridad de plataforma</v>
      </c>
      <c r="E73" s="13" t="s">
        <v>138</v>
      </c>
      <c r="F73" s="14">
        <v>0.1</v>
      </c>
      <c r="G73" s="12" t="s">
        <v>235</v>
      </c>
    </row>
    <row r="74" spans="1:7" ht="26" x14ac:dyDescent="0.2">
      <c r="A74" s="11" t="s">
        <v>60</v>
      </c>
      <c r="B74" s="15" t="s">
        <v>127</v>
      </c>
      <c r="C74" s="12" t="str">
        <f>VLOOKUP(B74,'1_Subcategorias'!E:F,2,0)</f>
        <v>Hardware y software de cómputo, entornos de ejecución y sus datos monitoreados para hallar eventos adversos</v>
      </c>
      <c r="D74" s="12" t="str">
        <f>VLOOKUP(B74,'1_Subcategorias'!E:H,4,0)</f>
        <v>DE.CM - Monitoreo continuo</v>
      </c>
      <c r="E74" s="13" t="s">
        <v>128</v>
      </c>
      <c r="F74" s="14">
        <v>0.3</v>
      </c>
      <c r="G74" s="12" t="s">
        <v>236</v>
      </c>
    </row>
    <row r="75" spans="1:7" ht="26" x14ac:dyDescent="0.2">
      <c r="A75" s="11" t="s">
        <v>60</v>
      </c>
      <c r="B75" s="15" t="s">
        <v>130</v>
      </c>
      <c r="C75" s="12" t="str">
        <f>VLOOKUP(B75,'1_Subcategorias'!E:F,2,0)</f>
        <v>Eventos potencialmente adversos analizados para comprender mejor la actividad asociada</v>
      </c>
      <c r="D75" s="12" t="str">
        <f>VLOOKUP(B75,'1_Subcategorias'!E:H,4,0)</f>
        <v>DE.AE - Análisis de eventos adversos</v>
      </c>
      <c r="E75" s="13" t="s">
        <v>128</v>
      </c>
      <c r="F75" s="14">
        <v>0.15</v>
      </c>
      <c r="G75" s="12" t="s">
        <v>237</v>
      </c>
    </row>
    <row r="76" spans="1:7" x14ac:dyDescent="0.2">
      <c r="A76" s="11" t="s">
        <v>60</v>
      </c>
      <c r="B76" s="15" t="s">
        <v>132</v>
      </c>
      <c r="C76" s="12" t="str">
        <f>VLOOKUP(B76,'1_Subcategorias'!E:F,2,0)</f>
        <v>Los incidentes son contenidos</v>
      </c>
      <c r="D76" s="12" t="str">
        <f>VLOOKUP(B76,'1_Subcategorias'!E:H,4,0)</f>
        <v>RS.MI - Mitigación del incidente</v>
      </c>
      <c r="E76" s="13" t="s">
        <v>134</v>
      </c>
      <c r="F76" s="14">
        <v>0.3</v>
      </c>
      <c r="G76" s="12" t="s">
        <v>238</v>
      </c>
    </row>
    <row r="77" spans="1:7" ht="26" x14ac:dyDescent="0.2">
      <c r="A77" s="11" t="s">
        <v>64</v>
      </c>
      <c r="B77" s="15" t="s">
        <v>161</v>
      </c>
      <c r="C77" s="12" t="str">
        <f>VLOOKUP(B77,'1_Subcategorias'!E:F,2,0)</f>
        <v>Usuarios, servicios y hardware son autenticados</v>
      </c>
      <c r="D77" s="12" t="str">
        <f>VLOOKUP(B77,'1_Subcategorias'!E:H,4,0)</f>
        <v>PR.AA - Identidad, autenticación y control de acceso</v>
      </c>
      <c r="E77" s="13" t="s">
        <v>138</v>
      </c>
      <c r="F77" s="14">
        <v>0.6</v>
      </c>
      <c r="G77" s="12" t="s">
        <v>239</v>
      </c>
    </row>
    <row r="78" spans="1:7" ht="26" x14ac:dyDescent="0.2">
      <c r="A78" s="11" t="s">
        <v>64</v>
      </c>
      <c r="B78" s="15" t="s">
        <v>222</v>
      </c>
      <c r="C78" s="12" t="str">
        <f>VLOOKUP(B78,'1_Subcategorias'!E:F,2,0)</f>
        <v>Identidades y credenciales de usuarios, servicios y hardware autorizados gestionadas por la organización</v>
      </c>
      <c r="D78" s="12" t="str">
        <f>VLOOKUP(B78,'1_Subcategorias'!E:H,4,0)</f>
        <v>PR.AA - Identidad, autenticación y control de acceso</v>
      </c>
      <c r="E78" s="13" t="s">
        <v>138</v>
      </c>
      <c r="F78" s="14">
        <v>0.25</v>
      </c>
      <c r="G78" s="12" t="s">
        <v>240</v>
      </c>
    </row>
    <row r="79" spans="1:7" ht="39" x14ac:dyDescent="0.2">
      <c r="A79" s="11" t="s">
        <v>64</v>
      </c>
      <c r="B79" s="15" t="s">
        <v>178</v>
      </c>
      <c r="C79" s="12" t="str">
        <f>VLOOKUP(B79,'1_Subcategorias'!E:F,2,0)</f>
        <v>Permisos y autorizaciones definidos en política, gestionados, exigidos y revisados, con mínimo privilegio y segregación de funciones</v>
      </c>
      <c r="D79" s="12" t="str">
        <f>VLOOKUP(B79,'1_Subcategorias'!E:H,4,0)</f>
        <v>PR.AA - Identidad, autenticación y control de acceso</v>
      </c>
      <c r="E79" s="13" t="s">
        <v>138</v>
      </c>
      <c r="F79" s="14">
        <v>0.15</v>
      </c>
      <c r="G79" s="12" t="s">
        <v>241</v>
      </c>
    </row>
    <row r="80" spans="1:7" ht="26" x14ac:dyDescent="0.2">
      <c r="A80" s="11" t="s">
        <v>65</v>
      </c>
      <c r="B80" s="15" t="s">
        <v>194</v>
      </c>
      <c r="C80" s="12" t="str">
        <f>VLOOKUP(B80,'1_Subcategorias'!E:F,2,0)</f>
        <v>Acceso físico a los activos gestionado, monitoreado y exigido según el riesgo</v>
      </c>
      <c r="D80" s="12" t="str">
        <f>VLOOKUP(B80,'1_Subcategorias'!E:H,4,0)</f>
        <v>PR.AA - Identidad, autenticación y control de acceso</v>
      </c>
      <c r="E80" s="13" t="s">
        <v>138</v>
      </c>
      <c r="F80" s="14">
        <v>0.6</v>
      </c>
      <c r="G80" s="12" t="s">
        <v>407</v>
      </c>
    </row>
    <row r="81" spans="1:7" ht="26" x14ac:dyDescent="0.2">
      <c r="A81" s="11" t="s">
        <v>65</v>
      </c>
      <c r="B81" s="15" t="s">
        <v>161</v>
      </c>
      <c r="C81" s="12" t="str">
        <f>VLOOKUP(B81,'1_Subcategorias'!E:F,2,0)</f>
        <v>Usuarios, servicios y hardware son autenticados</v>
      </c>
      <c r="D81" s="12" t="str">
        <f>VLOOKUP(B81,'1_Subcategorias'!E:H,4,0)</f>
        <v>PR.AA - Identidad, autenticación y control de acceso</v>
      </c>
      <c r="E81" s="13" t="s">
        <v>138</v>
      </c>
      <c r="F81" s="14">
        <v>0.25</v>
      </c>
      <c r="G81" s="12" t="s">
        <v>242</v>
      </c>
    </row>
    <row r="82" spans="1:7" ht="26" x14ac:dyDescent="0.2">
      <c r="A82" s="11" t="s">
        <v>65</v>
      </c>
      <c r="B82" s="15" t="s">
        <v>143</v>
      </c>
      <c r="C82" s="12" t="str">
        <f>VLOOKUP(B82,'1_Subcategorias'!E:F,2,0)</f>
        <v>El entorno físico es monitoreado para hallar eventos potencialmente adversos</v>
      </c>
      <c r="D82" s="12" t="str">
        <f>VLOOKUP(B82,'1_Subcategorias'!E:H,4,0)</f>
        <v>DE.CM - Monitoreo continuo</v>
      </c>
      <c r="E82" s="13" t="s">
        <v>128</v>
      </c>
      <c r="F82" s="14">
        <v>0.15</v>
      </c>
      <c r="G82" s="12" t="s">
        <v>243</v>
      </c>
    </row>
    <row r="83" spans="1:7" ht="30" x14ac:dyDescent="0.2">
      <c r="A83" s="11" t="s">
        <v>66</v>
      </c>
      <c r="B83" s="15" t="s">
        <v>168</v>
      </c>
      <c r="C83" s="12" t="str">
        <f>VLOOKUP(B83,'1_Subcategorias'!E:F,2,0)</f>
        <v>Sistemas, hardware, software, servicios y datos gestionados en todo su ciclo de vida</v>
      </c>
      <c r="D83" s="12" t="str">
        <f>VLOOKUP(B83,'1_Subcategorias'!E:H,4,0)</f>
        <v>ID.AM - Gestión de activos</v>
      </c>
      <c r="E83" s="13" t="s">
        <v>125</v>
      </c>
      <c r="F83" s="14">
        <v>0.15</v>
      </c>
      <c r="G83" s="12" t="s">
        <v>244</v>
      </c>
    </row>
    <row r="84" spans="1:7" ht="30" x14ac:dyDescent="0.2">
      <c r="A84" s="11" t="s">
        <v>66</v>
      </c>
      <c r="B84" s="15" t="s">
        <v>172</v>
      </c>
      <c r="C84" s="12" t="str">
        <f>VLOOKUP(B84,'1_Subcategorias'!E:F,2,0)</f>
        <v>Aserciones de identidad protegidas, transmitidas y verificadas</v>
      </c>
      <c r="D84" s="12" t="str">
        <f>VLOOKUP(B84,'1_Subcategorias'!E:H,4,0)</f>
        <v>PR.AA - Identidad, autenticación y control de acceso</v>
      </c>
      <c r="E84" s="13" t="s">
        <v>138</v>
      </c>
      <c r="F84" s="14">
        <v>0.35</v>
      </c>
      <c r="G84" s="12" t="s">
        <v>245</v>
      </c>
    </row>
    <row r="85" spans="1:7" ht="30" x14ac:dyDescent="0.2">
      <c r="A85" s="11" t="s">
        <v>66</v>
      </c>
      <c r="B85" s="15" t="s">
        <v>155</v>
      </c>
      <c r="C85" s="12" t="str">
        <f>VLOOKUP(B85,'1_Subcategorias'!E:F,2,0)</f>
        <v>Confidencialidad, integridad y disponibilidad del dato en tránsito protegidas</v>
      </c>
      <c r="D85" s="12" t="str">
        <f>VLOOKUP(B85,'1_Subcategorias'!E:H,4,0)</f>
        <v>PR.DS - Seguridad de datos</v>
      </c>
      <c r="E85" s="13" t="s">
        <v>138</v>
      </c>
      <c r="F85" s="14">
        <v>0.3</v>
      </c>
      <c r="G85" s="12" t="s">
        <v>246</v>
      </c>
    </row>
    <row r="86" spans="1:7" ht="30" x14ac:dyDescent="0.2">
      <c r="A86" s="11" t="s">
        <v>66</v>
      </c>
      <c r="B86" s="15" t="s">
        <v>161</v>
      </c>
      <c r="C86" s="12" t="str">
        <f>VLOOKUP(B86,'1_Subcategorias'!E:F,2,0)</f>
        <v>Usuarios, servicios y hardware son autenticados</v>
      </c>
      <c r="D86" s="12" t="str">
        <f>VLOOKUP(B86,'1_Subcategorias'!E:H,4,0)</f>
        <v>PR.AA - Identidad, autenticación y control de acceso</v>
      </c>
      <c r="E86" s="13" t="s">
        <v>138</v>
      </c>
      <c r="F86" s="14">
        <v>0.2</v>
      </c>
      <c r="G86" s="12" t="s">
        <v>247</v>
      </c>
    </row>
    <row r="87" spans="1:7" ht="26" x14ac:dyDescent="0.2">
      <c r="A87" s="11" t="s">
        <v>69</v>
      </c>
      <c r="B87" s="15" t="s">
        <v>248</v>
      </c>
      <c r="C87" s="12" t="str">
        <f>VLOOKUP(B87,'1_Subcategorias'!E:F,2,0)</f>
        <v>Identidades verificadas y vinculadas a credenciales según el contexto de las interacciones</v>
      </c>
      <c r="D87" s="12" t="str">
        <f>VLOOKUP(B87,'1_Subcategorias'!E:H,4,0)</f>
        <v>PR.AA - Identidad, autenticación y control de acceso</v>
      </c>
      <c r="E87" s="13" t="s">
        <v>138</v>
      </c>
      <c r="F87" s="14">
        <v>0.45</v>
      </c>
      <c r="G87" s="12" t="s">
        <v>398</v>
      </c>
    </row>
    <row r="88" spans="1:7" ht="26" x14ac:dyDescent="0.2">
      <c r="A88" s="11" t="s">
        <v>69</v>
      </c>
      <c r="B88" s="15" t="s">
        <v>161</v>
      </c>
      <c r="C88" s="12" t="str">
        <f>VLOOKUP(B88,'1_Subcategorias'!E:F,2,0)</f>
        <v>Usuarios, servicios y hardware son autenticados</v>
      </c>
      <c r="D88" s="12" t="str">
        <f>VLOOKUP(B88,'1_Subcategorias'!E:H,4,0)</f>
        <v>PR.AA - Identidad, autenticación y control de acceso</v>
      </c>
      <c r="E88" s="13" t="s">
        <v>138</v>
      </c>
      <c r="F88" s="14">
        <v>0.35</v>
      </c>
      <c r="G88" s="12" t="s">
        <v>399</v>
      </c>
    </row>
    <row r="89" spans="1:7" ht="26" x14ac:dyDescent="0.2">
      <c r="A89" s="11" t="s">
        <v>69</v>
      </c>
      <c r="B89" s="15" t="s">
        <v>222</v>
      </c>
      <c r="C89" s="12" t="str">
        <f>VLOOKUP(B89,'1_Subcategorias'!E:F,2,0)</f>
        <v>Identidades y credenciales de usuarios, servicios y hardware autorizados gestionadas por la organización</v>
      </c>
      <c r="D89" s="12" t="str">
        <f>VLOOKUP(B89,'1_Subcategorias'!E:H,4,0)</f>
        <v>PR.AA - Identidad, autenticación y control de acceso</v>
      </c>
      <c r="E89" s="13" t="s">
        <v>138</v>
      </c>
      <c r="F89" s="14">
        <v>0.2</v>
      </c>
      <c r="G89" s="12" t="s">
        <v>249</v>
      </c>
    </row>
    <row r="90" spans="1:7" ht="26" x14ac:dyDescent="0.2">
      <c r="A90" s="11" t="s">
        <v>70</v>
      </c>
      <c r="B90" s="15" t="s">
        <v>429</v>
      </c>
      <c r="C90" s="12" t="str">
        <f>VLOOKUP(B90,'1_Subcategorias'!E:F,2,0)</f>
        <v>Representaciones de la comunicación de red autorizada y flujos de datos internos y externos mantenidas</v>
      </c>
      <c r="D90" s="12" t="str">
        <f>VLOOKUP(B90,'1_Subcategorias'!E:H,4,0)</f>
        <v>ID.AM - Gestión de activos</v>
      </c>
      <c r="E90" s="13" t="s">
        <v>125</v>
      </c>
      <c r="F90" s="14">
        <v>0.2</v>
      </c>
      <c r="G90" s="12" t="s">
        <v>430</v>
      </c>
    </row>
    <row r="91" spans="1:7" x14ac:dyDescent="0.2">
      <c r="A91" s="11" t="s">
        <v>70</v>
      </c>
      <c r="B91" s="15" t="s">
        <v>188</v>
      </c>
      <c r="C91" s="12" t="str">
        <f>VLOOKUP(B91,'1_Subcategorias'!E:F,2,0)</f>
        <v>Prácticas de gestión de configuración establecidas y aplicadas</v>
      </c>
      <c r="D91" s="12" t="str">
        <f>VLOOKUP(B91,'1_Subcategorias'!E:H,4,0)</f>
        <v>PR.PS - Seguridad de plataforma</v>
      </c>
      <c r="E91" s="13" t="s">
        <v>138</v>
      </c>
      <c r="F91" s="14">
        <v>0.4</v>
      </c>
      <c r="G91" s="12" t="s">
        <v>428</v>
      </c>
    </row>
    <row r="92" spans="1:7" x14ac:dyDescent="0.2">
      <c r="A92" s="11" t="s">
        <v>70</v>
      </c>
      <c r="B92" s="15" t="s">
        <v>250</v>
      </c>
      <c r="C92" s="12" t="str">
        <f>VLOOKUP(B92,'1_Subcategorias'!E:F,2,0)</f>
        <v>Mejoras identificadas a partir de evaluaciones</v>
      </c>
      <c r="D92" s="12" t="str">
        <f>VLOOKUP(B92,'1_Subcategorias'!E:H,4,0)</f>
        <v>ID.IM - Mejora</v>
      </c>
      <c r="E92" s="13" t="s">
        <v>125</v>
      </c>
      <c r="F92" s="14">
        <v>0.2</v>
      </c>
      <c r="G92" s="12" t="s">
        <v>252</v>
      </c>
    </row>
    <row r="93" spans="1:7" ht="26" x14ac:dyDescent="0.2">
      <c r="A93" s="11" t="s">
        <v>70</v>
      </c>
      <c r="B93" s="15" t="s">
        <v>136</v>
      </c>
      <c r="C93" s="12" t="str">
        <f>VLOOKUP(B93,'1_Subcategorias'!E:F,2,0)</f>
        <v>Redes y entornos protegidos de acceso y uso lógico no autorizado</v>
      </c>
      <c r="D93" s="12" t="str">
        <f>VLOOKUP(B93,'1_Subcategorias'!E:H,4,0)</f>
        <v>PR.IR - Resiliencia de la infraestructura tecnológica</v>
      </c>
      <c r="E93" s="13" t="s">
        <v>138</v>
      </c>
      <c r="F93" s="14">
        <v>0.2</v>
      </c>
      <c r="G93" s="12" t="s">
        <v>253</v>
      </c>
    </row>
    <row r="94" spans="1:7" ht="26" x14ac:dyDescent="0.2">
      <c r="A94" s="11" t="s">
        <v>71</v>
      </c>
      <c r="B94" s="15" t="s">
        <v>158</v>
      </c>
      <c r="C94" s="12" t="str">
        <f>VLOOKUP(B94,'1_Subcategorias'!E:F,2,0)</f>
        <v>Confidencialidad, integridad y disponibilidad del dato en uso protegidas</v>
      </c>
      <c r="D94" s="12" t="str">
        <f>VLOOKUP(B94,'1_Subcategorias'!E:H,4,0)</f>
        <v>PR.DS - Seguridad de datos</v>
      </c>
      <c r="E94" s="13" t="s">
        <v>138</v>
      </c>
      <c r="F94" s="14">
        <v>0.65</v>
      </c>
      <c r="G94" s="12" t="s">
        <v>254</v>
      </c>
    </row>
    <row r="95" spans="1:7" ht="26" x14ac:dyDescent="0.2">
      <c r="A95" s="11" t="s">
        <v>71</v>
      </c>
      <c r="B95" s="15" t="s">
        <v>127</v>
      </c>
      <c r="C95" s="12" t="str">
        <f>VLOOKUP(B95,'1_Subcategorias'!E:F,2,0)</f>
        <v>Hardware y software de cómputo, entornos de ejecución y sus datos monitoreados para hallar eventos adversos</v>
      </c>
      <c r="D95" s="12" t="str">
        <f>VLOOKUP(B95,'1_Subcategorias'!E:H,4,0)</f>
        <v>DE.CM - Monitoreo continuo</v>
      </c>
      <c r="E95" s="13" t="s">
        <v>128</v>
      </c>
      <c r="F95" s="14">
        <v>0.2</v>
      </c>
      <c r="G95" s="12" t="s">
        <v>255</v>
      </c>
    </row>
    <row r="96" spans="1:7" x14ac:dyDescent="0.2">
      <c r="A96" s="11" t="s">
        <v>71</v>
      </c>
      <c r="B96" s="15" t="s">
        <v>132</v>
      </c>
      <c r="C96" s="12" t="str">
        <f>VLOOKUP(B96,'1_Subcategorias'!E:F,2,0)</f>
        <v>Los incidentes son contenidos</v>
      </c>
      <c r="D96" s="12" t="str">
        <f>VLOOKUP(B96,'1_Subcategorias'!E:H,4,0)</f>
        <v>RS.MI - Mitigación del incidente</v>
      </c>
      <c r="E96" s="13" t="s">
        <v>134</v>
      </c>
      <c r="F96" s="14">
        <v>0.15</v>
      </c>
      <c r="G96" s="12" t="s">
        <v>256</v>
      </c>
    </row>
    <row r="97" spans="1:7" ht="26" x14ac:dyDescent="0.2">
      <c r="A97" s="11" t="s">
        <v>72</v>
      </c>
      <c r="B97" s="15" t="s">
        <v>168</v>
      </c>
      <c r="C97" s="12" t="str">
        <f>VLOOKUP(B97,'1_Subcategorias'!E:F,2,0)</f>
        <v>Sistemas, hardware, software, servicios y datos gestionados en todo su ciclo de vida</v>
      </c>
      <c r="D97" s="12" t="str">
        <f>VLOOKUP(B97,'1_Subcategorias'!E:H,4,0)</f>
        <v>ID.AM - Gestión de activos</v>
      </c>
      <c r="E97" s="13" t="s">
        <v>125</v>
      </c>
      <c r="F97" s="14">
        <v>0.1</v>
      </c>
      <c r="G97" s="12" t="s">
        <v>257</v>
      </c>
    </row>
    <row r="98" spans="1:7" ht="26" x14ac:dyDescent="0.2">
      <c r="A98" s="11" t="s">
        <v>72</v>
      </c>
      <c r="B98" s="15" t="s">
        <v>222</v>
      </c>
      <c r="C98" s="12" t="str">
        <f>VLOOKUP(B98,'1_Subcategorias'!E:F,2,0)</f>
        <v>Identidades y credenciales de usuarios, servicios y hardware autorizados gestionadas por la organización</v>
      </c>
      <c r="D98" s="12" t="str">
        <f>VLOOKUP(B98,'1_Subcategorias'!E:H,4,0)</f>
        <v>PR.AA - Identidad, autenticación y control de acceso</v>
      </c>
      <c r="E98" s="13" t="s">
        <v>138</v>
      </c>
      <c r="F98" s="14">
        <v>0.35</v>
      </c>
      <c r="G98" s="12" t="s">
        <v>258</v>
      </c>
    </row>
    <row r="99" spans="1:7" ht="39" x14ac:dyDescent="0.2">
      <c r="A99" s="11" t="s">
        <v>72</v>
      </c>
      <c r="B99" s="15" t="s">
        <v>178</v>
      </c>
      <c r="C99" s="12" t="str">
        <f>VLOOKUP(B99,'1_Subcategorias'!E:F,2,0)</f>
        <v>Permisos y autorizaciones definidos en política, gestionados, exigidos y revisados, con mínimo privilegio y segregación de funciones</v>
      </c>
      <c r="D99" s="12" t="str">
        <f>VLOOKUP(B99,'1_Subcategorias'!E:H,4,0)</f>
        <v>PR.AA - Identidad, autenticación y control de acceso</v>
      </c>
      <c r="E99" s="13" t="s">
        <v>138</v>
      </c>
      <c r="F99" s="14">
        <v>0.35</v>
      </c>
      <c r="G99" s="12" t="s">
        <v>259</v>
      </c>
    </row>
    <row r="100" spans="1:7" ht="26" x14ac:dyDescent="0.2">
      <c r="A100" s="11" t="s">
        <v>72</v>
      </c>
      <c r="B100" s="15" t="s">
        <v>161</v>
      </c>
      <c r="C100" s="12" t="str">
        <f>VLOOKUP(B100,'1_Subcategorias'!E:F,2,0)</f>
        <v>Usuarios, servicios y hardware son autenticados</v>
      </c>
      <c r="D100" s="12" t="str">
        <f>VLOOKUP(B100,'1_Subcategorias'!E:H,4,0)</f>
        <v>PR.AA - Identidad, autenticación y control de acceso</v>
      </c>
      <c r="E100" s="13" t="s">
        <v>138</v>
      </c>
      <c r="F100" s="14">
        <v>0.2</v>
      </c>
      <c r="G100" s="12" t="s">
        <v>260</v>
      </c>
    </row>
    <row r="101" spans="1:7" ht="26" x14ac:dyDescent="0.2">
      <c r="A101" s="11" t="s">
        <v>74</v>
      </c>
      <c r="B101" s="15" t="s">
        <v>136</v>
      </c>
      <c r="C101" s="12" t="str">
        <f>VLOOKUP(B101,'1_Subcategorias'!E:F,2,0)</f>
        <v>Redes y entornos protegidos de acceso y uso lógico no autorizado</v>
      </c>
      <c r="D101" s="12" t="str">
        <f>VLOOKUP(B101,'1_Subcategorias'!E:H,4,0)</f>
        <v>PR.IR - Resiliencia de la infraestructura tecnológica</v>
      </c>
      <c r="E101" s="13" t="s">
        <v>138</v>
      </c>
      <c r="F101" s="14">
        <v>0.45</v>
      </c>
      <c r="G101" s="12" t="s">
        <v>261</v>
      </c>
    </row>
    <row r="102" spans="1:7" ht="26" x14ac:dyDescent="0.2">
      <c r="A102" s="11" t="s">
        <v>74</v>
      </c>
      <c r="B102" s="15" t="s">
        <v>140</v>
      </c>
      <c r="C102" s="12" t="str">
        <f>VLOOKUP(B102,'1_Subcategorias'!E:F,2,0)</f>
        <v>Redes y servicios de red monitoreados para hallar eventos potencialmente adversos</v>
      </c>
      <c r="D102" s="12" t="str">
        <f>VLOOKUP(B102,'1_Subcategorias'!E:H,4,0)</f>
        <v>DE.CM - Monitoreo continuo</v>
      </c>
      <c r="E102" s="13" t="s">
        <v>128</v>
      </c>
      <c r="F102" s="14">
        <v>0.3</v>
      </c>
      <c r="G102" s="12" t="s">
        <v>262</v>
      </c>
    </row>
    <row r="103" spans="1:7" ht="26" x14ac:dyDescent="0.2">
      <c r="A103" s="11" t="s">
        <v>74</v>
      </c>
      <c r="B103" s="15" t="s">
        <v>130</v>
      </c>
      <c r="C103" s="12" t="str">
        <f>VLOOKUP(B103,'1_Subcategorias'!E:F,2,0)</f>
        <v>Eventos potencialmente adversos analizados para comprender mejor la actividad asociada</v>
      </c>
      <c r="D103" s="12" t="str">
        <f>VLOOKUP(B103,'1_Subcategorias'!E:H,4,0)</f>
        <v>DE.AE - Análisis de eventos adversos</v>
      </c>
      <c r="E103" s="13" t="s">
        <v>128</v>
      </c>
      <c r="F103" s="14">
        <v>0.15</v>
      </c>
      <c r="G103" s="12" t="s">
        <v>263</v>
      </c>
    </row>
    <row r="104" spans="1:7" ht="26" x14ac:dyDescent="0.2">
      <c r="A104" s="11" t="s">
        <v>74</v>
      </c>
      <c r="B104" s="15" t="s">
        <v>132</v>
      </c>
      <c r="C104" s="12" t="str">
        <f>VLOOKUP(B104,'1_Subcategorias'!E:F,2,0)</f>
        <v>Los incidentes son contenidos</v>
      </c>
      <c r="D104" s="12" t="str">
        <f>VLOOKUP(B104,'1_Subcategorias'!E:H,4,0)</f>
        <v>RS.MI - Mitigación del incidente</v>
      </c>
      <c r="E104" s="13" t="s">
        <v>134</v>
      </c>
      <c r="F104" s="14">
        <v>0.1</v>
      </c>
      <c r="G104" s="12" t="s">
        <v>264</v>
      </c>
    </row>
    <row r="105" spans="1:7" x14ac:dyDescent="0.2">
      <c r="A105" s="11" t="s">
        <v>77</v>
      </c>
      <c r="B105" s="15" t="s">
        <v>265</v>
      </c>
      <c r="C105" s="12" t="str">
        <f>VLOOKUP(B105,'1_Subcategorias'!E:F,2,0)</f>
        <v>Inventarios de hardware administrado son mantenidos</v>
      </c>
      <c r="D105" s="12" t="str">
        <f>VLOOKUP(B105,'1_Subcategorias'!E:H,4,0)</f>
        <v>ID.AM - Gestión de activos</v>
      </c>
      <c r="E105" s="13" t="s">
        <v>125</v>
      </c>
      <c r="F105" s="14">
        <v>0.15</v>
      </c>
      <c r="G105" s="12" t="s">
        <v>267</v>
      </c>
    </row>
    <row r="106" spans="1:7" ht="39" x14ac:dyDescent="0.2">
      <c r="A106" s="11" t="s">
        <v>77</v>
      </c>
      <c r="B106" s="15" t="s">
        <v>178</v>
      </c>
      <c r="C106" s="12" t="str">
        <f>VLOOKUP(B106,'1_Subcategorias'!E:F,2,0)</f>
        <v>Permisos y autorizaciones definidos en política, gestionados, exigidos y revisados, con mínimo privilegio y segregación de funciones</v>
      </c>
      <c r="D106" s="12" t="str">
        <f>VLOOKUP(B106,'1_Subcategorias'!E:H,4,0)</f>
        <v>PR.AA - Identidad, autenticación y control de acceso</v>
      </c>
      <c r="E106" s="13" t="s">
        <v>138</v>
      </c>
      <c r="F106" s="14">
        <v>0.3</v>
      </c>
      <c r="G106" s="12" t="s">
        <v>268</v>
      </c>
    </row>
    <row r="107" spans="1:7" ht="26" x14ac:dyDescent="0.2">
      <c r="A107" s="11" t="s">
        <v>77</v>
      </c>
      <c r="B107" s="15" t="s">
        <v>136</v>
      </c>
      <c r="C107" s="12" t="str">
        <f>VLOOKUP(B107,'1_Subcategorias'!E:F,2,0)</f>
        <v>Redes y entornos protegidos de acceso y uso lógico no autorizado</v>
      </c>
      <c r="D107" s="12" t="str">
        <f>VLOOKUP(B107,'1_Subcategorias'!E:H,4,0)</f>
        <v>PR.IR - Resiliencia de la infraestructura tecnológica</v>
      </c>
      <c r="E107" s="13" t="s">
        <v>138</v>
      </c>
      <c r="F107" s="14">
        <v>0.3</v>
      </c>
      <c r="G107" s="12" t="s">
        <v>269</v>
      </c>
    </row>
    <row r="108" spans="1:7" ht="26" x14ac:dyDescent="0.2">
      <c r="A108" s="11" t="s">
        <v>77</v>
      </c>
      <c r="B108" s="15" t="s">
        <v>161</v>
      </c>
      <c r="C108" s="12" t="str">
        <f>VLOOKUP(B108,'1_Subcategorias'!E:F,2,0)</f>
        <v>Usuarios, servicios y hardware son autenticados</v>
      </c>
      <c r="D108" s="12" t="str">
        <f>VLOOKUP(B108,'1_Subcategorias'!E:H,4,0)</f>
        <v>PR.AA - Identidad, autenticación y control de acceso</v>
      </c>
      <c r="E108" s="13" t="s">
        <v>138</v>
      </c>
      <c r="F108" s="14">
        <v>0.25</v>
      </c>
      <c r="G108" s="12" t="s">
        <v>270</v>
      </c>
    </row>
    <row r="109" spans="1:7" ht="26" x14ac:dyDescent="0.2">
      <c r="A109" s="11" t="s">
        <v>80</v>
      </c>
      <c r="B109" s="15" t="s">
        <v>222</v>
      </c>
      <c r="C109" s="12" t="str">
        <f>VLOOKUP(B109,'1_Subcategorias'!E:F,2,0)</f>
        <v>Identidades y credenciales de usuarios, servicios y hardware autorizados gestionadas por la organización</v>
      </c>
      <c r="D109" s="12" t="str">
        <f>VLOOKUP(B109,'1_Subcategorias'!E:H,4,0)</f>
        <v>PR.AA - Identidad, autenticación y control de acceso</v>
      </c>
      <c r="E109" s="13" t="s">
        <v>138</v>
      </c>
      <c r="F109" s="14">
        <v>0.45</v>
      </c>
      <c r="G109" s="12" t="s">
        <v>271</v>
      </c>
    </row>
    <row r="110" spans="1:7" ht="26" x14ac:dyDescent="0.2">
      <c r="A110" s="11" t="s">
        <v>80</v>
      </c>
      <c r="B110" s="15" t="s">
        <v>152</v>
      </c>
      <c r="C110" s="12" t="str">
        <f>VLOOKUP(B110,'1_Subcategorias'!E:F,2,0)</f>
        <v>Confidencialidad, integridad y disponibilidad del dato en reposo protegidas</v>
      </c>
      <c r="D110" s="12" t="str">
        <f>VLOOKUP(B110,'1_Subcategorias'!E:H,4,0)</f>
        <v>PR.DS - Seguridad de datos</v>
      </c>
      <c r="E110" s="13" t="s">
        <v>138</v>
      </c>
      <c r="F110" s="14">
        <v>0.3</v>
      </c>
      <c r="G110" s="12" t="s">
        <v>272</v>
      </c>
    </row>
    <row r="111" spans="1:7" ht="39" x14ac:dyDescent="0.2">
      <c r="A111" s="11" t="s">
        <v>80</v>
      </c>
      <c r="B111" s="15" t="s">
        <v>178</v>
      </c>
      <c r="C111" s="12" t="str">
        <f>VLOOKUP(B111,'1_Subcategorias'!E:F,2,0)</f>
        <v>Permisos y autorizaciones definidos en política, gestionados, exigidos y revisados, con mínimo privilegio y segregación de funciones</v>
      </c>
      <c r="D111" s="12" t="str">
        <f>VLOOKUP(B111,'1_Subcategorias'!E:H,4,0)</f>
        <v>PR.AA - Identidad, autenticación y control de acceso</v>
      </c>
      <c r="E111" s="13" t="s">
        <v>138</v>
      </c>
      <c r="F111" s="14">
        <v>0.25</v>
      </c>
      <c r="G111" s="12" t="s">
        <v>273</v>
      </c>
    </row>
    <row r="112" spans="1:7" ht="26" x14ac:dyDescent="0.2">
      <c r="A112" s="11" t="s">
        <v>82</v>
      </c>
      <c r="B112" s="15" t="s">
        <v>274</v>
      </c>
      <c r="C112" s="12" t="str">
        <f>VLOOKUP(B112,'1_Subcategorias'!E:F,2,0)</f>
        <v>Mejoras identificadas de pruebas y ejercicios de seguridad, incluidos los coordinados con terceros</v>
      </c>
      <c r="D112" s="12" t="str">
        <f>VLOOKUP(B112,'1_Subcategorias'!E:H,4,0)</f>
        <v>ID.IM - Mejora</v>
      </c>
      <c r="E112" s="13" t="s">
        <v>125</v>
      </c>
      <c r="F112" s="14">
        <v>0.2</v>
      </c>
      <c r="G112" s="12" t="s">
        <v>275</v>
      </c>
    </row>
    <row r="113" spans="1:7" ht="26" x14ac:dyDescent="0.2">
      <c r="A113" s="11" t="s">
        <v>82</v>
      </c>
      <c r="B113" s="15" t="s">
        <v>276</v>
      </c>
      <c r="C113" s="12" t="str">
        <f>VLOOKUP(B113,'1_Subcategorias'!E:F,2,0)</f>
        <v>El personal recibe concientización y formación general para ejecutar sus tareas considerando los riesgos de ciber</v>
      </c>
      <c r="D113" s="12" t="str">
        <f>VLOOKUP(B113,'1_Subcategorias'!E:H,4,0)</f>
        <v>PR.AT - Concientización y formación</v>
      </c>
      <c r="E113" s="13" t="s">
        <v>138</v>
      </c>
      <c r="F113" s="14">
        <v>0.6</v>
      </c>
      <c r="G113" s="12" t="s">
        <v>277</v>
      </c>
    </row>
    <row r="114" spans="1:7" ht="26" x14ac:dyDescent="0.2">
      <c r="A114" s="11" t="s">
        <v>82</v>
      </c>
      <c r="B114" s="15" t="s">
        <v>278</v>
      </c>
      <c r="C114" s="12" t="str">
        <f>VLOOKUP(B114,'1_Subcategorias'!E:F,2,0)</f>
        <v>Los roles especializados reciben concientización y formación específica para sus tareas relevantes</v>
      </c>
      <c r="D114" s="12" t="str">
        <f>VLOOKUP(B114,'1_Subcategorias'!E:H,4,0)</f>
        <v>PR.AT - Concientización y formación</v>
      </c>
      <c r="E114" s="13" t="s">
        <v>138</v>
      </c>
      <c r="F114" s="14">
        <v>0.2</v>
      </c>
      <c r="G114" s="12" t="s">
        <v>279</v>
      </c>
    </row>
    <row r="115" spans="1:7" ht="26" x14ac:dyDescent="0.2">
      <c r="A115" s="11" t="s">
        <v>85</v>
      </c>
      <c r="B115" s="15" t="s">
        <v>280</v>
      </c>
      <c r="C115" s="12" t="str">
        <f>VLOOKUP(B115,'1_Subcategorias'!E:F,2,0)</f>
        <v>Activos priorizados por clasificación, criticidad, recursos e impacto en la misión</v>
      </c>
      <c r="D115" s="12" t="str">
        <f>VLOOKUP(B115,'1_Subcategorias'!E:H,4,0)</f>
        <v>ID.AM - Gestión de activos</v>
      </c>
      <c r="E115" s="13" t="s">
        <v>125</v>
      </c>
      <c r="F115" s="14">
        <v>0.4</v>
      </c>
      <c r="G115" s="12" t="s">
        <v>392</v>
      </c>
    </row>
    <row r="116" spans="1:7" ht="26" x14ac:dyDescent="0.2">
      <c r="A116" s="11" t="s">
        <v>85</v>
      </c>
      <c r="B116" s="15" t="s">
        <v>281</v>
      </c>
      <c r="C116" s="12" t="str">
        <f>VLOOKUP(B116,'1_Subcategorias'!E:F,2,0)</f>
        <v>Inventarios de datos y metadatos de tipos designados mantenidos</v>
      </c>
      <c r="D116" s="12" t="str">
        <f>VLOOKUP(B116,'1_Subcategorias'!E:H,4,0)</f>
        <v>ID.AM - Gestión de activos</v>
      </c>
      <c r="E116" s="13" t="s">
        <v>125</v>
      </c>
      <c r="F116" s="14">
        <v>0.35</v>
      </c>
      <c r="G116" s="12" t="s">
        <v>393</v>
      </c>
    </row>
    <row r="117" spans="1:7" ht="39" x14ac:dyDescent="0.2">
      <c r="A117" s="11" t="s">
        <v>85</v>
      </c>
      <c r="B117" s="15" t="s">
        <v>152</v>
      </c>
      <c r="C117" s="12" t="str">
        <f>VLOOKUP(B117,'1_Subcategorias'!E:F,2,0)</f>
        <v>Confidencialidad, integridad y disponibilidad del dato en reposo protegidas</v>
      </c>
      <c r="D117" s="12" t="str">
        <f>VLOOKUP(B117,'1_Subcategorias'!E:H,4,0)</f>
        <v>PR.DS - Seguridad de datos</v>
      </c>
      <c r="E117" s="13" t="s">
        <v>138</v>
      </c>
      <c r="F117" s="14">
        <v>0.15</v>
      </c>
      <c r="G117" s="12" t="s">
        <v>394</v>
      </c>
    </row>
    <row r="118" spans="1:7" ht="26" x14ac:dyDescent="0.2">
      <c r="A118" s="11" t="s">
        <v>85</v>
      </c>
      <c r="B118" s="15" t="s">
        <v>158</v>
      </c>
      <c r="C118" s="12" t="str">
        <f>VLOOKUP(B118,'1_Subcategorias'!E:F,2,0)</f>
        <v>Confidencialidad, integridad y disponibilidad del dato en uso protegidas</v>
      </c>
      <c r="D118" s="12" t="str">
        <f>VLOOKUP(B118,'1_Subcategorias'!E:H,4,0)</f>
        <v>PR.DS - Seguridad de datos</v>
      </c>
      <c r="E118" s="13" t="s">
        <v>138</v>
      </c>
      <c r="F118" s="14">
        <v>0.1</v>
      </c>
      <c r="G118" s="12" t="s">
        <v>395</v>
      </c>
    </row>
    <row r="119" spans="1:7" ht="26" x14ac:dyDescent="0.2">
      <c r="A119" s="11" t="s">
        <v>86</v>
      </c>
      <c r="B119" s="15" t="s">
        <v>158</v>
      </c>
      <c r="C119" s="12" t="str">
        <f>VLOOKUP(B119,'1_Subcategorias'!E:F,2,0)</f>
        <v>Confidencialidad, integridad y disponibilidad del dato en uso protegidas</v>
      </c>
      <c r="D119" s="12" t="str">
        <f>VLOOKUP(B119,'1_Subcategorias'!E:H,4,0)</f>
        <v>PR.DS - Seguridad de datos</v>
      </c>
      <c r="E119" s="13" t="s">
        <v>138</v>
      </c>
      <c r="F119" s="14">
        <v>0.4</v>
      </c>
      <c r="G119" s="12" t="s">
        <v>396</v>
      </c>
    </row>
    <row r="120" spans="1:7" ht="26" x14ac:dyDescent="0.2">
      <c r="A120" s="11" t="s">
        <v>86</v>
      </c>
      <c r="B120" s="15" t="s">
        <v>152</v>
      </c>
      <c r="C120" s="12" t="str">
        <f>VLOOKUP(B120,'1_Subcategorias'!E:F,2,0)</f>
        <v>Confidencialidad, integridad y disponibilidad del dato en reposo protegidas</v>
      </c>
      <c r="D120" s="12" t="str">
        <f>VLOOKUP(B120,'1_Subcategorias'!E:H,4,0)</f>
        <v>PR.DS - Seguridad de datos</v>
      </c>
      <c r="E120" s="13" t="s">
        <v>138</v>
      </c>
      <c r="F120" s="14">
        <v>0.25</v>
      </c>
      <c r="G120" s="12" t="s">
        <v>283</v>
      </c>
    </row>
    <row r="121" spans="1:7" x14ac:dyDescent="0.2">
      <c r="A121" s="11" t="s">
        <v>86</v>
      </c>
      <c r="B121" s="15" t="s">
        <v>214</v>
      </c>
      <c r="C121" s="12" t="str">
        <f>VLOOKUP(B121,'1_Subcategorias'!E:F,2,0)</f>
        <v>Instalación y ejecución de software no autorizado son prevenidas</v>
      </c>
      <c r="D121" s="12" t="str">
        <f>VLOOKUP(B121,'1_Subcategorias'!E:H,4,0)</f>
        <v>PR.PS - Seguridad de plataforma</v>
      </c>
      <c r="E121" s="13" t="s">
        <v>138</v>
      </c>
      <c r="F121" s="14">
        <v>0.2</v>
      </c>
      <c r="G121" s="12" t="s">
        <v>284</v>
      </c>
    </row>
    <row r="122" spans="1:7" ht="39" x14ac:dyDescent="0.2">
      <c r="A122" s="11" t="s">
        <v>86</v>
      </c>
      <c r="B122" s="15" t="s">
        <v>178</v>
      </c>
      <c r="C122" s="12" t="str">
        <f>VLOOKUP(B122,'1_Subcategorias'!E:F,2,0)</f>
        <v>Permisos y autorizaciones definidos en política, gestionados, exigidos y revisados, con mínimo privilegio y segregación de funciones</v>
      </c>
      <c r="D122" s="12" t="str">
        <f>VLOOKUP(B122,'1_Subcategorias'!E:H,4,0)</f>
        <v>PR.AA - Identidad, autenticación y control de acceso</v>
      </c>
      <c r="E122" s="13" t="s">
        <v>138</v>
      </c>
      <c r="F122" s="14">
        <v>0.15</v>
      </c>
      <c r="G122" s="12" t="s">
        <v>400</v>
      </c>
    </row>
    <row r="123" spans="1:7" ht="45" x14ac:dyDescent="0.2">
      <c r="A123" s="11" t="s">
        <v>88</v>
      </c>
      <c r="B123" s="15" t="s">
        <v>214</v>
      </c>
      <c r="C123" s="12" t="str">
        <f>VLOOKUP(B123,'1_Subcategorias'!E:F,2,0)</f>
        <v>Instalación y ejecución de software no autorizado son prevenidas</v>
      </c>
      <c r="D123" s="12" t="str">
        <f>VLOOKUP(B123,'1_Subcategorias'!E:H,4,0)</f>
        <v>PR.PS - Seguridad de plataforma</v>
      </c>
      <c r="E123" s="13" t="s">
        <v>138</v>
      </c>
      <c r="F123" s="14">
        <v>0.2</v>
      </c>
      <c r="G123" s="12" t="s">
        <v>285</v>
      </c>
    </row>
    <row r="124" spans="1:7" ht="45" x14ac:dyDescent="0.2">
      <c r="A124" s="11" t="s">
        <v>88</v>
      </c>
      <c r="B124" s="15" t="s">
        <v>155</v>
      </c>
      <c r="C124" s="12" t="str">
        <f>VLOOKUP(B124,'1_Subcategorias'!E:F,2,0)</f>
        <v>Confidencialidad, integridad y disponibilidad del dato en tránsito protegidas</v>
      </c>
      <c r="D124" s="12" t="str">
        <f>VLOOKUP(B124,'1_Subcategorias'!E:H,4,0)</f>
        <v>PR.DS - Seguridad de datos</v>
      </c>
      <c r="E124" s="13" t="s">
        <v>138</v>
      </c>
      <c r="F124" s="14">
        <v>0.1</v>
      </c>
      <c r="G124" s="12" t="s">
        <v>286</v>
      </c>
    </row>
    <row r="125" spans="1:7" ht="45" x14ac:dyDescent="0.2">
      <c r="A125" s="11" t="s">
        <v>88</v>
      </c>
      <c r="B125" s="15" t="s">
        <v>127</v>
      </c>
      <c r="C125" s="12" t="str">
        <f>VLOOKUP(B125,'1_Subcategorias'!E:F,2,0)</f>
        <v>Hardware y software de cómputo, entornos de ejecución y sus datos monitoreados para hallar eventos adversos</v>
      </c>
      <c r="D125" s="12" t="str">
        <f>VLOOKUP(B125,'1_Subcategorias'!E:H,4,0)</f>
        <v>DE.CM - Monitoreo continuo</v>
      </c>
      <c r="E125" s="13" t="s">
        <v>128</v>
      </c>
      <c r="F125" s="14">
        <v>0.3</v>
      </c>
      <c r="G125" s="12" t="s">
        <v>287</v>
      </c>
    </row>
    <row r="126" spans="1:7" ht="45" x14ac:dyDescent="0.2">
      <c r="A126" s="11" t="s">
        <v>88</v>
      </c>
      <c r="B126" s="15" t="s">
        <v>130</v>
      </c>
      <c r="C126" s="12" t="str">
        <f>VLOOKUP(B126,'1_Subcategorias'!E:F,2,0)</f>
        <v>Eventos potencialmente adversos analizados para comprender mejor la actividad asociada</v>
      </c>
      <c r="D126" s="12" t="str">
        <f>VLOOKUP(B126,'1_Subcategorias'!E:H,4,0)</f>
        <v>DE.AE - Análisis de eventos adversos</v>
      </c>
      <c r="E126" s="13" t="s">
        <v>128</v>
      </c>
      <c r="F126" s="14">
        <v>0.25</v>
      </c>
      <c r="G126" s="12" t="s">
        <v>288</v>
      </c>
    </row>
    <row r="127" spans="1:7" ht="45" x14ac:dyDescent="0.2">
      <c r="A127" s="11" t="s">
        <v>88</v>
      </c>
      <c r="B127" s="15" t="s">
        <v>132</v>
      </c>
      <c r="C127" s="12" t="str">
        <f>VLOOKUP(B127,'1_Subcategorias'!E:F,2,0)</f>
        <v>Los incidentes son contenidos</v>
      </c>
      <c r="D127" s="12" t="str">
        <f>VLOOKUP(B127,'1_Subcategorias'!E:H,4,0)</f>
        <v>RS.MI - Mitigación del incidente</v>
      </c>
      <c r="E127" s="13" t="s">
        <v>134</v>
      </c>
      <c r="F127" s="14">
        <v>0.15</v>
      </c>
      <c r="G127" s="12" t="s">
        <v>289</v>
      </c>
    </row>
    <row r="128" spans="1:7" ht="26" x14ac:dyDescent="0.2">
      <c r="A128" s="11" t="s">
        <v>92</v>
      </c>
      <c r="B128" s="15" t="s">
        <v>158</v>
      </c>
      <c r="C128" s="12" t="str">
        <f>VLOOKUP(B128,'1_Subcategorias'!E:F,2,0)</f>
        <v>Confidencialidad, integridad y disponibilidad del dato en uso protegidas</v>
      </c>
      <c r="D128" s="12" t="str">
        <f>VLOOKUP(B128,'1_Subcategorias'!E:H,4,0)</f>
        <v>PR.DS - Seguridad de datos</v>
      </c>
      <c r="E128" s="13" t="s">
        <v>138</v>
      </c>
      <c r="F128" s="14">
        <v>0.25</v>
      </c>
      <c r="G128" s="12" t="s">
        <v>290</v>
      </c>
    </row>
    <row r="129" spans="1:7" ht="26" x14ac:dyDescent="0.2">
      <c r="A129" s="11" t="s">
        <v>92</v>
      </c>
      <c r="B129" s="15" t="s">
        <v>136</v>
      </c>
      <c r="C129" s="12" t="str">
        <f>VLOOKUP(B129,'1_Subcategorias'!E:F,2,0)</f>
        <v>Redes y entornos protegidos de acceso y uso lógico no autorizado</v>
      </c>
      <c r="D129" s="12" t="str">
        <f>VLOOKUP(B129,'1_Subcategorias'!E:H,4,0)</f>
        <v>PR.IR - Resiliencia de la infraestructura tecnológica</v>
      </c>
      <c r="E129" s="13" t="s">
        <v>138</v>
      </c>
      <c r="F129" s="14">
        <v>0.25</v>
      </c>
      <c r="G129" s="12" t="s">
        <v>345</v>
      </c>
    </row>
    <row r="130" spans="1:7" ht="26" x14ac:dyDescent="0.2">
      <c r="A130" s="11" t="s">
        <v>92</v>
      </c>
      <c r="B130" s="15" t="s">
        <v>155</v>
      </c>
      <c r="C130" s="12" t="str">
        <f>VLOOKUP(B130,'1_Subcategorias'!E:F,2,0)</f>
        <v>Confidencialidad, integridad y disponibilidad del dato en tránsito protegidas</v>
      </c>
      <c r="D130" s="12" t="str">
        <f>VLOOKUP(B130,'1_Subcategorias'!E:H,4,0)</f>
        <v>PR.DS - Seguridad de datos</v>
      </c>
      <c r="E130" s="13" t="s">
        <v>138</v>
      </c>
      <c r="F130" s="14">
        <v>0.2</v>
      </c>
      <c r="G130" s="12" t="s">
        <v>291</v>
      </c>
    </row>
    <row r="131" spans="1:7" ht="39" x14ac:dyDescent="0.2">
      <c r="A131" s="11" t="s">
        <v>92</v>
      </c>
      <c r="B131" s="15" t="s">
        <v>178</v>
      </c>
      <c r="C131" s="12" t="str">
        <f>VLOOKUP(B131,'1_Subcategorias'!E:F,2,0)</f>
        <v>Permisos y autorizaciones definidos en política, gestionados, exigidos y revisados, con mínimo privilegio y segregación de funciones</v>
      </c>
      <c r="D131" s="12" t="str">
        <f>VLOOKUP(B131,'1_Subcategorias'!E:H,4,0)</f>
        <v>PR.AA - Identidad, autenticación y control de acceso</v>
      </c>
      <c r="E131" s="13" t="s">
        <v>138</v>
      </c>
      <c r="F131" s="14">
        <v>0.15</v>
      </c>
      <c r="G131" s="12" t="s">
        <v>347</v>
      </c>
    </row>
    <row r="132" spans="1:7" ht="26" x14ac:dyDescent="0.2">
      <c r="A132" s="11" t="s">
        <v>92</v>
      </c>
      <c r="B132" s="15" t="s">
        <v>127</v>
      </c>
      <c r="C132" s="12" t="str">
        <f>VLOOKUP(B132,'1_Subcategorias'!E:F,2,0)</f>
        <v>Hardware y software de cómputo, entornos de ejecución y sus datos monitoreados para hallar eventos adversos</v>
      </c>
      <c r="D132" s="12" t="str">
        <f>VLOOKUP(B132,'1_Subcategorias'!E:H,4,0)</f>
        <v>DE.CM - Monitoreo continuo</v>
      </c>
      <c r="E132" s="13" t="s">
        <v>128</v>
      </c>
      <c r="F132" s="14">
        <v>0.15</v>
      </c>
      <c r="G132" s="12" t="s">
        <v>348</v>
      </c>
    </row>
    <row r="133" spans="1:7" ht="26" x14ac:dyDescent="0.2">
      <c r="A133" s="11" t="s">
        <v>96</v>
      </c>
      <c r="B133" s="15" t="s">
        <v>194</v>
      </c>
      <c r="C133" s="12" t="str">
        <f>VLOOKUP(B133,'1_Subcategorias'!E:F,2,0)</f>
        <v>Acceso físico a los activos gestionado, monitoreado y exigido según el riesgo</v>
      </c>
      <c r="D133" s="12" t="str">
        <f>VLOOKUP(B133,'1_Subcategorias'!E:H,4,0)</f>
        <v>PR.AA - Identidad, autenticación y control de acceso</v>
      </c>
      <c r="E133" s="13" t="s">
        <v>138</v>
      </c>
      <c r="F133" s="14">
        <v>0.1</v>
      </c>
      <c r="G133" s="12" t="s">
        <v>412</v>
      </c>
    </row>
    <row r="134" spans="1:7" ht="26" x14ac:dyDescent="0.2">
      <c r="A134" s="11" t="s">
        <v>96</v>
      </c>
      <c r="B134" s="15" t="s">
        <v>143</v>
      </c>
      <c r="C134" s="12" t="str">
        <f>VLOOKUP(B134,'1_Subcategorias'!E:F,2,0)</f>
        <v>El entorno físico es monitoreado para hallar eventos potencialmente adversos</v>
      </c>
      <c r="D134" s="12" t="str">
        <f>VLOOKUP(B134,'1_Subcategorias'!E:H,4,0)</f>
        <v>DE.CM - Monitoreo continuo</v>
      </c>
      <c r="E134" s="13" t="s">
        <v>128</v>
      </c>
      <c r="F134" s="14">
        <v>0.35</v>
      </c>
      <c r="G134" s="12" t="s">
        <v>413</v>
      </c>
    </row>
    <row r="135" spans="1:7" x14ac:dyDescent="0.2">
      <c r="A135" s="11" t="s">
        <v>96</v>
      </c>
      <c r="B135" s="15" t="s">
        <v>185</v>
      </c>
      <c r="C135" s="12" t="str">
        <f>VLOOKUP(B135,'1_Subcategorias'!E:F,2,0)</f>
        <v>La información es correlacionada desde múltiples fuentes</v>
      </c>
      <c r="D135" s="12" t="str">
        <f>VLOOKUP(B135,'1_Subcategorias'!E:H,4,0)</f>
        <v>DE.AE - Análisis de eventos adversos</v>
      </c>
      <c r="E135" s="13" t="s">
        <v>128</v>
      </c>
      <c r="F135" s="14">
        <v>0.25</v>
      </c>
      <c r="G135" s="12" t="s">
        <v>292</v>
      </c>
    </row>
    <row r="136" spans="1:7" x14ac:dyDescent="0.2">
      <c r="A136" s="11" t="s">
        <v>96</v>
      </c>
      <c r="B136" s="15" t="s">
        <v>144</v>
      </c>
      <c r="C136" s="12" t="str">
        <f>VLOOKUP(B136,'1_Subcategorias'!E:F,2,0)</f>
        <v>Los reportes de incidente son triados y validados</v>
      </c>
      <c r="D136" s="12" t="str">
        <f>VLOOKUP(B136,'1_Subcategorias'!E:H,4,0)</f>
        <v>RS.MA - Gestión de incidentes</v>
      </c>
      <c r="E136" s="13" t="s">
        <v>134</v>
      </c>
      <c r="F136" s="14">
        <v>0.2</v>
      </c>
      <c r="G136" s="12" t="s">
        <v>293</v>
      </c>
    </row>
    <row r="137" spans="1:7" ht="26" x14ac:dyDescent="0.2">
      <c r="A137" s="11" t="s">
        <v>96</v>
      </c>
      <c r="B137" s="15" t="s">
        <v>147</v>
      </c>
      <c r="C137" s="12" t="str">
        <f>VLOOKUP(B137,'1_Subcategorias'!E:F,2,0)</f>
        <v>Las partes interesadas internas y externas son notificadas de los incidentes</v>
      </c>
      <c r="D137" s="12" t="str">
        <f>VLOOKUP(B137,'1_Subcategorias'!E:H,4,0)</f>
        <v>RS.CO - Reporte y comunicación del incidente</v>
      </c>
      <c r="E137" s="13" t="s">
        <v>134</v>
      </c>
      <c r="F137" s="14">
        <v>0.1</v>
      </c>
      <c r="G137" s="12" t="s">
        <v>294</v>
      </c>
    </row>
    <row r="138" spans="1:7" ht="30" x14ac:dyDescent="0.2">
      <c r="A138" s="11" t="s">
        <v>97</v>
      </c>
      <c r="B138" s="15" t="s">
        <v>183</v>
      </c>
      <c r="C138" s="12" t="str">
        <f>VLOOKUP(B138,'1_Subcategorias'!E:F,2,0)</f>
        <v>Registros de log generados y disponibles para monitoreo continuo</v>
      </c>
      <c r="D138" s="12" t="str">
        <f>VLOOKUP(B138,'1_Subcategorias'!E:H,4,0)</f>
        <v>PR.PS - Seguridad de plataforma</v>
      </c>
      <c r="E138" s="13" t="s">
        <v>138</v>
      </c>
      <c r="F138" s="14">
        <v>0.35</v>
      </c>
      <c r="G138" s="12" t="s">
        <v>295</v>
      </c>
    </row>
    <row r="139" spans="1:7" ht="30" x14ac:dyDescent="0.2">
      <c r="A139" s="11" t="s">
        <v>97</v>
      </c>
      <c r="B139" s="15" t="s">
        <v>185</v>
      </c>
      <c r="C139" s="12" t="str">
        <f>VLOOKUP(B139,'1_Subcategorias'!E:F,2,0)</f>
        <v>La información es correlacionada desde múltiples fuentes</v>
      </c>
      <c r="D139" s="12" t="str">
        <f>VLOOKUP(B139,'1_Subcategorias'!E:H,4,0)</f>
        <v>DE.AE - Análisis de eventos adversos</v>
      </c>
      <c r="E139" s="13" t="s">
        <v>128</v>
      </c>
      <c r="F139" s="14">
        <v>0.45</v>
      </c>
      <c r="G139" s="12" t="s">
        <v>296</v>
      </c>
    </row>
    <row r="140" spans="1:7" ht="30" x14ac:dyDescent="0.2">
      <c r="A140" s="11" t="s">
        <v>97</v>
      </c>
      <c r="B140" s="15" t="s">
        <v>130</v>
      </c>
      <c r="C140" s="12" t="str">
        <f>VLOOKUP(B140,'1_Subcategorias'!E:F,2,0)</f>
        <v>Eventos potencialmente adversos analizados para comprender mejor la actividad asociada</v>
      </c>
      <c r="D140" s="12" t="str">
        <f>VLOOKUP(B140,'1_Subcategorias'!E:H,4,0)</f>
        <v>DE.AE - Análisis de eventos adversos</v>
      </c>
      <c r="E140" s="13" t="s">
        <v>128</v>
      </c>
      <c r="F140" s="14">
        <v>0.2</v>
      </c>
      <c r="G140" s="12" t="s">
        <v>297</v>
      </c>
    </row>
    <row r="141" spans="1:7" ht="26" x14ac:dyDescent="0.2">
      <c r="A141" s="17" t="s">
        <v>99</v>
      </c>
      <c r="B141" s="21" t="s">
        <v>214</v>
      </c>
      <c r="C141" s="12" t="str">
        <f>VLOOKUP(B141,'1_Subcategorias'!E:F,2,0)</f>
        <v>Instalación y ejecución de software no autorizado son prevenidas</v>
      </c>
      <c r="D141" s="12" t="str">
        <f>VLOOKUP(B141,'1_Subcategorias'!E:H,4,0)</f>
        <v>PR.PS - Seguridad de plataforma</v>
      </c>
      <c r="E141" s="23" t="s">
        <v>138</v>
      </c>
      <c r="F141" s="24">
        <v>0.2</v>
      </c>
      <c r="G141" s="22" t="s">
        <v>401</v>
      </c>
    </row>
    <row r="142" spans="1:7" ht="26" x14ac:dyDescent="0.2">
      <c r="A142" s="17" t="s">
        <v>99</v>
      </c>
      <c r="B142" s="21" t="s">
        <v>155</v>
      </c>
      <c r="C142" s="12" t="str">
        <f>VLOOKUP(B142,'1_Subcategorias'!E:F,2,0)</f>
        <v>Confidencialidad, integridad y disponibilidad del dato en tránsito protegidas</v>
      </c>
      <c r="D142" s="12" t="str">
        <f>VLOOKUP(B142,'1_Subcategorias'!E:H,4,0)</f>
        <v>PR.DS - Seguridad de datos</v>
      </c>
      <c r="E142" s="23" t="s">
        <v>138</v>
      </c>
      <c r="F142" s="24">
        <v>0.1</v>
      </c>
      <c r="G142" s="22" t="s">
        <v>402</v>
      </c>
    </row>
    <row r="143" spans="1:7" ht="26" x14ac:dyDescent="0.2">
      <c r="A143" s="17" t="s">
        <v>99</v>
      </c>
      <c r="B143" s="21" t="s">
        <v>127</v>
      </c>
      <c r="C143" s="12" t="str">
        <f>VLOOKUP(B143,'1_Subcategorias'!E:F,2,0)</f>
        <v>Hardware y software de cómputo, entornos de ejecución y sus datos monitoreados para hallar eventos adversos</v>
      </c>
      <c r="D143" s="12" t="str">
        <f>VLOOKUP(B143,'1_Subcategorias'!E:H,4,0)</f>
        <v>DE.CM - Monitoreo continuo</v>
      </c>
      <c r="E143" s="23" t="s">
        <v>128</v>
      </c>
      <c r="F143" s="24">
        <v>0.3</v>
      </c>
      <c r="G143" s="22" t="s">
        <v>403</v>
      </c>
    </row>
    <row r="144" spans="1:7" ht="26" x14ac:dyDescent="0.2">
      <c r="A144" s="17" t="s">
        <v>99</v>
      </c>
      <c r="B144" s="21" t="s">
        <v>130</v>
      </c>
      <c r="C144" s="12" t="str">
        <f>VLOOKUP(B144,'1_Subcategorias'!E:F,2,0)</f>
        <v>Eventos potencialmente adversos analizados para comprender mejor la actividad asociada</v>
      </c>
      <c r="D144" s="12" t="str">
        <f>VLOOKUP(B144,'1_Subcategorias'!E:H,4,0)</f>
        <v>DE.AE - Análisis de eventos adversos</v>
      </c>
      <c r="E144" s="23" t="s">
        <v>128</v>
      </c>
      <c r="F144" s="24">
        <v>0.25</v>
      </c>
      <c r="G144" s="22" t="s">
        <v>404</v>
      </c>
    </row>
    <row r="145" spans="1:7" ht="26" x14ac:dyDescent="0.2">
      <c r="A145" s="17" t="s">
        <v>99</v>
      </c>
      <c r="B145" s="21" t="s">
        <v>132</v>
      </c>
      <c r="C145" s="12" t="str">
        <f>VLOOKUP(B145,'1_Subcategorias'!E:F,2,0)</f>
        <v>Los incidentes son contenidos</v>
      </c>
      <c r="D145" s="12" t="str">
        <f>VLOOKUP(B145,'1_Subcategorias'!E:H,4,0)</f>
        <v>RS.MI - Mitigación del incidente</v>
      </c>
      <c r="E145" s="23" t="s">
        <v>134</v>
      </c>
      <c r="F145" s="24">
        <v>0.15</v>
      </c>
      <c r="G145" s="22" t="s">
        <v>405</v>
      </c>
    </row>
    <row r="146" spans="1:7" ht="26" x14ac:dyDescent="0.2">
      <c r="A146" s="17" t="s">
        <v>102</v>
      </c>
      <c r="B146" s="21" t="s">
        <v>194</v>
      </c>
      <c r="C146" s="12" t="str">
        <f>VLOOKUP(B146,'1_Subcategorias'!E:F,2,0)</f>
        <v>Acceso físico a los activos gestionado, monitoreado y exigido según el riesgo</v>
      </c>
      <c r="D146" s="12" t="str">
        <f>VLOOKUP(B146,'1_Subcategorias'!E:H,4,0)</f>
        <v>PR.AA - Identidad, autenticación y control de acceso</v>
      </c>
      <c r="E146" s="23" t="s">
        <v>138</v>
      </c>
      <c r="F146" s="24">
        <v>0.35</v>
      </c>
      <c r="G146" s="22" t="s">
        <v>377</v>
      </c>
    </row>
    <row r="147" spans="1:7" ht="39" x14ac:dyDescent="0.2">
      <c r="A147" s="17" t="s">
        <v>102</v>
      </c>
      <c r="B147" s="21" t="s">
        <v>178</v>
      </c>
      <c r="C147" s="12" t="str">
        <f>VLOOKUP(B147,'1_Subcategorias'!E:F,2,0)</f>
        <v>Permisos y autorizaciones definidos en política, gestionados, exigidos y revisados, con mínimo privilegio y segregación de funciones</v>
      </c>
      <c r="D147" s="12" t="str">
        <f>VLOOKUP(B147,'1_Subcategorias'!E:H,4,0)</f>
        <v>PR.AA - Identidad, autenticación y control de acceso</v>
      </c>
      <c r="E147" s="23" t="s">
        <v>138</v>
      </c>
      <c r="F147" s="24">
        <v>0.25</v>
      </c>
      <c r="G147" s="22" t="s">
        <v>408</v>
      </c>
    </row>
    <row r="148" spans="1:7" ht="26" x14ac:dyDescent="0.2">
      <c r="A148" s="17" t="s">
        <v>102</v>
      </c>
      <c r="B148" s="21" t="s">
        <v>222</v>
      </c>
      <c r="C148" s="12" t="str">
        <f>VLOOKUP(B148,'1_Subcategorias'!E:F,2,0)</f>
        <v>Identidades y credenciales de usuarios, servicios y hardware autorizados gestionadas por la organización</v>
      </c>
      <c r="D148" s="12" t="str">
        <f>VLOOKUP(B148,'1_Subcategorias'!E:H,4,0)</f>
        <v>PR.AA - Identidad, autenticación y control de acceso</v>
      </c>
      <c r="E148" s="23" t="s">
        <v>138</v>
      </c>
      <c r="F148" s="24">
        <v>0.1</v>
      </c>
      <c r="G148" s="22" t="s">
        <v>376</v>
      </c>
    </row>
    <row r="149" spans="1:7" ht="26" x14ac:dyDescent="0.2">
      <c r="A149" s="17" t="s">
        <v>102</v>
      </c>
      <c r="B149" s="21" t="s">
        <v>183</v>
      </c>
      <c r="C149" s="12" t="str">
        <f>VLOOKUP(B149,'1_Subcategorias'!E:F,2,0)</f>
        <v>Registros de log generados y disponibles para monitoreo continuo</v>
      </c>
      <c r="D149" s="12" t="str">
        <f>VLOOKUP(B149,'1_Subcategorias'!E:H,4,0)</f>
        <v>PR.PS - Seguridad de plataforma</v>
      </c>
      <c r="E149" s="23" t="s">
        <v>138</v>
      </c>
      <c r="F149" s="24">
        <v>0.1</v>
      </c>
      <c r="G149" s="22" t="s">
        <v>378</v>
      </c>
    </row>
    <row r="150" spans="1:7" ht="26" x14ac:dyDescent="0.2">
      <c r="A150" s="17" t="s">
        <v>102</v>
      </c>
      <c r="B150" s="21" t="s">
        <v>143</v>
      </c>
      <c r="C150" s="12" t="str">
        <f>VLOOKUP(B150,'1_Subcategorias'!E:F,2,0)</f>
        <v>El entorno físico es monitoreado para hallar eventos potencialmente adversos</v>
      </c>
      <c r="D150" s="12" t="str">
        <f>VLOOKUP(B150,'1_Subcategorias'!E:H,4,0)</f>
        <v>DE.CM - Monitoreo continuo</v>
      </c>
      <c r="E150" s="23" t="s">
        <v>128</v>
      </c>
      <c r="F150" s="24">
        <v>0.2</v>
      </c>
      <c r="G150" s="22" t="s">
        <v>379</v>
      </c>
    </row>
    <row r="151" spans="1:7" ht="26" x14ac:dyDescent="0.2">
      <c r="A151" s="17" t="s">
        <v>104</v>
      </c>
      <c r="B151" s="21" t="s">
        <v>191</v>
      </c>
      <c r="C151" s="12" t="str">
        <f>VLOOKUP(B151,'1_Subcategorias'!E:F,2,0)</f>
        <v>Hardware mantenido, reemplazado y retirado según el riesgo</v>
      </c>
      <c r="D151" s="12" t="str">
        <f>VLOOKUP(B151,'1_Subcategorias'!E:H,4,0)</f>
        <v>PR.PS - Seguridad de plataforma</v>
      </c>
      <c r="E151" s="23" t="s">
        <v>138</v>
      </c>
      <c r="F151" s="24">
        <v>0.1</v>
      </c>
      <c r="G151" s="22" t="s">
        <v>389</v>
      </c>
    </row>
    <row r="152" spans="1:7" ht="26" x14ac:dyDescent="0.2">
      <c r="A152" s="17" t="s">
        <v>104</v>
      </c>
      <c r="B152" s="21" t="s">
        <v>183</v>
      </c>
      <c r="C152" s="12" t="str">
        <f>VLOOKUP(B152,'1_Subcategorias'!E:F,2,0)</f>
        <v>Registros de log generados y disponibles para monitoreo continuo</v>
      </c>
      <c r="D152" s="12" t="str">
        <f>VLOOKUP(B152,'1_Subcategorias'!E:H,4,0)</f>
        <v>PR.PS - Seguridad de plataforma</v>
      </c>
      <c r="E152" s="23" t="s">
        <v>138</v>
      </c>
      <c r="F152" s="24">
        <v>0.3</v>
      </c>
      <c r="G152" s="22" t="s">
        <v>390</v>
      </c>
    </row>
    <row r="153" spans="1:7" ht="26" x14ac:dyDescent="0.2">
      <c r="A153" s="17" t="s">
        <v>104</v>
      </c>
      <c r="B153" s="21" t="s">
        <v>143</v>
      </c>
      <c r="C153" s="12" t="str">
        <f>VLOOKUP(B153,'1_Subcategorias'!E:F,2,0)</f>
        <v>El entorno físico es monitoreado para hallar eventos potencialmente adversos</v>
      </c>
      <c r="D153" s="12" t="str">
        <f>VLOOKUP(B153,'1_Subcategorias'!E:H,4,0)</f>
        <v>DE.CM - Monitoreo continuo</v>
      </c>
      <c r="E153" s="23" t="s">
        <v>128</v>
      </c>
      <c r="F153" s="24">
        <v>0.4</v>
      </c>
      <c r="G153" s="22" t="s">
        <v>391</v>
      </c>
    </row>
    <row r="154" spans="1:7" ht="26" x14ac:dyDescent="0.2">
      <c r="A154" s="17" t="s">
        <v>104</v>
      </c>
      <c r="B154" s="21" t="s">
        <v>144</v>
      </c>
      <c r="C154" s="12" t="str">
        <f>VLOOKUP(B154,'1_Subcategorias'!E:F,2,0)</f>
        <v>Los reportes de incidente son triados y validados</v>
      </c>
      <c r="D154" s="12" t="str">
        <f>VLOOKUP(B154,'1_Subcategorias'!E:H,4,0)</f>
        <v>RS.MA - Gestión de incidentes</v>
      </c>
      <c r="E154" s="23" t="s">
        <v>134</v>
      </c>
      <c r="F154" s="24">
        <v>0.1</v>
      </c>
      <c r="G154" s="22" t="s">
        <v>383</v>
      </c>
    </row>
    <row r="155" spans="1:7" ht="26" x14ac:dyDescent="0.2">
      <c r="A155" s="17" t="s">
        <v>104</v>
      </c>
      <c r="B155" s="21" t="s">
        <v>147</v>
      </c>
      <c r="C155" s="12" t="str">
        <f>VLOOKUP(B155,'1_Subcategorias'!E:F,2,0)</f>
        <v>Las partes interesadas internas y externas son notificadas de los incidentes</v>
      </c>
      <c r="D155" s="12" t="str">
        <f>VLOOKUP(B155,'1_Subcategorias'!E:H,4,0)</f>
        <v>RS.CO - Reporte y comunicación del incidente</v>
      </c>
      <c r="E155" s="23" t="s">
        <v>134</v>
      </c>
      <c r="F155" s="24">
        <v>0.1</v>
      </c>
      <c r="G155" s="22" t="s">
        <v>384</v>
      </c>
    </row>
    <row r="156" spans="1:7" ht="30" x14ac:dyDescent="0.2">
      <c r="A156" s="11" t="s">
        <v>106</v>
      </c>
      <c r="B156" s="15" t="s">
        <v>298</v>
      </c>
      <c r="C156" s="12" t="str">
        <f>VLOOKUP(B156,'1_Subcategorias'!E:F,2,0)</f>
        <v>Inteligencia de amenazas recibida de foros y fuentes de intercambio</v>
      </c>
      <c r="D156" s="12" t="str">
        <f>VLOOKUP(B156,'1_Subcategorias'!E:H,4,0)</f>
        <v>ID.RA - Evaluación de riesgo</v>
      </c>
      <c r="E156" s="13" t="s">
        <v>125</v>
      </c>
      <c r="F156" s="14">
        <v>0.15</v>
      </c>
      <c r="G156" s="12" t="s">
        <v>300</v>
      </c>
    </row>
    <row r="157" spans="1:7" ht="30" x14ac:dyDescent="0.2">
      <c r="A157" s="11" t="s">
        <v>106</v>
      </c>
      <c r="B157" s="15" t="s">
        <v>168</v>
      </c>
      <c r="C157" s="12" t="str">
        <f>VLOOKUP(B157,'1_Subcategorias'!E:F,2,0)</f>
        <v>Sistemas, hardware, software, servicios y datos gestionados en todo su ciclo de vida</v>
      </c>
      <c r="D157" s="12" t="str">
        <f>VLOOKUP(B157,'1_Subcategorias'!E:H,4,0)</f>
        <v>ID.AM - Gestión de activos</v>
      </c>
      <c r="E157" s="13" t="s">
        <v>125</v>
      </c>
      <c r="F157" s="14">
        <v>0.15</v>
      </c>
      <c r="G157" s="12" t="s">
        <v>301</v>
      </c>
    </row>
    <row r="158" spans="1:7" ht="30" x14ac:dyDescent="0.2">
      <c r="A158" s="11" t="s">
        <v>106</v>
      </c>
      <c r="B158" s="15" t="s">
        <v>144</v>
      </c>
      <c r="C158" s="12" t="str">
        <f>VLOOKUP(B158,'1_Subcategorias'!E:F,2,0)</f>
        <v>Los reportes de incidente son triados y validados</v>
      </c>
      <c r="D158" s="12" t="str">
        <f>VLOOKUP(B158,'1_Subcategorias'!E:H,4,0)</f>
        <v>RS.MA - Gestión de incidentes</v>
      </c>
      <c r="E158" s="13" t="s">
        <v>134</v>
      </c>
      <c r="F158" s="14">
        <v>0.25</v>
      </c>
      <c r="G158" s="12" t="s">
        <v>302</v>
      </c>
    </row>
    <row r="159" spans="1:7" ht="30" x14ac:dyDescent="0.2">
      <c r="A159" s="11" t="s">
        <v>106</v>
      </c>
      <c r="B159" s="15" t="s">
        <v>303</v>
      </c>
      <c r="C159" s="12" t="str">
        <f>VLOOKUP(B159,'1_Subcategorias'!E:F,2,0)</f>
        <v>Los incidentes son categorizados y priorizados</v>
      </c>
      <c r="D159" s="12" t="str">
        <f>VLOOKUP(B159,'1_Subcategorias'!E:H,4,0)</f>
        <v>RS.MA - Gestión de incidentes</v>
      </c>
      <c r="E159" s="13" t="s">
        <v>134</v>
      </c>
      <c r="F159" s="14">
        <v>0.15</v>
      </c>
      <c r="G159" s="12" t="s">
        <v>410</v>
      </c>
    </row>
    <row r="160" spans="1:7" ht="30" x14ac:dyDescent="0.2">
      <c r="A160" s="11" t="s">
        <v>106</v>
      </c>
      <c r="B160" s="15" t="s">
        <v>147</v>
      </c>
      <c r="C160" s="12" t="str">
        <f>VLOOKUP(B160,'1_Subcategorias'!E:F,2,0)</f>
        <v>Las partes interesadas internas y externas son notificadas de los incidentes</v>
      </c>
      <c r="D160" s="12" t="str">
        <f>VLOOKUP(B160,'1_Subcategorias'!E:H,4,0)</f>
        <v>RS.CO - Reporte y comunicación del incidente</v>
      </c>
      <c r="E160" s="13" t="s">
        <v>134</v>
      </c>
      <c r="F160" s="14">
        <v>0.15</v>
      </c>
      <c r="G160" s="12" t="s">
        <v>305</v>
      </c>
    </row>
    <row r="161" spans="1:7" ht="30" x14ac:dyDescent="0.2">
      <c r="A161" s="11" t="s">
        <v>106</v>
      </c>
      <c r="B161" s="15" t="s">
        <v>204</v>
      </c>
      <c r="C161" s="12" t="str">
        <f>VLOOKUP(B161,'1_Subcategorias'!E:F,2,0)</f>
        <v>Se realiza análisis para establecer qué ocurrió durante el incidente y su causa raíz</v>
      </c>
      <c r="D161" s="12" t="str">
        <f>VLOOKUP(B161,'1_Subcategorias'!E:H,4,0)</f>
        <v>RS.AN - Análisis de incidentes</v>
      </c>
      <c r="E161" s="13" t="s">
        <v>134</v>
      </c>
      <c r="F161" s="14">
        <v>0.15</v>
      </c>
      <c r="G161" s="12" t="s">
        <v>306</v>
      </c>
    </row>
    <row r="162" spans="1:7" ht="26" x14ac:dyDescent="0.2">
      <c r="A162" s="11" t="s">
        <v>109</v>
      </c>
      <c r="B162" s="15" t="s">
        <v>307</v>
      </c>
      <c r="C162" s="12" t="str">
        <f>VLOOKUP(B162,'1_Subcategorias'!E:F,2,0)</f>
        <v>Amenazas, vulnerabilidades, probabilidades e impactos usados para entender el riesgo inherente y priorizar la respuesta</v>
      </c>
      <c r="D162" s="12" t="str">
        <f>VLOOKUP(B162,'1_Subcategorias'!E:H,4,0)</f>
        <v>ID.RA - Evaluación de riesgo</v>
      </c>
      <c r="E162" s="13" t="s">
        <v>125</v>
      </c>
      <c r="F162" s="14">
        <v>0.45</v>
      </c>
      <c r="G162" s="12" t="s">
        <v>308</v>
      </c>
    </row>
    <row r="163" spans="1:7" ht="26" x14ac:dyDescent="0.2">
      <c r="A163" s="11" t="s">
        <v>109</v>
      </c>
      <c r="B163" s="15" t="s">
        <v>124</v>
      </c>
      <c r="C163" s="12" t="str">
        <f>VLOOKUP(B163,'1_Subcategorias'!E:F,2,0)</f>
        <v>Amenazas internas y externas a la organización identificadas y registradas</v>
      </c>
      <c r="D163" s="12" t="str">
        <f>VLOOKUP(B163,'1_Subcategorias'!E:H,4,0)</f>
        <v>ID.RA - Evaluación de riesgo</v>
      </c>
      <c r="E163" s="13" t="s">
        <v>125</v>
      </c>
      <c r="F163" s="14">
        <v>0.35</v>
      </c>
      <c r="G163" s="12" t="s">
        <v>309</v>
      </c>
    </row>
    <row r="164" spans="1:7" x14ac:dyDescent="0.2">
      <c r="A164" s="11" t="s">
        <v>109</v>
      </c>
      <c r="B164" s="15" t="s">
        <v>206</v>
      </c>
      <c r="C164" s="12" t="str">
        <f>VLOOKUP(B164,'1_Subcategorias'!E:F,2,0)</f>
        <v>Vulnerabilidades en activos identificadas, validadas y registradas</v>
      </c>
      <c r="D164" s="12" t="str">
        <f>VLOOKUP(B164,'1_Subcategorias'!E:H,4,0)</f>
        <v>ID.RA - Evaluación de riesgo</v>
      </c>
      <c r="E164" s="13" t="s">
        <v>125</v>
      </c>
      <c r="F164" s="14">
        <v>0.2</v>
      </c>
      <c r="G164" s="12" t="s">
        <v>310</v>
      </c>
    </row>
    <row r="165" spans="1:7" ht="26" x14ac:dyDescent="0.2">
      <c r="A165" s="27" t="s">
        <v>110</v>
      </c>
      <c r="B165" s="15" t="s">
        <v>136</v>
      </c>
      <c r="C165" s="12" t="str">
        <f>VLOOKUP(B165,'1_Subcategorias'!E:F,2,0)</f>
        <v>Redes y entornos protegidos de acceso y uso lógico no autorizado</v>
      </c>
      <c r="D165" s="12" t="str">
        <f>VLOOKUP(B165,'1_Subcategorias'!E:H,4,0)</f>
        <v>PR.IR - Resiliencia de la infraestructura tecnológica</v>
      </c>
      <c r="E165" s="13" t="s">
        <v>138</v>
      </c>
      <c r="F165" s="14">
        <v>0.5</v>
      </c>
      <c r="G165" s="12" t="s">
        <v>311</v>
      </c>
    </row>
    <row r="166" spans="1:7" ht="30" x14ac:dyDescent="0.2">
      <c r="A166" s="11" t="s">
        <v>110</v>
      </c>
      <c r="B166" s="15" t="s">
        <v>188</v>
      </c>
      <c r="C166" s="12" t="str">
        <f>VLOOKUP(B166,'1_Subcategorias'!E:F,2,0)</f>
        <v>Prácticas de gestión de configuración establecidas y aplicadas</v>
      </c>
      <c r="D166" s="12" t="str">
        <f>VLOOKUP(B166,'1_Subcategorias'!E:H,4,0)</f>
        <v>PR.PS - Seguridad de plataforma</v>
      </c>
      <c r="E166" s="13" t="s">
        <v>138</v>
      </c>
      <c r="F166" s="14">
        <v>0.15</v>
      </c>
      <c r="G166" s="12" t="s">
        <v>312</v>
      </c>
    </row>
    <row r="167" spans="1:7" ht="30" x14ac:dyDescent="0.2">
      <c r="A167" s="11" t="s">
        <v>110</v>
      </c>
      <c r="B167" s="15" t="s">
        <v>140</v>
      </c>
      <c r="C167" s="12" t="str">
        <f>VLOOKUP(B167,'1_Subcategorias'!E:F,2,0)</f>
        <v>Redes y servicios de red monitoreados para hallar eventos potencialmente adversos</v>
      </c>
      <c r="D167" s="12" t="str">
        <f>VLOOKUP(B167,'1_Subcategorias'!E:H,4,0)</f>
        <v>DE.CM - Monitoreo continuo</v>
      </c>
      <c r="E167" s="13" t="s">
        <v>128</v>
      </c>
      <c r="F167" s="14">
        <v>0.25</v>
      </c>
      <c r="G167" s="12" t="s">
        <v>313</v>
      </c>
    </row>
    <row r="168" spans="1:7" ht="30" x14ac:dyDescent="0.2">
      <c r="A168" s="11" t="s">
        <v>110</v>
      </c>
      <c r="B168" s="15" t="s">
        <v>132</v>
      </c>
      <c r="C168" s="12" t="str">
        <f>VLOOKUP(B168,'1_Subcategorias'!E:F,2,0)</f>
        <v>Los incidentes son contenidos</v>
      </c>
      <c r="D168" s="12" t="str">
        <f>VLOOKUP(B168,'1_Subcategorias'!E:H,4,0)</f>
        <v>RS.MI - Mitigación del incidente</v>
      </c>
      <c r="E168" s="13" t="s">
        <v>134</v>
      </c>
      <c r="F168" s="14">
        <v>0.1</v>
      </c>
      <c r="G168" s="12" t="s">
        <v>314</v>
      </c>
    </row>
    <row r="169" spans="1:7" ht="30" x14ac:dyDescent="0.2">
      <c r="A169" s="11" t="s">
        <v>112</v>
      </c>
      <c r="B169" s="15" t="s">
        <v>136</v>
      </c>
      <c r="C169" s="12" t="str">
        <f>VLOOKUP(B169,'1_Subcategorias'!E:F,2,0)</f>
        <v>Redes y entornos protegidos de acceso y uso lógico no autorizado</v>
      </c>
      <c r="D169" s="12" t="str">
        <f>VLOOKUP(B169,'1_Subcategorias'!E:H,4,0)</f>
        <v>PR.IR - Resiliencia de la infraestructura tecnológica</v>
      </c>
      <c r="E169" s="13" t="s">
        <v>138</v>
      </c>
      <c r="F169" s="14">
        <v>0.5</v>
      </c>
      <c r="G169" s="12" t="s">
        <v>411</v>
      </c>
    </row>
    <row r="170" spans="1:7" ht="30" x14ac:dyDescent="0.2">
      <c r="A170" s="11" t="s">
        <v>112</v>
      </c>
      <c r="B170" s="15" t="s">
        <v>188</v>
      </c>
      <c r="C170" s="12" t="str">
        <f>VLOOKUP(B170,'1_Subcategorias'!E:F,2,0)</f>
        <v>Prácticas de gestión de configuración establecidas y aplicadas</v>
      </c>
      <c r="D170" s="12" t="str">
        <f>VLOOKUP(B170,'1_Subcategorias'!E:H,4,0)</f>
        <v>PR.PS - Seguridad de plataforma</v>
      </c>
      <c r="E170" s="13" t="s">
        <v>138</v>
      </c>
      <c r="F170" s="14">
        <v>0.15</v>
      </c>
      <c r="G170" s="12" t="s">
        <v>312</v>
      </c>
    </row>
    <row r="171" spans="1:7" ht="30" x14ac:dyDescent="0.2">
      <c r="A171" s="11" t="s">
        <v>112</v>
      </c>
      <c r="B171" s="15" t="s">
        <v>140</v>
      </c>
      <c r="C171" s="12" t="str">
        <f>VLOOKUP(B171,'1_Subcategorias'!E:F,2,0)</f>
        <v>Redes y servicios de red monitoreados para hallar eventos potencialmente adversos</v>
      </c>
      <c r="D171" s="12" t="str">
        <f>VLOOKUP(B171,'1_Subcategorias'!E:H,4,0)</f>
        <v>DE.CM - Monitoreo continuo</v>
      </c>
      <c r="E171" s="13" t="s">
        <v>128</v>
      </c>
      <c r="F171" s="14">
        <v>0.25</v>
      </c>
      <c r="G171" s="12" t="s">
        <v>315</v>
      </c>
    </row>
    <row r="172" spans="1:7" ht="30" x14ac:dyDescent="0.2">
      <c r="A172" s="11" t="s">
        <v>112</v>
      </c>
      <c r="B172" s="15" t="s">
        <v>132</v>
      </c>
      <c r="C172" s="12" t="str">
        <f>VLOOKUP(B172,'1_Subcategorias'!E:F,2,0)</f>
        <v>Los incidentes son contenidos</v>
      </c>
      <c r="D172" s="12" t="str">
        <f>VLOOKUP(B172,'1_Subcategorias'!E:H,4,0)</f>
        <v>RS.MI - Mitigación del incidente</v>
      </c>
      <c r="E172" s="13" t="s">
        <v>134</v>
      </c>
      <c r="F172" s="14">
        <v>0.1</v>
      </c>
      <c r="G172" s="12" t="s">
        <v>314</v>
      </c>
    </row>
    <row r="173" spans="1:7" ht="26" x14ac:dyDescent="0.2">
      <c r="A173" s="11" t="s">
        <v>113</v>
      </c>
      <c r="B173" s="15" t="s">
        <v>164</v>
      </c>
      <c r="C173" s="12" t="str">
        <f>VLOOKUP(B173,'1_Subcategorias'!E:F,2,0)</f>
        <v>La actividad del personal y el uso de la tecnología son monitoreados para hallar eventos adversos</v>
      </c>
      <c r="D173" s="12" t="str">
        <f>VLOOKUP(B173,'1_Subcategorias'!E:H,4,0)</f>
        <v>DE.CM - Monitoreo continuo</v>
      </c>
      <c r="E173" s="13" t="s">
        <v>128</v>
      </c>
      <c r="F173" s="14">
        <v>0.4</v>
      </c>
      <c r="G173" s="12" t="s">
        <v>316</v>
      </c>
    </row>
    <row r="174" spans="1:7" ht="26" x14ac:dyDescent="0.2">
      <c r="A174" s="11" t="s">
        <v>113</v>
      </c>
      <c r="B174" s="15" t="s">
        <v>130</v>
      </c>
      <c r="C174" s="12" t="str">
        <f>VLOOKUP(B174,'1_Subcategorias'!E:F,2,0)</f>
        <v>Eventos potencialmente adversos analizados para comprender mejor la actividad asociada</v>
      </c>
      <c r="D174" s="12" t="str">
        <f>VLOOKUP(B174,'1_Subcategorias'!E:H,4,0)</f>
        <v>DE.AE - Análisis de eventos adversos</v>
      </c>
      <c r="E174" s="13" t="s">
        <v>128</v>
      </c>
      <c r="F174" s="14">
        <v>0.35</v>
      </c>
      <c r="G174" s="12" t="s">
        <v>317</v>
      </c>
    </row>
    <row r="175" spans="1:7" ht="26" x14ac:dyDescent="0.2">
      <c r="A175" s="11" t="s">
        <v>113</v>
      </c>
      <c r="B175" s="15" t="s">
        <v>166</v>
      </c>
      <c r="C175" s="12" t="str">
        <f>VLOOKUP(B175,'1_Subcategorias'!E:F,2,0)</f>
        <v>El impacto y alcance estimados de los eventos adversos son comprendidos</v>
      </c>
      <c r="D175" s="12" t="str">
        <f>VLOOKUP(B175,'1_Subcategorias'!E:H,4,0)</f>
        <v>DE.AE - Análisis de eventos adversos</v>
      </c>
      <c r="E175" s="13" t="s">
        <v>128</v>
      </c>
      <c r="F175" s="14">
        <v>0.25</v>
      </c>
      <c r="G175" s="12" t="s">
        <v>421</v>
      </c>
    </row>
    <row r="176" spans="1:7" ht="26" x14ac:dyDescent="0.2">
      <c r="A176" s="11" t="s">
        <v>114</v>
      </c>
      <c r="B176" s="15" t="s">
        <v>206</v>
      </c>
      <c r="C176" s="12" t="str">
        <f>VLOOKUP(B176,'1_Subcategorias'!E:F,2,0)</f>
        <v>Vulnerabilidades en activos identificadas, validadas y registradas</v>
      </c>
      <c r="D176" s="12" t="str">
        <f>VLOOKUP(B176,'1_Subcategorias'!E:H,4,0)</f>
        <v>ID.RA - Evaluación de riesgo</v>
      </c>
      <c r="E176" s="13" t="s">
        <v>125</v>
      </c>
      <c r="F176" s="14">
        <v>0.7</v>
      </c>
      <c r="G176" s="12" t="s">
        <v>423</v>
      </c>
    </row>
    <row r="177" spans="1:7" ht="26" x14ac:dyDescent="0.2">
      <c r="A177" s="11" t="s">
        <v>114</v>
      </c>
      <c r="B177" s="15" t="s">
        <v>211</v>
      </c>
      <c r="C177" s="12" t="str">
        <f>VLOOKUP(B177,'1_Subcategorias'!E:F,2,0)</f>
        <v>Prácticas de desarrollo seguro integradas y su desempeño monitoreado en todo el ciclo de vida del software</v>
      </c>
      <c r="D177" s="12" t="str">
        <f>VLOOKUP(B177,'1_Subcategorias'!E:H,4,0)</f>
        <v>PR.PS - Seguridad de plataforma</v>
      </c>
      <c r="E177" s="13" t="s">
        <v>138</v>
      </c>
      <c r="F177" s="14">
        <v>0.3</v>
      </c>
      <c r="G177" s="12" t="s">
        <v>369</v>
      </c>
    </row>
    <row r="178" spans="1:7" ht="26" x14ac:dyDescent="0.2">
      <c r="A178" s="17" t="s">
        <v>115</v>
      </c>
      <c r="B178" s="21" t="s">
        <v>143</v>
      </c>
      <c r="C178" s="12" t="str">
        <f>VLOOKUP(B178,'1_Subcategorias'!E:F,2,0)</f>
        <v>El entorno físico es monitoreado para hallar eventos potencialmente adversos</v>
      </c>
      <c r="D178" s="12" t="str">
        <f>VLOOKUP(B178,'1_Subcategorias'!E:H,4,0)</f>
        <v>DE.CM - Monitoreo continuo</v>
      </c>
      <c r="E178" s="23" t="s">
        <v>128</v>
      </c>
      <c r="F178" s="24">
        <v>0.35</v>
      </c>
      <c r="G178" s="22" t="s">
        <v>381</v>
      </c>
    </row>
    <row r="179" spans="1:7" ht="26" x14ac:dyDescent="0.2">
      <c r="A179" s="17" t="s">
        <v>115</v>
      </c>
      <c r="B179" s="21" t="s">
        <v>130</v>
      </c>
      <c r="C179" s="12" t="str">
        <f>VLOOKUP(B179,'1_Subcategorias'!E:F,2,0)</f>
        <v>Eventos potencialmente adversos analizados para comprender mejor la actividad asociada</v>
      </c>
      <c r="D179" s="12" t="str">
        <f>VLOOKUP(B179,'1_Subcategorias'!E:H,4,0)</f>
        <v>DE.AE - Análisis de eventos adversos</v>
      </c>
      <c r="E179" s="23" t="s">
        <v>128</v>
      </c>
      <c r="F179" s="24">
        <v>0.2</v>
      </c>
      <c r="G179" s="22" t="s">
        <v>382</v>
      </c>
    </row>
    <row r="180" spans="1:7" ht="26" x14ac:dyDescent="0.2">
      <c r="A180" s="17" t="s">
        <v>115</v>
      </c>
      <c r="B180" s="21" t="s">
        <v>183</v>
      </c>
      <c r="C180" s="12" t="str">
        <f>VLOOKUP(B180,'1_Subcategorias'!E:F,2,0)</f>
        <v>Registros de log generados y disponibles para monitoreo continuo</v>
      </c>
      <c r="D180" s="12" t="str">
        <f>VLOOKUP(B180,'1_Subcategorias'!E:H,4,0)</f>
        <v>PR.PS - Seguridad de plataforma</v>
      </c>
      <c r="E180" s="23" t="s">
        <v>138</v>
      </c>
      <c r="F180" s="24">
        <v>0.1</v>
      </c>
      <c r="G180" s="22" t="s">
        <v>374</v>
      </c>
    </row>
    <row r="181" spans="1:7" ht="26" x14ac:dyDescent="0.2">
      <c r="A181" s="17" t="s">
        <v>115</v>
      </c>
      <c r="B181" s="21" t="s">
        <v>144</v>
      </c>
      <c r="C181" s="12" t="str">
        <f>VLOOKUP(B181,'1_Subcategorias'!E:F,2,0)</f>
        <v>Los reportes de incidente son triados y validados</v>
      </c>
      <c r="D181" s="12" t="str">
        <f>VLOOKUP(B181,'1_Subcategorias'!E:H,4,0)</f>
        <v>RS.MA - Gestión de incidentes</v>
      </c>
      <c r="E181" s="23" t="s">
        <v>134</v>
      </c>
      <c r="F181" s="24">
        <v>0.2</v>
      </c>
      <c r="G181" s="22" t="s">
        <v>383</v>
      </c>
    </row>
    <row r="182" spans="1:7" ht="26" x14ac:dyDescent="0.2">
      <c r="A182" s="17" t="s">
        <v>115</v>
      </c>
      <c r="B182" s="21" t="s">
        <v>147</v>
      </c>
      <c r="C182" s="12" t="str">
        <f>VLOOKUP(B182,'1_Subcategorias'!E:F,2,0)</f>
        <v>Las partes interesadas internas y externas son notificadas de los incidentes</v>
      </c>
      <c r="D182" s="12" t="str">
        <f>VLOOKUP(B182,'1_Subcategorias'!E:H,4,0)</f>
        <v>RS.CO - Reporte y comunicación del incidente</v>
      </c>
      <c r="E182" s="23" t="s">
        <v>134</v>
      </c>
      <c r="F182" s="24">
        <v>0.15</v>
      </c>
      <c r="G182" s="22" t="s">
        <v>384</v>
      </c>
    </row>
    <row r="183" spans="1:7" ht="26" x14ac:dyDescent="0.2">
      <c r="A183" s="11" t="s">
        <v>116</v>
      </c>
      <c r="B183" s="15" t="s">
        <v>164</v>
      </c>
      <c r="C183" s="12" t="str">
        <f>VLOOKUP(B183,'1_Subcategorias'!E:F,2,0)</f>
        <v>La actividad del personal y el uso de la tecnología son monitoreados para hallar eventos adversos</v>
      </c>
      <c r="D183" s="12" t="str">
        <f>VLOOKUP(B183,'1_Subcategorias'!E:H,4,0)</f>
        <v>DE.CM - Monitoreo continuo</v>
      </c>
      <c r="E183" s="13" t="s">
        <v>128</v>
      </c>
      <c r="F183" s="14">
        <v>0.4</v>
      </c>
      <c r="G183" s="12" t="s">
        <v>316</v>
      </c>
    </row>
    <row r="184" spans="1:7" ht="26" x14ac:dyDescent="0.2">
      <c r="A184" s="11" t="s">
        <v>116</v>
      </c>
      <c r="B184" s="15" t="s">
        <v>130</v>
      </c>
      <c r="C184" s="12" t="str">
        <f>VLOOKUP(B184,'1_Subcategorias'!E:F,2,0)</f>
        <v>Eventos potencialmente adversos analizados para comprender mejor la actividad asociada</v>
      </c>
      <c r="D184" s="12" t="str">
        <f>VLOOKUP(B184,'1_Subcategorias'!E:H,4,0)</f>
        <v>DE.AE - Análisis de eventos adversos</v>
      </c>
      <c r="E184" s="13" t="s">
        <v>128</v>
      </c>
      <c r="F184" s="14">
        <v>0.35</v>
      </c>
      <c r="G184" s="12" t="s">
        <v>317</v>
      </c>
    </row>
    <row r="185" spans="1:7" ht="26" x14ac:dyDescent="0.2">
      <c r="A185" s="11" t="s">
        <v>116</v>
      </c>
      <c r="B185" s="15" t="s">
        <v>166</v>
      </c>
      <c r="C185" s="12" t="str">
        <f>VLOOKUP(B185,'1_Subcategorias'!E:F,2,0)</f>
        <v>El impacto y alcance estimados de los eventos adversos son comprendidos</v>
      </c>
      <c r="D185" s="12" t="str">
        <f>VLOOKUP(B185,'1_Subcategorias'!E:H,4,0)</f>
        <v>DE.AE - Análisis de eventos adversos</v>
      </c>
      <c r="E185" s="13" t="s">
        <v>128</v>
      </c>
      <c r="F185" s="14">
        <v>0.25</v>
      </c>
      <c r="G185" s="12" t="s">
        <v>420</v>
      </c>
    </row>
    <row r="186" spans="1:7" x14ac:dyDescent="0.2">
      <c r="A186" s="11" t="s">
        <v>117</v>
      </c>
      <c r="B186" s="15" t="s">
        <v>206</v>
      </c>
      <c r="C186" s="12" t="str">
        <f>VLOOKUP(B186,'1_Subcategorias'!E:F,2,0)</f>
        <v>Vulnerabilidades en activos identificadas, validadas y registradas</v>
      </c>
      <c r="D186" s="12" t="str">
        <f>VLOOKUP(B186,'1_Subcategorias'!E:H,4,0)</f>
        <v>ID.RA - Evaluación de riesgo</v>
      </c>
      <c r="E186" s="13" t="s">
        <v>125</v>
      </c>
      <c r="F186" s="14">
        <v>0.45</v>
      </c>
      <c r="G186" s="12" t="s">
        <v>318</v>
      </c>
    </row>
    <row r="187" spans="1:7" ht="26" x14ac:dyDescent="0.2">
      <c r="A187" s="11" t="s">
        <v>117</v>
      </c>
      <c r="B187" s="15" t="s">
        <v>274</v>
      </c>
      <c r="C187" s="12" t="str">
        <f>VLOOKUP(B187,'1_Subcategorias'!E:F,2,0)</f>
        <v>Mejoras identificadas de pruebas y ejercicios de seguridad, incluidos los coordinados con terceros</v>
      </c>
      <c r="D187" s="12" t="str">
        <f>VLOOKUP(B187,'1_Subcategorias'!E:H,4,0)</f>
        <v>ID.IM - Mejora</v>
      </c>
      <c r="E187" s="13" t="s">
        <v>125</v>
      </c>
      <c r="F187" s="14">
        <v>0.15</v>
      </c>
      <c r="G187" s="12" t="s">
        <v>417</v>
      </c>
    </row>
    <row r="188" spans="1:7" ht="26" x14ac:dyDescent="0.2">
      <c r="A188" s="11" t="s">
        <v>117</v>
      </c>
      <c r="B188" s="15" t="s">
        <v>211</v>
      </c>
      <c r="C188" s="12" t="str">
        <f>VLOOKUP(B188,'1_Subcategorias'!E:F,2,0)</f>
        <v>Prácticas de desarrollo seguro integradas y su desempeño monitoreado en todo el ciclo de vida del software</v>
      </c>
      <c r="D188" s="12" t="str">
        <f>VLOOKUP(B188,'1_Subcategorias'!E:H,4,0)</f>
        <v>PR.PS - Seguridad de plataforma</v>
      </c>
      <c r="E188" s="13" t="s">
        <v>138</v>
      </c>
      <c r="F188" s="14">
        <v>0.4</v>
      </c>
      <c r="G188" s="12" t="s">
        <v>417</v>
      </c>
    </row>
    <row r="189" spans="1:7" ht="26" x14ac:dyDescent="0.2">
      <c r="A189" s="11" t="s">
        <v>118</v>
      </c>
      <c r="B189" s="15" t="s">
        <v>140</v>
      </c>
      <c r="C189" s="12" t="str">
        <f>VLOOKUP(B189,'1_Subcategorias'!E:F,2,0)</f>
        <v>Redes y servicios de red monitoreados para hallar eventos potencialmente adversos</v>
      </c>
      <c r="D189" s="12" t="str">
        <f>VLOOKUP(B189,'1_Subcategorias'!E:H,4,0)</f>
        <v>DE.CM - Monitoreo continuo</v>
      </c>
      <c r="E189" s="13" t="s">
        <v>128</v>
      </c>
      <c r="F189" s="14">
        <v>0.5</v>
      </c>
      <c r="G189" s="12" t="s">
        <v>319</v>
      </c>
    </row>
    <row r="190" spans="1:7" ht="26" x14ac:dyDescent="0.2">
      <c r="A190" s="11" t="s">
        <v>118</v>
      </c>
      <c r="B190" s="15" t="s">
        <v>130</v>
      </c>
      <c r="C190" s="12" t="str">
        <f>VLOOKUP(B190,'1_Subcategorias'!E:F,2,0)</f>
        <v>Eventos potencialmente adversos analizados para comprender mejor la actividad asociada</v>
      </c>
      <c r="D190" s="12" t="str">
        <f>VLOOKUP(B190,'1_Subcategorias'!E:H,4,0)</f>
        <v>DE.AE - Análisis de eventos adversos</v>
      </c>
      <c r="E190" s="13" t="s">
        <v>128</v>
      </c>
      <c r="F190" s="14">
        <v>0.25</v>
      </c>
      <c r="G190" s="12" t="s">
        <v>320</v>
      </c>
    </row>
    <row r="191" spans="1:7" x14ac:dyDescent="0.2">
      <c r="A191" s="11" t="s">
        <v>118</v>
      </c>
      <c r="B191" s="15" t="s">
        <v>185</v>
      </c>
      <c r="C191" s="12" t="str">
        <f>VLOOKUP(B191,'1_Subcategorias'!E:F,2,0)</f>
        <v>La información es correlacionada desde múltiples fuentes</v>
      </c>
      <c r="D191" s="12" t="str">
        <f>VLOOKUP(B191,'1_Subcategorias'!E:H,4,0)</f>
        <v>DE.AE - Análisis de eventos adversos</v>
      </c>
      <c r="E191" s="13" t="s">
        <v>128</v>
      </c>
      <c r="F191" s="14">
        <v>0.15</v>
      </c>
      <c r="G191" s="12" t="s">
        <v>321</v>
      </c>
    </row>
    <row r="192" spans="1:7" ht="26" x14ac:dyDescent="0.2">
      <c r="A192" s="11" t="s">
        <v>118</v>
      </c>
      <c r="B192" s="15" t="s">
        <v>204</v>
      </c>
      <c r="C192" s="12" t="str">
        <f>VLOOKUP(B192,'1_Subcategorias'!E:F,2,0)</f>
        <v>Se realiza análisis para establecer qué ocurrió durante el incidente y su causa raíz</v>
      </c>
      <c r="D192" s="12" t="str">
        <f>VLOOKUP(B192,'1_Subcategorias'!E:H,4,0)</f>
        <v>RS.AN - Análisis de incidentes</v>
      </c>
      <c r="E192" s="13" t="s">
        <v>134</v>
      </c>
      <c r="F192" s="14">
        <v>0.1</v>
      </c>
      <c r="G192" s="12" t="s">
        <v>322</v>
      </c>
    </row>
    <row r="193" spans="1:7" ht="26" x14ac:dyDescent="0.2">
      <c r="A193" s="11" t="s">
        <v>119</v>
      </c>
      <c r="B193" s="15" t="s">
        <v>206</v>
      </c>
      <c r="C193" s="12" t="str">
        <f>VLOOKUP(B193,'1_Subcategorias'!E:F,2,0)</f>
        <v>Vulnerabilidades en activos identificadas, validadas y registradas</v>
      </c>
      <c r="D193" s="12" t="str">
        <f>VLOOKUP(B193,'1_Subcategorias'!E:H,4,0)</f>
        <v>ID.RA - Evaluación de riesgo</v>
      </c>
      <c r="E193" s="13" t="s">
        <v>125</v>
      </c>
      <c r="F193" s="14">
        <v>0.45</v>
      </c>
      <c r="G193" s="12" t="s">
        <v>424</v>
      </c>
    </row>
    <row r="194" spans="1:7" ht="26" x14ac:dyDescent="0.2">
      <c r="A194" s="11" t="s">
        <v>119</v>
      </c>
      <c r="B194" s="15" t="s">
        <v>307</v>
      </c>
      <c r="C194" s="12" t="str">
        <f>VLOOKUP(B194,'1_Subcategorias'!E:F,2,0)</f>
        <v>Amenazas, vulnerabilidades, probabilidades e impactos usados para entender el riesgo inherente y priorizar la respuesta</v>
      </c>
      <c r="D194" s="12" t="str">
        <f>VLOOKUP(B194,'1_Subcategorias'!E:H,4,0)</f>
        <v>ID.RA - Evaluación de riesgo</v>
      </c>
      <c r="E194" s="13" t="s">
        <v>125</v>
      </c>
      <c r="F194" s="14">
        <v>0.2</v>
      </c>
      <c r="G194" s="12" t="s">
        <v>422</v>
      </c>
    </row>
    <row r="195" spans="1:7" ht="36" customHeight="1" x14ac:dyDescent="0.2">
      <c r="A195" s="11" t="s">
        <v>119</v>
      </c>
      <c r="B195" s="15" t="s">
        <v>127</v>
      </c>
      <c r="C195" s="12" t="str">
        <f>VLOOKUP(B195,'1_Subcategorias'!E:F,2,0)</f>
        <v>Hardware y software de cómputo, entornos de ejecución y sus datos monitoreados para hallar eventos adversos</v>
      </c>
      <c r="D195" s="12" t="str">
        <f>VLOOKUP(B195,'1_Subcategorias'!E:H,4,0)</f>
        <v>DE.CM - Monitoreo continuo</v>
      </c>
      <c r="E195" s="13" t="s">
        <v>128</v>
      </c>
      <c r="F195" s="14">
        <v>0.2</v>
      </c>
      <c r="G195" s="12" t="s">
        <v>425</v>
      </c>
    </row>
    <row r="196" spans="1:7" ht="36" customHeight="1" x14ac:dyDescent="0.2">
      <c r="A196" s="11" t="s">
        <v>119</v>
      </c>
      <c r="B196" s="15" t="s">
        <v>265</v>
      </c>
      <c r="C196" s="12" t="str">
        <f>VLOOKUP(B196,'1_Subcategorias'!E:F,2,0)</f>
        <v>Inventarios de hardware administrado son mantenidos</v>
      </c>
      <c r="D196" s="12" t="str">
        <f>VLOOKUP(B196,'1_Subcategorias'!E:H,4,0)</f>
        <v>ID.AM - Gestión de activos</v>
      </c>
      <c r="E196" s="13" t="s">
        <v>125</v>
      </c>
      <c r="F196" s="14">
        <v>0.1</v>
      </c>
      <c r="G196" s="12" t="s">
        <v>425</v>
      </c>
    </row>
    <row r="197" spans="1:7" ht="36" customHeight="1" x14ac:dyDescent="0.2">
      <c r="A197" s="11" t="s">
        <v>119</v>
      </c>
      <c r="B197" s="15" t="s">
        <v>250</v>
      </c>
      <c r="C197" s="12" t="str">
        <f>VLOOKUP(B197,'1_Subcategorias'!E:F,2,0)</f>
        <v>Mejoras identificadas a partir de evaluaciones</v>
      </c>
      <c r="D197" s="12" t="str">
        <f>VLOOKUP(B197,'1_Subcategorias'!E:H,4,0)</f>
        <v>ID.IM - Mejora</v>
      </c>
      <c r="E197" s="13" t="s">
        <v>125</v>
      </c>
      <c r="F197" s="14">
        <v>0.05</v>
      </c>
      <c r="G197" s="12" t="s">
        <v>425</v>
      </c>
    </row>
    <row r="198" spans="1:7" ht="26" x14ac:dyDescent="0.2">
      <c r="A198" s="11" t="s">
        <v>120</v>
      </c>
      <c r="B198" s="15" t="s">
        <v>214</v>
      </c>
      <c r="C198" s="12" t="str">
        <f>VLOOKUP(B198,'1_Subcategorias'!E:F,2,0)</f>
        <v>Instalación y ejecución de software no autorizado son prevenidas</v>
      </c>
      <c r="D198" s="12" t="str">
        <f>VLOOKUP(B198,'1_Subcategorias'!E:H,4,0)</f>
        <v>PR.PS - Seguridad de plataforma</v>
      </c>
      <c r="E198" s="13" t="s">
        <v>138</v>
      </c>
      <c r="F198" s="14">
        <v>0.45</v>
      </c>
      <c r="G198" s="12" t="s">
        <v>829</v>
      </c>
    </row>
    <row r="199" spans="1:7" ht="26" x14ac:dyDescent="0.2">
      <c r="A199" s="11" t="s">
        <v>120</v>
      </c>
      <c r="B199" s="15" t="s">
        <v>127</v>
      </c>
      <c r="C199" s="12" t="str">
        <f>VLOOKUP(B199,'1_Subcategorias'!E:F,2,0)</f>
        <v>Hardware y software de cómputo, entornos de ejecución y sus datos monitoreados para hallar eventos adversos</v>
      </c>
      <c r="D199" s="12" t="str">
        <f>VLOOKUP(B199,'1_Subcategorias'!E:H,4,0)</f>
        <v>DE.CM - Monitoreo continuo</v>
      </c>
      <c r="E199" s="13" t="s">
        <v>128</v>
      </c>
      <c r="F199" s="14">
        <v>0.25</v>
      </c>
      <c r="G199" s="12" t="s">
        <v>830</v>
      </c>
    </row>
    <row r="200" spans="1:7" ht="26" x14ac:dyDescent="0.2">
      <c r="A200" s="11" t="s">
        <v>120</v>
      </c>
      <c r="B200" s="15" t="s">
        <v>188</v>
      </c>
      <c r="C200" s="12" t="str">
        <f>VLOOKUP(B200,'1_Subcategorias'!E:F,2,0)</f>
        <v>Prácticas de gestión de configuración establecidas y aplicadas</v>
      </c>
      <c r="D200" s="12" t="str">
        <f>VLOOKUP(B200,'1_Subcategorias'!E:H,4,0)</f>
        <v>PR.PS - Seguridad de plataforma</v>
      </c>
      <c r="E200" s="13" t="s">
        <v>138</v>
      </c>
      <c r="F200" s="14">
        <v>0.15</v>
      </c>
      <c r="G200" s="12" t="s">
        <v>831</v>
      </c>
    </row>
    <row r="201" spans="1:7" ht="26" x14ac:dyDescent="0.2">
      <c r="A201" s="11" t="s">
        <v>120</v>
      </c>
      <c r="B201" s="15" t="s">
        <v>155</v>
      </c>
      <c r="C201" s="12" t="str">
        <f>VLOOKUP(B201,'1_Subcategorias'!E:F,2,0)</f>
        <v>Confidencialidad, integridad y disponibilidad del dato en tránsito protegidas</v>
      </c>
      <c r="D201" s="12" t="str">
        <f>VLOOKUP(B201,'1_Subcategorias'!E:H,4,0)</f>
        <v>PR.DS - Seguridad de datos</v>
      </c>
      <c r="E201" s="13" t="s">
        <v>138</v>
      </c>
      <c r="F201" s="14">
        <v>0.15</v>
      </c>
      <c r="G201" s="12" t="s">
        <v>832</v>
      </c>
    </row>
  </sheetData>
  <autoFilter ref="A1:G200"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E475-6C31-EE43-870C-0B8FC782807D}">
  <sheetPr>
    <tabColor theme="5"/>
  </sheetPr>
  <dimension ref="A3:W57"/>
  <sheetViews>
    <sheetView topLeftCell="Q11" workbookViewId="0">
      <selection activeCell="D24" sqref="D24"/>
    </sheetView>
  </sheetViews>
  <sheetFormatPr baseColWidth="10" defaultColWidth="11.5" defaultRowHeight="15" x14ac:dyDescent="0.2"/>
  <cols>
    <col min="1" max="1" width="44" bestFit="1" customWidth="1"/>
    <col min="2" max="2" width="20.33203125" bestFit="1" customWidth="1"/>
    <col min="3" max="3" width="9.1640625" bestFit="1" customWidth="1"/>
    <col min="4" max="4" width="8" bestFit="1" customWidth="1"/>
    <col min="5" max="5" width="9.5" bestFit="1" customWidth="1"/>
    <col min="6" max="6" width="11.1640625" bestFit="1" customWidth="1"/>
    <col min="7" max="7" width="9.6640625" customWidth="1"/>
    <col min="8" max="8" width="44" bestFit="1" customWidth="1"/>
    <col min="9" max="9" width="39.33203125" bestFit="1" customWidth="1"/>
    <col min="10" max="10" width="20.5" bestFit="1" customWidth="1"/>
    <col min="11" max="11" width="28.6640625" bestFit="1" customWidth="1"/>
    <col min="12" max="12" width="25" bestFit="1" customWidth="1"/>
    <col min="13" max="13" width="32" bestFit="1" customWidth="1"/>
    <col min="14" max="14" width="26.6640625" bestFit="1" customWidth="1"/>
    <col min="15" max="15" width="27.33203125" bestFit="1" customWidth="1"/>
    <col min="16" max="16" width="26.33203125" bestFit="1" customWidth="1"/>
    <col min="17" max="17" width="32.1640625" bestFit="1" customWidth="1"/>
    <col min="18" max="18" width="13.6640625" bestFit="1" customWidth="1"/>
    <col min="19" max="19" width="32" bestFit="1" customWidth="1"/>
    <col min="20" max="20" width="19.83203125" bestFit="1" customWidth="1"/>
    <col min="21" max="21" width="32.6640625" bestFit="1" customWidth="1"/>
    <col min="22" max="22" width="9.6640625" bestFit="1" customWidth="1"/>
    <col min="23" max="24" width="11.1640625" bestFit="1" customWidth="1"/>
    <col min="25" max="25" width="48.33203125" bestFit="1" customWidth="1"/>
    <col min="26" max="26" width="46" bestFit="1" customWidth="1"/>
    <col min="27" max="27" width="36.6640625" bestFit="1" customWidth="1"/>
    <col min="28" max="28" width="24.5" bestFit="1" customWidth="1"/>
    <col min="29" max="29" width="39" bestFit="1" customWidth="1"/>
    <col min="30" max="30" width="42.33203125" bestFit="1" customWidth="1"/>
    <col min="31" max="31" width="68.83203125" bestFit="1" customWidth="1"/>
    <col min="32" max="32" width="37" bestFit="1" customWidth="1"/>
    <col min="33" max="33" width="46.6640625" bestFit="1" customWidth="1"/>
    <col min="34" max="34" width="77" bestFit="1" customWidth="1"/>
    <col min="35" max="35" width="49.1640625" bestFit="1" customWidth="1"/>
    <col min="36" max="36" width="52.5" bestFit="1" customWidth="1"/>
    <col min="37" max="37" width="53.6640625" bestFit="1" customWidth="1"/>
    <col min="38" max="38" width="52.83203125" bestFit="1" customWidth="1"/>
    <col min="39" max="39" width="67.5" bestFit="1" customWidth="1"/>
    <col min="40" max="40" width="66" bestFit="1" customWidth="1"/>
    <col min="41" max="41" width="52.83203125" bestFit="1" customWidth="1"/>
    <col min="42" max="42" width="38.1640625" bestFit="1" customWidth="1"/>
    <col min="43" max="43" width="51.33203125" bestFit="1" customWidth="1"/>
    <col min="44" max="44" width="11.1640625" bestFit="1" customWidth="1"/>
  </cols>
  <sheetData>
    <row r="3" spans="1:23" x14ac:dyDescent="0.2">
      <c r="A3" s="1" t="s">
        <v>323</v>
      </c>
      <c r="B3" s="1" t="s">
        <v>324</v>
      </c>
      <c r="H3" s="1" t="s">
        <v>323</v>
      </c>
      <c r="I3" s="1" t="s">
        <v>324</v>
      </c>
    </row>
    <row r="4" spans="1:23" x14ac:dyDescent="0.2">
      <c r="A4" s="1" t="s">
        <v>325</v>
      </c>
      <c r="B4" t="s">
        <v>128</v>
      </c>
      <c r="C4" t="s">
        <v>125</v>
      </c>
      <c r="D4" t="s">
        <v>138</v>
      </c>
      <c r="E4" t="s">
        <v>134</v>
      </c>
      <c r="F4" t="s">
        <v>326</v>
      </c>
      <c r="H4" s="1" t="s">
        <v>325</v>
      </c>
      <c r="I4" t="s">
        <v>6</v>
      </c>
      <c r="J4" t="s">
        <v>83</v>
      </c>
      <c r="K4" t="s">
        <v>31</v>
      </c>
      <c r="L4" t="s">
        <v>23</v>
      </c>
      <c r="M4" t="s">
        <v>39</v>
      </c>
      <c r="N4" t="s">
        <v>50</v>
      </c>
      <c r="O4" t="s">
        <v>26</v>
      </c>
      <c r="P4" t="s">
        <v>35</v>
      </c>
      <c r="Q4" t="s">
        <v>12</v>
      </c>
      <c r="R4" t="s">
        <v>33</v>
      </c>
      <c r="S4" t="s">
        <v>14</v>
      </c>
      <c r="T4" t="s">
        <v>17</v>
      </c>
      <c r="U4" t="s">
        <v>8</v>
      </c>
      <c r="V4" t="s">
        <v>426</v>
      </c>
      <c r="W4" t="s">
        <v>326</v>
      </c>
    </row>
    <row r="5" spans="1:23" x14ac:dyDescent="0.2">
      <c r="A5" s="2" t="s">
        <v>5</v>
      </c>
      <c r="B5" s="3">
        <v>0.5</v>
      </c>
      <c r="C5" s="3">
        <v>0.35</v>
      </c>
      <c r="D5" s="3"/>
      <c r="E5" s="3">
        <v>0.15</v>
      </c>
      <c r="F5" s="3">
        <v>1</v>
      </c>
      <c r="H5" s="2" t="s">
        <v>5</v>
      </c>
      <c r="I5">
        <v>0.65</v>
      </c>
      <c r="U5">
        <v>0.35</v>
      </c>
      <c r="W5">
        <v>1</v>
      </c>
    </row>
    <row r="6" spans="1:23" x14ac:dyDescent="0.2">
      <c r="A6" s="2" t="s">
        <v>11</v>
      </c>
      <c r="B6" s="3">
        <v>0.5</v>
      </c>
      <c r="C6" s="3"/>
      <c r="D6" s="3">
        <v>0.5</v>
      </c>
      <c r="E6" s="3"/>
      <c r="F6" s="3">
        <v>1</v>
      </c>
      <c r="H6" s="2" t="s">
        <v>11</v>
      </c>
      <c r="M6">
        <v>0.3</v>
      </c>
      <c r="Q6">
        <v>0.2</v>
      </c>
      <c r="S6">
        <v>0.5</v>
      </c>
      <c r="W6">
        <v>1</v>
      </c>
    </row>
    <row r="7" spans="1:23" x14ac:dyDescent="0.2">
      <c r="A7" s="2" t="s">
        <v>16</v>
      </c>
      <c r="B7" s="3">
        <v>0.7</v>
      </c>
      <c r="C7" s="3"/>
      <c r="D7" s="3">
        <v>0.1</v>
      </c>
      <c r="E7" s="3">
        <v>0.2</v>
      </c>
      <c r="F7" s="3">
        <v>1</v>
      </c>
      <c r="H7" s="2" t="s">
        <v>16</v>
      </c>
      <c r="M7">
        <v>0.15</v>
      </c>
      <c r="T7">
        <v>0.85</v>
      </c>
      <c r="W7">
        <v>1</v>
      </c>
    </row>
    <row r="8" spans="1:23" x14ac:dyDescent="0.2">
      <c r="A8" s="2" t="s">
        <v>20</v>
      </c>
      <c r="B8" s="3">
        <v>0.2</v>
      </c>
      <c r="C8" s="3"/>
      <c r="D8" s="3">
        <v>0.8</v>
      </c>
      <c r="E8" s="3"/>
      <c r="F8" s="3">
        <v>1</v>
      </c>
      <c r="H8" s="2" t="s">
        <v>20</v>
      </c>
      <c r="M8">
        <v>0.2</v>
      </c>
      <c r="Q8">
        <v>0.8</v>
      </c>
      <c r="W8">
        <v>1</v>
      </c>
    </row>
    <row r="9" spans="1:23" x14ac:dyDescent="0.2">
      <c r="A9" s="2" t="s">
        <v>22</v>
      </c>
      <c r="B9" s="3"/>
      <c r="C9" s="3"/>
      <c r="D9" s="3">
        <v>1</v>
      </c>
      <c r="E9" s="3"/>
      <c r="F9" s="3">
        <v>1</v>
      </c>
      <c r="H9" s="2" t="s">
        <v>22</v>
      </c>
      <c r="I9">
        <v>0.4</v>
      </c>
      <c r="L9">
        <v>0.6</v>
      </c>
      <c r="W9">
        <v>1</v>
      </c>
    </row>
    <row r="10" spans="1:23" x14ac:dyDescent="0.2">
      <c r="A10" s="2" t="s">
        <v>25</v>
      </c>
      <c r="B10" s="3">
        <v>0.85</v>
      </c>
      <c r="C10" s="3"/>
      <c r="D10" s="3">
        <v>0.15</v>
      </c>
      <c r="E10" s="3"/>
      <c r="F10" s="3">
        <v>1</v>
      </c>
      <c r="H10" s="2" t="s">
        <v>25</v>
      </c>
      <c r="I10">
        <v>0.85</v>
      </c>
      <c r="O10">
        <v>0.15</v>
      </c>
      <c r="W10">
        <v>1</v>
      </c>
    </row>
    <row r="11" spans="1:23" x14ac:dyDescent="0.2">
      <c r="A11" s="2" t="s">
        <v>28</v>
      </c>
      <c r="B11" s="3"/>
      <c r="C11" s="3">
        <v>0.25</v>
      </c>
      <c r="D11" s="3">
        <v>0.75</v>
      </c>
      <c r="E11" s="3"/>
      <c r="F11" s="3">
        <v>1</v>
      </c>
      <c r="H11" s="2" t="s">
        <v>28</v>
      </c>
      <c r="L11">
        <v>0.7</v>
      </c>
      <c r="R11">
        <v>0.2</v>
      </c>
      <c r="U11">
        <v>0.1</v>
      </c>
      <c r="W11">
        <v>0.99999999999999989</v>
      </c>
    </row>
    <row r="12" spans="1:23" x14ac:dyDescent="0.2">
      <c r="A12" s="2" t="s">
        <v>30</v>
      </c>
      <c r="B12" s="3">
        <v>0.2</v>
      </c>
      <c r="C12" s="3">
        <v>0.1</v>
      </c>
      <c r="D12" s="3">
        <v>0.7</v>
      </c>
      <c r="E12" s="3"/>
      <c r="F12" s="3">
        <v>1</v>
      </c>
      <c r="H12" s="2" t="s">
        <v>30</v>
      </c>
      <c r="K12">
        <v>0.4</v>
      </c>
      <c r="P12">
        <v>0.4</v>
      </c>
      <c r="R12">
        <v>0.2</v>
      </c>
      <c r="W12">
        <v>1</v>
      </c>
    </row>
    <row r="13" spans="1:23" x14ac:dyDescent="0.2">
      <c r="A13" s="2" t="s">
        <v>38</v>
      </c>
      <c r="B13" s="3">
        <v>0.4</v>
      </c>
      <c r="C13" s="3"/>
      <c r="D13" s="3">
        <v>0.6</v>
      </c>
      <c r="E13" s="3"/>
      <c r="F13" s="3">
        <v>1</v>
      </c>
      <c r="H13" s="2" t="s">
        <v>38</v>
      </c>
      <c r="M13">
        <v>1</v>
      </c>
      <c r="W13">
        <v>1</v>
      </c>
    </row>
    <row r="14" spans="1:23" x14ac:dyDescent="0.2">
      <c r="A14" s="2" t="s">
        <v>41</v>
      </c>
      <c r="B14" s="3">
        <v>0.45</v>
      </c>
      <c r="C14" s="3"/>
      <c r="D14" s="3">
        <v>0.54999999999999993</v>
      </c>
      <c r="E14" s="3"/>
      <c r="F14" s="3">
        <v>1</v>
      </c>
      <c r="H14" s="2" t="s">
        <v>41</v>
      </c>
      <c r="M14">
        <v>0.25</v>
      </c>
      <c r="T14">
        <v>0.75</v>
      </c>
      <c r="W14">
        <v>1</v>
      </c>
    </row>
    <row r="15" spans="1:23" x14ac:dyDescent="0.2">
      <c r="A15" s="2" t="s">
        <v>43</v>
      </c>
      <c r="B15" s="3">
        <v>0.25</v>
      </c>
      <c r="C15" s="3"/>
      <c r="D15" s="3">
        <v>0.75</v>
      </c>
      <c r="E15" s="3"/>
      <c r="F15" s="3">
        <v>1</v>
      </c>
      <c r="H15" s="2" t="s">
        <v>43</v>
      </c>
      <c r="O15">
        <v>0.4</v>
      </c>
      <c r="T15">
        <v>0.6</v>
      </c>
      <c r="W15">
        <v>1</v>
      </c>
    </row>
    <row r="16" spans="1:23" x14ac:dyDescent="0.2">
      <c r="A16" s="2" t="s">
        <v>44</v>
      </c>
      <c r="B16" s="3">
        <v>0.75000000000000011</v>
      </c>
      <c r="C16" s="3"/>
      <c r="D16" s="3">
        <v>0.1</v>
      </c>
      <c r="E16" s="3">
        <v>0.15</v>
      </c>
      <c r="F16" s="3">
        <v>1</v>
      </c>
      <c r="H16" s="2" t="s">
        <v>44</v>
      </c>
      <c r="M16">
        <v>1</v>
      </c>
      <c r="W16">
        <v>1</v>
      </c>
    </row>
    <row r="17" spans="1:23" x14ac:dyDescent="0.2">
      <c r="A17" s="2" t="s">
        <v>45</v>
      </c>
      <c r="B17" s="3">
        <v>0.2</v>
      </c>
      <c r="C17" s="3">
        <v>0.35</v>
      </c>
      <c r="D17" s="3">
        <v>0.44999999999999996</v>
      </c>
      <c r="E17" s="3"/>
      <c r="F17" s="3">
        <v>1</v>
      </c>
      <c r="H17" s="2" t="s">
        <v>45</v>
      </c>
      <c r="R17">
        <v>0.55000000000000004</v>
      </c>
      <c r="S17">
        <v>0.15</v>
      </c>
      <c r="U17">
        <v>0.3</v>
      </c>
      <c r="W17">
        <v>1</v>
      </c>
    </row>
    <row r="18" spans="1:23" x14ac:dyDescent="0.2">
      <c r="A18" s="2" t="s">
        <v>49</v>
      </c>
      <c r="B18" s="3">
        <v>0.5</v>
      </c>
      <c r="C18" s="3"/>
      <c r="D18" s="3">
        <v>0.2</v>
      </c>
      <c r="E18" s="3">
        <v>0.30000000000000004</v>
      </c>
      <c r="F18" s="3">
        <v>1</v>
      </c>
      <c r="H18" s="2" t="s">
        <v>49</v>
      </c>
      <c r="M18">
        <v>0.3</v>
      </c>
      <c r="N18">
        <v>0.55000000000000004</v>
      </c>
      <c r="O18">
        <v>0.05</v>
      </c>
      <c r="U18">
        <v>0.1</v>
      </c>
      <c r="W18">
        <v>1.0000000000000002</v>
      </c>
    </row>
    <row r="19" spans="1:23" x14ac:dyDescent="0.2">
      <c r="A19" s="2" t="s">
        <v>53</v>
      </c>
      <c r="B19" s="3">
        <v>0.15</v>
      </c>
      <c r="C19" s="3"/>
      <c r="D19" s="3">
        <v>0.75000000000000011</v>
      </c>
      <c r="E19" s="3">
        <v>0.1</v>
      </c>
      <c r="F19" s="3">
        <v>1.0000000000000002</v>
      </c>
      <c r="H19" s="2" t="s">
        <v>53</v>
      </c>
      <c r="M19">
        <v>0.15</v>
      </c>
      <c r="O19">
        <v>0.85</v>
      </c>
      <c r="W19">
        <v>1</v>
      </c>
    </row>
    <row r="20" spans="1:23" x14ac:dyDescent="0.2">
      <c r="A20" s="2" t="s">
        <v>57</v>
      </c>
      <c r="B20" s="3">
        <v>1</v>
      </c>
      <c r="C20" s="3"/>
      <c r="D20" s="3"/>
      <c r="E20" s="3"/>
      <c r="F20" s="3">
        <v>1</v>
      </c>
      <c r="H20" s="2" t="s">
        <v>57</v>
      </c>
      <c r="M20">
        <v>0.75</v>
      </c>
      <c r="Q20">
        <v>0.25</v>
      </c>
      <c r="W20">
        <v>1</v>
      </c>
    </row>
    <row r="21" spans="1:23" x14ac:dyDescent="0.2">
      <c r="A21" s="2" t="s">
        <v>58</v>
      </c>
      <c r="B21" s="3">
        <v>0.15</v>
      </c>
      <c r="C21" s="3"/>
      <c r="D21" s="3">
        <v>0.85000000000000009</v>
      </c>
      <c r="E21" s="3"/>
      <c r="F21" s="3">
        <v>1</v>
      </c>
      <c r="H21" s="2" t="s">
        <v>58</v>
      </c>
      <c r="O21">
        <v>0.2</v>
      </c>
      <c r="T21">
        <v>0.8</v>
      </c>
      <c r="W21">
        <v>1</v>
      </c>
    </row>
    <row r="22" spans="1:23" x14ac:dyDescent="0.2">
      <c r="A22" s="2" t="s">
        <v>60</v>
      </c>
      <c r="B22" s="3">
        <v>0.44999999999999996</v>
      </c>
      <c r="C22" s="3"/>
      <c r="D22" s="3">
        <v>0.25</v>
      </c>
      <c r="E22" s="3">
        <v>0.3</v>
      </c>
      <c r="F22" s="3">
        <v>1</v>
      </c>
      <c r="H22" s="2" t="s">
        <v>60</v>
      </c>
      <c r="N22">
        <v>0.5</v>
      </c>
      <c r="Q22">
        <v>0.25</v>
      </c>
      <c r="U22">
        <v>0.25</v>
      </c>
      <c r="W22">
        <v>1</v>
      </c>
    </row>
    <row r="23" spans="1:23" x14ac:dyDescent="0.2">
      <c r="A23" s="2" t="s">
        <v>64</v>
      </c>
      <c r="B23" s="3"/>
      <c r="C23" s="3"/>
      <c r="D23" s="3">
        <v>1</v>
      </c>
      <c r="E23" s="3"/>
      <c r="F23" s="3">
        <v>1</v>
      </c>
      <c r="H23" s="2" t="s">
        <v>64</v>
      </c>
      <c r="O23">
        <v>1</v>
      </c>
      <c r="W23">
        <v>1</v>
      </c>
    </row>
    <row r="24" spans="1:23" x14ac:dyDescent="0.2">
      <c r="A24" s="2" t="s">
        <v>55</v>
      </c>
      <c r="B24" s="3">
        <v>0.45</v>
      </c>
      <c r="C24" s="3"/>
      <c r="D24" s="3">
        <v>0.54999999999999993</v>
      </c>
      <c r="E24" s="3"/>
      <c r="F24" s="3">
        <v>1</v>
      </c>
      <c r="H24" s="2" t="s">
        <v>55</v>
      </c>
      <c r="M24">
        <v>0.25</v>
      </c>
      <c r="T24">
        <v>0.75</v>
      </c>
      <c r="W24">
        <v>1</v>
      </c>
    </row>
    <row r="25" spans="1:23" x14ac:dyDescent="0.2">
      <c r="A25" s="2" t="s">
        <v>65</v>
      </c>
      <c r="B25" s="3">
        <v>0.15</v>
      </c>
      <c r="C25" s="3"/>
      <c r="D25" s="3">
        <v>0.85</v>
      </c>
      <c r="E25" s="3"/>
      <c r="F25" s="3">
        <v>1</v>
      </c>
      <c r="H25" s="2" t="s">
        <v>65</v>
      </c>
      <c r="M25">
        <v>0.1</v>
      </c>
      <c r="O25">
        <v>0.3</v>
      </c>
      <c r="T25">
        <v>0.6</v>
      </c>
      <c r="W25">
        <v>1</v>
      </c>
    </row>
    <row r="26" spans="1:23" x14ac:dyDescent="0.2">
      <c r="A26" s="2" t="s">
        <v>66</v>
      </c>
      <c r="B26" s="3"/>
      <c r="C26" s="3">
        <v>0.15</v>
      </c>
      <c r="D26" s="3">
        <v>0.84999999999999987</v>
      </c>
      <c r="E26" s="3"/>
      <c r="F26" s="3">
        <v>0.99999999999999989</v>
      </c>
      <c r="H26" s="2" t="s">
        <v>66</v>
      </c>
      <c r="L26">
        <v>0.7</v>
      </c>
      <c r="O26">
        <v>0.3</v>
      </c>
      <c r="W26">
        <v>1</v>
      </c>
    </row>
    <row r="27" spans="1:23" x14ac:dyDescent="0.2">
      <c r="A27" s="2" t="s">
        <v>69</v>
      </c>
      <c r="B27" s="3"/>
      <c r="C27" s="3"/>
      <c r="D27" s="3">
        <v>1</v>
      </c>
      <c r="E27" s="3"/>
      <c r="F27" s="3">
        <v>1</v>
      </c>
      <c r="H27" s="2" t="s">
        <v>69</v>
      </c>
      <c r="I27">
        <v>0.6</v>
      </c>
      <c r="O27">
        <v>0.4</v>
      </c>
      <c r="W27">
        <v>1</v>
      </c>
    </row>
    <row r="28" spans="1:23" x14ac:dyDescent="0.2">
      <c r="A28" s="2" t="s">
        <v>70</v>
      </c>
      <c r="B28" s="3"/>
      <c r="C28" s="3">
        <v>0.4</v>
      </c>
      <c r="D28" s="3">
        <v>0.60000000000000009</v>
      </c>
      <c r="E28" s="3"/>
      <c r="F28" s="3">
        <v>1</v>
      </c>
      <c r="H28" s="2" t="s">
        <v>70</v>
      </c>
      <c r="Q28">
        <v>1</v>
      </c>
      <c r="W28">
        <v>1</v>
      </c>
    </row>
    <row r="29" spans="1:23" x14ac:dyDescent="0.2">
      <c r="A29" s="2" t="s">
        <v>71</v>
      </c>
      <c r="B29" s="3">
        <v>0.2</v>
      </c>
      <c r="C29" s="3"/>
      <c r="D29" s="3">
        <v>0.65</v>
      </c>
      <c r="E29" s="3">
        <v>0.15</v>
      </c>
      <c r="F29" s="3">
        <v>1</v>
      </c>
      <c r="H29" s="2" t="s">
        <v>71</v>
      </c>
      <c r="N29">
        <v>0.25</v>
      </c>
      <c r="P29">
        <v>0.75</v>
      </c>
      <c r="W29">
        <v>1</v>
      </c>
    </row>
    <row r="30" spans="1:23" x14ac:dyDescent="0.2">
      <c r="A30" s="2" t="s">
        <v>72</v>
      </c>
      <c r="B30" s="3"/>
      <c r="C30" s="3">
        <v>0.1</v>
      </c>
      <c r="D30" s="3">
        <v>0.89999999999999991</v>
      </c>
      <c r="E30" s="3"/>
      <c r="F30" s="3">
        <v>0.99999999999999989</v>
      </c>
      <c r="H30" s="2" t="s">
        <v>72</v>
      </c>
      <c r="O30">
        <v>1</v>
      </c>
      <c r="W30">
        <v>1</v>
      </c>
    </row>
    <row r="31" spans="1:23" x14ac:dyDescent="0.2">
      <c r="A31" s="2" t="s">
        <v>74</v>
      </c>
      <c r="B31" s="3">
        <v>0.44999999999999996</v>
      </c>
      <c r="C31" s="3"/>
      <c r="D31" s="3">
        <v>0.45</v>
      </c>
      <c r="E31" s="3">
        <v>0.1</v>
      </c>
      <c r="F31" s="3">
        <v>0.99999999999999989</v>
      </c>
      <c r="H31" s="2" t="s">
        <v>74</v>
      </c>
      <c r="M31">
        <v>0.4</v>
      </c>
      <c r="Q31">
        <v>0.6</v>
      </c>
      <c r="W31">
        <v>1</v>
      </c>
    </row>
    <row r="32" spans="1:23" x14ac:dyDescent="0.2">
      <c r="A32" s="2" t="s">
        <v>77</v>
      </c>
      <c r="B32" s="3"/>
      <c r="C32" s="3">
        <v>0.15</v>
      </c>
      <c r="D32" s="3">
        <v>0.85</v>
      </c>
      <c r="E32" s="3"/>
      <c r="F32" s="3">
        <v>1</v>
      </c>
      <c r="H32" s="2" t="s">
        <v>77</v>
      </c>
      <c r="O32">
        <v>0.45</v>
      </c>
      <c r="Q32">
        <v>0.55000000000000004</v>
      </c>
      <c r="W32">
        <v>1</v>
      </c>
    </row>
    <row r="33" spans="1:23" x14ac:dyDescent="0.2">
      <c r="A33" s="2" t="s">
        <v>80</v>
      </c>
      <c r="B33" s="3"/>
      <c r="C33" s="3"/>
      <c r="D33" s="3">
        <v>1</v>
      </c>
      <c r="E33" s="3"/>
      <c r="F33" s="3">
        <v>1</v>
      </c>
      <c r="H33" s="2" t="s">
        <v>80</v>
      </c>
      <c r="O33">
        <v>1</v>
      </c>
      <c r="W33">
        <v>1</v>
      </c>
    </row>
    <row r="34" spans="1:23" x14ac:dyDescent="0.2">
      <c r="A34" s="2" t="s">
        <v>82</v>
      </c>
      <c r="B34" s="3"/>
      <c r="C34" s="3">
        <v>0.2</v>
      </c>
      <c r="D34" s="3">
        <v>0.8</v>
      </c>
      <c r="E34" s="3"/>
      <c r="F34" s="3">
        <v>1</v>
      </c>
      <c r="H34" s="2" t="s">
        <v>82</v>
      </c>
      <c r="J34">
        <v>1</v>
      </c>
      <c r="W34">
        <v>1</v>
      </c>
    </row>
    <row r="35" spans="1:23" x14ac:dyDescent="0.2">
      <c r="A35" s="2" t="s">
        <v>85</v>
      </c>
      <c r="B35" s="3"/>
      <c r="C35" s="3">
        <v>0.75</v>
      </c>
      <c r="D35" s="3">
        <v>0.25</v>
      </c>
      <c r="E35" s="3"/>
      <c r="F35" s="3">
        <v>1</v>
      </c>
      <c r="H35" s="2" t="s">
        <v>85</v>
      </c>
      <c r="P35">
        <v>1</v>
      </c>
      <c r="W35">
        <v>1</v>
      </c>
    </row>
    <row r="36" spans="1:23" x14ac:dyDescent="0.2">
      <c r="A36" s="2" t="s">
        <v>86</v>
      </c>
      <c r="B36" s="3"/>
      <c r="C36" s="3"/>
      <c r="D36" s="3">
        <v>1</v>
      </c>
      <c r="E36" s="3"/>
      <c r="F36" s="3">
        <v>1</v>
      </c>
      <c r="H36" s="2" t="s">
        <v>86</v>
      </c>
      <c r="N36">
        <v>0.5</v>
      </c>
      <c r="O36">
        <v>0.15</v>
      </c>
      <c r="P36">
        <v>0.35</v>
      </c>
      <c r="W36">
        <v>1</v>
      </c>
    </row>
    <row r="37" spans="1:23" x14ac:dyDescent="0.2">
      <c r="A37" s="2" t="s">
        <v>88</v>
      </c>
      <c r="B37" s="3">
        <v>0.55000000000000004</v>
      </c>
      <c r="C37" s="3"/>
      <c r="D37" s="3">
        <v>0.30000000000000004</v>
      </c>
      <c r="E37" s="3">
        <v>0.15</v>
      </c>
      <c r="F37" s="3">
        <v>1</v>
      </c>
      <c r="H37" s="2" t="s">
        <v>88</v>
      </c>
      <c r="K37">
        <v>0.65</v>
      </c>
      <c r="M37">
        <v>0.15</v>
      </c>
      <c r="P37">
        <v>0.2</v>
      </c>
      <c r="W37">
        <v>1</v>
      </c>
    </row>
    <row r="38" spans="1:23" x14ac:dyDescent="0.2">
      <c r="A38" s="2" t="s">
        <v>92</v>
      </c>
      <c r="B38" s="3">
        <v>0.15</v>
      </c>
      <c r="C38" s="3"/>
      <c r="D38" s="3">
        <v>0.85</v>
      </c>
      <c r="E38" s="3"/>
      <c r="F38" s="3">
        <v>1</v>
      </c>
      <c r="H38" s="2" t="s">
        <v>92</v>
      </c>
      <c r="K38">
        <v>0.5</v>
      </c>
      <c r="P38">
        <v>0.3</v>
      </c>
      <c r="R38">
        <v>0.2</v>
      </c>
      <c r="W38">
        <v>1</v>
      </c>
    </row>
    <row r="39" spans="1:23" x14ac:dyDescent="0.2">
      <c r="A39" s="2" t="s">
        <v>96</v>
      </c>
      <c r="B39" s="3">
        <v>0.6</v>
      </c>
      <c r="C39" s="3"/>
      <c r="D39" s="3">
        <v>0.1</v>
      </c>
      <c r="E39" s="3">
        <v>0.30000000000000004</v>
      </c>
      <c r="F39" s="3">
        <v>1</v>
      </c>
      <c r="H39" s="2" t="s">
        <v>96</v>
      </c>
      <c r="M39">
        <v>0.4</v>
      </c>
      <c r="T39">
        <v>0.6</v>
      </c>
      <c r="W39">
        <v>1</v>
      </c>
    </row>
    <row r="40" spans="1:23" x14ac:dyDescent="0.2">
      <c r="A40" s="2" t="s">
        <v>97</v>
      </c>
      <c r="B40" s="3">
        <v>0.65</v>
      </c>
      <c r="C40" s="3"/>
      <c r="D40" s="3">
        <v>0.35</v>
      </c>
      <c r="E40" s="3"/>
      <c r="F40" s="3">
        <v>1</v>
      </c>
      <c r="H40" s="2" t="s">
        <v>97</v>
      </c>
      <c r="M40">
        <v>1</v>
      </c>
      <c r="W40">
        <v>1</v>
      </c>
    </row>
    <row r="41" spans="1:23" x14ac:dyDescent="0.2">
      <c r="A41" s="2" t="s">
        <v>99</v>
      </c>
      <c r="B41" s="3">
        <v>0.55000000000000004</v>
      </c>
      <c r="C41" s="3"/>
      <c r="D41" s="3">
        <v>0.30000000000000004</v>
      </c>
      <c r="E41" s="3">
        <v>0.15</v>
      </c>
      <c r="F41" s="3">
        <v>1</v>
      </c>
      <c r="H41" s="2" t="s">
        <v>99</v>
      </c>
      <c r="K41">
        <v>0.6</v>
      </c>
      <c r="P41">
        <v>0.4</v>
      </c>
      <c r="W41">
        <v>1</v>
      </c>
    </row>
    <row r="42" spans="1:23" x14ac:dyDescent="0.2">
      <c r="A42" s="2" t="s">
        <v>102</v>
      </c>
      <c r="B42" s="3">
        <v>0.2</v>
      </c>
      <c r="C42" s="3"/>
      <c r="D42" s="3">
        <v>0.79999999999999993</v>
      </c>
      <c r="E42" s="3"/>
      <c r="F42" s="3">
        <v>1</v>
      </c>
      <c r="H42" s="2" t="s">
        <v>102</v>
      </c>
      <c r="O42">
        <v>0.15</v>
      </c>
      <c r="T42">
        <v>0.85</v>
      </c>
      <c r="W42">
        <v>1</v>
      </c>
    </row>
    <row r="43" spans="1:23" x14ac:dyDescent="0.2">
      <c r="A43" s="2" t="s">
        <v>109</v>
      </c>
      <c r="B43" s="3"/>
      <c r="C43" s="3">
        <v>1</v>
      </c>
      <c r="D43" s="3"/>
      <c r="E43" s="3"/>
      <c r="F43" s="3">
        <v>1</v>
      </c>
      <c r="H43" s="2" t="s">
        <v>109</v>
      </c>
      <c r="U43">
        <v>1</v>
      </c>
      <c r="W43">
        <v>1</v>
      </c>
    </row>
    <row r="44" spans="1:23" x14ac:dyDescent="0.2">
      <c r="A44" s="2" t="s">
        <v>110</v>
      </c>
      <c r="B44" s="3">
        <v>0.25</v>
      </c>
      <c r="C44" s="3"/>
      <c r="D44" s="3">
        <v>0.65</v>
      </c>
      <c r="E44" s="3">
        <v>0.1</v>
      </c>
      <c r="F44" s="3">
        <v>1</v>
      </c>
      <c r="H44" s="2" t="s">
        <v>110</v>
      </c>
      <c r="Q44">
        <v>0.7</v>
      </c>
      <c r="R44">
        <v>0.3</v>
      </c>
      <c r="W44">
        <v>1</v>
      </c>
    </row>
    <row r="45" spans="1:23" x14ac:dyDescent="0.2">
      <c r="A45" s="2" t="s">
        <v>112</v>
      </c>
      <c r="B45" s="3">
        <v>0.25</v>
      </c>
      <c r="C45" s="3"/>
      <c r="D45" s="3">
        <v>0.65</v>
      </c>
      <c r="E45" s="3">
        <v>0.1</v>
      </c>
      <c r="F45" s="3">
        <v>1</v>
      </c>
      <c r="H45" s="2" t="s">
        <v>112</v>
      </c>
      <c r="Q45">
        <v>1</v>
      </c>
      <c r="W45">
        <v>1</v>
      </c>
    </row>
    <row r="46" spans="1:23" x14ac:dyDescent="0.2">
      <c r="A46" s="2" t="s">
        <v>113</v>
      </c>
      <c r="B46" s="3">
        <v>1</v>
      </c>
      <c r="C46" s="3"/>
      <c r="D46" s="3"/>
      <c r="E46" s="3"/>
      <c r="F46" s="3">
        <v>1</v>
      </c>
      <c r="H46" s="2" t="s">
        <v>113</v>
      </c>
      <c r="I46">
        <v>1</v>
      </c>
      <c r="W46">
        <v>1</v>
      </c>
    </row>
    <row r="47" spans="1:23" x14ac:dyDescent="0.2">
      <c r="A47" s="2" t="s">
        <v>104</v>
      </c>
      <c r="B47" s="3">
        <v>0.4</v>
      </c>
      <c r="C47" s="3"/>
      <c r="D47" s="3">
        <v>0.4</v>
      </c>
      <c r="E47" s="3">
        <v>0.2</v>
      </c>
      <c r="F47" s="3">
        <v>1</v>
      </c>
      <c r="H47" s="2" t="s">
        <v>104</v>
      </c>
      <c r="M47">
        <v>0.15</v>
      </c>
      <c r="T47">
        <v>0.85</v>
      </c>
      <c r="W47">
        <v>1</v>
      </c>
    </row>
    <row r="48" spans="1:23" x14ac:dyDescent="0.2">
      <c r="A48" s="2" t="s">
        <v>106</v>
      </c>
      <c r="B48" s="3"/>
      <c r="C48" s="3">
        <v>0.3</v>
      </c>
      <c r="D48" s="3"/>
      <c r="E48" s="3">
        <v>0.70000000000000007</v>
      </c>
      <c r="F48" s="3">
        <v>1</v>
      </c>
      <c r="H48" s="2" t="s">
        <v>106</v>
      </c>
      <c r="L48">
        <v>0.25</v>
      </c>
      <c r="M48">
        <v>0.75</v>
      </c>
      <c r="W48">
        <v>1</v>
      </c>
    </row>
    <row r="49" spans="1:23" x14ac:dyDescent="0.2">
      <c r="A49" s="2" t="s">
        <v>114</v>
      </c>
      <c r="B49" s="3"/>
      <c r="C49" s="3">
        <v>0.7</v>
      </c>
      <c r="D49" s="3">
        <v>0.3</v>
      </c>
      <c r="E49" s="3"/>
      <c r="F49" s="3">
        <v>1</v>
      </c>
      <c r="H49" s="2" t="s">
        <v>114</v>
      </c>
      <c r="M49">
        <v>0.3</v>
      </c>
      <c r="S49">
        <v>0.55000000000000004</v>
      </c>
      <c r="U49">
        <v>0.15</v>
      </c>
      <c r="W49">
        <v>1</v>
      </c>
    </row>
    <row r="50" spans="1:23" x14ac:dyDescent="0.2">
      <c r="A50" s="2" t="s">
        <v>115</v>
      </c>
      <c r="B50" s="3">
        <v>0.55000000000000004</v>
      </c>
      <c r="C50" s="3"/>
      <c r="D50" s="3">
        <v>0.1</v>
      </c>
      <c r="E50" s="3">
        <v>0.35</v>
      </c>
      <c r="F50" s="3">
        <v>1</v>
      </c>
      <c r="H50" s="2" t="s">
        <v>115</v>
      </c>
      <c r="M50">
        <v>0.2</v>
      </c>
      <c r="T50">
        <v>0.8</v>
      </c>
      <c r="W50">
        <v>1</v>
      </c>
    </row>
    <row r="51" spans="1:23" x14ac:dyDescent="0.2">
      <c r="A51" s="2" t="s">
        <v>116</v>
      </c>
      <c r="B51" s="3">
        <v>1</v>
      </c>
      <c r="C51" s="3"/>
      <c r="D51" s="3"/>
      <c r="E51" s="3"/>
      <c r="F51" s="3">
        <v>1</v>
      </c>
      <c r="H51" s="2" t="s">
        <v>116</v>
      </c>
      <c r="I51">
        <v>1</v>
      </c>
      <c r="W51">
        <v>1</v>
      </c>
    </row>
    <row r="52" spans="1:23" x14ac:dyDescent="0.2">
      <c r="A52" s="2" t="s">
        <v>117</v>
      </c>
      <c r="B52" s="3"/>
      <c r="C52" s="3">
        <v>0.6</v>
      </c>
      <c r="D52" s="3">
        <v>0.4</v>
      </c>
      <c r="E52" s="3"/>
      <c r="F52" s="3">
        <v>1</v>
      </c>
      <c r="H52" s="2" t="s">
        <v>117</v>
      </c>
      <c r="M52">
        <v>0.15</v>
      </c>
      <c r="S52">
        <v>0.5</v>
      </c>
      <c r="U52">
        <v>0.35</v>
      </c>
      <c r="W52">
        <v>1</v>
      </c>
    </row>
    <row r="53" spans="1:23" x14ac:dyDescent="0.2">
      <c r="A53" s="2" t="s">
        <v>118</v>
      </c>
      <c r="B53" s="3">
        <v>0.9</v>
      </c>
      <c r="C53" s="3"/>
      <c r="D53" s="3"/>
      <c r="E53" s="3">
        <v>0.1</v>
      </c>
      <c r="F53" s="3">
        <v>1</v>
      </c>
      <c r="H53" s="2" t="s">
        <v>118</v>
      </c>
      <c r="M53">
        <v>0.75</v>
      </c>
      <c r="Q53">
        <v>0.25</v>
      </c>
      <c r="W53">
        <v>1</v>
      </c>
    </row>
    <row r="54" spans="1:23" x14ac:dyDescent="0.2">
      <c r="A54" s="2" t="s">
        <v>119</v>
      </c>
      <c r="B54" s="3">
        <v>0.2</v>
      </c>
      <c r="C54" s="3">
        <v>0.8</v>
      </c>
      <c r="D54" s="3"/>
      <c r="E54" s="3"/>
      <c r="F54" s="3">
        <v>1</v>
      </c>
      <c r="H54" s="2" t="s">
        <v>119</v>
      </c>
      <c r="U54">
        <v>1</v>
      </c>
      <c r="W54">
        <v>1</v>
      </c>
    </row>
    <row r="55" spans="1:23" x14ac:dyDescent="0.2">
      <c r="A55" s="2" t="s">
        <v>120</v>
      </c>
      <c r="B55" s="3">
        <v>0.3</v>
      </c>
      <c r="C55" s="3"/>
      <c r="D55" s="3">
        <v>0.7</v>
      </c>
      <c r="E55" s="3"/>
      <c r="F55" s="3">
        <v>1</v>
      </c>
      <c r="H55" s="2" t="s">
        <v>120</v>
      </c>
      <c r="L55">
        <v>0.15</v>
      </c>
      <c r="N55">
        <v>0.6</v>
      </c>
      <c r="S55">
        <v>0.15</v>
      </c>
      <c r="T55">
        <v>0.1</v>
      </c>
      <c r="W55">
        <v>1</v>
      </c>
    </row>
    <row r="56" spans="1:23" x14ac:dyDescent="0.2">
      <c r="A56" s="2" t="s">
        <v>326</v>
      </c>
      <c r="B56" s="3">
        <v>16.050000000000004</v>
      </c>
      <c r="C56" s="3">
        <v>6.1999999999999993</v>
      </c>
      <c r="D56" s="3">
        <v>25.150000000000002</v>
      </c>
      <c r="E56" s="3">
        <v>3.6000000000000005</v>
      </c>
      <c r="F56" s="3">
        <v>51</v>
      </c>
      <c r="H56" s="2" t="s">
        <v>426</v>
      </c>
    </row>
    <row r="57" spans="1:23" x14ac:dyDescent="0.2">
      <c r="H57" s="2" t="s">
        <v>326</v>
      </c>
      <c r="I57">
        <v>4.5</v>
      </c>
      <c r="J57">
        <v>1</v>
      </c>
      <c r="K57">
        <v>2.15</v>
      </c>
      <c r="L57">
        <v>2.4</v>
      </c>
      <c r="M57">
        <v>8.7000000000000011</v>
      </c>
      <c r="N57">
        <v>2.4</v>
      </c>
      <c r="O57">
        <v>6.4000000000000012</v>
      </c>
      <c r="P57">
        <v>3.4</v>
      </c>
      <c r="Q57">
        <v>5.6000000000000005</v>
      </c>
      <c r="R57">
        <v>1.4500000000000002</v>
      </c>
      <c r="S57">
        <v>1.85</v>
      </c>
      <c r="T57">
        <v>7.549999999999998</v>
      </c>
      <c r="U57">
        <v>3.6</v>
      </c>
      <c r="W57">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1DB1-C0AB-6A48-8E37-0091699EE484}">
  <dimension ref="A1:I110"/>
  <sheetViews>
    <sheetView topLeftCell="E1" workbookViewId="0">
      <pane ySplit="4" topLeftCell="A5" activePane="bottomLeft" state="frozen"/>
      <selection activeCell="A5" sqref="A5"/>
      <selection pane="bottomLeft" activeCell="H5" sqref="H5:H110"/>
    </sheetView>
  </sheetViews>
  <sheetFormatPr baseColWidth="10" defaultColWidth="8.83203125" defaultRowHeight="15" x14ac:dyDescent="0.2"/>
  <cols>
    <col min="1" max="2" width="13" customWidth="1"/>
    <col min="3" max="3" width="12" customWidth="1"/>
    <col min="4" max="4" width="42" customWidth="1"/>
    <col min="5" max="5" width="13" customWidth="1"/>
    <col min="6" max="6" width="78" customWidth="1"/>
    <col min="7" max="8" width="100" customWidth="1"/>
    <col min="9" max="9" width="15" customWidth="1"/>
  </cols>
  <sheetData>
    <row r="1" spans="1:9" ht="19" x14ac:dyDescent="0.25">
      <c r="A1" s="28" t="s">
        <v>431</v>
      </c>
    </row>
    <row r="2" spans="1:9" x14ac:dyDescent="0.2">
      <c r="A2" s="29" t="s">
        <v>432</v>
      </c>
    </row>
    <row r="4" spans="1:9" ht="28" customHeight="1" x14ac:dyDescent="0.2">
      <c r="A4" s="30" t="s">
        <v>123</v>
      </c>
      <c r="B4" s="30" t="s">
        <v>433</v>
      </c>
      <c r="C4" s="30" t="s">
        <v>122</v>
      </c>
      <c r="D4" s="30" t="s">
        <v>434</v>
      </c>
      <c r="E4" s="30" t="s">
        <v>121</v>
      </c>
      <c r="F4" s="30" t="s">
        <v>435</v>
      </c>
      <c r="G4" s="30" t="s">
        <v>436</v>
      </c>
      <c r="H4" s="30" t="s">
        <v>827</v>
      </c>
      <c r="I4" s="30" t="s">
        <v>437</v>
      </c>
    </row>
    <row r="5" spans="1:9" x14ac:dyDescent="0.2">
      <c r="A5" s="31" t="s">
        <v>438</v>
      </c>
      <c r="B5" s="32" t="s">
        <v>439</v>
      </c>
      <c r="C5" s="33" t="s">
        <v>440</v>
      </c>
      <c r="D5" s="34" t="s">
        <v>441</v>
      </c>
      <c r="E5" s="35" t="s">
        <v>442</v>
      </c>
      <c r="F5" s="34" t="s">
        <v>443</v>
      </c>
      <c r="G5" s="34" t="s">
        <v>444</v>
      </c>
      <c r="H5" s="34" t="str">
        <f>_xlfn.CONCAT(C5," - ",D5)</f>
        <v>GV.OC - Contexto organizacional</v>
      </c>
      <c r="I5" s="32"/>
    </row>
    <row r="6" spans="1:9" ht="26" x14ac:dyDescent="0.2">
      <c r="A6" s="31" t="s">
        <v>438</v>
      </c>
      <c r="B6" s="32" t="s">
        <v>439</v>
      </c>
      <c r="C6" s="33" t="s">
        <v>440</v>
      </c>
      <c r="D6" s="34" t="s">
        <v>441</v>
      </c>
      <c r="E6" s="35" t="s">
        <v>445</v>
      </c>
      <c r="F6" s="34" t="s">
        <v>446</v>
      </c>
      <c r="G6" s="34" t="s">
        <v>447</v>
      </c>
      <c r="H6" s="34" t="str">
        <f t="shared" ref="H6:H69" si="0">_xlfn.CONCAT(C6," - ",D6)</f>
        <v>GV.OC - Contexto organizacional</v>
      </c>
      <c r="I6" s="32"/>
    </row>
    <row r="7" spans="1:9" ht="26" x14ac:dyDescent="0.2">
      <c r="A7" s="31" t="s">
        <v>438</v>
      </c>
      <c r="B7" s="32" t="s">
        <v>439</v>
      </c>
      <c r="C7" s="33" t="s">
        <v>440</v>
      </c>
      <c r="D7" s="34" t="s">
        <v>441</v>
      </c>
      <c r="E7" s="35" t="s">
        <v>448</v>
      </c>
      <c r="F7" s="34" t="s">
        <v>449</v>
      </c>
      <c r="G7" s="34" t="s">
        <v>450</v>
      </c>
      <c r="H7" s="34" t="str">
        <f t="shared" si="0"/>
        <v>GV.OC - Contexto organizacional</v>
      </c>
      <c r="I7" s="32"/>
    </row>
    <row r="8" spans="1:9" x14ac:dyDescent="0.2">
      <c r="A8" s="31" t="s">
        <v>438</v>
      </c>
      <c r="B8" s="32" t="s">
        <v>439</v>
      </c>
      <c r="C8" s="33" t="s">
        <v>440</v>
      </c>
      <c r="D8" s="34" t="s">
        <v>441</v>
      </c>
      <c r="E8" s="35" t="s">
        <v>451</v>
      </c>
      <c r="F8" s="34" t="s">
        <v>452</v>
      </c>
      <c r="G8" s="34" t="s">
        <v>453</v>
      </c>
      <c r="H8" s="34" t="str">
        <f t="shared" si="0"/>
        <v>GV.OC - Contexto organizacional</v>
      </c>
      <c r="I8" s="32"/>
    </row>
    <row r="9" spans="1:9" x14ac:dyDescent="0.2">
      <c r="A9" s="31" t="s">
        <v>438</v>
      </c>
      <c r="B9" s="32" t="s">
        <v>439</v>
      </c>
      <c r="C9" s="33" t="s">
        <v>440</v>
      </c>
      <c r="D9" s="34" t="s">
        <v>441</v>
      </c>
      <c r="E9" s="35" t="s">
        <v>454</v>
      </c>
      <c r="F9" s="34" t="s">
        <v>455</v>
      </c>
      <c r="G9" s="34" t="s">
        <v>456</v>
      </c>
      <c r="H9" s="34" t="str">
        <f t="shared" si="0"/>
        <v>GV.OC - Contexto organizacional</v>
      </c>
      <c r="I9" s="32"/>
    </row>
    <row r="10" spans="1:9" x14ac:dyDescent="0.2">
      <c r="A10" s="31" t="s">
        <v>438</v>
      </c>
      <c r="B10" s="32" t="s">
        <v>439</v>
      </c>
      <c r="C10" s="33" t="s">
        <v>457</v>
      </c>
      <c r="D10" s="34" t="s">
        <v>458</v>
      </c>
      <c r="E10" s="35" t="s">
        <v>459</v>
      </c>
      <c r="F10" s="34" t="s">
        <v>460</v>
      </c>
      <c r="G10" s="34" t="s">
        <v>461</v>
      </c>
      <c r="H10" s="34" t="str">
        <f t="shared" si="0"/>
        <v>GV.RM - Estrategia de gestión de riesgo</v>
      </c>
      <c r="I10" s="32"/>
    </row>
    <row r="11" spans="1:9" x14ac:dyDescent="0.2">
      <c r="A11" s="31" t="s">
        <v>438</v>
      </c>
      <c r="B11" s="32" t="s">
        <v>439</v>
      </c>
      <c r="C11" s="33" t="s">
        <v>457</v>
      </c>
      <c r="D11" s="34" t="s">
        <v>458</v>
      </c>
      <c r="E11" s="35" t="s">
        <v>462</v>
      </c>
      <c r="F11" s="34" t="s">
        <v>463</v>
      </c>
      <c r="G11" s="34" t="s">
        <v>464</v>
      </c>
      <c r="H11" s="34" t="str">
        <f t="shared" si="0"/>
        <v>GV.RM - Estrategia de gestión de riesgo</v>
      </c>
      <c r="I11" s="32"/>
    </row>
    <row r="12" spans="1:9" x14ac:dyDescent="0.2">
      <c r="A12" s="31" t="s">
        <v>438</v>
      </c>
      <c r="B12" s="32" t="s">
        <v>439</v>
      </c>
      <c r="C12" s="33" t="s">
        <v>457</v>
      </c>
      <c r="D12" s="34" t="s">
        <v>458</v>
      </c>
      <c r="E12" s="35" t="s">
        <v>465</v>
      </c>
      <c r="F12" s="34" t="s">
        <v>466</v>
      </c>
      <c r="G12" s="34" t="s">
        <v>467</v>
      </c>
      <c r="H12" s="34" t="str">
        <f t="shared" si="0"/>
        <v>GV.RM - Estrategia de gestión de riesgo</v>
      </c>
      <c r="I12" s="32"/>
    </row>
    <row r="13" spans="1:9" x14ac:dyDescent="0.2">
      <c r="A13" s="31" t="s">
        <v>438</v>
      </c>
      <c r="B13" s="32" t="s">
        <v>439</v>
      </c>
      <c r="C13" s="33" t="s">
        <v>457</v>
      </c>
      <c r="D13" s="34" t="s">
        <v>458</v>
      </c>
      <c r="E13" s="35" t="s">
        <v>468</v>
      </c>
      <c r="F13" s="34" t="s">
        <v>469</v>
      </c>
      <c r="G13" s="34" t="s">
        <v>470</v>
      </c>
      <c r="H13" s="34" t="str">
        <f t="shared" si="0"/>
        <v>GV.RM - Estrategia de gestión de riesgo</v>
      </c>
      <c r="I13" s="32"/>
    </row>
    <row r="14" spans="1:9" x14ac:dyDescent="0.2">
      <c r="A14" s="31" t="s">
        <v>438</v>
      </c>
      <c r="B14" s="32" t="s">
        <v>439</v>
      </c>
      <c r="C14" s="33" t="s">
        <v>457</v>
      </c>
      <c r="D14" s="34" t="s">
        <v>458</v>
      </c>
      <c r="E14" s="35" t="s">
        <v>471</v>
      </c>
      <c r="F14" s="34" t="s">
        <v>472</v>
      </c>
      <c r="G14" s="34" t="s">
        <v>473</v>
      </c>
      <c r="H14" s="34" t="str">
        <f t="shared" si="0"/>
        <v>GV.RM - Estrategia de gestión de riesgo</v>
      </c>
      <c r="I14" s="32"/>
    </row>
    <row r="15" spans="1:9" x14ac:dyDescent="0.2">
      <c r="A15" s="31" t="s">
        <v>438</v>
      </c>
      <c r="B15" s="32" t="s">
        <v>439</v>
      </c>
      <c r="C15" s="33" t="s">
        <v>457</v>
      </c>
      <c r="D15" s="34" t="s">
        <v>458</v>
      </c>
      <c r="E15" s="35" t="s">
        <v>474</v>
      </c>
      <c r="F15" s="34" t="s">
        <v>475</v>
      </c>
      <c r="G15" s="34" t="s">
        <v>476</v>
      </c>
      <c r="H15" s="34" t="str">
        <f t="shared" si="0"/>
        <v>GV.RM - Estrategia de gestión de riesgo</v>
      </c>
      <c r="I15" s="32"/>
    </row>
    <row r="16" spans="1:9" x14ac:dyDescent="0.2">
      <c r="A16" s="31" t="s">
        <v>438</v>
      </c>
      <c r="B16" s="32" t="s">
        <v>439</v>
      </c>
      <c r="C16" s="33" t="s">
        <v>457</v>
      </c>
      <c r="D16" s="34" t="s">
        <v>458</v>
      </c>
      <c r="E16" s="35" t="s">
        <v>477</v>
      </c>
      <c r="F16" s="34" t="s">
        <v>478</v>
      </c>
      <c r="G16" s="34" t="s">
        <v>479</v>
      </c>
      <c r="H16" s="34" t="str">
        <f t="shared" si="0"/>
        <v>GV.RM - Estrategia de gestión de riesgo</v>
      </c>
      <c r="I16" s="32"/>
    </row>
    <row r="17" spans="1:9" x14ac:dyDescent="0.2">
      <c r="A17" s="31" t="s">
        <v>438</v>
      </c>
      <c r="B17" s="32" t="s">
        <v>439</v>
      </c>
      <c r="C17" s="33" t="s">
        <v>480</v>
      </c>
      <c r="D17" s="34" t="s">
        <v>481</v>
      </c>
      <c r="E17" s="35" t="s">
        <v>482</v>
      </c>
      <c r="F17" s="34" t="s">
        <v>483</v>
      </c>
      <c r="G17" s="34" t="s">
        <v>484</v>
      </c>
      <c r="H17" s="34" t="str">
        <f t="shared" si="0"/>
        <v>GV.RR - Roles, responsabilidades y autoridades</v>
      </c>
      <c r="I17" s="32"/>
    </row>
    <row r="18" spans="1:9" x14ac:dyDescent="0.2">
      <c r="A18" s="31" t="s">
        <v>438</v>
      </c>
      <c r="B18" s="32" t="s">
        <v>439</v>
      </c>
      <c r="C18" s="33" t="s">
        <v>480</v>
      </c>
      <c r="D18" s="34" t="s">
        <v>481</v>
      </c>
      <c r="E18" s="35" t="s">
        <v>485</v>
      </c>
      <c r="F18" s="34" t="s">
        <v>486</v>
      </c>
      <c r="G18" s="34" t="s">
        <v>487</v>
      </c>
      <c r="H18" s="34" t="str">
        <f t="shared" si="0"/>
        <v>GV.RR - Roles, responsabilidades y autoridades</v>
      </c>
      <c r="I18" s="32"/>
    </row>
    <row r="19" spans="1:9" x14ac:dyDescent="0.2">
      <c r="A19" s="31" t="s">
        <v>438</v>
      </c>
      <c r="B19" s="32" t="s">
        <v>439</v>
      </c>
      <c r="C19" s="33" t="s">
        <v>480</v>
      </c>
      <c r="D19" s="34" t="s">
        <v>481</v>
      </c>
      <c r="E19" s="35" t="s">
        <v>488</v>
      </c>
      <c r="F19" s="34" t="s">
        <v>489</v>
      </c>
      <c r="G19" s="34" t="s">
        <v>490</v>
      </c>
      <c r="H19" s="34" t="str">
        <f t="shared" si="0"/>
        <v>GV.RR - Roles, responsabilidades y autoridades</v>
      </c>
      <c r="I19" s="32"/>
    </row>
    <row r="20" spans="1:9" x14ac:dyDescent="0.2">
      <c r="A20" s="31" t="s">
        <v>438</v>
      </c>
      <c r="B20" s="32" t="s">
        <v>439</v>
      </c>
      <c r="C20" s="33" t="s">
        <v>480</v>
      </c>
      <c r="D20" s="34" t="s">
        <v>481</v>
      </c>
      <c r="E20" s="35" t="s">
        <v>491</v>
      </c>
      <c r="F20" s="34" t="s">
        <v>492</v>
      </c>
      <c r="G20" s="34" t="s">
        <v>493</v>
      </c>
      <c r="H20" s="34" t="str">
        <f t="shared" si="0"/>
        <v>GV.RR - Roles, responsabilidades y autoridades</v>
      </c>
      <c r="I20" s="32"/>
    </row>
    <row r="21" spans="1:9" ht="26" x14ac:dyDescent="0.2">
      <c r="A21" s="31" t="s">
        <v>438</v>
      </c>
      <c r="B21" s="32" t="s">
        <v>439</v>
      </c>
      <c r="C21" s="33" t="s">
        <v>494</v>
      </c>
      <c r="D21" s="34" t="s">
        <v>495</v>
      </c>
      <c r="E21" s="35" t="s">
        <v>496</v>
      </c>
      <c r="F21" s="34" t="s">
        <v>497</v>
      </c>
      <c r="G21" s="34" t="s">
        <v>498</v>
      </c>
      <c r="H21" s="34" t="str">
        <f t="shared" si="0"/>
        <v>GV.PO - Política</v>
      </c>
      <c r="I21" s="32"/>
    </row>
    <row r="22" spans="1:9" ht="26" x14ac:dyDescent="0.2">
      <c r="A22" s="31" t="s">
        <v>438</v>
      </c>
      <c r="B22" s="32" t="s">
        <v>439</v>
      </c>
      <c r="C22" s="33" t="s">
        <v>494</v>
      </c>
      <c r="D22" s="34" t="s">
        <v>495</v>
      </c>
      <c r="E22" s="35" t="s">
        <v>499</v>
      </c>
      <c r="F22" s="34" t="s">
        <v>500</v>
      </c>
      <c r="G22" s="34" t="s">
        <v>501</v>
      </c>
      <c r="H22" s="34" t="str">
        <f t="shared" si="0"/>
        <v>GV.PO - Política</v>
      </c>
      <c r="I22" s="32"/>
    </row>
    <row r="23" spans="1:9" x14ac:dyDescent="0.2">
      <c r="A23" s="31" t="s">
        <v>438</v>
      </c>
      <c r="B23" s="32" t="s">
        <v>439</v>
      </c>
      <c r="C23" s="33" t="s">
        <v>502</v>
      </c>
      <c r="D23" s="34" t="s">
        <v>503</v>
      </c>
      <c r="E23" s="35" t="s">
        <v>504</v>
      </c>
      <c r="F23" s="34" t="s">
        <v>505</v>
      </c>
      <c r="G23" s="34" t="s">
        <v>506</v>
      </c>
      <c r="H23" s="34" t="str">
        <f t="shared" si="0"/>
        <v>GV.OV - Supervisión</v>
      </c>
      <c r="I23" s="32"/>
    </row>
    <row r="24" spans="1:9" x14ac:dyDescent="0.2">
      <c r="A24" s="31" t="s">
        <v>438</v>
      </c>
      <c r="B24" s="32" t="s">
        <v>439</v>
      </c>
      <c r="C24" s="33" t="s">
        <v>502</v>
      </c>
      <c r="D24" s="34" t="s">
        <v>503</v>
      </c>
      <c r="E24" s="35" t="s">
        <v>507</v>
      </c>
      <c r="F24" s="34" t="s">
        <v>508</v>
      </c>
      <c r="G24" s="34" t="s">
        <v>509</v>
      </c>
      <c r="H24" s="34" t="str">
        <f t="shared" si="0"/>
        <v>GV.OV - Supervisión</v>
      </c>
      <c r="I24" s="32"/>
    </row>
    <row r="25" spans="1:9" x14ac:dyDescent="0.2">
      <c r="A25" s="31" t="s">
        <v>438</v>
      </c>
      <c r="B25" s="32" t="s">
        <v>439</v>
      </c>
      <c r="C25" s="33" t="s">
        <v>502</v>
      </c>
      <c r="D25" s="34" t="s">
        <v>503</v>
      </c>
      <c r="E25" s="35" t="s">
        <v>510</v>
      </c>
      <c r="F25" s="34" t="s">
        <v>511</v>
      </c>
      <c r="G25" s="34" t="s">
        <v>512</v>
      </c>
      <c r="H25" s="34" t="str">
        <f t="shared" si="0"/>
        <v>GV.OV - Supervisión</v>
      </c>
      <c r="I25" s="32"/>
    </row>
    <row r="26" spans="1:9" ht="26" x14ac:dyDescent="0.2">
      <c r="A26" s="31" t="s">
        <v>438</v>
      </c>
      <c r="B26" s="32" t="s">
        <v>439</v>
      </c>
      <c r="C26" s="33" t="s">
        <v>513</v>
      </c>
      <c r="D26" s="34" t="s">
        <v>514</v>
      </c>
      <c r="E26" s="35" t="s">
        <v>515</v>
      </c>
      <c r="F26" s="34" t="s">
        <v>516</v>
      </c>
      <c r="G26" s="34" t="s">
        <v>517</v>
      </c>
      <c r="H26" s="34" t="str">
        <f t="shared" si="0"/>
        <v>GV.SC - Gestión del riesgo de la cadena de suministro</v>
      </c>
      <c r="I26" s="32"/>
    </row>
    <row r="27" spans="1:9" x14ac:dyDescent="0.2">
      <c r="A27" s="31" t="s">
        <v>438</v>
      </c>
      <c r="B27" s="32" t="s">
        <v>439</v>
      </c>
      <c r="C27" s="33" t="s">
        <v>513</v>
      </c>
      <c r="D27" s="34" t="s">
        <v>514</v>
      </c>
      <c r="E27" s="35" t="s">
        <v>518</v>
      </c>
      <c r="F27" s="34" t="s">
        <v>519</v>
      </c>
      <c r="G27" s="34" t="s">
        <v>520</v>
      </c>
      <c r="H27" s="34" t="str">
        <f t="shared" si="0"/>
        <v>GV.SC - Gestión del riesgo de la cadena de suministro</v>
      </c>
      <c r="I27" s="32"/>
    </row>
    <row r="28" spans="1:9" x14ac:dyDescent="0.2">
      <c r="A28" s="31" t="s">
        <v>438</v>
      </c>
      <c r="B28" s="32" t="s">
        <v>439</v>
      </c>
      <c r="C28" s="33" t="s">
        <v>513</v>
      </c>
      <c r="D28" s="34" t="s">
        <v>514</v>
      </c>
      <c r="E28" s="35" t="s">
        <v>521</v>
      </c>
      <c r="F28" s="34" t="s">
        <v>522</v>
      </c>
      <c r="G28" s="34" t="s">
        <v>523</v>
      </c>
      <c r="H28" s="34" t="str">
        <f t="shared" si="0"/>
        <v>GV.SC - Gestión del riesgo de la cadena de suministro</v>
      </c>
      <c r="I28" s="32"/>
    </row>
    <row r="29" spans="1:9" x14ac:dyDescent="0.2">
      <c r="A29" s="31" t="s">
        <v>438</v>
      </c>
      <c r="B29" s="32" t="s">
        <v>439</v>
      </c>
      <c r="C29" s="33" t="s">
        <v>513</v>
      </c>
      <c r="D29" s="34" t="s">
        <v>514</v>
      </c>
      <c r="E29" s="35" t="s">
        <v>524</v>
      </c>
      <c r="F29" s="34" t="s">
        <v>525</v>
      </c>
      <c r="G29" s="34" t="s">
        <v>526</v>
      </c>
      <c r="H29" s="34" t="str">
        <f t="shared" si="0"/>
        <v>GV.SC - Gestión del riesgo de la cadena de suministro</v>
      </c>
      <c r="I29" s="32"/>
    </row>
    <row r="30" spans="1:9" ht="26" x14ac:dyDescent="0.2">
      <c r="A30" s="31" t="s">
        <v>438</v>
      </c>
      <c r="B30" s="32" t="s">
        <v>439</v>
      </c>
      <c r="C30" s="33" t="s">
        <v>513</v>
      </c>
      <c r="D30" s="34" t="s">
        <v>514</v>
      </c>
      <c r="E30" s="35" t="s">
        <v>527</v>
      </c>
      <c r="F30" s="34" t="s">
        <v>528</v>
      </c>
      <c r="G30" s="34" t="s">
        <v>529</v>
      </c>
      <c r="H30" s="34" t="str">
        <f t="shared" si="0"/>
        <v>GV.SC - Gestión del riesgo de la cadena de suministro</v>
      </c>
      <c r="I30" s="32"/>
    </row>
    <row r="31" spans="1:9" x14ac:dyDescent="0.2">
      <c r="A31" s="31" t="s">
        <v>438</v>
      </c>
      <c r="B31" s="32" t="s">
        <v>439</v>
      </c>
      <c r="C31" s="33" t="s">
        <v>513</v>
      </c>
      <c r="D31" s="34" t="s">
        <v>514</v>
      </c>
      <c r="E31" s="35" t="s">
        <v>530</v>
      </c>
      <c r="F31" s="34" t="s">
        <v>531</v>
      </c>
      <c r="G31" s="34" t="s">
        <v>532</v>
      </c>
      <c r="H31" s="34" t="str">
        <f t="shared" si="0"/>
        <v>GV.SC - Gestión del riesgo de la cadena de suministro</v>
      </c>
      <c r="I31" s="32"/>
    </row>
    <row r="32" spans="1:9" ht="26" x14ac:dyDescent="0.2">
      <c r="A32" s="31" t="s">
        <v>438</v>
      </c>
      <c r="B32" s="32" t="s">
        <v>439</v>
      </c>
      <c r="C32" s="33" t="s">
        <v>513</v>
      </c>
      <c r="D32" s="34" t="s">
        <v>514</v>
      </c>
      <c r="E32" s="35" t="s">
        <v>533</v>
      </c>
      <c r="F32" s="34" t="s">
        <v>534</v>
      </c>
      <c r="G32" s="34" t="s">
        <v>535</v>
      </c>
      <c r="H32" s="34" t="str">
        <f t="shared" si="0"/>
        <v>GV.SC - Gestión del riesgo de la cadena de suministro</v>
      </c>
      <c r="I32" s="32"/>
    </row>
    <row r="33" spans="1:9" x14ac:dyDescent="0.2">
      <c r="A33" s="31" t="s">
        <v>438</v>
      </c>
      <c r="B33" s="32" t="s">
        <v>439</v>
      </c>
      <c r="C33" s="33" t="s">
        <v>513</v>
      </c>
      <c r="D33" s="34" t="s">
        <v>514</v>
      </c>
      <c r="E33" s="35" t="s">
        <v>536</v>
      </c>
      <c r="F33" s="34" t="s">
        <v>537</v>
      </c>
      <c r="G33" s="34" t="s">
        <v>538</v>
      </c>
      <c r="H33" s="34" t="str">
        <f t="shared" si="0"/>
        <v>GV.SC - Gestión del riesgo de la cadena de suministro</v>
      </c>
      <c r="I33" s="32"/>
    </row>
    <row r="34" spans="1:9" ht="26" x14ac:dyDescent="0.2">
      <c r="A34" s="31" t="s">
        <v>438</v>
      </c>
      <c r="B34" s="32" t="s">
        <v>439</v>
      </c>
      <c r="C34" s="33" t="s">
        <v>513</v>
      </c>
      <c r="D34" s="34" t="s">
        <v>514</v>
      </c>
      <c r="E34" s="35" t="s">
        <v>539</v>
      </c>
      <c r="F34" s="34" t="s">
        <v>540</v>
      </c>
      <c r="G34" s="34" t="s">
        <v>541</v>
      </c>
      <c r="H34" s="34" t="str">
        <f t="shared" si="0"/>
        <v>GV.SC - Gestión del riesgo de la cadena de suministro</v>
      </c>
      <c r="I34" s="32"/>
    </row>
    <row r="35" spans="1:9" x14ac:dyDescent="0.2">
      <c r="A35" s="31" t="s">
        <v>438</v>
      </c>
      <c r="B35" s="32" t="s">
        <v>439</v>
      </c>
      <c r="C35" s="33" t="s">
        <v>513</v>
      </c>
      <c r="D35" s="34" t="s">
        <v>514</v>
      </c>
      <c r="E35" s="35" t="s">
        <v>542</v>
      </c>
      <c r="F35" s="34" t="s">
        <v>543</v>
      </c>
      <c r="G35" s="34" t="s">
        <v>544</v>
      </c>
      <c r="H35" s="34" t="str">
        <f t="shared" si="0"/>
        <v>GV.SC - Gestión del riesgo de la cadena de suministro</v>
      </c>
      <c r="I35" s="32"/>
    </row>
    <row r="36" spans="1:9" x14ac:dyDescent="0.2">
      <c r="A36" s="36" t="s">
        <v>125</v>
      </c>
      <c r="B36" s="32" t="s">
        <v>545</v>
      </c>
      <c r="C36" s="33" t="s">
        <v>546</v>
      </c>
      <c r="D36" s="34" t="s">
        <v>547</v>
      </c>
      <c r="E36" s="35" t="s">
        <v>265</v>
      </c>
      <c r="F36" s="34" t="s">
        <v>266</v>
      </c>
      <c r="G36" s="34" t="s">
        <v>548</v>
      </c>
      <c r="H36" s="34" t="str">
        <f t="shared" si="0"/>
        <v>ID.AM - Gestión de activos</v>
      </c>
      <c r="I36" s="37" t="s">
        <v>549</v>
      </c>
    </row>
    <row r="37" spans="1:9" x14ac:dyDescent="0.2">
      <c r="A37" s="36" t="s">
        <v>125</v>
      </c>
      <c r="B37" s="32" t="s">
        <v>545</v>
      </c>
      <c r="C37" s="33" t="s">
        <v>546</v>
      </c>
      <c r="D37" s="34" t="s">
        <v>547</v>
      </c>
      <c r="E37" s="35" t="s">
        <v>175</v>
      </c>
      <c r="F37" s="34" t="s">
        <v>176</v>
      </c>
      <c r="G37" s="34" t="s">
        <v>550</v>
      </c>
      <c r="H37" s="34" t="str">
        <f t="shared" si="0"/>
        <v>ID.AM - Gestión de activos</v>
      </c>
      <c r="I37" s="37" t="s">
        <v>549</v>
      </c>
    </row>
    <row r="38" spans="1:9" x14ac:dyDescent="0.2">
      <c r="A38" s="36" t="s">
        <v>125</v>
      </c>
      <c r="B38" s="32" t="s">
        <v>545</v>
      </c>
      <c r="C38" s="33" t="s">
        <v>546</v>
      </c>
      <c r="D38" s="34" t="s">
        <v>547</v>
      </c>
      <c r="E38" s="35" t="s">
        <v>429</v>
      </c>
      <c r="F38" s="34" t="s">
        <v>551</v>
      </c>
      <c r="G38" s="34" t="s">
        <v>552</v>
      </c>
      <c r="H38" s="34" t="str">
        <f t="shared" si="0"/>
        <v>ID.AM - Gestión de activos</v>
      </c>
      <c r="I38" s="37" t="s">
        <v>549</v>
      </c>
    </row>
    <row r="39" spans="1:9" x14ac:dyDescent="0.2">
      <c r="A39" s="36" t="s">
        <v>125</v>
      </c>
      <c r="B39" s="32" t="s">
        <v>545</v>
      </c>
      <c r="C39" s="33" t="s">
        <v>546</v>
      </c>
      <c r="D39" s="34" t="s">
        <v>547</v>
      </c>
      <c r="E39" s="35" t="s">
        <v>553</v>
      </c>
      <c r="F39" s="34" t="s">
        <v>554</v>
      </c>
      <c r="G39" s="34" t="s">
        <v>555</v>
      </c>
      <c r="H39" s="34" t="str">
        <f t="shared" si="0"/>
        <v>ID.AM - Gestión de activos</v>
      </c>
      <c r="I39" s="32"/>
    </row>
    <row r="40" spans="1:9" x14ac:dyDescent="0.2">
      <c r="A40" s="36" t="s">
        <v>125</v>
      </c>
      <c r="B40" s="32" t="s">
        <v>545</v>
      </c>
      <c r="C40" s="33" t="s">
        <v>546</v>
      </c>
      <c r="D40" s="34" t="s">
        <v>547</v>
      </c>
      <c r="E40" s="35" t="s">
        <v>280</v>
      </c>
      <c r="F40" s="34" t="s">
        <v>556</v>
      </c>
      <c r="G40" s="34" t="s">
        <v>557</v>
      </c>
      <c r="H40" s="34" t="str">
        <f t="shared" si="0"/>
        <v>ID.AM - Gestión de activos</v>
      </c>
      <c r="I40" s="37" t="s">
        <v>549</v>
      </c>
    </row>
    <row r="41" spans="1:9" x14ac:dyDescent="0.2">
      <c r="A41" s="36" t="s">
        <v>125</v>
      </c>
      <c r="B41" s="32" t="s">
        <v>545</v>
      </c>
      <c r="C41" s="33" t="s">
        <v>546</v>
      </c>
      <c r="D41" s="34" t="s">
        <v>547</v>
      </c>
      <c r="E41" s="35" t="s">
        <v>281</v>
      </c>
      <c r="F41" s="34" t="s">
        <v>282</v>
      </c>
      <c r="G41" s="34" t="s">
        <v>558</v>
      </c>
      <c r="H41" s="34" t="str">
        <f t="shared" si="0"/>
        <v>ID.AM - Gestión de activos</v>
      </c>
      <c r="I41" s="37" t="s">
        <v>549</v>
      </c>
    </row>
    <row r="42" spans="1:9" x14ac:dyDescent="0.2">
      <c r="A42" s="36" t="s">
        <v>125</v>
      </c>
      <c r="B42" s="32" t="s">
        <v>545</v>
      </c>
      <c r="C42" s="33" t="s">
        <v>546</v>
      </c>
      <c r="D42" s="34" t="s">
        <v>547</v>
      </c>
      <c r="E42" s="35" t="s">
        <v>168</v>
      </c>
      <c r="F42" s="34" t="s">
        <v>169</v>
      </c>
      <c r="G42" s="34" t="s">
        <v>559</v>
      </c>
      <c r="H42" s="34" t="str">
        <f t="shared" si="0"/>
        <v>ID.AM - Gestión de activos</v>
      </c>
      <c r="I42" s="37" t="s">
        <v>549</v>
      </c>
    </row>
    <row r="43" spans="1:9" x14ac:dyDescent="0.2">
      <c r="A43" s="36" t="s">
        <v>125</v>
      </c>
      <c r="B43" s="32" t="s">
        <v>545</v>
      </c>
      <c r="C43" s="33" t="s">
        <v>560</v>
      </c>
      <c r="D43" s="34" t="s">
        <v>561</v>
      </c>
      <c r="E43" s="35" t="s">
        <v>206</v>
      </c>
      <c r="F43" s="34" t="s">
        <v>207</v>
      </c>
      <c r="G43" s="34" t="s">
        <v>562</v>
      </c>
      <c r="H43" s="34" t="str">
        <f t="shared" si="0"/>
        <v>ID.RA - Evaluación de riesgo</v>
      </c>
      <c r="I43" s="37" t="s">
        <v>549</v>
      </c>
    </row>
    <row r="44" spans="1:9" x14ac:dyDescent="0.2">
      <c r="A44" s="36" t="s">
        <v>125</v>
      </c>
      <c r="B44" s="32" t="s">
        <v>545</v>
      </c>
      <c r="C44" s="33" t="s">
        <v>560</v>
      </c>
      <c r="D44" s="34" t="s">
        <v>561</v>
      </c>
      <c r="E44" s="35" t="s">
        <v>298</v>
      </c>
      <c r="F44" s="34" t="s">
        <v>299</v>
      </c>
      <c r="G44" s="34" t="s">
        <v>563</v>
      </c>
      <c r="H44" s="34" t="str">
        <f t="shared" si="0"/>
        <v>ID.RA - Evaluación de riesgo</v>
      </c>
      <c r="I44" s="37" t="s">
        <v>549</v>
      </c>
    </row>
    <row r="45" spans="1:9" x14ac:dyDescent="0.2">
      <c r="A45" s="36" t="s">
        <v>125</v>
      </c>
      <c r="B45" s="32" t="s">
        <v>545</v>
      </c>
      <c r="C45" s="33" t="s">
        <v>560</v>
      </c>
      <c r="D45" s="34" t="s">
        <v>561</v>
      </c>
      <c r="E45" s="35" t="s">
        <v>124</v>
      </c>
      <c r="F45" s="34" t="s">
        <v>564</v>
      </c>
      <c r="G45" s="34" t="s">
        <v>565</v>
      </c>
      <c r="H45" s="34" t="str">
        <f t="shared" si="0"/>
        <v>ID.RA - Evaluación de riesgo</v>
      </c>
      <c r="I45" s="37" t="s">
        <v>549</v>
      </c>
    </row>
    <row r="46" spans="1:9" x14ac:dyDescent="0.2">
      <c r="A46" s="36" t="s">
        <v>125</v>
      </c>
      <c r="B46" s="32" t="s">
        <v>545</v>
      </c>
      <c r="C46" s="33" t="s">
        <v>560</v>
      </c>
      <c r="D46" s="34" t="s">
        <v>561</v>
      </c>
      <c r="E46" s="35" t="s">
        <v>566</v>
      </c>
      <c r="F46" s="34" t="s">
        <v>567</v>
      </c>
      <c r="G46" s="34" t="s">
        <v>568</v>
      </c>
      <c r="H46" s="34" t="str">
        <f t="shared" si="0"/>
        <v>ID.RA - Evaluación de riesgo</v>
      </c>
      <c r="I46" s="32"/>
    </row>
    <row r="47" spans="1:9" x14ac:dyDescent="0.2">
      <c r="A47" s="36" t="s">
        <v>125</v>
      </c>
      <c r="B47" s="32" t="s">
        <v>545</v>
      </c>
      <c r="C47" s="33" t="s">
        <v>560</v>
      </c>
      <c r="D47" s="34" t="s">
        <v>561</v>
      </c>
      <c r="E47" s="35" t="s">
        <v>307</v>
      </c>
      <c r="F47" s="34" t="s">
        <v>569</v>
      </c>
      <c r="G47" s="34" t="s">
        <v>570</v>
      </c>
      <c r="H47" s="34" t="str">
        <f t="shared" si="0"/>
        <v>ID.RA - Evaluación de riesgo</v>
      </c>
      <c r="I47" s="37" t="s">
        <v>549</v>
      </c>
    </row>
    <row r="48" spans="1:9" x14ac:dyDescent="0.2">
      <c r="A48" s="36" t="s">
        <v>125</v>
      </c>
      <c r="B48" s="32" t="s">
        <v>545</v>
      </c>
      <c r="C48" s="33" t="s">
        <v>560</v>
      </c>
      <c r="D48" s="34" t="s">
        <v>561</v>
      </c>
      <c r="E48" s="35" t="s">
        <v>571</v>
      </c>
      <c r="F48" s="34" t="s">
        <v>572</v>
      </c>
      <c r="G48" s="34" t="s">
        <v>573</v>
      </c>
      <c r="H48" s="34" t="str">
        <f t="shared" si="0"/>
        <v>ID.RA - Evaluación de riesgo</v>
      </c>
      <c r="I48" s="32"/>
    </row>
    <row r="49" spans="1:9" x14ac:dyDescent="0.2">
      <c r="A49" s="36" t="s">
        <v>125</v>
      </c>
      <c r="B49" s="32" t="s">
        <v>545</v>
      </c>
      <c r="C49" s="33" t="s">
        <v>560</v>
      </c>
      <c r="D49" s="34" t="s">
        <v>561</v>
      </c>
      <c r="E49" s="35" t="s">
        <v>574</v>
      </c>
      <c r="F49" s="34" t="s">
        <v>575</v>
      </c>
      <c r="G49" s="34" t="s">
        <v>576</v>
      </c>
      <c r="H49" s="34" t="str">
        <f t="shared" si="0"/>
        <v>ID.RA - Evaluación de riesgo</v>
      </c>
      <c r="I49" s="32"/>
    </row>
    <row r="50" spans="1:9" x14ac:dyDescent="0.2">
      <c r="A50" s="36" t="s">
        <v>125</v>
      </c>
      <c r="B50" s="32" t="s">
        <v>545</v>
      </c>
      <c r="C50" s="33" t="s">
        <v>560</v>
      </c>
      <c r="D50" s="34" t="s">
        <v>561</v>
      </c>
      <c r="E50" s="35" t="s">
        <v>577</v>
      </c>
      <c r="F50" s="34" t="s">
        <v>578</v>
      </c>
      <c r="G50" s="34" t="s">
        <v>579</v>
      </c>
      <c r="H50" s="34" t="str">
        <f t="shared" si="0"/>
        <v>ID.RA - Evaluación de riesgo</v>
      </c>
      <c r="I50" s="32"/>
    </row>
    <row r="51" spans="1:9" x14ac:dyDescent="0.2">
      <c r="A51" s="36" t="s">
        <v>125</v>
      </c>
      <c r="B51" s="32" t="s">
        <v>545</v>
      </c>
      <c r="C51" s="33" t="s">
        <v>560</v>
      </c>
      <c r="D51" s="34" t="s">
        <v>561</v>
      </c>
      <c r="E51" s="35" t="s">
        <v>580</v>
      </c>
      <c r="F51" s="34" t="s">
        <v>581</v>
      </c>
      <c r="G51" s="34" t="s">
        <v>582</v>
      </c>
      <c r="H51" s="34" t="str">
        <f t="shared" si="0"/>
        <v>ID.RA - Evaluación de riesgo</v>
      </c>
      <c r="I51" s="32"/>
    </row>
    <row r="52" spans="1:9" x14ac:dyDescent="0.2">
      <c r="A52" s="36" t="s">
        <v>125</v>
      </c>
      <c r="B52" s="32" t="s">
        <v>545</v>
      </c>
      <c r="C52" s="33" t="s">
        <v>560</v>
      </c>
      <c r="D52" s="34" t="s">
        <v>561</v>
      </c>
      <c r="E52" s="35" t="s">
        <v>583</v>
      </c>
      <c r="F52" s="34" t="s">
        <v>584</v>
      </c>
      <c r="G52" s="34" t="s">
        <v>585</v>
      </c>
      <c r="H52" s="34" t="str">
        <f t="shared" si="0"/>
        <v>ID.RA - Evaluación de riesgo</v>
      </c>
      <c r="I52" s="32"/>
    </row>
    <row r="53" spans="1:9" x14ac:dyDescent="0.2">
      <c r="A53" s="36" t="s">
        <v>125</v>
      </c>
      <c r="B53" s="32" t="s">
        <v>545</v>
      </c>
      <c r="C53" s="33" t="s">
        <v>586</v>
      </c>
      <c r="D53" s="34" t="s">
        <v>587</v>
      </c>
      <c r="E53" s="35" t="s">
        <v>250</v>
      </c>
      <c r="F53" s="34" t="s">
        <v>251</v>
      </c>
      <c r="G53" s="34" t="s">
        <v>588</v>
      </c>
      <c r="H53" s="34" t="str">
        <f t="shared" si="0"/>
        <v>ID.IM - Mejora</v>
      </c>
      <c r="I53" s="37" t="s">
        <v>549</v>
      </c>
    </row>
    <row r="54" spans="1:9" x14ac:dyDescent="0.2">
      <c r="A54" s="36" t="s">
        <v>125</v>
      </c>
      <c r="B54" s="32" t="s">
        <v>545</v>
      </c>
      <c r="C54" s="33" t="s">
        <v>586</v>
      </c>
      <c r="D54" s="34" t="s">
        <v>587</v>
      </c>
      <c r="E54" s="35" t="s">
        <v>274</v>
      </c>
      <c r="F54" s="34" t="s">
        <v>589</v>
      </c>
      <c r="G54" s="34" t="s">
        <v>590</v>
      </c>
      <c r="H54" s="34" t="str">
        <f t="shared" si="0"/>
        <v>ID.IM - Mejora</v>
      </c>
      <c r="I54" s="37" t="s">
        <v>549</v>
      </c>
    </row>
    <row r="55" spans="1:9" x14ac:dyDescent="0.2">
      <c r="A55" s="36" t="s">
        <v>125</v>
      </c>
      <c r="B55" s="32" t="s">
        <v>545</v>
      </c>
      <c r="C55" s="33" t="s">
        <v>586</v>
      </c>
      <c r="D55" s="34" t="s">
        <v>587</v>
      </c>
      <c r="E55" s="35" t="s">
        <v>591</v>
      </c>
      <c r="F55" s="34" t="s">
        <v>592</v>
      </c>
      <c r="G55" s="34" t="s">
        <v>593</v>
      </c>
      <c r="H55" s="34" t="str">
        <f t="shared" si="0"/>
        <v>ID.IM - Mejora</v>
      </c>
      <c r="I55" s="32"/>
    </row>
    <row r="56" spans="1:9" ht="26" x14ac:dyDescent="0.2">
      <c r="A56" s="36" t="s">
        <v>125</v>
      </c>
      <c r="B56" s="32" t="s">
        <v>545</v>
      </c>
      <c r="C56" s="33" t="s">
        <v>586</v>
      </c>
      <c r="D56" s="34" t="s">
        <v>587</v>
      </c>
      <c r="E56" s="35" t="s">
        <v>594</v>
      </c>
      <c r="F56" s="34" t="s">
        <v>595</v>
      </c>
      <c r="G56" s="34" t="s">
        <v>596</v>
      </c>
      <c r="H56" s="34" t="str">
        <f t="shared" si="0"/>
        <v>ID.IM - Mejora</v>
      </c>
      <c r="I56" s="32"/>
    </row>
    <row r="57" spans="1:9" x14ac:dyDescent="0.2">
      <c r="A57" s="38" t="s">
        <v>138</v>
      </c>
      <c r="B57" s="32" t="s">
        <v>597</v>
      </c>
      <c r="C57" s="33" t="s">
        <v>598</v>
      </c>
      <c r="D57" s="34" t="s">
        <v>599</v>
      </c>
      <c r="E57" s="35" t="s">
        <v>222</v>
      </c>
      <c r="F57" s="34" t="s">
        <v>600</v>
      </c>
      <c r="G57" s="34" t="s">
        <v>601</v>
      </c>
      <c r="H57" s="34" t="str">
        <f t="shared" si="0"/>
        <v>PR.AA - Identidad, autenticación y control de acceso</v>
      </c>
      <c r="I57" s="37" t="s">
        <v>549</v>
      </c>
    </row>
    <row r="58" spans="1:9" x14ac:dyDescent="0.2">
      <c r="A58" s="38" t="s">
        <v>138</v>
      </c>
      <c r="B58" s="32" t="s">
        <v>597</v>
      </c>
      <c r="C58" s="33" t="s">
        <v>598</v>
      </c>
      <c r="D58" s="34" t="s">
        <v>599</v>
      </c>
      <c r="E58" s="35" t="s">
        <v>248</v>
      </c>
      <c r="F58" s="34" t="s">
        <v>602</v>
      </c>
      <c r="G58" s="34" t="s">
        <v>603</v>
      </c>
      <c r="H58" s="34" t="str">
        <f t="shared" si="0"/>
        <v>PR.AA - Identidad, autenticación y control de acceso</v>
      </c>
      <c r="I58" s="37" t="s">
        <v>549</v>
      </c>
    </row>
    <row r="59" spans="1:9" x14ac:dyDescent="0.2">
      <c r="A59" s="38" t="s">
        <v>138</v>
      </c>
      <c r="B59" s="32" t="s">
        <v>597</v>
      </c>
      <c r="C59" s="33" t="s">
        <v>598</v>
      </c>
      <c r="D59" s="34" t="s">
        <v>599</v>
      </c>
      <c r="E59" s="35" t="s">
        <v>161</v>
      </c>
      <c r="F59" s="34" t="s">
        <v>162</v>
      </c>
      <c r="G59" s="34" t="s">
        <v>604</v>
      </c>
      <c r="H59" s="34" t="str">
        <f t="shared" si="0"/>
        <v>PR.AA - Identidad, autenticación y control de acceso</v>
      </c>
      <c r="I59" s="37" t="s">
        <v>549</v>
      </c>
    </row>
    <row r="60" spans="1:9" x14ac:dyDescent="0.2">
      <c r="A60" s="38" t="s">
        <v>138</v>
      </c>
      <c r="B60" s="32" t="s">
        <v>597</v>
      </c>
      <c r="C60" s="33" t="s">
        <v>598</v>
      </c>
      <c r="D60" s="34" t="s">
        <v>599</v>
      </c>
      <c r="E60" s="35" t="s">
        <v>172</v>
      </c>
      <c r="F60" s="34" t="s">
        <v>173</v>
      </c>
      <c r="G60" s="34" t="s">
        <v>605</v>
      </c>
      <c r="H60" s="34" t="str">
        <f t="shared" si="0"/>
        <v>PR.AA - Identidad, autenticación y control de acceso</v>
      </c>
      <c r="I60" s="37" t="s">
        <v>549</v>
      </c>
    </row>
    <row r="61" spans="1:9" ht="26" x14ac:dyDescent="0.2">
      <c r="A61" s="38" t="s">
        <v>138</v>
      </c>
      <c r="B61" s="32" t="s">
        <v>597</v>
      </c>
      <c r="C61" s="33" t="s">
        <v>598</v>
      </c>
      <c r="D61" s="34" t="s">
        <v>599</v>
      </c>
      <c r="E61" s="35" t="s">
        <v>178</v>
      </c>
      <c r="F61" s="34" t="s">
        <v>606</v>
      </c>
      <c r="G61" s="34" t="s">
        <v>607</v>
      </c>
      <c r="H61" s="34" t="str">
        <f t="shared" si="0"/>
        <v>PR.AA - Identidad, autenticación y control de acceso</v>
      </c>
      <c r="I61" s="37" t="s">
        <v>549</v>
      </c>
    </row>
    <row r="62" spans="1:9" x14ac:dyDescent="0.2">
      <c r="A62" s="38" t="s">
        <v>138</v>
      </c>
      <c r="B62" s="32" t="s">
        <v>597</v>
      </c>
      <c r="C62" s="33" t="s">
        <v>598</v>
      </c>
      <c r="D62" s="34" t="s">
        <v>599</v>
      </c>
      <c r="E62" s="35" t="s">
        <v>194</v>
      </c>
      <c r="F62" s="34" t="s">
        <v>195</v>
      </c>
      <c r="G62" s="34" t="s">
        <v>608</v>
      </c>
      <c r="H62" s="34" t="str">
        <f t="shared" si="0"/>
        <v>PR.AA - Identidad, autenticación y control de acceso</v>
      </c>
      <c r="I62" s="37" t="s">
        <v>549</v>
      </c>
    </row>
    <row r="63" spans="1:9" x14ac:dyDescent="0.2">
      <c r="A63" s="38" t="s">
        <v>138</v>
      </c>
      <c r="B63" s="32" t="s">
        <v>597</v>
      </c>
      <c r="C63" s="33" t="s">
        <v>609</v>
      </c>
      <c r="D63" s="34" t="s">
        <v>610</v>
      </c>
      <c r="E63" s="35" t="s">
        <v>276</v>
      </c>
      <c r="F63" s="34" t="s">
        <v>611</v>
      </c>
      <c r="G63" s="34" t="s">
        <v>612</v>
      </c>
      <c r="H63" s="34" t="str">
        <f t="shared" si="0"/>
        <v>PR.AT - Concientización y formación</v>
      </c>
      <c r="I63" s="37" t="s">
        <v>549</v>
      </c>
    </row>
    <row r="64" spans="1:9" ht="26" x14ac:dyDescent="0.2">
      <c r="A64" s="38" t="s">
        <v>138</v>
      </c>
      <c r="B64" s="32" t="s">
        <v>597</v>
      </c>
      <c r="C64" s="33" t="s">
        <v>609</v>
      </c>
      <c r="D64" s="34" t="s">
        <v>610</v>
      </c>
      <c r="E64" s="35" t="s">
        <v>278</v>
      </c>
      <c r="F64" s="34" t="s">
        <v>613</v>
      </c>
      <c r="G64" s="34" t="s">
        <v>614</v>
      </c>
      <c r="H64" s="34" t="str">
        <f t="shared" si="0"/>
        <v>PR.AT - Concientización y formación</v>
      </c>
      <c r="I64" s="37" t="s">
        <v>549</v>
      </c>
    </row>
    <row r="65" spans="1:9" x14ac:dyDescent="0.2">
      <c r="A65" s="38" t="s">
        <v>138</v>
      </c>
      <c r="B65" s="32" t="s">
        <v>597</v>
      </c>
      <c r="C65" s="33" t="s">
        <v>615</v>
      </c>
      <c r="D65" s="34" t="s">
        <v>616</v>
      </c>
      <c r="E65" s="35" t="s">
        <v>152</v>
      </c>
      <c r="F65" s="34" t="s">
        <v>153</v>
      </c>
      <c r="G65" s="34" t="s">
        <v>617</v>
      </c>
      <c r="H65" s="34" t="str">
        <f t="shared" si="0"/>
        <v>PR.DS - Seguridad de datos</v>
      </c>
      <c r="I65" s="37" t="s">
        <v>549</v>
      </c>
    </row>
    <row r="66" spans="1:9" x14ac:dyDescent="0.2">
      <c r="A66" s="38" t="s">
        <v>138</v>
      </c>
      <c r="B66" s="32" t="s">
        <v>597</v>
      </c>
      <c r="C66" s="33" t="s">
        <v>615</v>
      </c>
      <c r="D66" s="34" t="s">
        <v>616</v>
      </c>
      <c r="E66" s="35" t="s">
        <v>155</v>
      </c>
      <c r="F66" s="34" t="s">
        <v>156</v>
      </c>
      <c r="G66" s="34" t="s">
        <v>618</v>
      </c>
      <c r="H66" s="34" t="str">
        <f t="shared" si="0"/>
        <v>PR.DS - Seguridad de datos</v>
      </c>
      <c r="I66" s="37" t="s">
        <v>549</v>
      </c>
    </row>
    <row r="67" spans="1:9" x14ac:dyDescent="0.2">
      <c r="A67" s="38" t="s">
        <v>138</v>
      </c>
      <c r="B67" s="32" t="s">
        <v>597</v>
      </c>
      <c r="C67" s="33" t="s">
        <v>615</v>
      </c>
      <c r="D67" s="34" t="s">
        <v>616</v>
      </c>
      <c r="E67" s="35" t="s">
        <v>158</v>
      </c>
      <c r="F67" s="34" t="s">
        <v>159</v>
      </c>
      <c r="G67" s="34" t="s">
        <v>619</v>
      </c>
      <c r="H67" s="34" t="str">
        <f t="shared" si="0"/>
        <v>PR.DS - Seguridad de datos</v>
      </c>
      <c r="I67" s="37" t="s">
        <v>549</v>
      </c>
    </row>
    <row r="68" spans="1:9" x14ac:dyDescent="0.2">
      <c r="A68" s="38" t="s">
        <v>138</v>
      </c>
      <c r="B68" s="32" t="s">
        <v>597</v>
      </c>
      <c r="C68" s="33" t="s">
        <v>615</v>
      </c>
      <c r="D68" s="34" t="s">
        <v>616</v>
      </c>
      <c r="E68" s="35" t="s">
        <v>620</v>
      </c>
      <c r="F68" s="34" t="s">
        <v>621</v>
      </c>
      <c r="G68" s="34" t="s">
        <v>622</v>
      </c>
      <c r="H68" s="34" t="str">
        <f t="shared" si="0"/>
        <v>PR.DS - Seguridad de datos</v>
      </c>
      <c r="I68" s="32"/>
    </row>
    <row r="69" spans="1:9" x14ac:dyDescent="0.2">
      <c r="A69" s="38" t="s">
        <v>138</v>
      </c>
      <c r="B69" s="32" t="s">
        <v>597</v>
      </c>
      <c r="C69" s="33" t="s">
        <v>623</v>
      </c>
      <c r="D69" s="34" t="s">
        <v>624</v>
      </c>
      <c r="E69" s="35" t="s">
        <v>188</v>
      </c>
      <c r="F69" s="34" t="s">
        <v>189</v>
      </c>
      <c r="G69" s="34" t="s">
        <v>625</v>
      </c>
      <c r="H69" s="34" t="str">
        <f t="shared" si="0"/>
        <v>PR.PS - Seguridad de plataforma</v>
      </c>
      <c r="I69" s="37" t="s">
        <v>549</v>
      </c>
    </row>
    <row r="70" spans="1:9" x14ac:dyDescent="0.2">
      <c r="A70" s="38" t="s">
        <v>138</v>
      </c>
      <c r="B70" s="32" t="s">
        <v>597</v>
      </c>
      <c r="C70" s="33" t="s">
        <v>623</v>
      </c>
      <c r="D70" s="34" t="s">
        <v>624</v>
      </c>
      <c r="E70" s="35" t="s">
        <v>626</v>
      </c>
      <c r="F70" s="34" t="s">
        <v>627</v>
      </c>
      <c r="G70" s="34" t="s">
        <v>628</v>
      </c>
      <c r="H70" s="34" t="str">
        <f t="shared" ref="H70:H110" si="1">_xlfn.CONCAT(C70," - ",D70)</f>
        <v>PR.PS - Seguridad de plataforma</v>
      </c>
      <c r="I70" s="32"/>
    </row>
    <row r="71" spans="1:9" x14ac:dyDescent="0.2">
      <c r="A71" s="38" t="s">
        <v>138</v>
      </c>
      <c r="B71" s="32" t="s">
        <v>597</v>
      </c>
      <c r="C71" s="33" t="s">
        <v>623</v>
      </c>
      <c r="D71" s="34" t="s">
        <v>624</v>
      </c>
      <c r="E71" s="35" t="s">
        <v>191</v>
      </c>
      <c r="F71" s="34" t="s">
        <v>192</v>
      </c>
      <c r="G71" s="34" t="s">
        <v>629</v>
      </c>
      <c r="H71" s="34" t="str">
        <f t="shared" si="1"/>
        <v>PR.PS - Seguridad de plataforma</v>
      </c>
      <c r="I71" s="37" t="s">
        <v>549</v>
      </c>
    </row>
    <row r="72" spans="1:9" x14ac:dyDescent="0.2">
      <c r="A72" s="38" t="s">
        <v>138</v>
      </c>
      <c r="B72" s="32" t="s">
        <v>597</v>
      </c>
      <c r="C72" s="33" t="s">
        <v>623</v>
      </c>
      <c r="D72" s="34" t="s">
        <v>624</v>
      </c>
      <c r="E72" s="35" t="s">
        <v>183</v>
      </c>
      <c r="F72" s="34" t="s">
        <v>184</v>
      </c>
      <c r="G72" s="34" t="s">
        <v>630</v>
      </c>
      <c r="H72" s="34" t="str">
        <f t="shared" si="1"/>
        <v>PR.PS - Seguridad de plataforma</v>
      </c>
      <c r="I72" s="37" t="s">
        <v>549</v>
      </c>
    </row>
    <row r="73" spans="1:9" x14ac:dyDescent="0.2">
      <c r="A73" s="38" t="s">
        <v>138</v>
      </c>
      <c r="B73" s="32" t="s">
        <v>597</v>
      </c>
      <c r="C73" s="33" t="s">
        <v>623</v>
      </c>
      <c r="D73" s="34" t="s">
        <v>624</v>
      </c>
      <c r="E73" s="35" t="s">
        <v>214</v>
      </c>
      <c r="F73" s="34" t="s">
        <v>215</v>
      </c>
      <c r="G73" s="34" t="s">
        <v>631</v>
      </c>
      <c r="H73" s="34" t="str">
        <f t="shared" si="1"/>
        <v>PR.PS - Seguridad de plataforma</v>
      </c>
      <c r="I73" s="37" t="s">
        <v>549</v>
      </c>
    </row>
    <row r="74" spans="1:9" x14ac:dyDescent="0.2">
      <c r="A74" s="38" t="s">
        <v>138</v>
      </c>
      <c r="B74" s="32" t="s">
        <v>597</v>
      </c>
      <c r="C74" s="33" t="s">
        <v>623</v>
      </c>
      <c r="D74" s="34" t="s">
        <v>624</v>
      </c>
      <c r="E74" s="35" t="s">
        <v>211</v>
      </c>
      <c r="F74" s="34" t="s">
        <v>632</v>
      </c>
      <c r="G74" s="34" t="s">
        <v>633</v>
      </c>
      <c r="H74" s="34" t="str">
        <f t="shared" si="1"/>
        <v>PR.PS - Seguridad de plataforma</v>
      </c>
      <c r="I74" s="37" t="s">
        <v>549</v>
      </c>
    </row>
    <row r="75" spans="1:9" x14ac:dyDescent="0.2">
      <c r="A75" s="38" t="s">
        <v>138</v>
      </c>
      <c r="B75" s="32" t="s">
        <v>597</v>
      </c>
      <c r="C75" s="33" t="s">
        <v>634</v>
      </c>
      <c r="D75" s="34" t="s">
        <v>635</v>
      </c>
      <c r="E75" s="35" t="s">
        <v>136</v>
      </c>
      <c r="F75" s="34" t="s">
        <v>137</v>
      </c>
      <c r="G75" s="34" t="s">
        <v>636</v>
      </c>
      <c r="H75" s="34" t="str">
        <f t="shared" si="1"/>
        <v>PR.IR - Resiliencia de la infraestructura tecnológica</v>
      </c>
      <c r="I75" s="37" t="s">
        <v>549</v>
      </c>
    </row>
    <row r="76" spans="1:9" x14ac:dyDescent="0.2">
      <c r="A76" s="38" t="s">
        <v>138</v>
      </c>
      <c r="B76" s="32" t="s">
        <v>597</v>
      </c>
      <c r="C76" s="33" t="s">
        <v>634</v>
      </c>
      <c r="D76" s="34" t="s">
        <v>635</v>
      </c>
      <c r="E76" s="35" t="s">
        <v>637</v>
      </c>
      <c r="F76" s="34" t="s">
        <v>638</v>
      </c>
      <c r="G76" s="34" t="s">
        <v>639</v>
      </c>
      <c r="H76" s="34" t="str">
        <f t="shared" si="1"/>
        <v>PR.IR - Resiliencia de la infraestructura tecnológica</v>
      </c>
      <c r="I76" s="32"/>
    </row>
    <row r="77" spans="1:9" x14ac:dyDescent="0.2">
      <c r="A77" s="38" t="s">
        <v>138</v>
      </c>
      <c r="B77" s="32" t="s">
        <v>597</v>
      </c>
      <c r="C77" s="33" t="s">
        <v>634</v>
      </c>
      <c r="D77" s="34" t="s">
        <v>635</v>
      </c>
      <c r="E77" s="35" t="s">
        <v>148</v>
      </c>
      <c r="F77" s="34" t="s">
        <v>640</v>
      </c>
      <c r="G77" s="34" t="s">
        <v>641</v>
      </c>
      <c r="H77" s="34" t="str">
        <f t="shared" si="1"/>
        <v>PR.IR - Resiliencia de la infraestructura tecnológica</v>
      </c>
      <c r="I77" s="37" t="s">
        <v>549</v>
      </c>
    </row>
    <row r="78" spans="1:9" x14ac:dyDescent="0.2">
      <c r="A78" s="38" t="s">
        <v>138</v>
      </c>
      <c r="B78" s="32" t="s">
        <v>597</v>
      </c>
      <c r="C78" s="33" t="s">
        <v>634</v>
      </c>
      <c r="D78" s="34" t="s">
        <v>635</v>
      </c>
      <c r="E78" s="35" t="s">
        <v>642</v>
      </c>
      <c r="F78" s="34" t="s">
        <v>643</v>
      </c>
      <c r="G78" s="34" t="s">
        <v>644</v>
      </c>
      <c r="H78" s="34" t="str">
        <f t="shared" si="1"/>
        <v>PR.IR - Resiliencia de la infraestructura tecnológica</v>
      </c>
      <c r="I78" s="32"/>
    </row>
    <row r="79" spans="1:9" x14ac:dyDescent="0.2">
      <c r="A79" s="39" t="s">
        <v>128</v>
      </c>
      <c r="B79" s="32" t="s">
        <v>645</v>
      </c>
      <c r="C79" s="33" t="s">
        <v>646</v>
      </c>
      <c r="D79" s="34" t="s">
        <v>647</v>
      </c>
      <c r="E79" s="35" t="s">
        <v>140</v>
      </c>
      <c r="F79" s="34" t="s">
        <v>648</v>
      </c>
      <c r="G79" s="34" t="s">
        <v>649</v>
      </c>
      <c r="H79" s="34" t="str">
        <f t="shared" si="1"/>
        <v>DE.CM - Monitoreo continuo</v>
      </c>
      <c r="I79" s="37" t="s">
        <v>549</v>
      </c>
    </row>
    <row r="80" spans="1:9" x14ac:dyDescent="0.2">
      <c r="A80" s="39" t="s">
        <v>128</v>
      </c>
      <c r="B80" s="32" t="s">
        <v>645</v>
      </c>
      <c r="C80" s="33" t="s">
        <v>646</v>
      </c>
      <c r="D80" s="34" t="s">
        <v>647</v>
      </c>
      <c r="E80" s="35" t="s">
        <v>143</v>
      </c>
      <c r="F80" s="34" t="s">
        <v>650</v>
      </c>
      <c r="G80" s="34" t="s">
        <v>651</v>
      </c>
      <c r="H80" s="34" t="str">
        <f t="shared" si="1"/>
        <v>DE.CM - Monitoreo continuo</v>
      </c>
      <c r="I80" s="37" t="s">
        <v>549</v>
      </c>
    </row>
    <row r="81" spans="1:9" x14ac:dyDescent="0.2">
      <c r="A81" s="39" t="s">
        <v>128</v>
      </c>
      <c r="B81" s="32" t="s">
        <v>645</v>
      </c>
      <c r="C81" s="33" t="s">
        <v>646</v>
      </c>
      <c r="D81" s="34" t="s">
        <v>647</v>
      </c>
      <c r="E81" s="35" t="s">
        <v>164</v>
      </c>
      <c r="F81" s="34" t="s">
        <v>652</v>
      </c>
      <c r="G81" s="34" t="s">
        <v>653</v>
      </c>
      <c r="H81" s="34" t="str">
        <f t="shared" si="1"/>
        <v>DE.CM - Monitoreo continuo</v>
      </c>
      <c r="I81" s="37" t="s">
        <v>549</v>
      </c>
    </row>
    <row r="82" spans="1:9" x14ac:dyDescent="0.2">
      <c r="A82" s="39" t="s">
        <v>128</v>
      </c>
      <c r="B82" s="32" t="s">
        <v>645</v>
      </c>
      <c r="C82" s="33" t="s">
        <v>646</v>
      </c>
      <c r="D82" s="34" t="s">
        <v>647</v>
      </c>
      <c r="E82" s="35" t="s">
        <v>654</v>
      </c>
      <c r="F82" s="34" t="s">
        <v>655</v>
      </c>
      <c r="G82" s="34" t="s">
        <v>656</v>
      </c>
      <c r="H82" s="34" t="str">
        <f t="shared" si="1"/>
        <v>DE.CM - Monitoreo continuo</v>
      </c>
      <c r="I82" s="32"/>
    </row>
    <row r="83" spans="1:9" x14ac:dyDescent="0.2">
      <c r="A83" s="39" t="s">
        <v>128</v>
      </c>
      <c r="B83" s="32" t="s">
        <v>645</v>
      </c>
      <c r="C83" s="33" t="s">
        <v>646</v>
      </c>
      <c r="D83" s="34" t="s">
        <v>647</v>
      </c>
      <c r="E83" s="35" t="s">
        <v>127</v>
      </c>
      <c r="F83" s="34" t="s">
        <v>657</v>
      </c>
      <c r="G83" s="34" t="s">
        <v>658</v>
      </c>
      <c r="H83" s="34" t="str">
        <f t="shared" si="1"/>
        <v>DE.CM - Monitoreo continuo</v>
      </c>
      <c r="I83" s="37" t="s">
        <v>549</v>
      </c>
    </row>
    <row r="84" spans="1:9" x14ac:dyDescent="0.2">
      <c r="A84" s="39" t="s">
        <v>128</v>
      </c>
      <c r="B84" s="32" t="s">
        <v>645</v>
      </c>
      <c r="C84" s="33" t="s">
        <v>659</v>
      </c>
      <c r="D84" s="34" t="s">
        <v>660</v>
      </c>
      <c r="E84" s="35" t="s">
        <v>130</v>
      </c>
      <c r="F84" s="34" t="s">
        <v>661</v>
      </c>
      <c r="G84" s="34" t="s">
        <v>662</v>
      </c>
      <c r="H84" s="34" t="str">
        <f t="shared" si="1"/>
        <v>DE.AE - Análisis de eventos adversos</v>
      </c>
      <c r="I84" s="37" t="s">
        <v>549</v>
      </c>
    </row>
    <row r="85" spans="1:9" x14ac:dyDescent="0.2">
      <c r="A85" s="39" t="s">
        <v>128</v>
      </c>
      <c r="B85" s="32" t="s">
        <v>645</v>
      </c>
      <c r="C85" s="33" t="s">
        <v>659</v>
      </c>
      <c r="D85" s="34" t="s">
        <v>660</v>
      </c>
      <c r="E85" s="35" t="s">
        <v>185</v>
      </c>
      <c r="F85" s="34" t="s">
        <v>186</v>
      </c>
      <c r="G85" s="34" t="s">
        <v>663</v>
      </c>
      <c r="H85" s="34" t="str">
        <f t="shared" si="1"/>
        <v>DE.AE - Análisis de eventos adversos</v>
      </c>
      <c r="I85" s="37" t="s">
        <v>549</v>
      </c>
    </row>
    <row r="86" spans="1:9" x14ac:dyDescent="0.2">
      <c r="A86" s="39" t="s">
        <v>128</v>
      </c>
      <c r="B86" s="32" t="s">
        <v>645</v>
      </c>
      <c r="C86" s="33" t="s">
        <v>659</v>
      </c>
      <c r="D86" s="34" t="s">
        <v>660</v>
      </c>
      <c r="E86" s="35" t="s">
        <v>166</v>
      </c>
      <c r="F86" s="34" t="s">
        <v>664</v>
      </c>
      <c r="G86" s="34" t="s">
        <v>665</v>
      </c>
      <c r="H86" s="34" t="str">
        <f t="shared" si="1"/>
        <v>DE.AE - Análisis de eventos adversos</v>
      </c>
      <c r="I86" s="37" t="s">
        <v>549</v>
      </c>
    </row>
    <row r="87" spans="1:9" x14ac:dyDescent="0.2">
      <c r="A87" s="39" t="s">
        <v>128</v>
      </c>
      <c r="B87" s="32" t="s">
        <v>645</v>
      </c>
      <c r="C87" s="33" t="s">
        <v>659</v>
      </c>
      <c r="D87" s="34" t="s">
        <v>660</v>
      </c>
      <c r="E87" s="35" t="s">
        <v>666</v>
      </c>
      <c r="F87" s="34" t="s">
        <v>667</v>
      </c>
      <c r="G87" s="34" t="s">
        <v>668</v>
      </c>
      <c r="H87" s="34" t="str">
        <f t="shared" si="1"/>
        <v>DE.AE - Análisis de eventos adversos</v>
      </c>
      <c r="I87" s="32"/>
    </row>
    <row r="88" spans="1:9" x14ac:dyDescent="0.2">
      <c r="A88" s="39" t="s">
        <v>128</v>
      </c>
      <c r="B88" s="32" t="s">
        <v>645</v>
      </c>
      <c r="C88" s="33" t="s">
        <v>659</v>
      </c>
      <c r="D88" s="34" t="s">
        <v>660</v>
      </c>
      <c r="E88" s="35" t="s">
        <v>669</v>
      </c>
      <c r="F88" s="34" t="s">
        <v>670</v>
      </c>
      <c r="G88" s="34" t="s">
        <v>671</v>
      </c>
      <c r="H88" s="34" t="str">
        <f t="shared" si="1"/>
        <v>DE.AE - Análisis de eventos adversos</v>
      </c>
      <c r="I88" s="32"/>
    </row>
    <row r="89" spans="1:9" x14ac:dyDescent="0.2">
      <c r="A89" s="39" t="s">
        <v>128</v>
      </c>
      <c r="B89" s="32" t="s">
        <v>645</v>
      </c>
      <c r="C89" s="33" t="s">
        <v>659</v>
      </c>
      <c r="D89" s="34" t="s">
        <v>660</v>
      </c>
      <c r="E89" s="35" t="s">
        <v>672</v>
      </c>
      <c r="F89" s="34" t="s">
        <v>673</v>
      </c>
      <c r="G89" s="34" t="s">
        <v>674</v>
      </c>
      <c r="H89" s="34" t="str">
        <f t="shared" si="1"/>
        <v>DE.AE - Análisis de eventos adversos</v>
      </c>
      <c r="I89" s="32"/>
    </row>
    <row r="90" spans="1:9" x14ac:dyDescent="0.2">
      <c r="A90" s="40" t="s">
        <v>134</v>
      </c>
      <c r="B90" s="32" t="s">
        <v>675</v>
      </c>
      <c r="C90" s="33" t="s">
        <v>676</v>
      </c>
      <c r="D90" s="34" t="s">
        <v>677</v>
      </c>
      <c r="E90" s="35" t="s">
        <v>678</v>
      </c>
      <c r="F90" s="34" t="s">
        <v>679</v>
      </c>
      <c r="G90" s="34" t="s">
        <v>680</v>
      </c>
      <c r="H90" s="34" t="str">
        <f t="shared" si="1"/>
        <v>RS.MA - Gestión de incidentes</v>
      </c>
      <c r="I90" s="32"/>
    </row>
    <row r="91" spans="1:9" x14ac:dyDescent="0.2">
      <c r="A91" s="40" t="s">
        <v>134</v>
      </c>
      <c r="B91" s="32" t="s">
        <v>675</v>
      </c>
      <c r="C91" s="33" t="s">
        <v>676</v>
      </c>
      <c r="D91" s="34" t="s">
        <v>677</v>
      </c>
      <c r="E91" s="35" t="s">
        <v>144</v>
      </c>
      <c r="F91" s="34" t="s">
        <v>145</v>
      </c>
      <c r="G91" s="34" t="s">
        <v>681</v>
      </c>
      <c r="H91" s="34" t="str">
        <f t="shared" si="1"/>
        <v>RS.MA - Gestión de incidentes</v>
      </c>
      <c r="I91" s="37" t="s">
        <v>549</v>
      </c>
    </row>
    <row r="92" spans="1:9" x14ac:dyDescent="0.2">
      <c r="A92" s="40" t="s">
        <v>134</v>
      </c>
      <c r="B92" s="32" t="s">
        <v>675</v>
      </c>
      <c r="C92" s="33" t="s">
        <v>676</v>
      </c>
      <c r="D92" s="34" t="s">
        <v>677</v>
      </c>
      <c r="E92" s="35" t="s">
        <v>303</v>
      </c>
      <c r="F92" s="34" t="s">
        <v>304</v>
      </c>
      <c r="G92" s="34" t="s">
        <v>682</v>
      </c>
      <c r="H92" s="34" t="str">
        <f t="shared" si="1"/>
        <v>RS.MA - Gestión de incidentes</v>
      </c>
      <c r="I92" s="37" t="s">
        <v>549</v>
      </c>
    </row>
    <row r="93" spans="1:9" x14ac:dyDescent="0.2">
      <c r="A93" s="40" t="s">
        <v>134</v>
      </c>
      <c r="B93" s="32" t="s">
        <v>675</v>
      </c>
      <c r="C93" s="33" t="s">
        <v>676</v>
      </c>
      <c r="D93" s="34" t="s">
        <v>677</v>
      </c>
      <c r="E93" s="35" t="s">
        <v>683</v>
      </c>
      <c r="F93" s="34" t="s">
        <v>684</v>
      </c>
      <c r="G93" s="34" t="s">
        <v>685</v>
      </c>
      <c r="H93" s="34" t="str">
        <f t="shared" si="1"/>
        <v>RS.MA - Gestión de incidentes</v>
      </c>
      <c r="I93" s="32"/>
    </row>
    <row r="94" spans="1:9" x14ac:dyDescent="0.2">
      <c r="A94" s="40" t="s">
        <v>134</v>
      </c>
      <c r="B94" s="32" t="s">
        <v>675</v>
      </c>
      <c r="C94" s="33" t="s">
        <v>676</v>
      </c>
      <c r="D94" s="34" t="s">
        <v>677</v>
      </c>
      <c r="E94" s="35" t="s">
        <v>686</v>
      </c>
      <c r="F94" s="34" t="s">
        <v>687</v>
      </c>
      <c r="G94" s="34" t="s">
        <v>688</v>
      </c>
      <c r="H94" s="34" t="str">
        <f t="shared" si="1"/>
        <v>RS.MA - Gestión de incidentes</v>
      </c>
      <c r="I94" s="32"/>
    </row>
    <row r="95" spans="1:9" x14ac:dyDescent="0.2">
      <c r="A95" s="40" t="s">
        <v>134</v>
      </c>
      <c r="B95" s="32" t="s">
        <v>675</v>
      </c>
      <c r="C95" s="33" t="s">
        <v>689</v>
      </c>
      <c r="D95" s="34" t="s">
        <v>690</v>
      </c>
      <c r="E95" s="35" t="s">
        <v>204</v>
      </c>
      <c r="F95" s="34" t="s">
        <v>691</v>
      </c>
      <c r="G95" s="34" t="s">
        <v>692</v>
      </c>
      <c r="H95" s="34" t="str">
        <f t="shared" si="1"/>
        <v>RS.AN - Análisis de incidentes</v>
      </c>
      <c r="I95" s="37" t="s">
        <v>549</v>
      </c>
    </row>
    <row r="96" spans="1:9" x14ac:dyDescent="0.2">
      <c r="A96" s="40" t="s">
        <v>134</v>
      </c>
      <c r="B96" s="32" t="s">
        <v>675</v>
      </c>
      <c r="C96" s="33" t="s">
        <v>689</v>
      </c>
      <c r="D96" s="34" t="s">
        <v>690</v>
      </c>
      <c r="E96" s="35" t="s">
        <v>693</v>
      </c>
      <c r="F96" s="34" t="s">
        <v>694</v>
      </c>
      <c r="G96" s="34" t="s">
        <v>695</v>
      </c>
      <c r="H96" s="34" t="str">
        <f t="shared" si="1"/>
        <v>RS.AN - Análisis de incidentes</v>
      </c>
      <c r="I96" s="32"/>
    </row>
    <row r="97" spans="1:9" x14ac:dyDescent="0.2">
      <c r="A97" s="40" t="s">
        <v>134</v>
      </c>
      <c r="B97" s="32" t="s">
        <v>675</v>
      </c>
      <c r="C97" s="33" t="s">
        <v>689</v>
      </c>
      <c r="D97" s="34" t="s">
        <v>690</v>
      </c>
      <c r="E97" s="35" t="s">
        <v>696</v>
      </c>
      <c r="F97" s="34" t="s">
        <v>697</v>
      </c>
      <c r="G97" s="34" t="s">
        <v>698</v>
      </c>
      <c r="H97" s="34" t="str">
        <f t="shared" si="1"/>
        <v>RS.AN - Análisis de incidentes</v>
      </c>
      <c r="I97" s="32"/>
    </row>
    <row r="98" spans="1:9" x14ac:dyDescent="0.2">
      <c r="A98" s="40" t="s">
        <v>134</v>
      </c>
      <c r="B98" s="32" t="s">
        <v>675</v>
      </c>
      <c r="C98" s="33" t="s">
        <v>689</v>
      </c>
      <c r="D98" s="34" t="s">
        <v>690</v>
      </c>
      <c r="E98" s="35" t="s">
        <v>699</v>
      </c>
      <c r="F98" s="34" t="s">
        <v>700</v>
      </c>
      <c r="G98" s="34" t="s">
        <v>701</v>
      </c>
      <c r="H98" s="34" t="str">
        <f t="shared" si="1"/>
        <v>RS.AN - Análisis de incidentes</v>
      </c>
      <c r="I98" s="32"/>
    </row>
    <row r="99" spans="1:9" x14ac:dyDescent="0.2">
      <c r="A99" s="40" t="s">
        <v>134</v>
      </c>
      <c r="B99" s="32" t="s">
        <v>675</v>
      </c>
      <c r="C99" s="33" t="s">
        <v>702</v>
      </c>
      <c r="D99" s="34" t="s">
        <v>703</v>
      </c>
      <c r="E99" s="35" t="s">
        <v>147</v>
      </c>
      <c r="F99" s="34" t="s">
        <v>704</v>
      </c>
      <c r="G99" s="34" t="s">
        <v>705</v>
      </c>
      <c r="H99" s="34" t="str">
        <f t="shared" si="1"/>
        <v>RS.CO - Reporte y comunicación del incidente</v>
      </c>
      <c r="I99" s="37" t="s">
        <v>549</v>
      </c>
    </row>
    <row r="100" spans="1:9" x14ac:dyDescent="0.2">
      <c r="A100" s="40" t="s">
        <v>134</v>
      </c>
      <c r="B100" s="32" t="s">
        <v>675</v>
      </c>
      <c r="C100" s="33" t="s">
        <v>702</v>
      </c>
      <c r="D100" s="34" t="s">
        <v>703</v>
      </c>
      <c r="E100" s="35" t="s">
        <v>706</v>
      </c>
      <c r="F100" s="34" t="s">
        <v>707</v>
      </c>
      <c r="G100" s="34" t="s">
        <v>708</v>
      </c>
      <c r="H100" s="34" t="str">
        <f t="shared" si="1"/>
        <v>RS.CO - Reporte y comunicación del incidente</v>
      </c>
      <c r="I100" s="32"/>
    </row>
    <row r="101" spans="1:9" x14ac:dyDescent="0.2">
      <c r="A101" s="40" t="s">
        <v>134</v>
      </c>
      <c r="B101" s="32" t="s">
        <v>675</v>
      </c>
      <c r="C101" s="33" t="s">
        <v>709</v>
      </c>
      <c r="D101" s="34" t="s">
        <v>710</v>
      </c>
      <c r="E101" s="35" t="s">
        <v>132</v>
      </c>
      <c r="F101" s="34" t="s">
        <v>133</v>
      </c>
      <c r="G101" s="34" t="s">
        <v>711</v>
      </c>
      <c r="H101" s="34" t="str">
        <f t="shared" si="1"/>
        <v>RS.MI - Mitigación del incidente</v>
      </c>
      <c r="I101" s="37" t="s">
        <v>549</v>
      </c>
    </row>
    <row r="102" spans="1:9" x14ac:dyDescent="0.2">
      <c r="A102" s="40" t="s">
        <v>134</v>
      </c>
      <c r="B102" s="32" t="s">
        <v>675</v>
      </c>
      <c r="C102" s="33" t="s">
        <v>709</v>
      </c>
      <c r="D102" s="34" t="s">
        <v>710</v>
      </c>
      <c r="E102" s="35" t="s">
        <v>712</v>
      </c>
      <c r="F102" s="34" t="s">
        <v>713</v>
      </c>
      <c r="G102" s="34" t="s">
        <v>714</v>
      </c>
      <c r="H102" s="34" t="str">
        <f t="shared" si="1"/>
        <v>RS.MI - Mitigación del incidente</v>
      </c>
      <c r="I102" s="32"/>
    </row>
    <row r="103" spans="1:9" x14ac:dyDescent="0.2">
      <c r="A103" s="41" t="s">
        <v>715</v>
      </c>
      <c r="B103" s="32" t="s">
        <v>716</v>
      </c>
      <c r="C103" s="33" t="s">
        <v>717</v>
      </c>
      <c r="D103" s="34" t="s">
        <v>718</v>
      </c>
      <c r="E103" s="35" t="s">
        <v>719</v>
      </c>
      <c r="F103" s="34" t="s">
        <v>720</v>
      </c>
      <c r="G103" s="34" t="s">
        <v>721</v>
      </c>
      <c r="H103" s="34" t="str">
        <f t="shared" si="1"/>
        <v>RC.RP - Ejecución del plan de recuperación</v>
      </c>
      <c r="I103" s="32"/>
    </row>
    <row r="104" spans="1:9" x14ac:dyDescent="0.2">
      <c r="A104" s="41" t="s">
        <v>715</v>
      </c>
      <c r="B104" s="32" t="s">
        <v>716</v>
      </c>
      <c r="C104" s="33" t="s">
        <v>717</v>
      </c>
      <c r="D104" s="34" t="s">
        <v>718</v>
      </c>
      <c r="E104" s="35" t="s">
        <v>722</v>
      </c>
      <c r="F104" s="34" t="s">
        <v>723</v>
      </c>
      <c r="G104" s="34" t="s">
        <v>724</v>
      </c>
      <c r="H104" s="34" t="str">
        <f t="shared" si="1"/>
        <v>RC.RP - Ejecución del plan de recuperación</v>
      </c>
      <c r="I104" s="32"/>
    </row>
    <row r="105" spans="1:9" x14ac:dyDescent="0.2">
      <c r="A105" s="41" t="s">
        <v>715</v>
      </c>
      <c r="B105" s="32" t="s">
        <v>716</v>
      </c>
      <c r="C105" s="33" t="s">
        <v>717</v>
      </c>
      <c r="D105" s="34" t="s">
        <v>718</v>
      </c>
      <c r="E105" s="35" t="s">
        <v>725</v>
      </c>
      <c r="F105" s="34" t="s">
        <v>726</v>
      </c>
      <c r="G105" s="34" t="s">
        <v>727</v>
      </c>
      <c r="H105" s="34" t="str">
        <f t="shared" si="1"/>
        <v>RC.RP - Ejecución del plan de recuperación</v>
      </c>
      <c r="I105" s="32"/>
    </row>
    <row r="106" spans="1:9" x14ac:dyDescent="0.2">
      <c r="A106" s="41" t="s">
        <v>715</v>
      </c>
      <c r="B106" s="32" t="s">
        <v>716</v>
      </c>
      <c r="C106" s="33" t="s">
        <v>717</v>
      </c>
      <c r="D106" s="34" t="s">
        <v>718</v>
      </c>
      <c r="E106" s="35" t="s">
        <v>728</v>
      </c>
      <c r="F106" s="34" t="s">
        <v>729</v>
      </c>
      <c r="G106" s="34" t="s">
        <v>730</v>
      </c>
      <c r="H106" s="34" t="str">
        <f t="shared" si="1"/>
        <v>RC.RP - Ejecución del plan de recuperación</v>
      </c>
      <c r="I106" s="32"/>
    </row>
    <row r="107" spans="1:9" ht="26" x14ac:dyDescent="0.2">
      <c r="A107" s="41" t="s">
        <v>715</v>
      </c>
      <c r="B107" s="32" t="s">
        <v>716</v>
      </c>
      <c r="C107" s="33" t="s">
        <v>717</v>
      </c>
      <c r="D107" s="34" t="s">
        <v>718</v>
      </c>
      <c r="E107" s="35" t="s">
        <v>731</v>
      </c>
      <c r="F107" s="34" t="s">
        <v>732</v>
      </c>
      <c r="G107" s="34" t="s">
        <v>733</v>
      </c>
      <c r="H107" s="34" t="str">
        <f t="shared" si="1"/>
        <v>RC.RP - Ejecución del plan de recuperación</v>
      </c>
      <c r="I107" s="32"/>
    </row>
    <row r="108" spans="1:9" x14ac:dyDescent="0.2">
      <c r="A108" s="41" t="s">
        <v>715</v>
      </c>
      <c r="B108" s="32" t="s">
        <v>716</v>
      </c>
      <c r="C108" s="33" t="s">
        <v>717</v>
      </c>
      <c r="D108" s="34" t="s">
        <v>718</v>
      </c>
      <c r="E108" s="35" t="s">
        <v>734</v>
      </c>
      <c r="F108" s="34" t="s">
        <v>735</v>
      </c>
      <c r="G108" s="34" t="s">
        <v>736</v>
      </c>
      <c r="H108" s="34" t="str">
        <f t="shared" si="1"/>
        <v>RC.RP - Ejecución del plan de recuperación</v>
      </c>
      <c r="I108" s="32"/>
    </row>
    <row r="109" spans="1:9" x14ac:dyDescent="0.2">
      <c r="A109" s="41" t="s">
        <v>715</v>
      </c>
      <c r="B109" s="32" t="s">
        <v>716</v>
      </c>
      <c r="C109" s="33" t="s">
        <v>737</v>
      </c>
      <c r="D109" s="34" t="s">
        <v>738</v>
      </c>
      <c r="E109" s="35" t="s">
        <v>739</v>
      </c>
      <c r="F109" s="34" t="s">
        <v>740</v>
      </c>
      <c r="G109" s="34" t="s">
        <v>741</v>
      </c>
      <c r="H109" s="34" t="str">
        <f t="shared" si="1"/>
        <v>RC.CO - Comunicación de la recuperación</v>
      </c>
      <c r="I109" s="32"/>
    </row>
    <row r="110" spans="1:9" x14ac:dyDescent="0.2">
      <c r="A110" s="41" t="s">
        <v>715</v>
      </c>
      <c r="B110" s="32" t="s">
        <v>716</v>
      </c>
      <c r="C110" s="33" t="s">
        <v>737</v>
      </c>
      <c r="D110" s="34" t="s">
        <v>738</v>
      </c>
      <c r="E110" s="35" t="s">
        <v>742</v>
      </c>
      <c r="F110" s="34" t="s">
        <v>743</v>
      </c>
      <c r="G110" s="34" t="s">
        <v>744</v>
      </c>
      <c r="H110" s="34" t="str">
        <f t="shared" si="1"/>
        <v>RC.CO - Comunicación de la recuperación</v>
      </c>
      <c r="I110" s="32"/>
    </row>
  </sheetData>
  <autoFilter ref="A4:I110" xr:uid="{00000000-0009-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B25E-0610-474E-8AD9-333AA945F80F}">
  <dimension ref="A1:I26"/>
  <sheetViews>
    <sheetView workbookViewId="0">
      <selection activeCell="E5" sqref="E5"/>
    </sheetView>
  </sheetViews>
  <sheetFormatPr baseColWidth="10" defaultColWidth="8.83203125" defaultRowHeight="15" x14ac:dyDescent="0.2"/>
  <cols>
    <col min="1" max="2" width="13" customWidth="1"/>
    <col min="3" max="3" width="12" customWidth="1"/>
    <col min="4" max="5" width="42" customWidth="1"/>
    <col min="6" max="6" width="86" customWidth="1"/>
    <col min="7" max="7" width="104" customWidth="1"/>
    <col min="8" max="8" width="14" customWidth="1"/>
    <col min="9" max="9" width="15" customWidth="1"/>
  </cols>
  <sheetData>
    <row r="1" spans="1:9" ht="19" x14ac:dyDescent="0.25">
      <c r="A1" s="28" t="s">
        <v>745</v>
      </c>
    </row>
    <row r="2" spans="1:9" x14ac:dyDescent="0.2">
      <c r="A2" s="29" t="s">
        <v>746</v>
      </c>
    </row>
    <row r="4" spans="1:9" ht="28" customHeight="1" x14ac:dyDescent="0.2">
      <c r="A4" s="30" t="s">
        <v>123</v>
      </c>
      <c r="B4" s="30" t="s">
        <v>433</v>
      </c>
      <c r="C4" s="30" t="s">
        <v>122</v>
      </c>
      <c r="D4" s="30" t="s">
        <v>747</v>
      </c>
      <c r="E4" s="30" t="s">
        <v>826</v>
      </c>
      <c r="F4" s="30" t="s">
        <v>435</v>
      </c>
      <c r="G4" s="30" t="s">
        <v>436</v>
      </c>
      <c r="H4" s="30" t="s">
        <v>748</v>
      </c>
      <c r="I4" s="30" t="s">
        <v>437</v>
      </c>
    </row>
    <row r="5" spans="1:9" ht="26" x14ac:dyDescent="0.2">
      <c r="A5" s="31" t="s">
        <v>438</v>
      </c>
      <c r="B5" s="32" t="s">
        <v>439</v>
      </c>
      <c r="C5" s="33" t="s">
        <v>440</v>
      </c>
      <c r="D5" s="42" t="s">
        <v>441</v>
      </c>
      <c r="E5" s="42" t="e" cm="1">
        <f t="array" ref="E5">con</f>
        <v>#NAME?</v>
      </c>
      <c r="F5" s="34" t="s">
        <v>749</v>
      </c>
      <c r="G5" s="34" t="s">
        <v>750</v>
      </c>
      <c r="H5" s="32">
        <v>5</v>
      </c>
      <c r="I5" s="43"/>
    </row>
    <row r="6" spans="1:9" ht="26" x14ac:dyDescent="0.2">
      <c r="A6" s="31" t="s">
        <v>438</v>
      </c>
      <c r="B6" s="32" t="s">
        <v>439</v>
      </c>
      <c r="C6" s="33" t="s">
        <v>457</v>
      </c>
      <c r="D6" s="42" t="s">
        <v>458</v>
      </c>
      <c r="E6" s="42"/>
      <c r="F6" s="34" t="s">
        <v>751</v>
      </c>
      <c r="G6" s="34" t="s">
        <v>752</v>
      </c>
      <c r="H6" s="32">
        <v>7</v>
      </c>
      <c r="I6" s="43"/>
    </row>
    <row r="7" spans="1:9" ht="26" x14ac:dyDescent="0.2">
      <c r="A7" s="31" t="s">
        <v>438</v>
      </c>
      <c r="B7" s="32" t="s">
        <v>439</v>
      </c>
      <c r="C7" s="33" t="s">
        <v>480</v>
      </c>
      <c r="D7" s="42" t="s">
        <v>481</v>
      </c>
      <c r="E7" s="42"/>
      <c r="F7" s="34" t="s">
        <v>753</v>
      </c>
      <c r="G7" s="34" t="s">
        <v>754</v>
      </c>
      <c r="H7" s="32">
        <v>4</v>
      </c>
      <c r="I7" s="43"/>
    </row>
    <row r="8" spans="1:9" x14ac:dyDescent="0.2">
      <c r="A8" s="31" t="s">
        <v>438</v>
      </c>
      <c r="B8" s="32" t="s">
        <v>439</v>
      </c>
      <c r="C8" s="33" t="s">
        <v>494</v>
      </c>
      <c r="D8" s="42" t="s">
        <v>495</v>
      </c>
      <c r="E8" s="42"/>
      <c r="F8" s="34" t="s">
        <v>755</v>
      </c>
      <c r="G8" s="34" t="s">
        <v>756</v>
      </c>
      <c r="H8" s="32">
        <v>2</v>
      </c>
      <c r="I8" s="43"/>
    </row>
    <row r="9" spans="1:9" x14ac:dyDescent="0.2">
      <c r="A9" s="31" t="s">
        <v>438</v>
      </c>
      <c r="B9" s="32" t="s">
        <v>439</v>
      </c>
      <c r="C9" s="33" t="s">
        <v>502</v>
      </c>
      <c r="D9" s="42" t="s">
        <v>503</v>
      </c>
      <c r="E9" s="42"/>
      <c r="F9" s="34" t="s">
        <v>757</v>
      </c>
      <c r="G9" s="34" t="s">
        <v>758</v>
      </c>
      <c r="H9" s="32">
        <v>3</v>
      </c>
      <c r="I9" s="43"/>
    </row>
    <row r="10" spans="1:9" x14ac:dyDescent="0.2">
      <c r="A10" s="31" t="s">
        <v>438</v>
      </c>
      <c r="B10" s="32" t="s">
        <v>439</v>
      </c>
      <c r="C10" s="33" t="s">
        <v>513</v>
      </c>
      <c r="D10" s="42" t="s">
        <v>514</v>
      </c>
      <c r="E10" s="42"/>
      <c r="F10" s="34" t="s">
        <v>759</v>
      </c>
      <c r="G10" s="34" t="s">
        <v>760</v>
      </c>
      <c r="H10" s="32">
        <v>10</v>
      </c>
      <c r="I10" s="43"/>
    </row>
    <row r="11" spans="1:9" ht="26" x14ac:dyDescent="0.2">
      <c r="A11" s="36" t="s">
        <v>125</v>
      </c>
      <c r="B11" s="32" t="s">
        <v>545</v>
      </c>
      <c r="C11" s="33" t="s">
        <v>546</v>
      </c>
      <c r="D11" s="42" t="s">
        <v>547</v>
      </c>
      <c r="E11" s="42"/>
      <c r="F11" s="34" t="s">
        <v>761</v>
      </c>
      <c r="G11" s="34" t="s">
        <v>762</v>
      </c>
      <c r="H11" s="32">
        <v>7</v>
      </c>
      <c r="I11" s="44" t="s">
        <v>763</v>
      </c>
    </row>
    <row r="12" spans="1:9" x14ac:dyDescent="0.2">
      <c r="A12" s="36" t="s">
        <v>125</v>
      </c>
      <c r="B12" s="32" t="s">
        <v>545</v>
      </c>
      <c r="C12" s="33" t="s">
        <v>560</v>
      </c>
      <c r="D12" s="42" t="s">
        <v>561</v>
      </c>
      <c r="E12" s="42"/>
      <c r="F12" s="34" t="s">
        <v>764</v>
      </c>
      <c r="G12" s="34" t="s">
        <v>765</v>
      </c>
      <c r="H12" s="32">
        <v>10</v>
      </c>
      <c r="I12" s="44" t="s">
        <v>766</v>
      </c>
    </row>
    <row r="13" spans="1:9" x14ac:dyDescent="0.2">
      <c r="A13" s="36" t="s">
        <v>125</v>
      </c>
      <c r="B13" s="32" t="s">
        <v>545</v>
      </c>
      <c r="C13" s="33" t="s">
        <v>586</v>
      </c>
      <c r="D13" s="42" t="s">
        <v>587</v>
      </c>
      <c r="E13" s="42"/>
      <c r="F13" s="34" t="s">
        <v>767</v>
      </c>
      <c r="G13" s="34" t="s">
        <v>768</v>
      </c>
      <c r="H13" s="32">
        <v>4</v>
      </c>
      <c r="I13" s="44" t="s">
        <v>769</v>
      </c>
    </row>
    <row r="14" spans="1:9" ht="26" x14ac:dyDescent="0.2">
      <c r="A14" s="38" t="s">
        <v>138</v>
      </c>
      <c r="B14" s="32" t="s">
        <v>597</v>
      </c>
      <c r="C14" s="33" t="s">
        <v>598</v>
      </c>
      <c r="D14" s="42" t="s">
        <v>599</v>
      </c>
      <c r="E14" s="42"/>
      <c r="F14" s="34" t="s">
        <v>770</v>
      </c>
      <c r="G14" s="34" t="s">
        <v>771</v>
      </c>
      <c r="H14" s="32">
        <v>6</v>
      </c>
      <c r="I14" s="44" t="s">
        <v>772</v>
      </c>
    </row>
    <row r="15" spans="1:9" x14ac:dyDescent="0.2">
      <c r="A15" s="38" t="s">
        <v>138</v>
      </c>
      <c r="B15" s="32" t="s">
        <v>597</v>
      </c>
      <c r="C15" s="33" t="s">
        <v>609</v>
      </c>
      <c r="D15" s="42" t="s">
        <v>610</v>
      </c>
      <c r="E15" s="42"/>
      <c r="F15" s="34" t="s">
        <v>773</v>
      </c>
      <c r="G15" s="34" t="s">
        <v>774</v>
      </c>
      <c r="H15" s="32">
        <v>2</v>
      </c>
      <c r="I15" s="44" t="s">
        <v>775</v>
      </c>
    </row>
    <row r="16" spans="1:9" x14ac:dyDescent="0.2">
      <c r="A16" s="38" t="s">
        <v>138</v>
      </c>
      <c r="B16" s="32" t="s">
        <v>597</v>
      </c>
      <c r="C16" s="33" t="s">
        <v>615</v>
      </c>
      <c r="D16" s="42" t="s">
        <v>616</v>
      </c>
      <c r="E16" s="42"/>
      <c r="F16" s="34" t="s">
        <v>776</v>
      </c>
      <c r="G16" s="34" t="s">
        <v>777</v>
      </c>
      <c r="H16" s="32">
        <v>4</v>
      </c>
      <c r="I16" s="44" t="s">
        <v>778</v>
      </c>
    </row>
    <row r="17" spans="1:9" ht="26" x14ac:dyDescent="0.2">
      <c r="A17" s="38" t="s">
        <v>138</v>
      </c>
      <c r="B17" s="32" t="s">
        <v>597</v>
      </c>
      <c r="C17" s="33" t="s">
        <v>623</v>
      </c>
      <c r="D17" s="42" t="s">
        <v>624</v>
      </c>
      <c r="E17" s="42"/>
      <c r="F17" s="34" t="s">
        <v>779</v>
      </c>
      <c r="G17" s="34" t="s">
        <v>780</v>
      </c>
      <c r="H17" s="32">
        <v>6</v>
      </c>
      <c r="I17" s="44" t="s">
        <v>781</v>
      </c>
    </row>
    <row r="18" spans="1:9" x14ac:dyDescent="0.2">
      <c r="A18" s="38" t="s">
        <v>138</v>
      </c>
      <c r="B18" s="32" t="s">
        <v>597</v>
      </c>
      <c r="C18" s="33" t="s">
        <v>634</v>
      </c>
      <c r="D18" s="42" t="s">
        <v>635</v>
      </c>
      <c r="E18" s="42"/>
      <c r="F18" s="34" t="s">
        <v>782</v>
      </c>
      <c r="G18" s="34" t="s">
        <v>783</v>
      </c>
      <c r="H18" s="32">
        <v>4</v>
      </c>
      <c r="I18" s="44" t="s">
        <v>769</v>
      </c>
    </row>
    <row r="19" spans="1:9" x14ac:dyDescent="0.2">
      <c r="A19" s="39" t="s">
        <v>128</v>
      </c>
      <c r="B19" s="32" t="s">
        <v>645</v>
      </c>
      <c r="C19" s="33" t="s">
        <v>646</v>
      </c>
      <c r="D19" s="42" t="s">
        <v>647</v>
      </c>
      <c r="E19" s="42"/>
      <c r="F19" s="34" t="s">
        <v>784</v>
      </c>
      <c r="G19" s="34" t="s">
        <v>785</v>
      </c>
      <c r="H19" s="32">
        <v>5</v>
      </c>
      <c r="I19" s="44" t="s">
        <v>786</v>
      </c>
    </row>
    <row r="20" spans="1:9" x14ac:dyDescent="0.2">
      <c r="A20" s="39" t="s">
        <v>128</v>
      </c>
      <c r="B20" s="32" t="s">
        <v>645</v>
      </c>
      <c r="C20" s="33" t="s">
        <v>659</v>
      </c>
      <c r="D20" s="42" t="s">
        <v>660</v>
      </c>
      <c r="E20" s="42"/>
      <c r="F20" s="34" t="s">
        <v>787</v>
      </c>
      <c r="G20" s="34" t="s">
        <v>788</v>
      </c>
      <c r="H20" s="32">
        <v>6</v>
      </c>
      <c r="I20" s="44" t="s">
        <v>789</v>
      </c>
    </row>
    <row r="21" spans="1:9" x14ac:dyDescent="0.2">
      <c r="A21" s="40" t="s">
        <v>134</v>
      </c>
      <c r="B21" s="32" t="s">
        <v>675</v>
      </c>
      <c r="C21" s="33" t="s">
        <v>676</v>
      </c>
      <c r="D21" s="42" t="s">
        <v>677</v>
      </c>
      <c r="E21" s="42"/>
      <c r="F21" s="34" t="s">
        <v>790</v>
      </c>
      <c r="G21" s="34" t="s">
        <v>791</v>
      </c>
      <c r="H21" s="32">
        <v>5</v>
      </c>
      <c r="I21" s="44" t="s">
        <v>792</v>
      </c>
    </row>
    <row r="22" spans="1:9" x14ac:dyDescent="0.2">
      <c r="A22" s="40" t="s">
        <v>134</v>
      </c>
      <c r="B22" s="32" t="s">
        <v>675</v>
      </c>
      <c r="C22" s="33" t="s">
        <v>689</v>
      </c>
      <c r="D22" s="42" t="s">
        <v>690</v>
      </c>
      <c r="E22" s="42"/>
      <c r="F22" s="34" t="s">
        <v>793</v>
      </c>
      <c r="G22" s="34" t="s">
        <v>794</v>
      </c>
      <c r="H22" s="32">
        <v>4</v>
      </c>
      <c r="I22" s="44" t="s">
        <v>795</v>
      </c>
    </row>
    <row r="23" spans="1:9" x14ac:dyDescent="0.2">
      <c r="A23" s="40" t="s">
        <v>134</v>
      </c>
      <c r="B23" s="32" t="s">
        <v>675</v>
      </c>
      <c r="C23" s="33" t="s">
        <v>702</v>
      </c>
      <c r="D23" s="42" t="s">
        <v>703</v>
      </c>
      <c r="E23" s="42"/>
      <c r="F23" s="34" t="s">
        <v>796</v>
      </c>
      <c r="G23" s="34" t="s">
        <v>797</v>
      </c>
      <c r="H23" s="32">
        <v>2</v>
      </c>
      <c r="I23" s="44" t="s">
        <v>798</v>
      </c>
    </row>
    <row r="24" spans="1:9" x14ac:dyDescent="0.2">
      <c r="A24" s="40" t="s">
        <v>134</v>
      </c>
      <c r="B24" s="32" t="s">
        <v>675</v>
      </c>
      <c r="C24" s="33" t="s">
        <v>709</v>
      </c>
      <c r="D24" s="42" t="s">
        <v>710</v>
      </c>
      <c r="E24" s="42"/>
      <c r="F24" s="34" t="s">
        <v>799</v>
      </c>
      <c r="G24" s="34" t="s">
        <v>800</v>
      </c>
      <c r="H24" s="32">
        <v>2</v>
      </c>
      <c r="I24" s="44" t="s">
        <v>798</v>
      </c>
    </row>
    <row r="25" spans="1:9" x14ac:dyDescent="0.2">
      <c r="A25" s="41" t="s">
        <v>715</v>
      </c>
      <c r="B25" s="32" t="s">
        <v>716</v>
      </c>
      <c r="C25" s="33" t="s">
        <v>717</v>
      </c>
      <c r="D25" s="42" t="s">
        <v>718</v>
      </c>
      <c r="E25" s="42"/>
      <c r="F25" s="34" t="s">
        <v>801</v>
      </c>
      <c r="G25" s="34" t="s">
        <v>802</v>
      </c>
      <c r="H25" s="32">
        <v>6</v>
      </c>
      <c r="I25" s="43"/>
    </row>
    <row r="26" spans="1:9" x14ac:dyDescent="0.2">
      <c r="A26" s="41" t="s">
        <v>715</v>
      </c>
      <c r="B26" s="32" t="s">
        <v>716</v>
      </c>
      <c r="C26" s="33" t="s">
        <v>737</v>
      </c>
      <c r="D26" s="42" t="s">
        <v>738</v>
      </c>
      <c r="E26" s="42"/>
      <c r="F26" s="34" t="s">
        <v>803</v>
      </c>
      <c r="G26" s="34" t="s">
        <v>804</v>
      </c>
      <c r="H26" s="32">
        <v>2</v>
      </c>
      <c r="I26" s="4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EEA2-E74E-254F-BA0B-9BCAF2362209}">
  <dimension ref="A1:G10"/>
  <sheetViews>
    <sheetView workbookViewId="0">
      <selection activeCell="A5" sqref="A5"/>
    </sheetView>
  </sheetViews>
  <sheetFormatPr baseColWidth="10" defaultColWidth="8.83203125" defaultRowHeight="15" x14ac:dyDescent="0.2"/>
  <cols>
    <col min="1" max="1" width="10" customWidth="1"/>
    <col min="2" max="2" width="18" customWidth="1"/>
    <col min="3" max="3" width="92" customWidth="1"/>
    <col min="4" max="4" width="104" customWidth="1"/>
    <col min="5" max="5" width="14" customWidth="1"/>
    <col min="6" max="6" width="15" customWidth="1"/>
    <col min="7" max="7" width="18" customWidth="1"/>
  </cols>
  <sheetData>
    <row r="1" spans="1:7" ht="19" x14ac:dyDescent="0.25">
      <c r="A1" s="28" t="s">
        <v>805</v>
      </c>
    </row>
    <row r="2" spans="1:7" x14ac:dyDescent="0.2">
      <c r="A2" s="29" t="s">
        <v>806</v>
      </c>
    </row>
    <row r="4" spans="1:7" ht="28" customHeight="1" x14ac:dyDescent="0.2">
      <c r="A4" s="30" t="s">
        <v>807</v>
      </c>
      <c r="B4" s="30" t="s">
        <v>123</v>
      </c>
      <c r="C4" s="30" t="s">
        <v>435</v>
      </c>
      <c r="D4" s="30" t="s">
        <v>436</v>
      </c>
      <c r="E4" s="30" t="s">
        <v>808</v>
      </c>
      <c r="F4" s="30" t="s">
        <v>748</v>
      </c>
      <c r="G4" s="30" t="s">
        <v>437</v>
      </c>
    </row>
    <row r="5" spans="1:7" x14ac:dyDescent="0.2">
      <c r="A5" s="45" t="s">
        <v>439</v>
      </c>
      <c r="B5" s="46" t="s">
        <v>438</v>
      </c>
      <c r="C5" s="34" t="s">
        <v>809</v>
      </c>
      <c r="D5" s="34" t="s">
        <v>810</v>
      </c>
      <c r="E5" s="32">
        <v>6</v>
      </c>
      <c r="F5" s="32">
        <v>31</v>
      </c>
      <c r="G5" s="47" t="s">
        <v>811</v>
      </c>
    </row>
    <row r="6" spans="1:7" x14ac:dyDescent="0.2">
      <c r="A6" s="48" t="s">
        <v>545</v>
      </c>
      <c r="B6" s="46" t="s">
        <v>125</v>
      </c>
      <c r="C6" s="34" t="s">
        <v>812</v>
      </c>
      <c r="D6" s="34" t="s">
        <v>813</v>
      </c>
      <c r="E6" s="32">
        <v>3</v>
      </c>
      <c r="F6" s="32">
        <v>21</v>
      </c>
      <c r="G6" s="37" t="s">
        <v>814</v>
      </c>
    </row>
    <row r="7" spans="1:7" x14ac:dyDescent="0.2">
      <c r="A7" s="49" t="s">
        <v>597</v>
      </c>
      <c r="B7" s="46" t="s">
        <v>138</v>
      </c>
      <c r="C7" s="34" t="s">
        <v>815</v>
      </c>
      <c r="D7" s="34" t="s">
        <v>816</v>
      </c>
      <c r="E7" s="32">
        <v>5</v>
      </c>
      <c r="F7" s="32">
        <v>22</v>
      </c>
      <c r="G7" s="37" t="s">
        <v>817</v>
      </c>
    </row>
    <row r="8" spans="1:7" x14ac:dyDescent="0.2">
      <c r="A8" s="50" t="s">
        <v>645</v>
      </c>
      <c r="B8" s="46" t="s">
        <v>128</v>
      </c>
      <c r="C8" s="34" t="s">
        <v>818</v>
      </c>
      <c r="D8" s="34" t="s">
        <v>819</v>
      </c>
      <c r="E8" s="32">
        <v>2</v>
      </c>
      <c r="F8" s="32">
        <v>11</v>
      </c>
      <c r="G8" s="37" t="s">
        <v>820</v>
      </c>
    </row>
    <row r="9" spans="1:7" x14ac:dyDescent="0.2">
      <c r="A9" s="51" t="s">
        <v>675</v>
      </c>
      <c r="B9" s="46" t="s">
        <v>134</v>
      </c>
      <c r="C9" s="34" t="s">
        <v>821</v>
      </c>
      <c r="D9" s="34" t="s">
        <v>822</v>
      </c>
      <c r="E9" s="32">
        <v>4</v>
      </c>
      <c r="F9" s="32">
        <v>13</v>
      </c>
      <c r="G9" s="37" t="s">
        <v>823</v>
      </c>
    </row>
    <row r="10" spans="1:7" x14ac:dyDescent="0.2">
      <c r="A10" s="52" t="s">
        <v>716</v>
      </c>
      <c r="B10" s="46" t="s">
        <v>715</v>
      </c>
      <c r="C10" s="34" t="s">
        <v>824</v>
      </c>
      <c r="D10" s="34" t="s">
        <v>825</v>
      </c>
      <c r="E10" s="32">
        <v>2</v>
      </c>
      <c r="F10" s="32">
        <v>8</v>
      </c>
      <c r="G10" s="47" t="s">
        <v>811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20CB88C20BD454483DE086C26EB0343" ma:contentTypeVersion="14" ma:contentTypeDescription="Crear nuevo documento." ma:contentTypeScope="" ma:versionID="2e5dc4bb7a7776eacfef0d7623b447f0">
  <xsd:schema xmlns:xsd="http://www.w3.org/2001/XMLSchema" xmlns:xs="http://www.w3.org/2001/XMLSchema" xmlns:p="http://schemas.microsoft.com/office/2006/metadata/properties" xmlns:ns2="1b508a9c-d516-4716-bcbc-29364a006713" xmlns:ns3="7439c276-a7cc-47ae-bced-9e9d37ae24d3" targetNamespace="http://schemas.microsoft.com/office/2006/metadata/properties" ma:root="true" ma:fieldsID="4d715315ace1efbc6f1d36fea58c8218" ns2:_="" ns3:_="">
    <xsd:import namespace="1b508a9c-d516-4716-bcbc-29364a006713"/>
    <xsd:import namespace="7439c276-a7cc-47ae-bced-9e9d37ae24d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508a9c-d516-4716-bcbc-29364a00671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e56a3575-f0cf-4487-8a7d-698d4c7a2ddf}" ma:internalName="TaxCatchAll" ma:showField="CatchAllData" ma:web="1b508a9c-d516-4716-bcbc-29364a0067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439c276-a7cc-47ae-bced-9e9d37ae24d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39c276-a7cc-47ae-bced-9e9d37ae24d3">
      <Terms xmlns="http://schemas.microsoft.com/office/infopath/2007/PartnerControls"/>
    </lcf76f155ced4ddcb4097134ff3c332f>
    <TaxCatchAll xmlns="1b508a9c-d516-4716-bcbc-29364a006713" xsi:nil="true"/>
    <SharedWithUsers xmlns="1b508a9c-d516-4716-bcbc-29364a006713">
      <UserInfo>
        <DisplayName/>
        <AccountId xsi:nil="true"/>
        <AccountType/>
      </UserInfo>
    </SharedWithUsers>
  </documentManagement>
</p:properties>
</file>

<file path=customXml/itemProps1.xml><?xml version="1.0" encoding="utf-8"?>
<ds:datastoreItem xmlns:ds="http://schemas.openxmlformats.org/officeDocument/2006/customXml" ds:itemID="{1EDF97E6-4A4D-499E-BFCD-000A79C47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508a9c-d516-4716-bcbc-29364a006713"/>
    <ds:schemaRef ds:uri="7439c276-a7cc-47ae-bced-9e9d37ae24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17C95C-04B1-4266-A4EA-1EBE376A9A9E}">
  <ds:schemaRefs>
    <ds:schemaRef ds:uri="http://schemas.microsoft.com/sharepoint/v3/contenttype/forms"/>
  </ds:schemaRefs>
</ds:datastoreItem>
</file>

<file path=customXml/itemProps3.xml><?xml version="1.0" encoding="utf-8"?>
<ds:datastoreItem xmlns:ds="http://schemas.openxmlformats.org/officeDocument/2006/customXml" ds:itemID="{974719B0-BCD8-45C7-9B17-263C42CB6BAD}">
  <ds:schemaRefs>
    <ds:schemaRef ds:uri="http://www.w3.org/XML/1998/namespace"/>
    <ds:schemaRef ds:uri="http://schemas.microsoft.com/office/2006/documentManagement/types"/>
    <ds:schemaRef ds:uri="http://purl.org/dc/elements/1.1/"/>
    <ds:schemaRef ds:uri="http://purl.org/dc/terms/"/>
    <ds:schemaRef ds:uri="7439c276-a7cc-47ae-bced-9e9d37ae24d3"/>
    <ds:schemaRef ds:uri="http://schemas.microsoft.com/office/2006/metadata/properties"/>
    <ds:schemaRef ds:uri="http://purl.org/dc/dcmitype/"/>
    <ds:schemaRef ds:uri="http://schemas.microsoft.com/office/infopath/2007/PartnerControls"/>
    <ds:schemaRef ds:uri="http://schemas.openxmlformats.org/package/2006/metadata/core-properties"/>
    <ds:schemaRef ds:uri="1b508a9c-d516-4716-bcbc-29364a006713"/>
  </ds:schemaRefs>
</ds:datastoreItem>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Capacidades CIBER</vt:lpstr>
      <vt:lpstr>Subcategorias NIST</vt:lpstr>
      <vt:lpstr>TD _ Función</vt:lpstr>
      <vt:lpstr>1_Subcategorias</vt:lpstr>
      <vt:lpstr>2_Categorias</vt:lpstr>
      <vt:lpstr>3_Funciones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FALCONI NORIEGA MARCO FABRICIO</cp:lastModifiedBy>
  <cp:revision/>
  <dcterms:created xsi:type="dcterms:W3CDTF">2026-09-02T20:15:19Z</dcterms:created>
  <dcterms:modified xsi:type="dcterms:W3CDTF">2026-09-07T16:37:06Z</dcterms:modified>
  <cp:category/>
  <cp:contentStatus/>
</cp:coreProperties>
</file>

<file path=docProps/custom.xml><?xml version="1.0" encoding="utf-8"?>
<op:Properties xmlns:op="http://schemas.openxmlformats.org/officeDocument/2006/custom-properties">
  <op:property fmtid="{D5CDD505-2E9C-101B-9397-08002B2CF9AE}" pid="2" name="ContentTypeId">
    <vt:lpwstr xmlns:vt="http://schemas.openxmlformats.org/officeDocument/2006/docPropsVTypes">0x010100420CB88C20BD454483DE086C26EB0343</vt:lpwstr>
  </op:property>
  <op:property fmtid="{D5CDD505-2E9C-101B-9397-08002B2CF9AE}" pid="3" name="_SourceUrl">
    <vt:lpwstr xmlns:vt="http://schemas.openxmlformats.org/officeDocument/2006/docPropsVTypes"/>
  </op:property>
  <op:property fmtid="{D5CDD505-2E9C-101B-9397-08002B2CF9AE}" pid="4" name="_SharedFileIndex">
    <vt:lpwstr xmlns:vt="http://schemas.openxmlformats.org/officeDocument/2006/docPropsVTypes"/>
  </op:property>
  <op:property fmtid="{D5CDD505-2E9C-101B-9397-08002B2CF9AE}" pid="5" name="ComplianceAssetId">
    <vt:lpwstr xmlns:vt="http://schemas.openxmlformats.org/officeDocument/2006/docPropsVTypes"/>
  </op:property>
  <op:property fmtid="{D5CDD505-2E9C-101B-9397-08002B2CF9AE}" pid="6" name="_ExtendedDescription">
    <vt:lpwstr xmlns:vt="http://schemas.openxmlformats.org/officeDocument/2006/docPropsVTypes"/>
  </op:property>
  <op:property fmtid="{D5CDD505-2E9C-101B-9397-08002B2CF9AE}" pid="7" name="TriggerFlowInfo">
    <vt:lpwstr xmlns:vt="http://schemas.openxmlformats.org/officeDocument/2006/docPropsVTypes"/>
  </op:property>
  <op:property fmtid="{D5CDD505-2E9C-101B-9397-08002B2CF9AE}" pid="8" name="MediaServiceImageTags">
    <vt:lpwstr xmlns:vt="http://schemas.openxmlformats.org/officeDocument/2006/docPropsVTypes"/>
  </op:property>
  <op:property fmtid="{D5CDD505-2E9C-101B-9397-08002B2CF9AE}" pid="9" name="KriptosClassAi">
    <vt:lpwstr xmlns:vt="http://schemas.openxmlformats.org/officeDocument/2006/docPropsVTypes">0-Publico</vt:lpwstr>
  </op:property>
</op:Properties>
</file>