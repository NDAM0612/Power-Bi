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cdb04d81a4c4b3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13_ncr:1_{31AD1F45-E35E-401F-A8CC-5385E579698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Resum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C21" i="2"/>
  <c r="B21" i="2"/>
  <c r="C7" i="2"/>
  <c r="C8" i="2"/>
  <c r="D16" i="2"/>
  <c r="B16" i="2"/>
  <c r="D12" i="2"/>
  <c r="B12" i="2"/>
  <c r="D8" i="2"/>
  <c r="B8" i="2"/>
  <c r="D5" i="2"/>
  <c r="D4" i="2"/>
  <c r="D3" i="2"/>
  <c r="B5" i="2"/>
  <c r="B6" i="2" s="1"/>
  <c r="B4" i="2"/>
  <c r="B3" i="2"/>
  <c r="C16" i="2" l="1"/>
  <c r="C12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ARELLANO MENA NAYELI</author>
  </authors>
  <commentList>
    <comment ref="C3" authorId="0" shapeId="0" xr:uid="{6F68AA14-F428-46BC-81C1-2DB852E686C8}">
      <text>
        <r>
          <rPr>
            <b/>
            <sz val="9"/>
            <color indexed="81"/>
            <rFont val="Tahoma"/>
            <family val="2"/>
          </rPr>
          <t>ARELLANO MENA NAYELI:</t>
        </r>
        <r>
          <rPr>
            <sz val="9"/>
            <color indexed="81"/>
            <rFont val="Tahoma"/>
            <family val="2"/>
          </rPr>
          <t xml:space="preserve">
+4% CONTRIBUCIONES</t>
        </r>
      </text>
    </comment>
    <comment ref="D7" authorId="0" shapeId="0" xr:uid="{EC14D9BA-2FB9-482D-B314-9CF2C9BF330A}">
      <text>
        <r>
          <rPr>
            <b/>
            <sz val="9"/>
            <color indexed="81"/>
            <rFont val="Tahoma"/>
            <family val="2"/>
          </rPr>
          <t>ARELLANO MENA NAYELI:</t>
        </r>
        <r>
          <rPr>
            <sz val="9"/>
            <color indexed="81"/>
            <rFont val="Tahoma"/>
            <family val="2"/>
          </rPr>
          <t xml:space="preserve">
Incluidas</t>
        </r>
      </text>
    </comment>
  </commentList>
</comments>
</file>

<file path=xl/sharedStrings.xml><?xml version="1.0" encoding="utf-8"?>
<sst xmlns="http://schemas.openxmlformats.org/spreadsheetml/2006/main" count="40" uniqueCount="30">
  <si>
    <t>T</t>
  </si>
  <si>
    <t>T+1</t>
  </si>
  <si>
    <t>T+F</t>
  </si>
  <si>
    <t>ASEGURADORAS</t>
  </si>
  <si>
    <t>CONDOR</t>
  </si>
  <si>
    <t>PICHINCHA</t>
  </si>
  <si>
    <t>PACIFICO ANDRES</t>
  </si>
  <si>
    <t>CONTRIBUCIONES LEY</t>
  </si>
  <si>
    <t>VALOR BASE</t>
  </si>
  <si>
    <t>VALOR TOTAL ANUAL</t>
  </si>
  <si>
    <t>VALOR TOTAL ANUAL VS PRESUPUESTO</t>
  </si>
  <si>
    <t>PRESUPUESTO</t>
  </si>
  <si>
    <t>COMPARATIVO 2026 VS OFERTA</t>
  </si>
  <si>
    <t>VALOR 2026</t>
  </si>
  <si>
    <t>DENTRO DEL PRESUPUESTO</t>
  </si>
  <si>
    <t>EVALUACION</t>
  </si>
  <si>
    <t>MATERNIDAD</t>
  </si>
  <si>
    <t>DESDE EL PRIMER DIA HASTA 3.000 USD</t>
  </si>
  <si>
    <t>CUBRE A PARTIR DE 01/10/2027 VALOR DE 4.000 USD</t>
  </si>
  <si>
    <t>SIN CARENCIA, HASTA 2.500 USD</t>
  </si>
  <si>
    <t>DEDUCIBLE</t>
  </si>
  <si>
    <t>50 POR EVENTO</t>
  </si>
  <si>
    <t>100 POR PERSONA/AÑO</t>
  </si>
  <si>
    <t>75 POR EVENTO</t>
  </si>
  <si>
    <t>MEDICAMENTOS CRÓNICOS</t>
  </si>
  <si>
    <t>80%(COPAGO 20%)</t>
  </si>
  <si>
    <t>DENTAL</t>
  </si>
  <si>
    <t>NO</t>
  </si>
  <si>
    <t>BASICO</t>
  </si>
  <si>
    <t>INFORMACION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</si>
</sst>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$-300A]#,##0.00"/>
    <numFmt numFmtId="167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6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/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7" fontId="0" fillId="0" borderId="1" xfId="1" applyNumberFormat="1" applyFont="1" applyBorder="1"/>
  </cellXfs>
  <cellStyles count="2">
    <cellStyle name="Normal" xfId="0" builtinId="0"/>
    <cellStyle name="Porcentaj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2CCD-83AE-40E5-891C-074F95AC3416}">
  <dimension ref="A1:D25"/>
  <sheetViews>
    <sheetView tabSelected="1" topLeftCell="A14" workbookViewId="0">
      <selection activeCell="A19" sqref="A19:D19"/>
    </sheetView>
  </sheetViews>
  <sheetFormatPr baseColWidth="10" defaultRowHeight="14.5" x14ac:dyDescent="0.35"/>
  <cols>
    <col min="1" max="4" width="18.6328125" customWidth="1"/>
  </cols>
  <sheetData>
    <row r="1" spans="1:4" x14ac:dyDescent="0.35">
      <c r="A1" s="2" t="s">
        <v>3</v>
      </c>
      <c r="B1" s="2"/>
      <c r="C1" s="2"/>
      <c r="D1" s="2"/>
    </row>
    <row r="2" spans="1:4" x14ac:dyDescent="0.35">
      <c r="A2" s="3"/>
      <c r="B2" s="3" t="s">
        <v>4</v>
      </c>
      <c r="C2" s="3" t="s">
        <v>5</v>
      </c>
      <c r="D2" s="3" t="s">
        <v>6</v>
      </c>
    </row>
    <row r="3" spans="1:4" x14ac:dyDescent="0.35">
      <c r="A3" s="10" t="s">
        <v>0</v>
      </c>
      <c r="B3" s="11">
        <f>58*40</f>
        <v>2320</v>
      </c>
      <c r="C3" s="12">
        <v>96500</v>
      </c>
      <c r="D3" s="11">
        <f>52*40</f>
        <v>2080</v>
      </c>
    </row>
    <row r="4" spans="1:4" x14ac:dyDescent="0.35">
      <c r="A4" s="10" t="s">
        <v>1</v>
      </c>
      <c r="B4" s="11">
        <f>112*25</f>
        <v>2800</v>
      </c>
      <c r="C4" s="12"/>
      <c r="D4" s="11">
        <f>104*25</f>
        <v>2600</v>
      </c>
    </row>
    <row r="5" spans="1:4" x14ac:dyDescent="0.35">
      <c r="A5" s="10" t="s">
        <v>2</v>
      </c>
      <c r="B5" s="11">
        <f>165*20</f>
        <v>3300</v>
      </c>
      <c r="C5" s="12"/>
      <c r="D5" s="11">
        <f>158*20</f>
        <v>3160</v>
      </c>
    </row>
    <row r="6" spans="1:4" x14ac:dyDescent="0.35">
      <c r="A6" s="3" t="s">
        <v>8</v>
      </c>
      <c r="B6" s="11">
        <f>SUM(B3:B5)*12</f>
        <v>101040</v>
      </c>
      <c r="C6" s="13">
        <v>96500</v>
      </c>
      <c r="D6" s="11">
        <f>SUM(D3:D5)*12</f>
        <v>94080</v>
      </c>
    </row>
    <row r="7" spans="1:4" x14ac:dyDescent="0.35">
      <c r="A7" s="3" t="s">
        <v>7</v>
      </c>
      <c r="B7" s="3">
        <v>0</v>
      </c>
      <c r="C7" s="13">
        <f>C6*0.04</f>
        <v>3860</v>
      </c>
      <c r="D7" s="3">
        <v>0</v>
      </c>
    </row>
    <row r="8" spans="1:4" x14ac:dyDescent="0.35">
      <c r="A8" s="3" t="s">
        <v>9</v>
      </c>
      <c r="B8" s="11">
        <f>SUM(B6:B7)</f>
        <v>101040</v>
      </c>
      <c r="C8" s="13">
        <f>SUM(C6:C7)</f>
        <v>100360</v>
      </c>
      <c r="D8" s="11">
        <f>SUM(D6:D7)</f>
        <v>94080</v>
      </c>
    </row>
    <row r="10" spans="1:4" x14ac:dyDescent="0.35">
      <c r="A10" s="2" t="s">
        <v>10</v>
      </c>
      <c r="B10" s="2"/>
      <c r="C10" s="2"/>
      <c r="D10" s="2"/>
    </row>
    <row r="11" spans="1:4" x14ac:dyDescent="0.35">
      <c r="A11" s="3" t="s">
        <v>11</v>
      </c>
      <c r="B11" s="3" t="s">
        <v>4</v>
      </c>
      <c r="C11" s="3" t="s">
        <v>5</v>
      </c>
      <c r="D11" s="3" t="s">
        <v>6</v>
      </c>
    </row>
    <row r="12" spans="1:4" x14ac:dyDescent="0.35">
      <c r="A12" s="11">
        <v>98000</v>
      </c>
      <c r="B12" s="11">
        <f>$A$12-B8</f>
        <v>-3040</v>
      </c>
      <c r="C12" s="11">
        <f>$A$12-C8</f>
        <v>-2360</v>
      </c>
      <c r="D12" s="11">
        <f>$A$12-D8</f>
        <v>3920</v>
      </c>
    </row>
    <row r="14" spans="1:4" x14ac:dyDescent="0.35">
      <c r="A14" s="2" t="s">
        <v>12</v>
      </c>
      <c r="B14" s="2"/>
      <c r="C14" s="2"/>
      <c r="D14" s="2"/>
    </row>
    <row r="15" spans="1:4" x14ac:dyDescent="0.35">
      <c r="A15" s="3" t="s">
        <v>13</v>
      </c>
      <c r="B15" s="3" t="s">
        <v>4</v>
      </c>
      <c r="C15" s="3" t="s">
        <v>5</v>
      </c>
      <c r="D15" s="3" t="s">
        <v>6</v>
      </c>
    </row>
    <row r="16" spans="1:4" x14ac:dyDescent="0.35">
      <c r="A16" s="11">
        <v>88000</v>
      </c>
      <c r="B16" s="14">
        <f>(B8-$A$16)/$A$16</f>
        <v>0.14818181818181819</v>
      </c>
      <c r="C16" s="14">
        <f>(C8-$A$16)/$A$16</f>
        <v>0.14045454545454544</v>
      </c>
      <c r="D16" s="14">
        <f>(D8-$A$16)/$A$16</f>
        <v>6.9090909090909092E-2</v>
      </c>
    </row>
    <row r="18" spans="1:4" x14ac:dyDescent="0.35">
      <c r="C18" s="1"/>
    </row>
    <row r="19" spans="1:4" x14ac:dyDescent="0.35">
      <c r="A19" s="2" t="s">
        <v>29</v>
      </c>
      <c r="B19" s="2"/>
      <c r="C19" s="2"/>
      <c r="D19" s="2"/>
    </row>
    <row r="20" spans="1:4" x14ac:dyDescent="0.35">
      <c r="A20" s="3" t="s">
        <v>15</v>
      </c>
      <c r="B20" s="3" t="s">
        <v>4</v>
      </c>
      <c r="C20" s="3" t="s">
        <v>5</v>
      </c>
      <c r="D20" s="3" t="s">
        <v>6</v>
      </c>
    </row>
    <row r="21" spans="1:4" ht="29" x14ac:dyDescent="0.35">
      <c r="A21" s="4" t="s">
        <v>14</v>
      </c>
      <c r="B21" s="5" t="str">
        <f>IF(B12&lt;0,"NO","SI")</f>
        <v>NO</v>
      </c>
      <c r="C21" s="5" t="str">
        <f>IF(C12&lt;0,"NO","SI")</f>
        <v>NO</v>
      </c>
      <c r="D21" s="5" t="str">
        <f>IF(D12&lt;0,"NO","SI")</f>
        <v>SI</v>
      </c>
    </row>
    <row r="22" spans="1:4" ht="43.5" x14ac:dyDescent="0.35">
      <c r="A22" s="6" t="s">
        <v>16</v>
      </c>
      <c r="B22" s="7" t="s">
        <v>17</v>
      </c>
      <c r="C22" s="7" t="s">
        <v>18</v>
      </c>
      <c r="D22" s="7" t="s">
        <v>19</v>
      </c>
    </row>
    <row r="23" spans="1:4" ht="29" x14ac:dyDescent="0.35">
      <c r="A23" s="6" t="s">
        <v>20</v>
      </c>
      <c r="B23" s="7" t="s">
        <v>21</v>
      </c>
      <c r="C23" s="7" t="s">
        <v>22</v>
      </c>
      <c r="D23" s="7" t="s">
        <v>23</v>
      </c>
    </row>
    <row r="24" spans="1:4" ht="29" x14ac:dyDescent="0.35">
      <c r="A24" s="8" t="s">
        <v>24</v>
      </c>
      <c r="B24" s="9">
        <v>0.8</v>
      </c>
      <c r="C24" s="9">
        <v>0.7</v>
      </c>
      <c r="D24" s="5" t="s">
        <v>25</v>
      </c>
    </row>
    <row r="25" spans="1:4" x14ac:dyDescent="0.35">
      <c r="A25" s="3" t="s">
        <v>26</v>
      </c>
      <c r="B25" s="3" t="s">
        <v>27</v>
      </c>
      <c r="C25" s="3" t="s">
        <v>28</v>
      </c>
      <c r="D25" s="3" t="s">
        <v>27</v>
      </c>
    </row>
  </sheetData>
  <mergeCells count="5">
    <mergeCell ref="A19:D19"/>
    <mergeCell ref="A1:D1"/>
    <mergeCell ref="C3:C5"/>
    <mergeCell ref="A10:D10"/>
    <mergeCell ref="A14:D14"/>
  </mergeCells>
  <conditionalFormatting sqref="B12:D12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EXTERNO ARELLANO MENA NAYELI</cp:lastModifiedBy>
  <dcterms:created xsi:type="dcterms:W3CDTF">2026-10-19T18:01:11Z</dcterms:created>
  <dcterms:modified xsi:type="dcterms:W3CDTF">2026-10-22T21:06:45Z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