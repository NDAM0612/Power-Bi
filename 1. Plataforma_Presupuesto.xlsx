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pichincha.sharepoint.com/sites/BPOperacionesCiberseguridad/Documentos compartidos/Plataformas CS/21. Sistema Gestion Gerencial/Portafolio de Plataformas de Ciberseguridad 2026/AGOSTO/"/>
    </mc:Choice>
  </mc:AlternateContent>
  <xr:revisionPtr revIDLastSave="230" documentId="8_{D5BDAA67-E7E0-47CB-AA12-E197204A7B25}" xr6:coauthVersionLast="47" xr6:coauthVersionMax="47" xr10:uidLastSave="{D74BD134-DB8E-43AF-AEAF-E72BB83D5405}"/>
  <bookViews>
    <workbookView xWindow="28680" yWindow="-120" windowWidth="29040" windowHeight="15720" xr2:uid="{7246F0FD-FAA4-4E7F-B12C-A6C7B07016E7}"/>
  </bookViews>
  <sheets>
    <sheet name="Plataforma_Presupuesto_AGOSTO" sheetId="1" r:id="rId1"/>
    <sheet name="Plataforma_Presupuesto_Comen" sheetId="2" r:id="rId2"/>
  </sheets>
  <externalReferences>
    <externalReference r:id="rId3"/>
  </externalReferences>
  <definedNames>
    <definedName name="_xlnm._FilterDatabase" localSheetId="1" hidden="1">Plataforma_Presupuesto_Comen!$A$1:$BH$66</definedName>
    <definedName name="_xlnm._FilterDatabase" localSheetId="0" hidden="1">Plataforma_Presupuesto_AGOSTO!$A$1:$AK$66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5" i="1" l="1"/>
  <c r="C65" i="1"/>
  <c r="AZ64" i="2"/>
  <c r="BD64" i="2" s="1"/>
  <c r="I64" i="2"/>
  <c r="H64" i="2"/>
  <c r="L64" i="2" s="1"/>
  <c r="E64" i="2"/>
  <c r="AR63" i="2"/>
  <c r="AV63" i="2" s="1"/>
  <c r="I63" i="2"/>
  <c r="H63" i="2"/>
  <c r="L63" i="2" s="1"/>
  <c r="E63" i="2"/>
  <c r="AR62" i="2"/>
  <c r="AV62" i="2" s="1"/>
  <c r="I62" i="2"/>
  <c r="H62" i="2"/>
  <c r="L62" i="2" s="1"/>
  <c r="E62" i="2"/>
  <c r="AZ61" i="2"/>
  <c r="BD61" i="2" s="1"/>
  <c r="AN61" i="2"/>
  <c r="I61" i="2"/>
  <c r="H61" i="2"/>
  <c r="L61" i="2" s="1"/>
  <c r="E61" i="2"/>
  <c r="AR57" i="2"/>
  <c r="AV57" i="2" s="1"/>
  <c r="I57" i="2"/>
  <c r="H57" i="2"/>
  <c r="L57" i="2" s="1"/>
  <c r="E57" i="2"/>
  <c r="BH50" i="2"/>
  <c r="AZ50" i="2"/>
  <c r="I50" i="2"/>
  <c r="H50" i="2"/>
  <c r="L50" i="2" s="1"/>
  <c r="F50" i="2"/>
  <c r="E50" i="2"/>
  <c r="AV49" i="2"/>
  <c r="AZ49" i="2" s="1"/>
  <c r="AN49" i="2"/>
  <c r="I49" i="2"/>
  <c r="H49" i="2"/>
  <c r="L49" i="2" s="1"/>
  <c r="E49" i="2"/>
  <c r="AZ48" i="2"/>
  <c r="BD48" i="2" s="1"/>
  <c r="I48" i="2"/>
  <c r="H48" i="2"/>
  <c r="L48" i="2" s="1"/>
  <c r="E48" i="2"/>
  <c r="AN47" i="2"/>
  <c r="AR47" i="2" s="1"/>
  <c r="H47" i="2"/>
  <c r="E47" i="2"/>
  <c r="AN46" i="2"/>
  <c r="AR46" i="2" s="1"/>
  <c r="H46" i="2"/>
  <c r="E46" i="2"/>
  <c r="AN45" i="2"/>
  <c r="AR45" i="2" s="1"/>
  <c r="H45" i="2"/>
  <c r="E45" i="2"/>
  <c r="BH44" i="2"/>
  <c r="AN44" i="2"/>
  <c r="AR44" i="2" s="1"/>
  <c r="H44" i="2"/>
  <c r="E44" i="2"/>
  <c r="AN43" i="2"/>
  <c r="AR43" i="2" s="1"/>
  <c r="H43" i="2"/>
  <c r="E43" i="2"/>
  <c r="BD42" i="2"/>
  <c r="BH42" i="2" s="1"/>
  <c r="AN42" i="2"/>
  <c r="AR42" i="2" s="1"/>
  <c r="H42" i="2"/>
  <c r="E42" i="2"/>
  <c r="AV41" i="2"/>
  <c r="AZ41" i="2" s="1"/>
  <c r="I41" i="2"/>
  <c r="H41" i="2"/>
  <c r="L41" i="2" s="1"/>
  <c r="E41" i="2"/>
  <c r="AN40" i="2"/>
  <c r="AR40" i="2" s="1"/>
  <c r="H40" i="2"/>
  <c r="E40" i="2"/>
  <c r="AR39" i="2"/>
  <c r="AV39" i="2" s="1"/>
  <c r="I39" i="2"/>
  <c r="H39" i="2"/>
  <c r="L39" i="2" s="1"/>
  <c r="E39" i="2"/>
  <c r="AN38" i="2"/>
  <c r="AR38" i="2" s="1"/>
  <c r="H38" i="2"/>
  <c r="E38" i="2"/>
  <c r="AN37" i="2"/>
  <c r="AR37" i="2" s="1"/>
  <c r="H37" i="2"/>
  <c r="E37" i="2"/>
  <c r="AN36" i="2"/>
  <c r="AR36" i="2" s="1"/>
  <c r="H36" i="2"/>
  <c r="E36" i="2"/>
  <c r="AN35" i="2"/>
  <c r="AR35" i="2" s="1"/>
  <c r="H35" i="2"/>
  <c r="E35" i="2"/>
  <c r="AN34" i="2"/>
  <c r="AR34" i="2" s="1"/>
  <c r="H34" i="2"/>
  <c r="E34" i="2"/>
  <c r="AN33" i="2"/>
  <c r="AR33" i="2" s="1"/>
  <c r="H33" i="2"/>
  <c r="E33" i="2"/>
  <c r="AN32" i="2"/>
  <c r="AR32" i="2" s="1"/>
  <c r="H32" i="2"/>
  <c r="E32" i="2"/>
  <c r="AV31" i="2"/>
  <c r="AZ31" i="2" s="1"/>
  <c r="AN31" i="2"/>
  <c r="I31" i="2"/>
  <c r="H31" i="2"/>
  <c r="L31" i="2" s="1"/>
  <c r="E31" i="2"/>
  <c r="AR30" i="2"/>
  <c r="AV30" i="2" s="1"/>
  <c r="I30" i="2"/>
  <c r="H30" i="2"/>
  <c r="L30" i="2" s="1"/>
  <c r="E30" i="2"/>
  <c r="AR29" i="2"/>
  <c r="AV29" i="2" s="1"/>
  <c r="I29" i="2"/>
  <c r="H29" i="2"/>
  <c r="L29" i="2" s="1"/>
  <c r="E29" i="2"/>
  <c r="AN28" i="2"/>
  <c r="AR28" i="2" s="1"/>
  <c r="H28" i="2"/>
  <c r="E28" i="2"/>
  <c r="AN27" i="2"/>
  <c r="AR27" i="2" s="1"/>
  <c r="H27" i="2"/>
  <c r="E27" i="2"/>
  <c r="AV26" i="2"/>
  <c r="AZ26" i="2" s="1"/>
  <c r="I26" i="2"/>
  <c r="H26" i="2"/>
  <c r="L26" i="2" s="1"/>
  <c r="E26" i="2"/>
  <c r="AV25" i="2"/>
  <c r="AZ25" i="2" s="1"/>
  <c r="I25" i="2"/>
  <c r="H25" i="2"/>
  <c r="L25" i="2" s="1"/>
  <c r="E25" i="2"/>
  <c r="BH24" i="2"/>
  <c r="AV24" i="2"/>
  <c r="AZ24" i="2" s="1"/>
  <c r="I24" i="2"/>
  <c r="H24" i="2"/>
  <c r="L24" i="2" s="1"/>
  <c r="E24" i="2"/>
  <c r="AN23" i="2"/>
  <c r="AR23" i="2" s="1"/>
  <c r="H23" i="2"/>
  <c r="E23" i="2"/>
  <c r="AV22" i="2"/>
  <c r="AZ22" i="2" s="1"/>
  <c r="I22" i="2"/>
  <c r="H22" i="2"/>
  <c r="L22" i="2" s="1"/>
  <c r="E22" i="2"/>
  <c r="BF21" i="2"/>
  <c r="BB21" i="2"/>
  <c r="AX21" i="2"/>
  <c r="AT21" i="2"/>
  <c r="AP21" i="2"/>
  <c r="AL21" i="2"/>
  <c r="AJ21" i="2"/>
  <c r="AN21" i="2" s="1"/>
  <c r="AH21" i="2"/>
  <c r="AF21" i="2"/>
  <c r="AD21" i="2"/>
  <c r="AB21" i="2"/>
  <c r="Z21" i="2"/>
  <c r="X21" i="2"/>
  <c r="V21" i="2"/>
  <c r="T21" i="2"/>
  <c r="R21" i="2"/>
  <c r="P21" i="2"/>
  <c r="N21" i="2"/>
  <c r="H21" i="2"/>
  <c r="E21" i="2"/>
  <c r="BF20" i="2"/>
  <c r="BB20" i="2"/>
  <c r="AX20" i="2"/>
  <c r="AT20" i="2"/>
  <c r="AP20" i="2"/>
  <c r="AL20" i="2"/>
  <c r="AJ20" i="2"/>
  <c r="AN20" i="2" s="1"/>
  <c r="AH20" i="2"/>
  <c r="AF20" i="2"/>
  <c r="AD20" i="2"/>
  <c r="AB20" i="2"/>
  <c r="Z20" i="2"/>
  <c r="X20" i="2"/>
  <c r="V20" i="2"/>
  <c r="T20" i="2"/>
  <c r="R20" i="2"/>
  <c r="P20" i="2"/>
  <c r="N20" i="2"/>
  <c r="H20" i="2"/>
  <c r="E20" i="2"/>
  <c r="BF19" i="2"/>
  <c r="BB19" i="2"/>
  <c r="AX19" i="2"/>
  <c r="AT19" i="2"/>
  <c r="AP19" i="2"/>
  <c r="AL19" i="2"/>
  <c r="AJ19" i="2"/>
  <c r="AN19" i="2" s="1"/>
  <c r="AH19" i="2"/>
  <c r="AF19" i="2"/>
  <c r="AD19" i="2"/>
  <c r="AB19" i="2"/>
  <c r="Z19" i="2"/>
  <c r="X19" i="2"/>
  <c r="V19" i="2"/>
  <c r="T19" i="2"/>
  <c r="R19" i="2"/>
  <c r="P19" i="2"/>
  <c r="N19" i="2"/>
  <c r="H19" i="2"/>
  <c r="E19" i="2"/>
  <c r="AZ18" i="2"/>
  <c r="BD18" i="2" s="1"/>
  <c r="I18" i="2"/>
  <c r="H18" i="2"/>
  <c r="L18" i="2" s="1"/>
  <c r="E18" i="2"/>
  <c r="AV17" i="2"/>
  <c r="AZ17" i="2" s="1"/>
  <c r="AJ17" i="2"/>
  <c r="I17" i="2"/>
  <c r="H17" i="2"/>
  <c r="L17" i="2" s="1"/>
  <c r="E17" i="2"/>
  <c r="I16" i="2"/>
  <c r="H16" i="2"/>
  <c r="L16" i="2" s="1"/>
  <c r="F16" i="2"/>
  <c r="E16" i="2"/>
  <c r="I15" i="2"/>
  <c r="H15" i="2"/>
  <c r="L15" i="2" s="1"/>
  <c r="F15" i="2"/>
  <c r="E15" i="2"/>
  <c r="I14" i="2"/>
  <c r="H14" i="2"/>
  <c r="L14" i="2" s="1"/>
  <c r="F14" i="2"/>
  <c r="E14" i="2"/>
  <c r="I13" i="2"/>
  <c r="H13" i="2"/>
  <c r="L13" i="2" s="1"/>
  <c r="F13" i="2"/>
  <c r="E13" i="2"/>
  <c r="I12" i="2"/>
  <c r="H12" i="2"/>
  <c r="L12" i="2" s="1"/>
  <c r="F12" i="2"/>
  <c r="E12" i="2"/>
  <c r="I11" i="2"/>
  <c r="H11" i="2"/>
  <c r="L11" i="2" s="1"/>
  <c r="F11" i="2"/>
  <c r="E11" i="2"/>
  <c r="BZ10" i="2"/>
  <c r="I10" i="2"/>
  <c r="H10" i="2"/>
  <c r="L10" i="2" s="1"/>
  <c r="F10" i="2"/>
  <c r="E10" i="2"/>
  <c r="BZ9" i="2"/>
  <c r="I9" i="2"/>
  <c r="H9" i="2"/>
  <c r="L9" i="2" s="1"/>
  <c r="F9" i="2"/>
  <c r="E9" i="2"/>
  <c r="BZ8" i="2"/>
  <c r="I8" i="2"/>
  <c r="H8" i="2"/>
  <c r="L8" i="2" s="1"/>
  <c r="F8" i="2"/>
  <c r="E8" i="2"/>
  <c r="BZ7" i="2"/>
  <c r="BH7" i="2"/>
  <c r="BF7" i="2"/>
  <c r="BD7" i="2"/>
  <c r="BB7" i="2"/>
  <c r="AZ7" i="2"/>
  <c r="AX7" i="2"/>
  <c r="AT7" i="2"/>
  <c r="AR7" i="2"/>
  <c r="AP7" i="2"/>
  <c r="AN7" i="2"/>
  <c r="AL7" i="2"/>
  <c r="AJ7" i="2"/>
  <c r="AH7" i="2"/>
  <c r="AF7" i="2"/>
  <c r="AD7" i="2"/>
  <c r="AB7" i="2"/>
  <c r="Z7" i="2"/>
  <c r="X7" i="2"/>
  <c r="V7" i="2"/>
  <c r="T7" i="2"/>
  <c r="R7" i="2"/>
  <c r="P7" i="2"/>
  <c r="N7" i="2"/>
  <c r="I7" i="2"/>
  <c r="H7" i="2"/>
  <c r="L7" i="2" s="1"/>
  <c r="F7" i="2"/>
  <c r="E7" i="2"/>
  <c r="BZ6" i="2"/>
  <c r="BH6" i="2"/>
  <c r="BF6" i="2"/>
  <c r="BD6" i="2"/>
  <c r="BB6" i="2"/>
  <c r="AZ6" i="2"/>
  <c r="AX6" i="2"/>
  <c r="AT6" i="2"/>
  <c r="AR6" i="2"/>
  <c r="AP6" i="2"/>
  <c r="AN6" i="2"/>
  <c r="AL6" i="2"/>
  <c r="AH6" i="2"/>
  <c r="AD6" i="2"/>
  <c r="AB6" i="2"/>
  <c r="Z6" i="2"/>
  <c r="X6" i="2"/>
  <c r="V6" i="2"/>
  <c r="T6" i="2"/>
  <c r="R6" i="2"/>
  <c r="P6" i="2"/>
  <c r="N6" i="2"/>
  <c r="I6" i="2"/>
  <c r="H6" i="2"/>
  <c r="L6" i="2" s="1"/>
  <c r="F6" i="2"/>
  <c r="E6" i="2"/>
  <c r="BZ5" i="2"/>
  <c r="BH5" i="2"/>
  <c r="BF5" i="2"/>
  <c r="BD5" i="2"/>
  <c r="BB5" i="2"/>
  <c r="AZ5" i="2"/>
  <c r="AX5" i="2"/>
  <c r="AT5" i="2"/>
  <c r="AR5" i="2"/>
  <c r="AP5" i="2"/>
  <c r="AN5" i="2"/>
  <c r="AL5" i="2"/>
  <c r="AH5" i="2"/>
  <c r="AD5" i="2"/>
  <c r="AB5" i="2"/>
  <c r="Z5" i="2"/>
  <c r="X5" i="2"/>
  <c r="V5" i="2"/>
  <c r="T5" i="2"/>
  <c r="R5" i="2"/>
  <c r="P5" i="2"/>
  <c r="N5" i="2"/>
  <c r="I5" i="2"/>
  <c r="H5" i="2"/>
  <c r="L5" i="2" s="1"/>
  <c r="F5" i="2"/>
  <c r="E5" i="2"/>
  <c r="BH4" i="2"/>
  <c r="BF4" i="2"/>
  <c r="BD4" i="2"/>
  <c r="BB4" i="2"/>
  <c r="AZ4" i="2"/>
  <c r="AX4" i="2"/>
  <c r="AT4" i="2"/>
  <c r="AR4" i="2"/>
  <c r="AP4" i="2"/>
  <c r="AN4" i="2"/>
  <c r="AL4" i="2"/>
  <c r="AH4" i="2"/>
  <c r="AD4" i="2"/>
  <c r="AB4" i="2"/>
  <c r="Z4" i="2"/>
  <c r="X4" i="2"/>
  <c r="V4" i="2"/>
  <c r="T4" i="2"/>
  <c r="R4" i="2"/>
  <c r="P4" i="2"/>
  <c r="N4" i="2"/>
  <c r="I4" i="2"/>
  <c r="H4" i="2"/>
  <c r="L4" i="2" s="1"/>
  <c r="F4" i="2"/>
  <c r="E4" i="2"/>
  <c r="BH3" i="2"/>
  <c r="BF3" i="2"/>
  <c r="BD3" i="2"/>
  <c r="BB3" i="2"/>
  <c r="AZ3" i="2"/>
  <c r="AX3" i="2"/>
  <c r="AT3" i="2"/>
  <c r="AR3" i="2"/>
  <c r="AP3" i="2"/>
  <c r="AN3" i="2"/>
  <c r="AL3" i="2"/>
  <c r="AH3" i="2"/>
  <c r="AD3" i="2"/>
  <c r="AB3" i="2"/>
  <c r="Z3" i="2"/>
  <c r="X3" i="2"/>
  <c r="V3" i="2"/>
  <c r="T3" i="2"/>
  <c r="R3" i="2"/>
  <c r="P3" i="2"/>
  <c r="N3" i="2"/>
  <c r="I3" i="2"/>
  <c r="H3" i="2"/>
  <c r="L3" i="2" s="1"/>
  <c r="F3" i="2"/>
  <c r="E3" i="2"/>
  <c r="BH2" i="2"/>
  <c r="BD2" i="2"/>
  <c r="AZ2" i="2"/>
  <c r="AV2" i="2"/>
  <c r="R2" i="2"/>
  <c r="I2" i="2"/>
  <c r="F2" i="2"/>
  <c r="AG64" i="1"/>
  <c r="AI64" i="1" s="1"/>
  <c r="AK64" i="1" s="1"/>
  <c r="I64" i="1"/>
  <c r="H64" i="1"/>
  <c r="L64" i="1" s="1"/>
  <c r="E64" i="1"/>
  <c r="AC63" i="1"/>
  <c r="H63" i="1"/>
  <c r="E63" i="1"/>
  <c r="AC62" i="1"/>
  <c r="AE62" i="1" s="1"/>
  <c r="AG62" i="1" s="1"/>
  <c r="AI62" i="1" s="1"/>
  <c r="AK62" i="1" s="1"/>
  <c r="I62" i="1"/>
  <c r="H62" i="1"/>
  <c r="E62" i="1"/>
  <c r="J62" i="1" s="1"/>
  <c r="AG61" i="1"/>
  <c r="AI61" i="1" s="1"/>
  <c r="AK61" i="1" s="1"/>
  <c r="AA61" i="1"/>
  <c r="I61" i="1" s="1"/>
  <c r="H61" i="1"/>
  <c r="E61" i="1"/>
  <c r="AC57" i="1"/>
  <c r="I57" i="1" s="1"/>
  <c r="H57" i="1"/>
  <c r="E57" i="1"/>
  <c r="K57" i="1" s="1"/>
  <c r="AK50" i="1"/>
  <c r="AG50" i="1"/>
  <c r="I50" i="1"/>
  <c r="H50" i="1"/>
  <c r="E50" i="1"/>
  <c r="K50" i="1" s="1"/>
  <c r="AE49" i="1"/>
  <c r="AA49" i="1"/>
  <c r="I49" i="1" s="1"/>
  <c r="H49" i="1"/>
  <c r="L49" i="1" s="1"/>
  <c r="E49" i="1"/>
  <c r="K49" i="1" s="1"/>
  <c r="AG48" i="1"/>
  <c r="AI48" i="1" s="1"/>
  <c r="I48" i="1"/>
  <c r="H48" i="1"/>
  <c r="L48" i="1" s="1"/>
  <c r="E48" i="1"/>
  <c r="K48" i="1" s="1"/>
  <c r="AA47" i="1"/>
  <c r="AC47" i="1" s="1"/>
  <c r="H47" i="1"/>
  <c r="E47" i="1"/>
  <c r="K47" i="1" s="1"/>
  <c r="AA46" i="1"/>
  <c r="AC46" i="1" s="1"/>
  <c r="I46" i="1" s="1"/>
  <c r="H46" i="1"/>
  <c r="E46" i="1"/>
  <c r="AA45" i="1"/>
  <c r="AC45" i="1" s="1"/>
  <c r="H45" i="1"/>
  <c r="E45" i="1"/>
  <c r="AK44" i="1"/>
  <c r="AA44" i="1"/>
  <c r="AC44" i="1" s="1"/>
  <c r="AE44" i="1" s="1"/>
  <c r="AG44" i="1" s="1"/>
  <c r="AI44" i="1" s="1"/>
  <c r="H44" i="1"/>
  <c r="E44" i="1"/>
  <c r="AA43" i="1"/>
  <c r="H43" i="1"/>
  <c r="E43" i="1"/>
  <c r="K43" i="1" s="1"/>
  <c r="AI42" i="1"/>
  <c r="AK42" i="1" s="1"/>
  <c r="AA42" i="1"/>
  <c r="H42" i="1"/>
  <c r="E42" i="1"/>
  <c r="AE41" i="1"/>
  <c r="AG41" i="1" s="1"/>
  <c r="I41" i="1"/>
  <c r="H41" i="1"/>
  <c r="L41" i="1" s="1"/>
  <c r="E41" i="1"/>
  <c r="AA40" i="1"/>
  <c r="AC40" i="1" s="1"/>
  <c r="I40" i="1" s="1"/>
  <c r="H40" i="1"/>
  <c r="E40" i="1"/>
  <c r="AC39" i="1"/>
  <c r="AE39" i="1" s="1"/>
  <c r="AG39" i="1" s="1"/>
  <c r="AI39" i="1" s="1"/>
  <c r="AK39" i="1" s="1"/>
  <c r="I39" i="1"/>
  <c r="H39" i="1"/>
  <c r="L39" i="1" s="1"/>
  <c r="E39" i="1"/>
  <c r="K39" i="1" s="1"/>
  <c r="AA38" i="1"/>
  <c r="AC38" i="1" s="1"/>
  <c r="H38" i="1"/>
  <c r="E38" i="1"/>
  <c r="K38" i="1" s="1"/>
  <c r="AA37" i="1"/>
  <c r="H37" i="1"/>
  <c r="E37" i="1"/>
  <c r="AA36" i="1"/>
  <c r="AC36" i="1" s="1"/>
  <c r="I36" i="1" s="1"/>
  <c r="H36" i="1"/>
  <c r="E36" i="1"/>
  <c r="AA35" i="1"/>
  <c r="AC35" i="1" s="1"/>
  <c r="H35" i="1"/>
  <c r="E35" i="1"/>
  <c r="K35" i="1" s="1"/>
  <c r="AA34" i="1"/>
  <c r="AC34" i="1" s="1"/>
  <c r="H34" i="1"/>
  <c r="E34" i="1"/>
  <c r="AA33" i="1"/>
  <c r="AC33" i="1" s="1"/>
  <c r="I33" i="1"/>
  <c r="H33" i="1"/>
  <c r="L33" i="1" s="1"/>
  <c r="E33" i="1"/>
  <c r="AA32" i="1"/>
  <c r="AC32" i="1" s="1"/>
  <c r="AE32" i="1" s="1"/>
  <c r="AG32" i="1" s="1"/>
  <c r="AI32" i="1" s="1"/>
  <c r="AK32" i="1" s="1"/>
  <c r="H32" i="1"/>
  <c r="E32" i="1"/>
  <c r="K32" i="1" s="1"/>
  <c r="AE31" i="1"/>
  <c r="AG31" i="1" s="1"/>
  <c r="AI31" i="1" s="1"/>
  <c r="AK31" i="1" s="1"/>
  <c r="AA31" i="1"/>
  <c r="I31" i="1"/>
  <c r="H31" i="1"/>
  <c r="E31" i="1"/>
  <c r="K31" i="1" s="1"/>
  <c r="AC30" i="1"/>
  <c r="AE30" i="1" s="1"/>
  <c r="I30" i="1"/>
  <c r="H30" i="1"/>
  <c r="L30" i="1" s="1"/>
  <c r="E30" i="1"/>
  <c r="AC29" i="1"/>
  <c r="AE29" i="1" s="1"/>
  <c r="H29" i="1"/>
  <c r="E29" i="1"/>
  <c r="K29" i="1" s="1"/>
  <c r="AA28" i="1"/>
  <c r="AC28" i="1" s="1"/>
  <c r="I28" i="1"/>
  <c r="H28" i="1"/>
  <c r="E28" i="1"/>
  <c r="AA27" i="1"/>
  <c r="AC27" i="1" s="1"/>
  <c r="H27" i="1"/>
  <c r="E27" i="1"/>
  <c r="K27" i="1" s="1"/>
  <c r="AE26" i="1"/>
  <c r="AG26" i="1" s="1"/>
  <c r="AI26" i="1" s="1"/>
  <c r="AK26" i="1" s="1"/>
  <c r="I26" i="1"/>
  <c r="H26" i="1"/>
  <c r="L26" i="1" s="1"/>
  <c r="E26" i="1"/>
  <c r="AE25" i="1"/>
  <c r="AG25" i="1" s="1"/>
  <c r="I25" i="1"/>
  <c r="H25" i="1"/>
  <c r="L25" i="1" s="1"/>
  <c r="E25" i="1"/>
  <c r="AK24" i="1"/>
  <c r="AE24" i="1"/>
  <c r="AG24" i="1" s="1"/>
  <c r="AI24" i="1" s="1"/>
  <c r="I24" i="1"/>
  <c r="H24" i="1"/>
  <c r="L24" i="1" s="1"/>
  <c r="E24" i="1"/>
  <c r="J24" i="1" s="1"/>
  <c r="AA23" i="1"/>
  <c r="H23" i="1"/>
  <c r="E23" i="1"/>
  <c r="K23" i="1" s="1"/>
  <c r="AE22" i="1"/>
  <c r="AG22" i="1" s="1"/>
  <c r="AI22" i="1" s="1"/>
  <c r="AK22" i="1" s="1"/>
  <c r="I22" i="1"/>
  <c r="H22" i="1"/>
  <c r="F22" i="1"/>
  <c r="E22" i="1"/>
  <c r="K22" i="1" s="1"/>
  <c r="AJ21" i="1"/>
  <c r="AH21" i="1"/>
  <c r="AF21" i="1"/>
  <c r="AD21" i="1"/>
  <c r="AB21" i="1"/>
  <c r="Z21" i="1"/>
  <c r="Y21" i="1"/>
  <c r="AA21" i="1" s="1"/>
  <c r="AC21" i="1" s="1"/>
  <c r="AE21" i="1" s="1"/>
  <c r="AG21" i="1" s="1"/>
  <c r="AI21" i="1" s="1"/>
  <c r="AK21" i="1" s="1"/>
  <c r="X21" i="1"/>
  <c r="W21" i="1"/>
  <c r="V21" i="1"/>
  <c r="U21" i="1"/>
  <c r="T21" i="1"/>
  <c r="S21" i="1"/>
  <c r="R21" i="1"/>
  <c r="Q21" i="1"/>
  <c r="P21" i="1"/>
  <c r="O21" i="1"/>
  <c r="N21" i="1"/>
  <c r="AJ20" i="1"/>
  <c r="AH20" i="1"/>
  <c r="AF20" i="1"/>
  <c r="AD20" i="1"/>
  <c r="AB20" i="1"/>
  <c r="Z20" i="1"/>
  <c r="Y20" i="1"/>
  <c r="AA20" i="1" s="1"/>
  <c r="AC20" i="1" s="1"/>
  <c r="AE20" i="1" s="1"/>
  <c r="AG20" i="1" s="1"/>
  <c r="AI20" i="1" s="1"/>
  <c r="AK20" i="1" s="1"/>
  <c r="X20" i="1"/>
  <c r="W20" i="1"/>
  <c r="V20" i="1"/>
  <c r="U20" i="1"/>
  <c r="T20" i="1"/>
  <c r="S20" i="1"/>
  <c r="R20" i="1"/>
  <c r="Q20" i="1"/>
  <c r="P20" i="1"/>
  <c r="O20" i="1"/>
  <c r="N20" i="1"/>
  <c r="H20" i="1"/>
  <c r="AJ19" i="1"/>
  <c r="AH19" i="1"/>
  <c r="AF19" i="1"/>
  <c r="AD19" i="1"/>
  <c r="AB19" i="1"/>
  <c r="Z19" i="1"/>
  <c r="Y19" i="1"/>
  <c r="AA19" i="1" s="1"/>
  <c r="AC19" i="1" s="1"/>
  <c r="AE19" i="1" s="1"/>
  <c r="AG19" i="1" s="1"/>
  <c r="AI19" i="1" s="1"/>
  <c r="AK19" i="1" s="1"/>
  <c r="X19" i="1"/>
  <c r="W19" i="1"/>
  <c r="V19" i="1"/>
  <c r="U19" i="1"/>
  <c r="T19" i="1"/>
  <c r="S19" i="1"/>
  <c r="R19" i="1"/>
  <c r="Q19" i="1"/>
  <c r="P19" i="1"/>
  <c r="O19" i="1"/>
  <c r="N19" i="1"/>
  <c r="AG18" i="1"/>
  <c r="AI18" i="1" s="1"/>
  <c r="I18" i="1"/>
  <c r="H18" i="1"/>
  <c r="L18" i="1" s="1"/>
  <c r="E18" i="1"/>
  <c r="K18" i="1" s="1"/>
  <c r="AE17" i="1"/>
  <c r="AG17" i="1" s="1"/>
  <c r="Y17" i="1"/>
  <c r="I17" i="1"/>
  <c r="H17" i="1"/>
  <c r="E17" i="1"/>
  <c r="I16" i="1"/>
  <c r="H16" i="1"/>
  <c r="L16" i="1" s="1"/>
  <c r="F16" i="1"/>
  <c r="E16" i="1"/>
  <c r="I15" i="1"/>
  <c r="H15" i="1"/>
  <c r="L15" i="1" s="1"/>
  <c r="F15" i="1"/>
  <c r="E15" i="1"/>
  <c r="K15" i="1" s="1"/>
  <c r="I14" i="1"/>
  <c r="H14" i="1"/>
  <c r="L14" i="1" s="1"/>
  <c r="F14" i="1"/>
  <c r="E14" i="1"/>
  <c r="K14" i="1" s="1"/>
  <c r="I13" i="1"/>
  <c r="H13" i="1"/>
  <c r="L13" i="1" s="1"/>
  <c r="F13" i="1"/>
  <c r="E13" i="1"/>
  <c r="K13" i="1" s="1"/>
  <c r="I12" i="1"/>
  <c r="H12" i="1"/>
  <c r="F12" i="1"/>
  <c r="E12" i="1"/>
  <c r="I11" i="1"/>
  <c r="H11" i="1"/>
  <c r="L11" i="1" s="1"/>
  <c r="F11" i="1"/>
  <c r="E11" i="1"/>
  <c r="BB10" i="1"/>
  <c r="I10" i="1"/>
  <c r="H10" i="1"/>
  <c r="F10" i="1"/>
  <c r="E10" i="1"/>
  <c r="BB9" i="1"/>
  <c r="V55" i="1" s="1"/>
  <c r="I9" i="1"/>
  <c r="H9" i="1"/>
  <c r="L9" i="1" s="1"/>
  <c r="F9" i="1"/>
  <c r="E9" i="1"/>
  <c r="BB8" i="1"/>
  <c r="I8" i="1"/>
  <c r="H8" i="1"/>
  <c r="L8" i="1" s="1"/>
  <c r="F8" i="1"/>
  <c r="E8" i="1"/>
  <c r="K8" i="1" s="1"/>
  <c r="BB7" i="1"/>
  <c r="AK7" i="1"/>
  <c r="AJ7" i="1"/>
  <c r="AI7" i="1"/>
  <c r="AH7" i="1"/>
  <c r="AG7" i="1"/>
  <c r="AF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I7" i="1" s="1"/>
  <c r="N7" i="1"/>
  <c r="E7" i="1" s="1"/>
  <c r="F7" i="1"/>
  <c r="BB6" i="1"/>
  <c r="AK6" i="1"/>
  <c r="AJ6" i="1"/>
  <c r="AI6" i="1"/>
  <c r="AH6" i="1"/>
  <c r="AG6" i="1"/>
  <c r="AF6" i="1"/>
  <c r="AD6" i="1"/>
  <c r="AC6" i="1"/>
  <c r="AB6" i="1"/>
  <c r="AA6" i="1"/>
  <c r="Z6" i="1"/>
  <c r="X6" i="1"/>
  <c r="V6" i="1"/>
  <c r="U6" i="1"/>
  <c r="T6" i="1"/>
  <c r="S6" i="1"/>
  <c r="R6" i="1"/>
  <c r="Q6" i="1"/>
  <c r="P6" i="1"/>
  <c r="O6" i="1"/>
  <c r="N6" i="1"/>
  <c r="H6" i="1" s="1"/>
  <c r="E6" i="1"/>
  <c r="K6" i="1" s="1"/>
  <c r="BB5" i="1"/>
  <c r="AK5" i="1"/>
  <c r="AJ5" i="1"/>
  <c r="AI5" i="1"/>
  <c r="AH5" i="1"/>
  <c r="AG5" i="1"/>
  <c r="AF5" i="1"/>
  <c r="AD5" i="1"/>
  <c r="AC5" i="1"/>
  <c r="AB5" i="1"/>
  <c r="AA5" i="1"/>
  <c r="Z5" i="1"/>
  <c r="X5" i="1"/>
  <c r="V5" i="1"/>
  <c r="U5" i="1"/>
  <c r="T5" i="1"/>
  <c r="S5" i="1"/>
  <c r="R5" i="1"/>
  <c r="Q5" i="1"/>
  <c r="P5" i="1"/>
  <c r="O5" i="1"/>
  <c r="I5" i="1" s="1"/>
  <c r="N5" i="1"/>
  <c r="AK4" i="1"/>
  <c r="AJ4" i="1"/>
  <c r="AI4" i="1"/>
  <c r="AH4" i="1"/>
  <c r="AG4" i="1"/>
  <c r="AF4" i="1"/>
  <c r="AD4" i="1"/>
  <c r="AC4" i="1"/>
  <c r="AB4" i="1"/>
  <c r="AA4" i="1"/>
  <c r="Z4" i="1"/>
  <c r="X4" i="1"/>
  <c r="V4" i="1"/>
  <c r="U4" i="1"/>
  <c r="T4" i="1"/>
  <c r="S4" i="1"/>
  <c r="R4" i="1"/>
  <c r="Q4" i="1"/>
  <c r="P4" i="1"/>
  <c r="O4" i="1"/>
  <c r="I4" i="1" s="1"/>
  <c r="N4" i="1"/>
  <c r="AK3" i="1"/>
  <c r="AJ3" i="1"/>
  <c r="AI3" i="1"/>
  <c r="AH3" i="1"/>
  <c r="AG3" i="1"/>
  <c r="AF3" i="1"/>
  <c r="AD3" i="1"/>
  <c r="AC3" i="1"/>
  <c r="AB3" i="1"/>
  <c r="AA3" i="1"/>
  <c r="Z3" i="1"/>
  <c r="X3" i="1"/>
  <c r="V3" i="1"/>
  <c r="U3" i="1"/>
  <c r="T3" i="1"/>
  <c r="S3" i="1"/>
  <c r="R3" i="1"/>
  <c r="Q3" i="1"/>
  <c r="P3" i="1"/>
  <c r="O3" i="1"/>
  <c r="N3" i="1"/>
  <c r="I3" i="1"/>
  <c r="AK2" i="1"/>
  <c r="AI2" i="1"/>
  <c r="AG2" i="1"/>
  <c r="AE2" i="1"/>
  <c r="P2" i="1"/>
  <c r="R2" i="1" s="1"/>
  <c r="I2" i="1"/>
  <c r="L46" i="1" l="1"/>
  <c r="L40" i="1"/>
  <c r="L36" i="1"/>
  <c r="S56" i="1"/>
  <c r="R56" i="1"/>
  <c r="AF53" i="1"/>
  <c r="W53" i="1"/>
  <c r="AE60" i="1"/>
  <c r="AD60" i="1"/>
  <c r="V60" i="1"/>
  <c r="O60" i="1"/>
  <c r="AF59" i="1"/>
  <c r="AE59" i="1"/>
  <c r="W59" i="1"/>
  <c r="P59" i="1"/>
  <c r="AG58" i="1"/>
  <c r="AF58" i="1"/>
  <c r="X58" i="1"/>
  <c r="Q58" i="1"/>
  <c r="L57" i="1"/>
  <c r="F50" i="1"/>
  <c r="G50" i="1" s="1"/>
  <c r="L50" i="1"/>
  <c r="L28" i="1"/>
  <c r="L22" i="1"/>
  <c r="E21" i="1"/>
  <c r="E20" i="1"/>
  <c r="H19" i="1"/>
  <c r="J18" i="1"/>
  <c r="L17" i="1"/>
  <c r="J15" i="1"/>
  <c r="G15" i="1"/>
  <c r="L12" i="1"/>
  <c r="G12" i="1"/>
  <c r="L10" i="1"/>
  <c r="G9" i="1"/>
  <c r="F6" i="1"/>
  <c r="I6" i="1"/>
  <c r="L6" i="1" s="1"/>
  <c r="E5" i="1"/>
  <c r="H5" i="1"/>
  <c r="E4" i="1"/>
  <c r="F3" i="1"/>
  <c r="H3" i="1"/>
  <c r="L3" i="1" s="1"/>
  <c r="I63" i="1"/>
  <c r="L63" i="1" s="1"/>
  <c r="AE63" i="1"/>
  <c r="AG63" i="1" s="1"/>
  <c r="AI63" i="1" s="1"/>
  <c r="AK63" i="1" s="1"/>
  <c r="K63" i="1"/>
  <c r="J63" i="1"/>
  <c r="K46" i="1"/>
  <c r="J46" i="1"/>
  <c r="M46" i="1" s="1"/>
  <c r="K41" i="1"/>
  <c r="J41" i="1"/>
  <c r="K40" i="1"/>
  <c r="J40" i="1"/>
  <c r="M40" i="1" s="1"/>
  <c r="I34" i="1"/>
  <c r="L34" i="1" s="1"/>
  <c r="AE34" i="1"/>
  <c r="K34" i="1"/>
  <c r="J34" i="1"/>
  <c r="K33" i="1"/>
  <c r="J33" i="1"/>
  <c r="K28" i="1"/>
  <c r="J28" i="1"/>
  <c r="AE27" i="1"/>
  <c r="I27" i="1"/>
  <c r="J25" i="1"/>
  <c r="K25" i="1"/>
  <c r="G16" i="1"/>
  <c r="K16" i="1"/>
  <c r="J16" i="1"/>
  <c r="K12" i="1"/>
  <c r="J12" i="1"/>
  <c r="K11" i="1"/>
  <c r="J11" i="1"/>
  <c r="G11" i="1"/>
  <c r="G10" i="1"/>
  <c r="J10" i="1"/>
  <c r="K9" i="1"/>
  <c r="J9" i="1"/>
  <c r="BH64" i="2"/>
  <c r="F64" i="2"/>
  <c r="K64" i="2"/>
  <c r="J64" i="2"/>
  <c r="G64" i="2"/>
  <c r="AZ63" i="2"/>
  <c r="BD63" i="2" s="1"/>
  <c r="BH63" i="2" s="1"/>
  <c r="F63" i="2"/>
  <c r="G63" i="2"/>
  <c r="K63" i="2"/>
  <c r="J63" i="2"/>
  <c r="AZ62" i="2"/>
  <c r="BD62" i="2" s="1"/>
  <c r="BH62" i="2" s="1"/>
  <c r="F62" i="2"/>
  <c r="K62" i="2"/>
  <c r="J62" i="2"/>
  <c r="G62" i="2"/>
  <c r="BH61" i="2"/>
  <c r="F61" i="2"/>
  <c r="G61" i="2"/>
  <c r="J61" i="2"/>
  <c r="K61" i="2"/>
  <c r="M61" i="2" s="1"/>
  <c r="AZ57" i="2"/>
  <c r="BD57" i="2" s="1"/>
  <c r="BH57" i="2" s="1"/>
  <c r="F57" i="2"/>
  <c r="K57" i="2"/>
  <c r="J57" i="2"/>
  <c r="G57" i="2"/>
  <c r="G50" i="2"/>
  <c r="J50" i="2"/>
  <c r="K50" i="2"/>
  <c r="M50" i="2" s="1"/>
  <c r="BD49" i="2"/>
  <c r="BH49" i="2" s="1"/>
  <c r="F49" i="2"/>
  <c r="G49" i="2"/>
  <c r="J49" i="2"/>
  <c r="K49" i="2"/>
  <c r="M49" i="2" s="1"/>
  <c r="BH48" i="2"/>
  <c r="F48" i="2"/>
  <c r="G48" i="2"/>
  <c r="J48" i="2"/>
  <c r="K48" i="2"/>
  <c r="M48" i="2" s="1"/>
  <c r="AV47" i="2"/>
  <c r="AZ47" i="2" s="1"/>
  <c r="BD47" i="2" s="1"/>
  <c r="BH47" i="2" s="1"/>
  <c r="F47" i="2"/>
  <c r="I47" i="2"/>
  <c r="L47" i="2" s="1"/>
  <c r="G47" i="2"/>
  <c r="K47" i="2"/>
  <c r="J47" i="2"/>
  <c r="AV46" i="2"/>
  <c r="AZ46" i="2" s="1"/>
  <c r="BD46" i="2" s="1"/>
  <c r="BH46" i="2" s="1"/>
  <c r="F46" i="2"/>
  <c r="I46" i="2"/>
  <c r="L46" i="2" s="1"/>
  <c r="K46" i="2"/>
  <c r="J46" i="2"/>
  <c r="G46" i="2"/>
  <c r="AV45" i="2"/>
  <c r="AZ45" i="2" s="1"/>
  <c r="BD45" i="2" s="1"/>
  <c r="BH45" i="2" s="1"/>
  <c r="F45" i="2"/>
  <c r="I45" i="2"/>
  <c r="L45" i="2" s="1"/>
  <c r="G45" i="2"/>
  <c r="K45" i="2"/>
  <c r="J45" i="2"/>
  <c r="AV44" i="2"/>
  <c r="AZ44" i="2" s="1"/>
  <c r="BD44" i="2" s="1"/>
  <c r="F44" i="2"/>
  <c r="I44" i="2"/>
  <c r="L44" i="2" s="1"/>
  <c r="K44" i="2"/>
  <c r="J44" i="2"/>
  <c r="G44" i="2"/>
  <c r="AV43" i="2"/>
  <c r="AZ43" i="2" s="1"/>
  <c r="BD43" i="2" s="1"/>
  <c r="BH43" i="2" s="1"/>
  <c r="F43" i="2"/>
  <c r="I43" i="2"/>
  <c r="L43" i="2" s="1"/>
  <c r="K43" i="2"/>
  <c r="J43" i="2"/>
  <c r="G43" i="2"/>
  <c r="AV42" i="2"/>
  <c r="AZ42" i="2" s="1"/>
  <c r="F42" i="2"/>
  <c r="I42" i="2"/>
  <c r="L42" i="2" s="1"/>
  <c r="G42" i="2"/>
  <c r="K42" i="2"/>
  <c r="J42" i="2"/>
  <c r="BD41" i="2"/>
  <c r="BH41" i="2" s="1"/>
  <c r="F41" i="2"/>
  <c r="G41" i="2"/>
  <c r="K41" i="2"/>
  <c r="J41" i="2"/>
  <c r="AV40" i="2"/>
  <c r="AZ40" i="2" s="1"/>
  <c r="BD40" i="2" s="1"/>
  <c r="BH40" i="2" s="1"/>
  <c r="F40" i="2"/>
  <c r="I40" i="2"/>
  <c r="L40" i="2" s="1"/>
  <c r="G40" i="2"/>
  <c r="K40" i="2"/>
  <c r="J40" i="2"/>
  <c r="AZ39" i="2"/>
  <c r="BD39" i="2" s="1"/>
  <c r="BH39" i="2" s="1"/>
  <c r="F39" i="2"/>
  <c r="K39" i="2"/>
  <c r="J39" i="2"/>
  <c r="G39" i="2"/>
  <c r="AV38" i="2"/>
  <c r="AZ38" i="2" s="1"/>
  <c r="BD38" i="2" s="1"/>
  <c r="BH38" i="2" s="1"/>
  <c r="F38" i="2"/>
  <c r="I38" i="2"/>
  <c r="L38" i="2" s="1"/>
  <c r="K38" i="2"/>
  <c r="J38" i="2"/>
  <c r="G38" i="2"/>
  <c r="AV37" i="2"/>
  <c r="AZ37" i="2" s="1"/>
  <c r="BD37" i="2" s="1"/>
  <c r="BH37" i="2" s="1"/>
  <c r="F37" i="2"/>
  <c r="I37" i="2"/>
  <c r="L37" i="2" s="1"/>
  <c r="J37" i="2"/>
  <c r="G37" i="2"/>
  <c r="K37" i="2"/>
  <c r="M37" i="2" s="1"/>
  <c r="AV36" i="2"/>
  <c r="AZ36" i="2" s="1"/>
  <c r="BD36" i="2" s="1"/>
  <c r="BH36" i="2" s="1"/>
  <c r="F36" i="2"/>
  <c r="I36" i="2"/>
  <c r="L36" i="2" s="1"/>
  <c r="J36" i="2"/>
  <c r="K36" i="2"/>
  <c r="M36" i="2" s="1"/>
  <c r="G36" i="2"/>
  <c r="AV35" i="2"/>
  <c r="AZ35" i="2" s="1"/>
  <c r="BD35" i="2" s="1"/>
  <c r="BH35" i="2" s="1"/>
  <c r="F35" i="2"/>
  <c r="I35" i="2"/>
  <c r="L35" i="2" s="1"/>
  <c r="K35" i="2"/>
  <c r="J35" i="2"/>
  <c r="G35" i="2"/>
  <c r="AV34" i="2"/>
  <c r="AZ34" i="2" s="1"/>
  <c r="BD34" i="2" s="1"/>
  <c r="BH34" i="2" s="1"/>
  <c r="F34" i="2"/>
  <c r="I34" i="2"/>
  <c r="L34" i="2" s="1"/>
  <c r="K34" i="2"/>
  <c r="J34" i="2"/>
  <c r="G34" i="2"/>
  <c r="AV33" i="2"/>
  <c r="AZ33" i="2" s="1"/>
  <c r="BD33" i="2" s="1"/>
  <c r="BH33" i="2" s="1"/>
  <c r="F33" i="2"/>
  <c r="I33" i="2"/>
  <c r="L33" i="2" s="1"/>
  <c r="K33" i="2"/>
  <c r="J33" i="2"/>
  <c r="G33" i="2"/>
  <c r="AV32" i="2"/>
  <c r="AZ32" i="2" s="1"/>
  <c r="BD32" i="2" s="1"/>
  <c r="BH32" i="2" s="1"/>
  <c r="F32" i="2"/>
  <c r="I32" i="2"/>
  <c r="L32" i="2" s="1"/>
  <c r="K32" i="2"/>
  <c r="G32" i="2"/>
  <c r="J32" i="2"/>
  <c r="BD31" i="2"/>
  <c r="BH31" i="2" s="1"/>
  <c r="F31" i="2"/>
  <c r="J31" i="2"/>
  <c r="K31" i="2"/>
  <c r="M31" i="2" s="1"/>
  <c r="G31" i="2"/>
  <c r="AZ30" i="2"/>
  <c r="BD30" i="2" s="1"/>
  <c r="BH30" i="2" s="1"/>
  <c r="F30" i="2"/>
  <c r="J30" i="2"/>
  <c r="K30" i="2"/>
  <c r="M30" i="2" s="1"/>
  <c r="G30" i="2"/>
  <c r="AZ29" i="2"/>
  <c r="BD29" i="2" s="1"/>
  <c r="BH29" i="2" s="1"/>
  <c r="F29" i="2"/>
  <c r="K29" i="2"/>
  <c r="J29" i="2"/>
  <c r="G29" i="2"/>
  <c r="AV28" i="2"/>
  <c r="AZ28" i="2" s="1"/>
  <c r="BD28" i="2" s="1"/>
  <c r="BH28" i="2" s="1"/>
  <c r="F28" i="2"/>
  <c r="I28" i="2"/>
  <c r="L28" i="2" s="1"/>
  <c r="K28" i="2"/>
  <c r="J28" i="2"/>
  <c r="G28" i="2"/>
  <c r="AV27" i="2"/>
  <c r="AZ27" i="2" s="1"/>
  <c r="BD27" i="2" s="1"/>
  <c r="BH27" i="2" s="1"/>
  <c r="F27" i="2"/>
  <c r="I27" i="2"/>
  <c r="L27" i="2" s="1"/>
  <c r="K27" i="2"/>
  <c r="J27" i="2"/>
  <c r="G27" i="2"/>
  <c r="BD26" i="2"/>
  <c r="BH26" i="2" s="1"/>
  <c r="F26" i="2"/>
  <c r="K26" i="2"/>
  <c r="J26" i="2"/>
  <c r="G26" i="2"/>
  <c r="BD25" i="2"/>
  <c r="BH25" i="2" s="1"/>
  <c r="F25" i="2"/>
  <c r="J25" i="2"/>
  <c r="G25" i="2"/>
  <c r="K25" i="2"/>
  <c r="M25" i="2" s="1"/>
  <c r="BD24" i="2"/>
  <c r="F24" i="2"/>
  <c r="K24" i="2"/>
  <c r="J24" i="2"/>
  <c r="G24" i="2"/>
  <c r="AV23" i="2"/>
  <c r="AZ23" i="2" s="1"/>
  <c r="BD23" i="2" s="1"/>
  <c r="BH23" i="2" s="1"/>
  <c r="F23" i="2"/>
  <c r="I23" i="2"/>
  <c r="L23" i="2" s="1"/>
  <c r="K23" i="2"/>
  <c r="J23" i="2"/>
  <c r="G23" i="2"/>
  <c r="BD22" i="2"/>
  <c r="BH22" i="2" s="1"/>
  <c r="F22" i="2"/>
  <c r="K22" i="2"/>
  <c r="J22" i="2"/>
  <c r="G22" i="2"/>
  <c r="AR21" i="2"/>
  <c r="AV21" i="2" s="1"/>
  <c r="AZ21" i="2" s="1"/>
  <c r="BD21" i="2" s="1"/>
  <c r="BH21" i="2" s="1"/>
  <c r="F21" i="2"/>
  <c r="I21" i="2"/>
  <c r="L21" i="2" s="1"/>
  <c r="G21" i="2"/>
  <c r="J21" i="2"/>
  <c r="K21" i="2"/>
  <c r="M21" i="2" s="1"/>
  <c r="AR20" i="2"/>
  <c r="AV20" i="2" s="1"/>
  <c r="AZ20" i="2" s="1"/>
  <c r="BD20" i="2" s="1"/>
  <c r="BH20" i="2" s="1"/>
  <c r="F20" i="2"/>
  <c r="I20" i="2"/>
  <c r="L20" i="2" s="1"/>
  <c r="J20" i="2"/>
  <c r="K20" i="2"/>
  <c r="M20" i="2" s="1"/>
  <c r="G20" i="2"/>
  <c r="AR19" i="2"/>
  <c r="I19" i="2"/>
  <c r="L19" i="2" s="1"/>
  <c r="K19" i="2"/>
  <c r="J19" i="2"/>
  <c r="BH18" i="2"/>
  <c r="F18" i="2"/>
  <c r="G18" i="2"/>
  <c r="K18" i="2"/>
  <c r="J18" i="2"/>
  <c r="BD17" i="2"/>
  <c r="K17" i="2"/>
  <c r="J17" i="2"/>
  <c r="J16" i="2"/>
  <c r="G16" i="2"/>
  <c r="K16" i="2"/>
  <c r="M16" i="2" s="1"/>
  <c r="G15" i="2"/>
  <c r="J15" i="2"/>
  <c r="K15" i="2"/>
  <c r="M15" i="2" s="1"/>
  <c r="G14" i="2"/>
  <c r="J14" i="2"/>
  <c r="K14" i="2"/>
  <c r="M14" i="2" s="1"/>
  <c r="J13" i="2"/>
  <c r="K13" i="2"/>
  <c r="M13" i="2" s="1"/>
  <c r="G13" i="2"/>
  <c r="K12" i="2"/>
  <c r="G12" i="2"/>
  <c r="J12" i="2"/>
  <c r="G11" i="2"/>
  <c r="J11" i="2"/>
  <c r="K11" i="2"/>
  <c r="M11" i="2" s="1"/>
  <c r="BF56" i="2"/>
  <c r="AB53" i="2"/>
  <c r="BB56" i="2"/>
  <c r="AX56" i="2"/>
  <c r="AT56" i="2"/>
  <c r="AP56" i="2"/>
  <c r="AN56" i="2"/>
  <c r="AL56" i="2"/>
  <c r="AJ56" i="2"/>
  <c r="AH56" i="2"/>
  <c r="AF56" i="2"/>
  <c r="AD56" i="2"/>
  <c r="AB56" i="2"/>
  <c r="Z56" i="2"/>
  <c r="X56" i="2"/>
  <c r="V56" i="2"/>
  <c r="T56" i="2"/>
  <c r="AD53" i="2"/>
  <c r="AF53" i="2"/>
  <c r="AH53" i="2"/>
  <c r="AL53" i="2"/>
  <c r="AN53" i="2"/>
  <c r="AP53" i="2"/>
  <c r="R56" i="2"/>
  <c r="AT53" i="2"/>
  <c r="AX53" i="2"/>
  <c r="BB53" i="2"/>
  <c r="BF53" i="2"/>
  <c r="N56" i="2"/>
  <c r="P56" i="2"/>
  <c r="AJ53" i="2"/>
  <c r="N53" i="2"/>
  <c r="P53" i="2"/>
  <c r="R53" i="2"/>
  <c r="T53" i="2"/>
  <c r="V53" i="2"/>
  <c r="X53" i="2"/>
  <c r="Z53" i="2"/>
  <c r="J10" i="2"/>
  <c r="K10" i="2"/>
  <c r="M10" i="2" s="1"/>
  <c r="G10" i="2"/>
  <c r="AD55" i="2"/>
  <c r="AF55" i="2"/>
  <c r="AH55" i="2"/>
  <c r="AJ55" i="2"/>
  <c r="AL55" i="2"/>
  <c r="AN55" i="2"/>
  <c r="AP55" i="2"/>
  <c r="AB52" i="2"/>
  <c r="AD52" i="2"/>
  <c r="AF52" i="2"/>
  <c r="AH52" i="2"/>
  <c r="AJ52" i="2"/>
  <c r="AL52" i="2"/>
  <c r="AN52" i="2"/>
  <c r="R55" i="2"/>
  <c r="R52" i="2"/>
  <c r="AT52" i="2"/>
  <c r="AX52" i="2"/>
  <c r="BB52" i="2"/>
  <c r="BF52" i="2"/>
  <c r="V52" i="2"/>
  <c r="X52" i="2"/>
  <c r="Z52" i="2"/>
  <c r="T55" i="2"/>
  <c r="V55" i="2"/>
  <c r="X55" i="2"/>
  <c r="P52" i="2"/>
  <c r="N52" i="2"/>
  <c r="T52" i="2"/>
  <c r="P55" i="2"/>
  <c r="N55" i="2"/>
  <c r="Z55" i="2"/>
  <c r="BB55" i="2"/>
  <c r="AX55" i="2"/>
  <c r="AT55" i="2"/>
  <c r="AP52" i="2"/>
  <c r="BF55" i="2"/>
  <c r="AB55" i="2"/>
  <c r="K9" i="2"/>
  <c r="J9" i="2"/>
  <c r="G9" i="2"/>
  <c r="BB51" i="2"/>
  <c r="BF51" i="2"/>
  <c r="P51" i="2"/>
  <c r="N54" i="2"/>
  <c r="P54" i="2"/>
  <c r="R54" i="2"/>
  <c r="T54" i="2"/>
  <c r="V54" i="2"/>
  <c r="X54" i="2"/>
  <c r="Z54" i="2"/>
  <c r="AB54" i="2"/>
  <c r="AF54" i="2"/>
  <c r="AH54" i="2"/>
  <c r="AJ54" i="2"/>
  <c r="AL54" i="2"/>
  <c r="AN54" i="2"/>
  <c r="AP54" i="2"/>
  <c r="AT54" i="2"/>
  <c r="AX54" i="2"/>
  <c r="BB54" i="2"/>
  <c r="BF54" i="2"/>
  <c r="AD54" i="2"/>
  <c r="N51" i="2"/>
  <c r="R51" i="2"/>
  <c r="T51" i="2"/>
  <c r="V51" i="2"/>
  <c r="X51" i="2"/>
  <c r="Z51" i="2"/>
  <c r="AB51" i="2"/>
  <c r="AD51" i="2"/>
  <c r="AF51" i="2"/>
  <c r="AH51" i="2"/>
  <c r="AJ51" i="2"/>
  <c r="AL51" i="2"/>
  <c r="AN51" i="2"/>
  <c r="AP51" i="2"/>
  <c r="AT51" i="2"/>
  <c r="AX51" i="2"/>
  <c r="J8" i="2"/>
  <c r="K8" i="2"/>
  <c r="M8" i="2" s="1"/>
  <c r="G8" i="2"/>
  <c r="BF60" i="2"/>
  <c r="X60" i="2"/>
  <c r="Z60" i="2"/>
  <c r="AF60" i="2"/>
  <c r="BD60" i="2"/>
  <c r="BB60" i="2"/>
  <c r="AZ60" i="2"/>
  <c r="AX60" i="2"/>
  <c r="AV60" i="2"/>
  <c r="AB60" i="2"/>
  <c r="R60" i="2"/>
  <c r="AT60" i="2"/>
  <c r="AR60" i="2"/>
  <c r="AP60" i="2"/>
  <c r="AN60" i="2"/>
  <c r="AL60" i="2"/>
  <c r="AJ60" i="2"/>
  <c r="AH60" i="2"/>
  <c r="AD60" i="2"/>
  <c r="V60" i="2"/>
  <c r="BH60" i="2"/>
  <c r="N60" i="2"/>
  <c r="P60" i="2"/>
  <c r="T60" i="2"/>
  <c r="K7" i="2"/>
  <c r="J7" i="2"/>
  <c r="G7" i="2"/>
  <c r="AH59" i="2"/>
  <c r="AJ59" i="2"/>
  <c r="AL59" i="2"/>
  <c r="AN59" i="2"/>
  <c r="AP59" i="2"/>
  <c r="AR59" i="2"/>
  <c r="AT59" i="2"/>
  <c r="AV59" i="2"/>
  <c r="V59" i="2"/>
  <c r="AZ59" i="2"/>
  <c r="BH59" i="2"/>
  <c r="BD59" i="2"/>
  <c r="BF59" i="2"/>
  <c r="AX59" i="2"/>
  <c r="N59" i="2"/>
  <c r="P59" i="2"/>
  <c r="R59" i="2"/>
  <c r="BB59" i="2"/>
  <c r="T59" i="2"/>
  <c r="X59" i="2"/>
  <c r="Z59" i="2"/>
  <c r="AB59" i="2"/>
  <c r="AD59" i="2"/>
  <c r="AF59" i="2"/>
  <c r="J6" i="2"/>
  <c r="K6" i="2"/>
  <c r="M6" i="2" s="1"/>
  <c r="G6" i="2"/>
  <c r="AP58" i="2"/>
  <c r="BH58" i="2"/>
  <c r="N58" i="2"/>
  <c r="Z58" i="2"/>
  <c r="X58" i="2"/>
  <c r="V58" i="2"/>
  <c r="AZ58" i="2"/>
  <c r="T58" i="2"/>
  <c r="R58" i="2"/>
  <c r="BF58" i="2"/>
  <c r="BD58" i="2"/>
  <c r="BB58" i="2"/>
  <c r="P58" i="2"/>
  <c r="AX58" i="2"/>
  <c r="AV58" i="2"/>
  <c r="AT58" i="2"/>
  <c r="AR58" i="2"/>
  <c r="AN58" i="2"/>
  <c r="AL58" i="2"/>
  <c r="AJ58" i="2"/>
  <c r="AH58" i="2"/>
  <c r="AF58" i="2"/>
  <c r="AD58" i="2"/>
  <c r="AB58" i="2"/>
  <c r="K5" i="2"/>
  <c r="J5" i="2"/>
  <c r="G5" i="2"/>
  <c r="K4" i="2"/>
  <c r="J4" i="2"/>
  <c r="G4" i="2"/>
  <c r="K3" i="2"/>
  <c r="J3" i="2"/>
  <c r="G3" i="2"/>
  <c r="R65" i="2"/>
  <c r="V2" i="2"/>
  <c r="M15" i="1"/>
  <c r="M18" i="1"/>
  <c r="L5" i="1"/>
  <c r="AE38" i="1"/>
  <c r="AG38" i="1" s="1"/>
  <c r="AI38" i="1" s="1"/>
  <c r="AK38" i="1" s="1"/>
  <c r="F38" i="1"/>
  <c r="G38" i="1" s="1"/>
  <c r="AK18" i="1"/>
  <c r="F18" i="1" s="1"/>
  <c r="G18" i="1" s="1"/>
  <c r="M25" i="1"/>
  <c r="K5" i="1"/>
  <c r="J5" i="1"/>
  <c r="G7" i="1"/>
  <c r="K7" i="1"/>
  <c r="J7" i="1"/>
  <c r="K20" i="1"/>
  <c r="J4" i="1"/>
  <c r="AI17" i="1"/>
  <c r="AK17" i="1" s="1"/>
  <c r="F19" i="1"/>
  <c r="AH54" i="1"/>
  <c r="W54" i="1"/>
  <c r="O54" i="1"/>
  <c r="AA51" i="1"/>
  <c r="S51" i="1"/>
  <c r="AF54" i="1"/>
  <c r="V54" i="1"/>
  <c r="N54" i="1"/>
  <c r="Z51" i="1"/>
  <c r="R51" i="1"/>
  <c r="AD54" i="1"/>
  <c r="U54" i="1"/>
  <c r="Y51" i="1"/>
  <c r="Q51" i="1"/>
  <c r="AB54" i="1"/>
  <c r="T54" i="1"/>
  <c r="AJ51" i="1"/>
  <c r="X51" i="1"/>
  <c r="P51" i="1"/>
  <c r="Y54" i="1"/>
  <c r="Q54" i="1"/>
  <c r="AD51" i="1"/>
  <c r="U51" i="1"/>
  <c r="AJ54" i="1"/>
  <c r="X54" i="1"/>
  <c r="P54" i="1"/>
  <c r="AB51" i="1"/>
  <c r="T51" i="1"/>
  <c r="AI41" i="1"/>
  <c r="AK41" i="1" s="1"/>
  <c r="V51" i="1"/>
  <c r="Z52" i="1"/>
  <c r="F5" i="1"/>
  <c r="G5" i="1" s="1"/>
  <c r="G6" i="1"/>
  <c r="H7" i="1"/>
  <c r="L7" i="1" s="1"/>
  <c r="G8" i="1"/>
  <c r="K10" i="1"/>
  <c r="M10" i="1" s="1"/>
  <c r="G13" i="1"/>
  <c r="K17" i="1"/>
  <c r="I19" i="1"/>
  <c r="L19" i="1" s="1"/>
  <c r="H21" i="1"/>
  <c r="K21" i="1" s="1"/>
  <c r="AE33" i="1"/>
  <c r="AG33" i="1" s="1"/>
  <c r="AI33" i="1" s="1"/>
  <c r="AK33" i="1" s="1"/>
  <c r="AE35" i="1"/>
  <c r="AG35" i="1" s="1"/>
  <c r="AI35" i="1" s="1"/>
  <c r="AK35" i="1" s="1"/>
  <c r="F35" i="1"/>
  <c r="J37" i="1"/>
  <c r="K37" i="1"/>
  <c r="M37" i="1" s="1"/>
  <c r="F39" i="1"/>
  <c r="G39" i="1" s="1"/>
  <c r="K42" i="1"/>
  <c r="AE45" i="1"/>
  <c r="AG45" i="1" s="1"/>
  <c r="AI45" i="1" s="1"/>
  <c r="AK45" i="1" s="1"/>
  <c r="J50" i="1"/>
  <c r="M50" i="1" s="1"/>
  <c r="W51" i="1"/>
  <c r="AA52" i="1"/>
  <c r="AH53" i="1"/>
  <c r="Y58" i="1"/>
  <c r="X59" i="1"/>
  <c r="W60" i="1"/>
  <c r="K64" i="1"/>
  <c r="J64" i="1"/>
  <c r="T2" i="1"/>
  <c r="J17" i="1"/>
  <c r="F32" i="1"/>
  <c r="F4" i="1"/>
  <c r="G4" i="1" s="1"/>
  <c r="AC23" i="1"/>
  <c r="F24" i="1"/>
  <c r="G24" i="1" s="1"/>
  <c r="AG27" i="1"/>
  <c r="AG30" i="1"/>
  <c r="AI30" i="1" s="1"/>
  <c r="AK30" i="1" s="1"/>
  <c r="F30" i="1"/>
  <c r="K36" i="1"/>
  <c r="J36" i="1"/>
  <c r="AH51" i="1"/>
  <c r="O55" i="1"/>
  <c r="AE57" i="1"/>
  <c r="G14" i="1"/>
  <c r="E3" i="1"/>
  <c r="J6" i="1"/>
  <c r="M6" i="1" s="1"/>
  <c r="J8" i="1"/>
  <c r="M8" i="1" s="1"/>
  <c r="AH56" i="1"/>
  <c r="W56" i="1"/>
  <c r="O56" i="1"/>
  <c r="AA53" i="1"/>
  <c r="S53" i="1"/>
  <c r="AF56" i="1"/>
  <c r="V56" i="1"/>
  <c r="N56" i="1"/>
  <c r="Z53" i="1"/>
  <c r="R53" i="1"/>
  <c r="AD56" i="1"/>
  <c r="U56" i="1"/>
  <c r="Y53" i="1"/>
  <c r="Q53" i="1"/>
  <c r="AB56" i="1"/>
  <c r="T56" i="1"/>
  <c r="AJ53" i="1"/>
  <c r="X53" i="1"/>
  <c r="P53" i="1"/>
  <c r="Y56" i="1"/>
  <c r="Q56" i="1"/>
  <c r="AD53" i="1"/>
  <c r="U53" i="1"/>
  <c r="AJ56" i="1"/>
  <c r="X56" i="1"/>
  <c r="P56" i="1"/>
  <c r="AB53" i="1"/>
  <c r="T53" i="1"/>
  <c r="J13" i="1"/>
  <c r="M13" i="1" s="1"/>
  <c r="AI25" i="1"/>
  <c r="K30" i="1"/>
  <c r="J30" i="1"/>
  <c r="M33" i="1"/>
  <c r="N53" i="1"/>
  <c r="R54" i="1"/>
  <c r="Z56" i="1"/>
  <c r="J61" i="1"/>
  <c r="K61" i="1"/>
  <c r="L62" i="1"/>
  <c r="K62" i="1"/>
  <c r="M62" i="1" s="1"/>
  <c r="AA55" i="1"/>
  <c r="S55" i="1"/>
  <c r="AH52" i="1"/>
  <c r="W52" i="1"/>
  <c r="O52" i="1"/>
  <c r="Z55" i="1"/>
  <c r="R55" i="1"/>
  <c r="AF52" i="1"/>
  <c r="V52" i="1"/>
  <c r="N52" i="1"/>
  <c r="Y55" i="1"/>
  <c r="Q55" i="1"/>
  <c r="AD52" i="1"/>
  <c r="U52" i="1"/>
  <c r="AJ55" i="1"/>
  <c r="X55" i="1"/>
  <c r="P55" i="1"/>
  <c r="AB52" i="1"/>
  <c r="T52" i="1"/>
  <c r="AD55" i="1"/>
  <c r="U55" i="1"/>
  <c r="Y52" i="1"/>
  <c r="Q52" i="1"/>
  <c r="AB55" i="1"/>
  <c r="T55" i="1"/>
  <c r="AJ52" i="1"/>
  <c r="X52" i="1"/>
  <c r="P52" i="1"/>
  <c r="I20" i="1"/>
  <c r="J20" i="1" s="1"/>
  <c r="I21" i="1"/>
  <c r="J21" i="1" s="1"/>
  <c r="F21" i="1"/>
  <c r="G21" i="1" s="1"/>
  <c r="AG29" i="1"/>
  <c r="I44" i="1"/>
  <c r="F44" i="1"/>
  <c r="G44" i="1" s="1"/>
  <c r="H4" i="1"/>
  <c r="L4" i="1" s="1"/>
  <c r="AJ59" i="1"/>
  <c r="AB59" i="1"/>
  <c r="T59" i="1"/>
  <c r="AI59" i="1"/>
  <c r="AA59" i="1"/>
  <c r="S59" i="1"/>
  <c r="AH59" i="1"/>
  <c r="Z59" i="1"/>
  <c r="R59" i="1"/>
  <c r="AG59" i="1"/>
  <c r="Y59" i="1"/>
  <c r="Q59" i="1"/>
  <c r="AD59" i="1"/>
  <c r="V59" i="1"/>
  <c r="N59" i="1"/>
  <c r="AK59" i="1"/>
  <c r="AC59" i="1"/>
  <c r="U59" i="1"/>
  <c r="J14" i="1"/>
  <c r="M14" i="1" s="1"/>
  <c r="E19" i="1"/>
  <c r="F20" i="1"/>
  <c r="G20" i="1" s="1"/>
  <c r="K24" i="1"/>
  <c r="M24" i="1" s="1"/>
  <c r="J26" i="1"/>
  <c r="K26" i="1"/>
  <c r="M28" i="1"/>
  <c r="G30" i="1"/>
  <c r="F31" i="1"/>
  <c r="G31" i="1" s="1"/>
  <c r="G35" i="1"/>
  <c r="AC37" i="1"/>
  <c r="I37" i="1" s="1"/>
  <c r="L37" i="1" s="1"/>
  <c r="AC42" i="1"/>
  <c r="I42" i="1" s="1"/>
  <c r="J42" i="1" s="1"/>
  <c r="AC43" i="1"/>
  <c r="AE43" i="1" s="1"/>
  <c r="AG43" i="1" s="1"/>
  <c r="AI43" i="1" s="1"/>
  <c r="AK43" i="1" s="1"/>
  <c r="AG49" i="1"/>
  <c r="AI49" i="1" s="1"/>
  <c r="AK49" i="1" s="1"/>
  <c r="O53" i="1"/>
  <c r="S54" i="1"/>
  <c r="W55" i="1"/>
  <c r="AA56" i="1"/>
  <c r="F61" i="1"/>
  <c r="G61" i="1" s="1"/>
  <c r="AE28" i="1"/>
  <c r="AG28" i="1" s="1"/>
  <c r="AI28" i="1" s="1"/>
  <c r="AK28" i="1" s="1"/>
  <c r="AG34" i="1"/>
  <c r="I38" i="1"/>
  <c r="AF51" i="1"/>
  <c r="N55" i="1"/>
  <c r="F2" i="1"/>
  <c r="AK58" i="1"/>
  <c r="AC58" i="1"/>
  <c r="U58" i="1"/>
  <c r="AJ58" i="1"/>
  <c r="AB58" i="1"/>
  <c r="T58" i="1"/>
  <c r="AI58" i="1"/>
  <c r="AA58" i="1"/>
  <c r="S58" i="1"/>
  <c r="AH58" i="1"/>
  <c r="Z58" i="1"/>
  <c r="R58" i="1"/>
  <c r="AE58" i="1"/>
  <c r="W58" i="1"/>
  <c r="O58" i="1"/>
  <c r="AD58" i="1"/>
  <c r="V58" i="1"/>
  <c r="N58" i="1"/>
  <c r="AI60" i="1"/>
  <c r="AA60" i="1"/>
  <c r="S60" i="1"/>
  <c r="AH60" i="1"/>
  <c r="Z60" i="1"/>
  <c r="R60" i="1"/>
  <c r="AG60" i="1"/>
  <c r="Y60" i="1"/>
  <c r="Q60" i="1"/>
  <c r="AF60" i="1"/>
  <c r="X60" i="1"/>
  <c r="P60" i="1"/>
  <c r="AK60" i="1"/>
  <c r="AC60" i="1"/>
  <c r="U60" i="1"/>
  <c r="AJ60" i="1"/>
  <c r="AB60" i="1"/>
  <c r="T60" i="1"/>
  <c r="G22" i="1"/>
  <c r="F26" i="1"/>
  <c r="G26" i="1" s="1"/>
  <c r="I32" i="1"/>
  <c r="L32" i="1" s="1"/>
  <c r="K44" i="1"/>
  <c r="K45" i="1"/>
  <c r="N51" i="1"/>
  <c r="R52" i="1"/>
  <c r="R65" i="1" s="1"/>
  <c r="V53" i="1"/>
  <c r="Z54" i="1"/>
  <c r="AF55" i="1"/>
  <c r="P58" i="1"/>
  <c r="O59" i="1"/>
  <c r="N60" i="1"/>
  <c r="L61" i="1"/>
  <c r="F62" i="1"/>
  <c r="G62" i="1" s="1"/>
  <c r="F63" i="1"/>
  <c r="G63" i="1" s="1"/>
  <c r="L20" i="1"/>
  <c r="L31" i="1"/>
  <c r="I45" i="1"/>
  <c r="I47" i="1"/>
  <c r="J47" i="1" s="1"/>
  <c r="M47" i="1" s="1"/>
  <c r="AE47" i="1"/>
  <c r="AK48" i="1"/>
  <c r="F48" i="1" s="1"/>
  <c r="G48" i="1" s="1"/>
  <c r="O51" i="1"/>
  <c r="S52" i="1"/>
  <c r="S65" i="1" s="1"/>
  <c r="AA54" i="1"/>
  <c r="AH55" i="1"/>
  <c r="I35" i="1"/>
  <c r="L35" i="1" s="1"/>
  <c r="J22" i="1"/>
  <c r="M22" i="1" s="1"/>
  <c r="I29" i="1"/>
  <c r="G32" i="1"/>
  <c r="J35" i="1"/>
  <c r="M35" i="1" s="1"/>
  <c r="AE40" i="1"/>
  <c r="AG40" i="1" s="1"/>
  <c r="AI40" i="1" s="1"/>
  <c r="AK40" i="1" s="1"/>
  <c r="AE46" i="1"/>
  <c r="AG46" i="1" s="1"/>
  <c r="AI46" i="1" s="1"/>
  <c r="AK46" i="1" s="1"/>
  <c r="J48" i="1"/>
  <c r="M48" i="1" s="1"/>
  <c r="F64" i="1"/>
  <c r="G64" i="1" s="1"/>
  <c r="J39" i="1"/>
  <c r="M39" i="1" s="1"/>
  <c r="J49" i="1"/>
  <c r="M49" i="1" s="1"/>
  <c r="J31" i="1"/>
  <c r="M31" i="1" s="1"/>
  <c r="AE36" i="1"/>
  <c r="AG36" i="1" s="1"/>
  <c r="AI36" i="1" s="1"/>
  <c r="AK36" i="1" s="1"/>
  <c r="J57" i="1"/>
  <c r="M57" i="1" s="1"/>
  <c r="U65" i="1" l="1"/>
  <c r="J27" i="1"/>
  <c r="M27" i="1" s="1"/>
  <c r="L27" i="1"/>
  <c r="M63" i="1"/>
  <c r="M41" i="1"/>
  <c r="M34" i="1"/>
  <c r="M16" i="1"/>
  <c r="M12" i="1"/>
  <c r="M11" i="1"/>
  <c r="M9" i="1"/>
  <c r="M5" i="1"/>
  <c r="Z65" i="1"/>
  <c r="L21" i="1"/>
  <c r="W65" i="1"/>
  <c r="AA65" i="1"/>
  <c r="M36" i="1"/>
  <c r="Y65" i="1"/>
  <c r="Q65" i="1"/>
  <c r="P65" i="1"/>
  <c r="I60" i="1"/>
  <c r="AE23" i="1"/>
  <c r="AG23" i="1" s="1"/>
  <c r="AI23" i="1" s="1"/>
  <c r="AK23" i="1" s="1"/>
  <c r="I23" i="1"/>
  <c r="L23" i="1" s="1"/>
  <c r="AI27" i="1"/>
  <c r="AK27" i="1" s="1"/>
  <c r="F27" i="1"/>
  <c r="G27" i="1" s="1"/>
  <c r="AK25" i="1"/>
  <c r="F25" i="1"/>
  <c r="G25" i="1" s="1"/>
  <c r="AI29" i="1"/>
  <c r="AK29" i="1" s="1"/>
  <c r="F29" i="1"/>
  <c r="G29" i="1" s="1"/>
  <c r="J44" i="1"/>
  <c r="L44" i="1"/>
  <c r="AI34" i="1"/>
  <c r="AK34" i="1" s="1"/>
  <c r="F34" i="1"/>
  <c r="G34" i="1" s="1"/>
  <c r="J38" i="1"/>
  <c r="M38" i="1" s="1"/>
  <c r="L38" i="1"/>
  <c r="J45" i="1"/>
  <c r="L45" i="1"/>
  <c r="AG47" i="1"/>
  <c r="AI47" i="1" s="1"/>
  <c r="AK47" i="1" s="1"/>
  <c r="F47" i="1"/>
  <c r="G47" i="1" s="1"/>
  <c r="AR65" i="2"/>
  <c r="AV19" i="2"/>
  <c r="BH17" i="2"/>
  <c r="E56" i="2"/>
  <c r="H56" i="2"/>
  <c r="F56" i="2"/>
  <c r="I56" i="2"/>
  <c r="E53" i="2"/>
  <c r="H53" i="2"/>
  <c r="F53" i="2"/>
  <c r="I53" i="2"/>
  <c r="F52" i="2"/>
  <c r="I52" i="2"/>
  <c r="E52" i="2"/>
  <c r="H52" i="2"/>
  <c r="L52" i="2" s="1"/>
  <c r="F55" i="2"/>
  <c r="I55" i="2"/>
  <c r="E55" i="2"/>
  <c r="H55" i="2"/>
  <c r="L55" i="2" s="1"/>
  <c r="P65" i="2"/>
  <c r="F51" i="2"/>
  <c r="I51" i="2"/>
  <c r="E54" i="2"/>
  <c r="H54" i="2"/>
  <c r="F54" i="2"/>
  <c r="I54" i="2"/>
  <c r="N65" i="2"/>
  <c r="E51" i="2"/>
  <c r="H51" i="2"/>
  <c r="L51" i="2" s="1"/>
  <c r="E60" i="2"/>
  <c r="H60" i="2"/>
  <c r="F60" i="2"/>
  <c r="I60" i="2"/>
  <c r="E59" i="2"/>
  <c r="H59" i="2"/>
  <c r="F59" i="2"/>
  <c r="I59" i="2"/>
  <c r="E58" i="2"/>
  <c r="H58" i="2"/>
  <c r="F58" i="2"/>
  <c r="I58" i="2"/>
  <c r="Z2" i="2"/>
  <c r="V65" i="2"/>
  <c r="M64" i="2"/>
  <c r="M63" i="2"/>
  <c r="M62" i="2"/>
  <c r="M57" i="2"/>
  <c r="M47" i="2"/>
  <c r="M46" i="2"/>
  <c r="M45" i="2"/>
  <c r="M44" i="2"/>
  <c r="M43" i="2"/>
  <c r="M42" i="2"/>
  <c r="M41" i="2"/>
  <c r="M40" i="2"/>
  <c r="M39" i="2"/>
  <c r="M38" i="2"/>
  <c r="M35" i="2"/>
  <c r="M34" i="2"/>
  <c r="M33" i="2"/>
  <c r="M32" i="2"/>
  <c r="M29" i="2"/>
  <c r="M28" i="2"/>
  <c r="M27" i="2"/>
  <c r="M26" i="2"/>
  <c r="M24" i="2"/>
  <c r="M23" i="2"/>
  <c r="M22" i="2"/>
  <c r="M19" i="2"/>
  <c r="M18" i="2"/>
  <c r="M17" i="2"/>
  <c r="M12" i="2"/>
  <c r="M9" i="2"/>
  <c r="T65" i="2"/>
  <c r="X65" i="2"/>
  <c r="AB65" i="2"/>
  <c r="AF65" i="2"/>
  <c r="AJ65" i="2"/>
  <c r="AL65" i="2"/>
  <c r="AN65" i="2"/>
  <c r="M7" i="2"/>
  <c r="M5" i="2"/>
  <c r="M4" i="2"/>
  <c r="M3" i="2"/>
  <c r="M45" i="1"/>
  <c r="AE42" i="1"/>
  <c r="AG42" i="1" s="1"/>
  <c r="F42" i="1"/>
  <c r="G42" i="1" s="1"/>
  <c r="G19" i="1"/>
  <c r="J19" i="1"/>
  <c r="K19" i="1"/>
  <c r="M19" i="1" s="1"/>
  <c r="G3" i="1"/>
  <c r="K3" i="1"/>
  <c r="J3" i="1"/>
  <c r="I55" i="1"/>
  <c r="F55" i="1"/>
  <c r="M64" i="1"/>
  <c r="E54" i="1"/>
  <c r="H54" i="1"/>
  <c r="M20" i="1"/>
  <c r="I51" i="1"/>
  <c r="F51" i="1"/>
  <c r="M21" i="1"/>
  <c r="M44" i="1"/>
  <c r="E58" i="1"/>
  <c r="H58" i="1"/>
  <c r="AE37" i="1"/>
  <c r="AG37" i="1" s="1"/>
  <c r="AI37" i="1" s="1"/>
  <c r="M26" i="1"/>
  <c r="J32" i="1"/>
  <c r="M32" i="1" s="1"/>
  <c r="F56" i="1"/>
  <c r="I56" i="1"/>
  <c r="M17" i="1"/>
  <c r="F41" i="1"/>
  <c r="G41" i="1" s="1"/>
  <c r="F17" i="1"/>
  <c r="G17" i="1" s="1"/>
  <c r="F43" i="1"/>
  <c r="G43" i="1" s="1"/>
  <c r="F60" i="1"/>
  <c r="J23" i="1"/>
  <c r="M23" i="1" s="1"/>
  <c r="I53" i="1"/>
  <c r="F53" i="1"/>
  <c r="AC65" i="1"/>
  <c r="H53" i="1"/>
  <c r="L53" i="1" s="1"/>
  <c r="E53" i="1"/>
  <c r="L42" i="1"/>
  <c r="M42" i="1"/>
  <c r="F40" i="1"/>
  <c r="G40" i="1" s="1"/>
  <c r="O65" i="1"/>
  <c r="F49" i="1"/>
  <c r="G49" i="1" s="1"/>
  <c r="AG57" i="1"/>
  <c r="AI57" i="1" s="1"/>
  <c r="AK57" i="1" s="1"/>
  <c r="F57" i="1"/>
  <c r="G57" i="1" s="1"/>
  <c r="F36" i="1"/>
  <c r="G36" i="1" s="1"/>
  <c r="L29" i="1"/>
  <c r="J29" i="1"/>
  <c r="M29" i="1" s="1"/>
  <c r="H60" i="1"/>
  <c r="L60" i="1" s="1"/>
  <c r="E60" i="1"/>
  <c r="H51" i="1"/>
  <c r="E51" i="1"/>
  <c r="F58" i="1"/>
  <c r="I58" i="1"/>
  <c r="F28" i="1"/>
  <c r="G28" i="1" s="1"/>
  <c r="E59" i="1"/>
  <c r="H59" i="1"/>
  <c r="N65" i="1"/>
  <c r="L47" i="1"/>
  <c r="M30" i="1"/>
  <c r="E56" i="1"/>
  <c r="H56" i="1"/>
  <c r="L56" i="1" s="1"/>
  <c r="T65" i="1"/>
  <c r="V2" i="1"/>
  <c r="F46" i="1"/>
  <c r="G46" i="1" s="1"/>
  <c r="F54" i="1"/>
  <c r="I54" i="1"/>
  <c r="K4" i="1"/>
  <c r="M4" i="1" s="1"/>
  <c r="E52" i="1"/>
  <c r="H52" i="1"/>
  <c r="I59" i="1"/>
  <c r="F59" i="1"/>
  <c r="H55" i="1"/>
  <c r="L55" i="1" s="1"/>
  <c r="E55" i="1"/>
  <c r="F52" i="1"/>
  <c r="I52" i="1"/>
  <c r="M61" i="1"/>
  <c r="I43" i="1"/>
  <c r="F33" i="1"/>
  <c r="G33" i="1" s="1"/>
  <c r="F45" i="1"/>
  <c r="G45" i="1" s="1"/>
  <c r="M7" i="1"/>
  <c r="F23" i="1"/>
  <c r="G23" i="1" s="1"/>
  <c r="M3" i="1" l="1"/>
  <c r="L54" i="1"/>
  <c r="AV65" i="2"/>
  <c r="AZ19" i="2"/>
  <c r="F17" i="2"/>
  <c r="G17" i="2" s="1"/>
  <c r="G56" i="2"/>
  <c r="J56" i="2"/>
  <c r="K56" i="2"/>
  <c r="M56" i="2" s="1"/>
  <c r="G53" i="2"/>
  <c r="J53" i="2"/>
  <c r="K53" i="2"/>
  <c r="M53" i="2" s="1"/>
  <c r="G52" i="2"/>
  <c r="J52" i="2"/>
  <c r="K52" i="2"/>
  <c r="M52" i="2" s="1"/>
  <c r="G55" i="2"/>
  <c r="J55" i="2"/>
  <c r="K55" i="2"/>
  <c r="M55" i="2" s="1"/>
  <c r="I65" i="2"/>
  <c r="G54" i="2"/>
  <c r="J54" i="2"/>
  <c r="K54" i="2"/>
  <c r="M54" i="2" s="1"/>
  <c r="G51" i="2"/>
  <c r="J51" i="2"/>
  <c r="K51" i="2"/>
  <c r="M51" i="2" s="1"/>
  <c r="G60" i="2"/>
  <c r="J60" i="2"/>
  <c r="K60" i="2"/>
  <c r="M60" i="2" s="1"/>
  <c r="G59" i="2"/>
  <c r="J59" i="2"/>
  <c r="K59" i="2"/>
  <c r="M59" i="2" s="1"/>
  <c r="G58" i="2"/>
  <c r="J58" i="2"/>
  <c r="K58" i="2"/>
  <c r="M58" i="2" s="1"/>
  <c r="AD2" i="2"/>
  <c r="Z65" i="2"/>
  <c r="L56" i="2"/>
  <c r="L53" i="2"/>
  <c r="L54" i="2"/>
  <c r="L60" i="2"/>
  <c r="L59" i="2"/>
  <c r="L58" i="2"/>
  <c r="L43" i="1"/>
  <c r="J43" i="1"/>
  <c r="M43" i="1" s="1"/>
  <c r="V65" i="1"/>
  <c r="X2" i="1"/>
  <c r="K59" i="1"/>
  <c r="J59" i="1"/>
  <c r="G59" i="1"/>
  <c r="L52" i="1"/>
  <c r="K53" i="1"/>
  <c r="J53" i="1"/>
  <c r="G53" i="1"/>
  <c r="L58" i="1"/>
  <c r="AE65" i="1"/>
  <c r="K51" i="1"/>
  <c r="J51" i="1"/>
  <c r="G51" i="1"/>
  <c r="K58" i="1"/>
  <c r="J58" i="1"/>
  <c r="G58" i="1"/>
  <c r="AK37" i="1"/>
  <c r="AI65" i="1"/>
  <c r="AG65" i="1"/>
  <c r="G54" i="1"/>
  <c r="K54" i="1"/>
  <c r="J54" i="1"/>
  <c r="K55" i="1"/>
  <c r="J55" i="1"/>
  <c r="G55" i="1"/>
  <c r="L51" i="1"/>
  <c r="G52" i="1"/>
  <c r="K52" i="1"/>
  <c r="J52" i="1"/>
  <c r="G56" i="1"/>
  <c r="K56" i="1"/>
  <c r="J56" i="1"/>
  <c r="K60" i="1"/>
  <c r="J60" i="1"/>
  <c r="G60" i="1"/>
  <c r="I65" i="1"/>
  <c r="L59" i="1"/>
  <c r="M54" i="1" l="1"/>
  <c r="AK65" i="1"/>
  <c r="F37" i="1"/>
  <c r="G37" i="1" s="1"/>
  <c r="F65" i="1"/>
  <c r="AZ65" i="2"/>
  <c r="BD19" i="2"/>
  <c r="AH2" i="2"/>
  <c r="AD65" i="2"/>
  <c r="M59" i="1"/>
  <c r="M56" i="1"/>
  <c r="M55" i="1"/>
  <c r="M58" i="1"/>
  <c r="M53" i="1"/>
  <c r="X65" i="1"/>
  <c r="AB2" i="1"/>
  <c r="M52" i="1"/>
  <c r="M60" i="1"/>
  <c r="M51" i="1"/>
  <c r="BD65" i="2" l="1"/>
  <c r="BH19" i="2"/>
  <c r="AP2" i="2"/>
  <c r="AH65" i="2"/>
  <c r="H2" i="2"/>
  <c r="L2" i="2" s="1"/>
  <c r="AB65" i="1"/>
  <c r="H65" i="1" s="1"/>
  <c r="L65" i="1" s="1"/>
  <c r="AD2" i="1"/>
  <c r="H2" i="1"/>
  <c r="L2" i="1" s="1"/>
  <c r="AT2" i="2" l="1"/>
  <c r="AP65" i="2"/>
  <c r="H65" i="2"/>
  <c r="L65" i="2" s="1"/>
  <c r="BH65" i="2"/>
  <c r="F65" i="2" s="1"/>
  <c r="F19" i="2"/>
  <c r="G19" i="2" s="1"/>
  <c r="AD65" i="1"/>
  <c r="AF2" i="1"/>
  <c r="AX2" i="2" l="1"/>
  <c r="AT65" i="2"/>
  <c r="AF65" i="1"/>
  <c r="AH2" i="1"/>
  <c r="BB2" i="2" l="1"/>
  <c r="AX65" i="2"/>
  <c r="AH65" i="1"/>
  <c r="AJ2" i="1"/>
  <c r="BF2" i="2" l="1"/>
  <c r="BB65" i="2"/>
  <c r="AJ65" i="1"/>
  <c r="E65" i="1" s="1"/>
  <c r="E2" i="1"/>
  <c r="BF65" i="2" l="1"/>
  <c r="E65" i="2" s="1"/>
  <c r="E2" i="2"/>
  <c r="K65" i="1"/>
  <c r="J65" i="1"/>
  <c r="G65" i="1"/>
  <c r="G2" i="1"/>
  <c r="J2" i="1"/>
  <c r="K2" i="1"/>
  <c r="M2" i="1" s="1"/>
  <c r="M65" i="1" l="1"/>
  <c r="G65" i="2"/>
  <c r="J65" i="2"/>
  <c r="K65" i="2"/>
  <c r="M65" i="2" s="1"/>
  <c r="K2" i="2"/>
  <c r="J2" i="2"/>
  <c r="G2" i="2"/>
  <c r="M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tc={B60C0220-8A56-4389-8758-29E0F8816FF1}</author>
    <author>tc={BA5AB311-25F2-4D1F-971A-F16438178448}</author>
    <author>tc={A6EB4637-7669-4C40-BCBA-1E6DE8CFBD74}</author>
    <author>tc={A1A78B8E-F178-4A3D-B0C6-CD9D81D4C10A}</author>
    <author>tc={0A6C4ED8-8643-4210-895D-4BE5385E458B}</author>
    <author>tc={D4EAD7E2-AF78-415A-94E5-D9FCA2BF8AAF}</author>
    <author>tc={2CF9296D-6657-430E-A851-1561D9052FE2}</author>
    <author>tc={B8C48682-0AD3-464D-9310-8971BE9AA0CB}</author>
    <author>tc={550C4761-7C48-4A19-BBA7-41AD546D8EEA}</author>
    <author>tc={44446A3A-CEF0-4F3C-B4A0-48FD1E9BA683}</author>
    <author>tc={70BD2026-BA85-4948-84DF-3DAB66C4BD37}</author>
    <author>tc={503729BB-5FA3-49AA-B710-89EBF57AB2BB}</author>
    <author>tc={84C6D172-2FE1-49C2-89BE-1685B0B0E9F4}</author>
    <author>tc={E32AE676-5AC2-4F12-914D-9108994D6982}</author>
    <author>tc={2FB91F05-93AE-4EED-8C9D-FBD8BE121E2C}</author>
    <author>tc={0FEF6048-F923-4976-80DA-73B77AEDB197}</author>
    <author>tc={9172A3F4-BBC2-4F29-AF63-CEC067FCBEDD}</author>
    <author>tc={2615AE9D-4611-4424-99C0-FD806B7E1E27}</author>
    <author>tc={54A45316-DDCC-47F5-8FC1-C1E25142B169}</author>
    <author>tc={A201BB66-9F51-489F-9454-CA63AC8204A0}</author>
    <author>tc={C499571A-71BF-4804-9203-9E6C0FBA1A68}</author>
    <author>tc={751CC863-65C9-428F-AD8D-4471733D9D32}</author>
    <author>tc={DB81C68C-4A6D-431B-B603-E93600181EEB}</author>
    <author>tc={9950E991-6B1F-4CB2-A842-238C24AB69C5}</author>
    <author>tc={737A1E7F-D55E-4CE9-A3EA-656B44115E1F}</author>
    <author>tc={34DD0B5E-9F68-4E38-A3F0-4756714A6849}</author>
    <author>tc={1F23D1C4-AF34-4AB1-A9E0-ADEEF02DB86E}</author>
    <author>tc={24FD36C7-D534-4CC0-BA3D-6A18F25BF359}</author>
    <author>tc={85E98085-B120-401B-9940-624E6C91EAFE}</author>
    <author>tc={2FBE4E70-4A9A-4D09-B14A-D6D75445F52D}</author>
    <author>tc={4C8CF433-442A-45B7-8BED-66CFD838C683}</author>
    <author>tc={E00C0D55-FBB3-40B7-8B4B-BE6E869CF595}</author>
    <author>tc={448B51E2-0D19-45D6-85FE-146C9700588B}</author>
    <author>tc={277F6E60-165B-4020-99F0-D57459F8C104}</author>
    <author>tc={BC7082E9-232A-4E5A-B584-084E5DFA621F}</author>
    <author>tc={43B2C169-9595-4E79-A49E-F6B56A994AC4}</author>
    <author>tc={52F155AD-7414-4B80-8598-85E9A32B7EF2}</author>
    <author>tc={27A5CBF3-722C-43E2-903A-6641A43E3B66}</author>
    <author>tc={0C3C9E48-AB32-4507-B0E1-054C8AE03171}</author>
    <author>tc={CA05D8AC-046C-464A-9D1B-3112966D6B89}</author>
    <author>tc={92FA488F-9C97-4DC6-B470-30CEAAA46442}</author>
    <author>tc={32073D5F-DBAC-45C4-A22E-20E870204E8C}</author>
    <author>tc={74AE151B-70BF-49B2-B096-3B9A13BC6368}</author>
    <author>tc={6C68C2F8-917B-499A-9373-57D113F9001A}</author>
    <author>tc={54948E1E-6C0D-4776-8E50-39C5D2C025C7}</author>
    <author>tc={56A802C7-FF94-471C-BF00-456506D876DA}</author>
    <author>tc={64737DC9-D6F7-4603-B288-155A1AC3C709}</author>
  </authors>
  <commentList>
    <comment ref="AY1" authorId="0" shapeId="0" xr:uid="{B60C0220-8A56-4389-8758-29E0F8816FF1}">
      <text>
        <t>[Threaded comment]
Your version of Excel allows you to read this threaded comment; however, any edits to it will get removed if the file is opened in a newer version of Excel. Learn more: https://go.microsoft.com/fwlink/?linkid=870924
Comment:
    DESDOBLAMIENTO DE LÍNEAS CISCO — 04/09/2026
Solicitado por M. Falconi
Las líneas TEC1817, TEC1818 y TEC0610 se dividieron en 3 componentes: IPS, Stealthwatch (SNA) e ISE.
Los valores mensuales originales (N:AK) se conservan en la zona de respaldo BG3:CD5 y cada fila hija los multiplica por su porcentaje normalizado (columna BD).
Así la suma de los 3 componentes reproduce exactamente el importe original de cada línea.</t>
      </text>
    </comment>
    <comment ref="BE1" authorId="1" shapeId="0" xr:uid="{BA5AB311-25F2-4D1F-971A-F16438178448}">
      <text>
        <t>[Threaded comment]
Your version of Excel allows you to read this threaded comment; however, any edits to it will get removed if the file is opened in a newer version of Excel. Learn more: https://go.microsoft.com/fwlink/?linkid=870924
Comment:
    Copia estática de los valores mensuales que tenían las filas originales antes del desdoblamiento:
Fila 3 = TEC1817 | Fila 4 = TEC1818 | Fila 5 = TEC0610
No borrar: las filas hijas dependen de estas celdas.</t>
      </text>
    </comment>
    <comment ref="U2" authorId="2" shapeId="0" xr:uid="{A6EB4637-7669-4C40-BCBA-1E6DE8CFBD74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resto del valor la Multa + nota de credito por facturacion de mas (-49112,93)</t>
      </text>
    </comment>
    <comment ref="W2" authorId="3" shapeId="0" xr:uid="{A1A78B8E-F178-4A3D-B0C6-CD9D81D4C1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 Archivo de Finanzas existe un valor adicional que de $130.000 provisiones que se suma al valor actual
</t>
      </text>
    </comment>
    <comment ref="Z2" authorId="4" shapeId="0" xr:uid="{0A6C4ED8-8643-4210-895D-4BE5385E458B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realizo una reasignación de $53919,32</t>
      </text>
    </comment>
    <comment ref="W3" authorId="5" shapeId="0" xr:uid="{D4EAD7E2-AF78-415A-94E5-D9FCA2BF8AAF}">
      <text>
        <t>[Threaded comment]
Your version of Excel allows you to read this threaded comment; however, any edits to it will get removed if the file is opened in a newer version of Excel. Learn more: https://go.microsoft.com/fwlink/?linkid=870924
Comment:
    $47.700, se tiene un valor de provisiones en la linea de presupuesto general</t>
      </text>
    </comment>
    <comment ref="BA5" authorId="6" shapeId="0" xr:uid="{2CF9296D-6657-430E-A851-1561D9052FE2}">
      <text>
        <t>[Threaded comment]
Your version of Excel allows you to read this threaded comment; however, any edits to it will get removed if the file is opened in a newer version of Excel. Learn more: https://go.microsoft.com/fwlink/?linkid=870924
Comment:
    Porcentajes indicados por el usuario para TEC0610:
IPS 56,03% | SNA 34,60% | ISE 9,36%
Suman 99,99%, no 100%.
Por eso la columna BD normaliza cada valor dividiéndolo entre la suma del grupo (99,99%), evitando que queden ~$33 sin asignar.</t>
      </text>
    </comment>
    <comment ref="BA8" authorId="7" shapeId="0" xr:uid="{B8C48682-0AD3-464D-9310-8971BE9AA0CB}">
      <text>
        <t>[Threaded comment]
Your version of Excel allows you to read this threaded comment; however, any edits to it will get removed if the file is opened in a newer version of Excel. Learn more: https://go.microsoft.com/fwlink/?linkid=870924
Comment:
    Porcentajes indicados por el usuario para TEC1817 y TEC1818:
IPS 62,62% | SNA 21,90% | ISE 15,48%
Suman exactamente 100%, la normalización no altera los valores.</t>
      </text>
    </comment>
    <comment ref="AK15" authorId="8" shapeId="0" xr:uid="{550C4761-7C48-4A19-BBA7-41AD546D8EEA}">
      <text>
        <t>[Threaded comment]
Your version of Excel allows you to read this threaded comment; however, any edits to it will get removed if the file is opened in a newer version of Excel. Learn more: https://go.microsoft.com/fwlink/?linkid=870924
Comment:
    se pasa a Cyberark</t>
      </text>
    </comment>
    <comment ref="O17" authorId="9" shapeId="0" xr:uid="{44446A3A-CEF0-4F3C-B4A0-48FD1E9BA68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Validar valor, en archivo finanzas no se lo tiene</t>
      </text>
    </comment>
    <comment ref="Z17" authorId="10" shapeId="0" xr:uid="{70BD2026-BA85-4948-84DF-3DAB66C4BD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Presupuesto se redujo a valor de 19174.41 se completo con reasignacion desde Desarrollo seguro  89500/6 = 14870 </t>
      </text>
    </comment>
    <comment ref="B18" authorId="11" shapeId="0" xr:uid="{503729BB-5FA3-49AA-B710-89EBF57AB2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hardware
</t>
      </text>
    </comment>
    <comment ref="AA18" authorId="12" shapeId="0" xr:uid="{84C6D172-2FE1-49C2-89BE-1685B0B0E9F4}">
      <text>
        <t>[Threaded comment]
Your version of Excel allows you to read this threaded comment; however, any edits to it will get removed if the file is opened in a newer version of Excel. Learn more: https://go.microsoft.com/fwlink/?linkid=870924
Comment:
    Se paga acumulado junio y julio</t>
      </text>
    </comment>
    <comment ref="Y23" authorId="13" shapeId="0" xr:uid="{E32AE676-5AC2-4F12-914D-9108994D6982}">
      <text>
        <t>[Threaded comment]
Your version of Excel allows you to read this threaded comment; however, any edits to it will get removed if the file is opened in a newer version of Excel. Learn more: https://go.microsoft.com/fwlink/?linkid=870924
Comment:
    En ejecucion se considera los impuestos ($1405.14)</t>
      </text>
    </comment>
    <comment ref="O27" authorId="14" shapeId="0" xr:uid="{2FB91F05-93AE-4EED-8C9D-FBD8BE121E2C}">
      <text>
        <t>[Threaded comment]
Your version of Excel allows you to read this threaded comment; however, any edits to it will get removed if the file is opened in a newer version of Excel. Learn more: https://go.microsoft.com/fwlink/?linkid=870924
Comment:
    Verificar valor, archivo de SAP no cuneta con esta ejecucion</t>
      </text>
    </comment>
    <comment ref="T28" authorId="15" shapeId="0" xr:uid="{0FEF6048-F923-4976-80DA-73B77AEDB19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Valor del presupuesto $19.852.35 + $10.372.89 (reasignacion de Azure $93.536,01/9)</t>
      </text>
    </comment>
    <comment ref="V29" authorId="16" shapeId="0" xr:uid="{9172A3F4-BBC2-4F29-AF63-CEC067FCBEDD}">
      <text>
        <t>[Threaded comment]
Your version of Excel allows you to read this threaded comment; however, any edits to it will get removed if the file is opened in a newer version of Excel. Learn more: https://go.microsoft.com/fwlink/?linkid=870924
Comment:
    Nuevo contrato</t>
      </text>
    </comment>
    <comment ref="Y29" authorId="17" shapeId="0" xr:uid="{2615AE9D-4611-4424-99C0-FD806B7E1E27}">
      <text>
        <t>[Threaded comment]
Your version of Excel allows you to read this threaded comment; however, any edits to it will get removed if the file is opened in a newer version of Excel. Learn more: https://go.microsoft.com/fwlink/?linkid=870924
Comment:
    Pago de Mayo y Junio</t>
      </text>
    </comment>
    <comment ref="R34" authorId="18" shapeId="0" xr:uid="{54A45316-DDCC-47F5-8FC1-C1E25142B169}">
      <text>
        <t>[Threaded comment]
Your version of Excel allows you to read this threaded comment; however, any edits to it will get removed if the file is opened in a newer version of Excel. Learn more: https://go.microsoft.com/fwlink/?linkid=870924
Comment:
    Acumulado de presupuesto de Enero  y Febrero</t>
      </text>
    </comment>
    <comment ref="O38" authorId="19" shapeId="0" xr:uid="{A201BB66-9F51-489F-9454-CA63AC8204A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registra este valor en ejecucion de finanzas, validar valor de ejecucion</t>
      </text>
    </comment>
    <comment ref="S38" authorId="20" shapeId="0" xr:uid="{C499571A-71BF-4804-9203-9E6C0FBA1A68}">
      <text>
        <t>[Threaded comment]
Your version of Excel allows you to read this threaded comment; however, any edits to it will get removed if the file is opened in a newer version of Excel. Learn more: https://go.microsoft.com/fwlink/?linkid=870924
Comment:
    Nuevo contrato</t>
      </text>
    </comment>
    <comment ref="Y39" authorId="21" shapeId="0" xr:uid="{751CC863-65C9-428F-AD8D-4471733D9D3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Valor correspondiente a BP, $8310.51 lo paga D1</t>
      </text>
    </comment>
    <comment ref="O47" authorId="22" shapeId="0" xr:uid="{DB81C68C-4A6D-431B-B603-E93600181E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Validar valor debido que archivo de finanzas no registra valor de enero</t>
      </text>
    </comment>
    <comment ref="Z47" authorId="23" shapeId="0" xr:uid="{9950E991-6B1F-4CB2-A842-238C24AB69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Presupuesto desde acumulado desde marzo</t>
      </text>
    </comment>
    <comment ref="X48" authorId="24" shapeId="0" xr:uid="{737A1E7F-D55E-4CE9-A3EA-656B44115E1F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Primer pago anual + 3 meses de servicio mensual ($5200x3) -abril,mayo,junio</t>
      </text>
    </comment>
    <comment ref="Y48" authorId="25" shapeId="0" xr:uid="{34DD0B5E-9F68-4E38-A3F0-4756714A6849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Primer pago anual + 2 Mese de Servicio (Abril, Mayo) + ISD ($27186,65)</t>
      </text>
    </comment>
    <comment ref="AA48" authorId="26" shapeId="0" xr:uid="{1F23D1C4-AF34-4AB1-A9E0-ADEEF02DB86E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dos meses de servicio (junio y julio) + impuesto no recuperable</t>
      </text>
    </comment>
    <comment ref="AC48" authorId="27" shapeId="0" xr:uid="{24FD36C7-D534-4CC0-BA3D-6A18F25BF359}">
      <text>
        <t>[Threaded comment]
Your version of Excel allows you to read this threaded comment; however, any edits to it will get removed if the file is opened in a newer version of Excel. Learn more: https://go.microsoft.com/fwlink/?linkid=870924
Comment:
    Se  esta restando el impuesto no recuperable el 0,4 del 0,15 del total $5.200</t>
      </text>
    </comment>
    <comment ref="AC49" authorId="28" shapeId="0" xr:uid="{85E98085-B120-401B-9940-624E6C91EA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Esta sumado el impuesto no recuperable
</t>
      </text>
    </comment>
    <comment ref="W50" authorId="29" shapeId="0" xr:uid="{2FBE4E70-4A9A-4D09-B14A-D6D75445F52D}">
      <text>
        <t>[Threaded comment]
Your version of Excel allows you to read this threaded comment; however, any edits to it will get removed if the file is opened in a newer version of Excel. Learn more: https://go.microsoft.com/fwlink/?linkid=870924
Comment:
    Pago de mayo, junio, julio</t>
      </text>
    </comment>
    <comment ref="AC50" authorId="30" shapeId="0" xr:uid="{4C8CF433-442A-45B7-8BED-66CFD838C683}">
      <text>
        <t>[Threaded comment]
Your version of Excel allows you to read this threaded comment; however, any edits to it will get removed if the file is opened in a newer version of Excel. Learn more: https://go.microsoft.com/fwlink/?linkid=870924
Comment:
    Pago agosto septiembre, octubre</t>
      </text>
    </comment>
    <comment ref="A51" authorId="31" shapeId="0" xr:uid="{E00C0D55-FBB3-40B7-8B4B-BE6E869CF595}">
      <text>
        <t>[Threaded comment]
Your version of Excel allows you to read this threaded comment; however, any edits to it will get removed if the file is opened in a newer version of Excel. Learn more: https://go.microsoft.com/fwlink/?linkid=870924
Comment:
    TEC1817 (IPS CISCO/ISE/Stealthwatch - HTOM) desdoblada en 3 componentes — 04/09/2026
Solicitado por M. Falconi
Reparto: IPS 62,62% | Stealthwatch (SNA) 21,90% | ISE 15,48%
Cada celda mensual = valor original (respaldo BG3:CD3) x % de la tabla BA4:BE10.</t>
      </text>
    </comment>
    <comment ref="Z51" authorId="32" shapeId="0" xr:uid="{448B51E2-0D19-45D6-85FE-146C970058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Presupuesto Acumulado de 6 meses Feb a Jul</t>
      </text>
    </comment>
    <comment ref="AC51" authorId="33" shapeId="0" xr:uid="{277F6E60-165B-4020-99F0-D57459F8C1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Por ajuste, en total de toda la linea de $-55.587,3 + $4632,27 (Incluido impuesto no recuperable)
</t>
      </text>
    </comment>
    <comment ref="Z52" authorId="34" shapeId="0" xr:uid="{BC7082E9-232A-4E5A-B584-084E5DFA62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Presupuesto Acumulado de 6 meses Feb a Jul</t>
      </text>
    </comment>
    <comment ref="AC52" authorId="35" shapeId="0" xr:uid="{43B2C169-9595-4E79-A49E-F6B56A994A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ajuste, en total de toda la linea de $-55.587,3</t>
      </text>
    </comment>
    <comment ref="Z53" authorId="36" shapeId="0" xr:uid="{52F155AD-7414-4B80-8598-85E9A32B7E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Presupuesto Acumulado de 6 meses Feb a Jul</t>
      </text>
    </comment>
    <comment ref="AC53" authorId="37" shapeId="0" xr:uid="{27A5CBF3-722C-43E2-903A-6641A43E3B66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ajuste, en total de toda la linea de $-55.587,3</t>
      </text>
    </comment>
    <comment ref="A54" authorId="38" shapeId="0" xr:uid="{0C3C9E48-AB32-4507-B0E1-054C8AE03171}">
      <text>
        <t>[Threaded comment]
Your version of Excel allows you to read this threaded comment; however, any edits to it will get removed if the file is opened in a newer version of Excel. Learn more: https://go.microsoft.com/fwlink/?linkid=870924
Comment:
    TEC1818 (IPS CISCO/ISE/Stealthwatch - Licencia y Soporte Cisco) desdoblada en 3 componentes — 04/09/2026
Solicitado por M. Falconi
Reparto: IPS 62,62% | Stealthwatch (SNA) 21,90% | ISE 15,48%
Cada celda mensual = valor original (respaldo BG4:CD4) x % de la tabla BA4:BE10.
Nota: el Jul-Presup original venía de la fórmula =AB52*6 ($192.183,60); ese importe ya resuelto es el que se repartió.</t>
      </text>
    </comment>
    <comment ref="AA54" authorId="39" shapeId="0" xr:uid="{CA05D8AC-046C-464A-9D1B-3112966D6B89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Incluido impuesto no recuperable</t>
      </text>
    </comment>
    <comment ref="AC54" authorId="40" shapeId="0" xr:uid="{92FA488F-9C97-4DC6-B470-30CEAAA46442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Incluido impuesto no recuperable</t>
      </text>
    </comment>
    <comment ref="AA55" authorId="41" shapeId="0" xr:uid="{32073D5F-DBAC-45C4-A22E-20E870204E8C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Incluido impuesto no recuperable</t>
      </text>
    </comment>
    <comment ref="AC55" authorId="42" shapeId="0" xr:uid="{74AE151B-70BF-49B2-B096-3B9A13BC6368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Incluido impuesto no recuperable</t>
      </text>
    </comment>
    <comment ref="AA56" authorId="43" shapeId="0" xr:uid="{6C68C2F8-917B-499A-9373-57D113F9001A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Incluido impuesto no recuperable</t>
      </text>
    </comment>
    <comment ref="AC56" authorId="44" shapeId="0" xr:uid="{54948E1E-6C0D-4776-8E50-39C5D2C025C7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Incluido impuesto no recuperable</t>
      </text>
    </comment>
    <comment ref="E57" authorId="45" shapeId="0" xr:uid="{56A802C7-FF94-471C-BF00-456506D876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reasigna a la nueva linea tec1818
</t>
      </text>
    </comment>
    <comment ref="A58" authorId="46" shapeId="0" xr:uid="{64737DC9-D6F7-4603-B288-155A1AC3C709}">
      <text>
        <t>[Threaded comment]
Your version of Excel allows you to read this threaded comment; however, any edits to it will get removed if the file is opened in a newer version of Excel. Learn more: https://go.microsoft.com/fwlink/?linkid=870924
Comment:
    TEC0610 (Cisco EA) desdoblada en 3 componentes — 04/09/2026
Solicitado por M. Falconi
Reparto indicado: IPS 56,03% | Stealthwatch (SNA) 34,60% | ISE 9,36% (suman 99,99%).
Se normalizaron los porcentajes (BD5:BD7) para que el desglose cuadre al 100% con el original.
Aquí C y D sí eran numéricos, por lo que también se repartieron:
PPTO SOLICITADO $411.619,98 y PPTO APROBADO $333.795,40.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tc={CD913606-BC61-437B-9F79-664AF33DA5DF}</author>
    <author>tc={E58030E3-2428-48A6-9FA7-67250408C7FF}</author>
    <author>tc={99D49EE7-415A-466A-B45E-72902F346BA4}</author>
    <author>tc={3AC324B2-6D39-4A27-A21B-1ACFD73ABAF2}</author>
    <author>tc={2E556760-93C6-4B28-8636-45C937B1347B}</author>
    <author>tc={A8FDC567-E1EB-417B-9730-FBDA5A147782}</author>
    <author>tc={5C4DE0D8-9313-495F-9B1B-73BB5F2586FB}</author>
    <author>tc={D3159B41-6E75-4957-986F-0E3C54912DE1}</author>
    <author>tc={D84FF134-CB5E-47AB-95EC-6F9075A7A650}</author>
    <author>tc={5614DACD-F0C2-4A29-B177-6C5EA689441D}</author>
    <author>tc={DBF4B814-DE6A-4F96-9E40-DA56F0120769}</author>
    <author>tc={DBDF0259-CC92-46A2-8CBA-80DC01C5EE7D}</author>
    <author>tc={FDADB4B6-FB5C-406B-BA0E-0B3F6D4F2797}</author>
    <author>tc={9AC92667-B4AC-483A-A7EE-A4BE00355D9A}</author>
    <author>tc={966A3BDA-E5E4-4B5D-A065-50BB0A98C4DE}</author>
    <author>tc={D99EC1D8-DB55-4570-9B98-2B1749AFF364}</author>
    <author>tc={15379129-FE83-45A9-AADD-1ABC3310F06C}</author>
    <author>tc={6E54FD97-02C3-4947-AF75-2438E1B1EA2E}</author>
    <author>tc={C7DF978D-F876-41A2-991E-82FE51F120F2}</author>
    <author>tc={EACD2FC1-4DD2-46B8-A640-B89074ED4B10}</author>
    <author>tc={2CEAD69F-33DD-40AF-9189-92B0082639FC}</author>
    <author>tc={B5EF8C58-408D-4F56-9C46-A6F2D11AE8CF}</author>
    <author>tc={B24F8C96-A486-4266-88CE-745CEF02F22D}</author>
    <author>tc={FADF5911-2818-4506-AC27-810D6D793B98}</author>
    <author>tc={50A551EF-CBAF-4080-93E8-358AF614C7E9}</author>
    <author>tc={BF34DE21-1642-424E-A1BE-BAEA401571D6}</author>
    <author>tc={406F571B-2432-4027-86CA-0BF20D9C848E}</author>
    <author>tc={FAF446FB-652B-40B6-8E9A-A7A7297998E7}</author>
    <author>tc={1EA81F05-6C5C-497F-AE26-9D334BF61F3B}</author>
    <author>tc={19729131-F5FE-4109-B70D-35F9FFF1ACCA}</author>
    <author>tc={53244449-BB3E-4D08-B9D3-E38287A55931}</author>
    <author>tc={9E59FFC0-27CD-4076-A8F7-E8C56493095C}</author>
    <author>tc={A1810A63-C776-4E48-982D-3B5B0F1724B2}</author>
    <author>tc={0B910F28-F5D4-4922-8525-4A3BF07069C0}</author>
    <author>tc={B5B44526-B463-49BD-9E58-6185B89D1972}</author>
    <author>tc={9A284C9E-736B-4242-B34D-8B2B993E9BBA}</author>
    <author>tc={72B87152-4983-481B-A437-758D4A083F90}</author>
    <author>tc={C1B4F4B4-231F-422C-B382-7C2109263A4A}</author>
    <author>tc={2C902684-ECCE-424C-AEB3-12EB24527963}</author>
    <author>tc={61473906-D9DB-4E93-A600-9713002C791C}</author>
    <author>tc={C82D1928-FBCF-4AD0-AAFA-34D1460D303F}</author>
    <author>tc={4FA88554-99DA-437E-9D55-98C7066A7332}</author>
    <author>tc={D791F24E-FCD3-4FBE-A9FD-978D900FA479}</author>
    <author>tc={9084D6A9-8C60-4206-B385-08489B1C871E}</author>
    <author>tc={F8B6CFB9-36C3-4EC3-899B-B2A75AD7ACA6}</author>
    <author>tc={09305B1C-E9A3-43D3-95A3-BAF977367DE2}</author>
    <author>tc={4A776926-0565-4CC5-96FE-03AF7A173504}</author>
  </authors>
  <commentList>
    <comment ref="BW1" authorId="0" shapeId="0" xr:uid="{CD913606-BC61-437B-9F79-664AF33DA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DESDOBLAMIENTO DE LÍNEAS CISCO — 04/09/2026
Solicitado por M. Falconi
Las líneas TEC1817, TEC1818 y TEC0610 se dividieron en 3 componentes: IPS, Stealthwatch (SNA) e ISE.
Los valores mensuales originales (N:AK) se conservan en la zona de respaldo BG3:CD5 y cada fila hija los multiplica por su porcentaje normalizado (columna BD).
Así la suma de los 3 componentes reproduce exactamente el importe original de cada línea.</t>
      </text>
    </comment>
    <comment ref="CC1" authorId="1" shapeId="0" xr:uid="{E58030E3-2428-48A6-9FA7-67250408C7FF}">
      <text>
        <t>[Threaded comment]
Your version of Excel allows you to read this threaded comment; however, any edits to it will get removed if the file is opened in a newer version of Excel. Learn more: https://go.microsoft.com/fwlink/?linkid=870924
Comment:
    Copia estática de los valores mensuales que tenían las filas originales antes del desdoblamiento:
Fila 3 = TEC1817 | Fila 4 = TEC1818 | Fila 5 = TEC0610
No borrar: las filas hijas dependen de estas celdas.</t>
      </text>
    </comment>
    <comment ref="AB2" authorId="2" shapeId="0" xr:uid="{99D49EE7-415A-466A-B45E-72902F346BA4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resto del valor la Multa + nota de credito por facturacion de mas (-49112,93)</t>
      </text>
    </comment>
    <comment ref="AF2" authorId="3" shapeId="0" xr:uid="{3AC324B2-6D39-4A27-A21B-1ACFD73ABAF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 Archivo de Finanzas existe un valor adicional que de $130.000 provisiones que se suma al valor actual
</t>
      </text>
    </comment>
    <comment ref="AL2" authorId="4" shapeId="0" xr:uid="{2E556760-93C6-4B28-8636-45C937B1347B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realizo una reasignación de $53919,32</t>
      </text>
    </comment>
    <comment ref="AF3" authorId="5" shapeId="0" xr:uid="{A8FDC567-E1EB-417B-9730-FBDA5A147782}">
      <text>
        <t>[Threaded comment]
Your version of Excel allows you to read this threaded comment; however, any edits to it will get removed if the file is opened in a newer version of Excel. Learn more: https://go.microsoft.com/fwlink/?linkid=870924
Comment:
    $47.700, se tiene un valor de provisiones en la linea de presupuesto general</t>
      </text>
    </comment>
    <comment ref="BY5" authorId="6" shapeId="0" xr:uid="{5C4DE0D8-9313-495F-9B1B-73BB5F2586FB}">
      <text>
        <t>[Threaded comment]
Your version of Excel allows you to read this threaded comment; however, any edits to it will get removed if the file is opened in a newer version of Excel. Learn more: https://go.microsoft.com/fwlink/?linkid=870924
Comment:
    Porcentajes indicados por el usuario para TEC0610:
IPS 56,03% | SNA 34,60% | ISE 9,36%
Suman 99,99%, no 100%.
Por eso la columna BD normaliza cada valor dividiéndolo entre la suma del grupo (99,99%), evitando que queden ~$33 sin asignar.</t>
      </text>
    </comment>
    <comment ref="BY8" authorId="7" shapeId="0" xr:uid="{D3159B41-6E75-4957-986F-0E3C54912DE1}">
      <text>
        <t>[Threaded comment]
Your version of Excel allows you to read this threaded comment; however, any edits to it will get removed if the file is opened in a newer version of Excel. Learn more: https://go.microsoft.com/fwlink/?linkid=870924
Comment:
    Porcentajes indicados por el usuario para TEC1817 y TEC1818:
IPS 62,62% | SNA 21,90% | ISE 15,48%
Suman exactamente 100%, la normalización no altera los valores.</t>
      </text>
    </comment>
    <comment ref="BH15" authorId="8" shapeId="0" xr:uid="{D84FF134-CB5E-47AB-95EC-6F9075A7A650}">
      <text>
        <t>[Threaded comment]
Your version of Excel allows you to read this threaded comment; however, any edits to it will get removed if the file is opened in a newer version of Excel. Learn more: https://go.microsoft.com/fwlink/?linkid=870924
Comment:
    se pasa a Cyberark</t>
      </text>
    </comment>
    <comment ref="P17" authorId="9" shapeId="0" xr:uid="{5614DACD-F0C2-4A29-B177-6C5EA689441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Validar valor, en archivo finanzas no se lo tiene</t>
      </text>
    </comment>
    <comment ref="AL17" authorId="10" shapeId="0" xr:uid="{DBF4B814-DE6A-4F96-9E40-DA56F01207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Presupuesto se redujo a valor de 19174.41 se completo con reasignacion de Desarrollo seguro  89500/6 = 14870 </t>
      </text>
    </comment>
    <comment ref="B18" authorId="11" shapeId="0" xr:uid="{DBDF0259-CC92-46A2-8CBA-80DC01C5EE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hardware
</t>
      </text>
    </comment>
    <comment ref="AN18" authorId="12" shapeId="0" xr:uid="{FDADB4B6-FB5C-406B-BA0E-0B3F6D4F2797}">
      <text>
        <t>[Threaded comment]
Your version of Excel allows you to read this threaded comment; however, any edits to it will get removed if the file is opened in a newer version of Excel. Learn more: https://go.microsoft.com/fwlink/?linkid=870924
Comment:
    Se paga acumulado junio y julio</t>
      </text>
    </comment>
    <comment ref="AJ23" authorId="13" shapeId="0" xr:uid="{9AC92667-B4AC-483A-A7EE-A4BE00355D9A}">
      <text>
        <t>[Threaded comment]
Your version of Excel allows you to read this threaded comment; however, any edits to it will get removed if the file is opened in a newer version of Excel. Learn more: https://go.microsoft.com/fwlink/?linkid=870924
Comment:
    En ejecucion se considera los impuestos ($1405.14)</t>
      </text>
    </comment>
    <comment ref="P27" authorId="14" shapeId="0" xr:uid="{966A3BDA-E5E4-4B5D-A065-50BB0A98C4DE}">
      <text>
        <t>[Threaded comment]
Your version of Excel allows you to read this threaded comment; however, any edits to it will get removed if the file is opened in a newer version of Excel. Learn more: https://go.microsoft.com/fwlink/?linkid=870924
Comment:
    Verificar valor, archivo de SAP no cuneta con esta ejecucion</t>
      </text>
    </comment>
    <comment ref="Z28" authorId="15" shapeId="0" xr:uid="{D99EC1D8-DB55-4570-9B98-2B1749AFF3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Valor del presupuesto $19.852.35 + $10.372.89 (reasignacion de Azure $93.536,01/9)</t>
      </text>
    </comment>
    <comment ref="AD29" authorId="16" shapeId="0" xr:uid="{15379129-FE83-45A9-AADD-1ABC3310F06C}">
      <text>
        <t>[Threaded comment]
Your version of Excel allows you to read this threaded comment; however, any edits to it will get removed if the file is opened in a newer version of Excel. Learn more: https://go.microsoft.com/fwlink/?linkid=870924
Comment:
    Nuevo contrato</t>
      </text>
    </comment>
    <comment ref="AJ29" authorId="17" shapeId="0" xr:uid="{6E54FD97-02C3-4947-AF75-2438E1B1EA2E}">
      <text>
        <t>[Threaded comment]
Your version of Excel allows you to read this threaded comment; however, any edits to it will get removed if the file is opened in a newer version of Excel. Learn more: https://go.microsoft.com/fwlink/?linkid=870924
Comment:
    Pago de Mayo y Junio</t>
      </text>
    </comment>
    <comment ref="V34" authorId="18" shapeId="0" xr:uid="{C7DF978D-F876-41A2-991E-82FE51F120F2}">
      <text>
        <t>[Threaded comment]
Your version of Excel allows you to read this threaded comment; however, any edits to it will get removed if the file is opened in a newer version of Excel. Learn more: https://go.microsoft.com/fwlink/?linkid=870924
Comment:
    Acumulado de presupuesto de Enero  y Febrero</t>
      </text>
    </comment>
    <comment ref="P38" authorId="19" shapeId="0" xr:uid="{EACD2FC1-4DD2-46B8-A640-B89074ED4B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registra este valor en ejecucion de finanzas, validar valor de ejecucion</t>
      </text>
    </comment>
    <comment ref="X38" authorId="20" shapeId="0" xr:uid="{2CEAD69F-33DD-40AF-9189-92B0082639FC}">
      <text>
        <t>[Threaded comment]
Your version of Excel allows you to read this threaded comment; however, any edits to it will get removed if the file is opened in a newer version of Excel. Learn more: https://go.microsoft.com/fwlink/?linkid=870924
Comment:
    Nuevo contrato</t>
      </text>
    </comment>
    <comment ref="AJ39" authorId="21" shapeId="0" xr:uid="{B5EF8C58-408D-4F56-9C46-A6F2D11AE8C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Valor correspondiente a BP, $8310.51 lo paga D1</t>
      </text>
    </comment>
    <comment ref="P47" authorId="22" shapeId="0" xr:uid="{B24F8C96-A486-4266-88CE-745CEF02F22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Validar valor debido que archivo de finanzas no registra valor de enero</t>
      </text>
    </comment>
    <comment ref="AL47" authorId="23" shapeId="0" xr:uid="{FADF5911-2818-4506-AC27-810D6D793B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Presupuesto desde acumulado desde marzo</t>
      </text>
    </comment>
    <comment ref="AH48" authorId="24" shapeId="0" xr:uid="{50A551EF-CBAF-4080-93E8-358AF614C7E9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Primer pago anual + 3 meses de servicio mensual ($5200x3) -abril,mayo,junio</t>
      </text>
    </comment>
    <comment ref="AJ48" authorId="25" shapeId="0" xr:uid="{BF34DE21-1642-424E-A1BE-BAEA401571D6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Primer pago anual + 2 Mese de Servicio (Abril, Mayo) + ISD ($27186,65)</t>
      </text>
    </comment>
    <comment ref="AN48" authorId="26" shapeId="0" xr:uid="{406F571B-2432-4027-86CA-0BF20D9C848E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 a dos meses de servicio (junio y julio) + impuesto no recuperable</t>
      </text>
    </comment>
    <comment ref="AR48" authorId="27" shapeId="0" xr:uid="{FAF446FB-652B-40B6-8E9A-A7A7297998E7}">
      <text>
        <t>[Threaded comment]
Your version of Excel allows you to read this threaded comment; however, any edits to it will get removed if the file is opened in a newer version of Excel. Learn more: https://go.microsoft.com/fwlink/?linkid=870924
Comment:
    Se  esta restando el impuesto no recuperable el 0,4 del 0,15 del total $5.200</t>
      </text>
    </comment>
    <comment ref="AR49" authorId="28" shapeId="0" xr:uid="{1EA81F05-6C5C-497F-AE26-9D334BF61F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Esta sumado el impuesto no recuperable
</t>
      </text>
    </comment>
    <comment ref="AF50" authorId="29" shapeId="0" xr:uid="{19729131-F5FE-4109-B70D-35F9FFF1ACCA}">
      <text>
        <t>[Threaded comment]
Your version of Excel allows you to read this threaded comment; however, any edits to it will get removed if the file is opened in a newer version of Excel. Learn more: https://go.microsoft.com/fwlink/?linkid=870924
Comment:
    Pago de mayo, junio, julio</t>
      </text>
    </comment>
    <comment ref="AR50" authorId="30" shapeId="0" xr:uid="{53244449-BB3E-4D08-B9D3-E38287A55931}">
      <text>
        <t>[Threaded comment]
Your version of Excel allows you to read this threaded comment; however, any edits to it will get removed if the file is opened in a newer version of Excel. Learn more: https://go.microsoft.com/fwlink/?linkid=870924
Comment:
    Pago agosto septiembre, octubre</t>
      </text>
    </comment>
    <comment ref="A51" authorId="31" shapeId="0" xr:uid="{9E59FFC0-27CD-4076-A8F7-E8C56493095C}">
      <text>
        <t>[Threaded comment]
Your version of Excel allows you to read this threaded comment; however, any edits to it will get removed if the file is opened in a newer version of Excel. Learn more: https://go.microsoft.com/fwlink/?linkid=870924
Comment:
    TEC1817 (IPS CISCO/ISE/Stealthwatch - HTOM) desdoblada en 3 componentes — 04/09/2026
Solicitado por M. Falconi
Reparto: IPS 62,62% | Stealthwatch (SNA) 21,90% | ISE 15,48%
Cada celda mensual = valor original (respaldo BG3:CD3) x % de la tabla BA4:BE10.</t>
      </text>
    </comment>
    <comment ref="AL51" authorId="32" shapeId="0" xr:uid="{A1810A63-C776-4E48-982D-3B5B0F1724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Presupuesto Acumulado de 6 meses Feb a Jul</t>
      </text>
    </comment>
    <comment ref="AR51" authorId="33" shapeId="0" xr:uid="{0B910F28-F5D4-4922-8525-4A3BF07069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Por ajuste, en total de toda la linea de $-55.587,3 + $4632,27 (Incluido impuesto no recuperable)
</t>
      </text>
    </comment>
    <comment ref="AL52" authorId="34" shapeId="0" xr:uid="{B5B44526-B463-49BD-9E58-6185B89D19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Presupuesto Acumulado de 6 meses Feb a Jul</t>
      </text>
    </comment>
    <comment ref="AR52" authorId="35" shapeId="0" xr:uid="{9A284C9E-736B-4242-B34D-8B2B993E9B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ajuste, en total de toda la linea de $-55.587,3</t>
      </text>
    </comment>
    <comment ref="AL53" authorId="36" shapeId="0" xr:uid="{72B87152-4983-481B-A437-758D4A083F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Presupuesto Acumulado de 6 meses Feb a Jul</t>
      </text>
    </comment>
    <comment ref="AR53" authorId="37" shapeId="0" xr:uid="{C1B4F4B4-231F-422C-B382-7C2109263A4A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ajuste, en total de toda la linea de $-55.587,3</t>
      </text>
    </comment>
    <comment ref="A54" authorId="38" shapeId="0" xr:uid="{2C902684-ECCE-424C-AEB3-12EB24527963}">
      <text>
        <t>[Threaded comment]
Your version of Excel allows you to read this threaded comment; however, any edits to it will get removed if the file is opened in a newer version of Excel. Learn more: https://go.microsoft.com/fwlink/?linkid=870924
Comment:
    TEC1818 (IPS CISCO/ISE/Stealthwatch - Licencia y Soporte Cisco) desdoblada en 3 componentes — 04/09/2026
Solicitado por M. Falconi
Reparto: IPS 62,62% | Stealthwatch (SNA) 21,90% | ISE 15,48%
Cada celda mensual = valor original (respaldo BG4:CD4) x % de la tabla BA4:BE10.
Nota: el Jul-Presup original venía de la fórmula =AB52*6 ($192.183,60); ese importe ya resuelto es el que se repartió.</t>
      </text>
    </comment>
    <comment ref="AN54" authorId="39" shapeId="0" xr:uid="{61473906-D9DB-4E93-A600-9713002C791C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Incluido impuesto no recuperable</t>
      </text>
    </comment>
    <comment ref="AR54" authorId="40" shapeId="0" xr:uid="{C82D1928-FBCF-4AD0-AAFA-34D1460D303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Incluido impuesto no recuperable</t>
      </text>
    </comment>
    <comment ref="AN55" authorId="41" shapeId="0" xr:uid="{4FA88554-99DA-437E-9D55-98C7066A7332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Incluido impuesto no recuperable</t>
      </text>
    </comment>
    <comment ref="AR55" authorId="42" shapeId="0" xr:uid="{D791F24E-FCD3-4FBE-A9FD-978D900FA479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Incluido impuesto no recuperable</t>
      </text>
    </comment>
    <comment ref="AN56" authorId="43" shapeId="0" xr:uid="{9084D6A9-8C60-4206-B385-08489B1C871E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Incluido impuesto no recuperable</t>
      </text>
    </comment>
    <comment ref="AR56" authorId="44" shapeId="0" xr:uid="{F8B6CFB9-36C3-4EC3-899B-B2A75AD7ACA6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Incluido impuesto no recuperable</t>
      </text>
    </comment>
    <comment ref="E57" authorId="45" shapeId="0" xr:uid="{09305B1C-E9A3-43D3-95A3-BAF977367DE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reasigna a la nueva linea tec1818
</t>
      </text>
    </comment>
    <comment ref="A58" authorId="46" shapeId="0" xr:uid="{4A776926-0565-4CC5-96FE-03AF7A173504}">
      <text>
        <t>[Threaded comment]
Your version of Excel allows you to read this threaded comment; however, any edits to it will get removed if the file is opened in a newer version of Excel. Learn more: https://go.microsoft.com/fwlink/?linkid=870924
Comment:
    TEC0610 (Cisco EA) desdoblada en 3 componentes — 04/09/2026
Solicitado por M. Falconi
Reparto indicado: IPS 56,03% | Stealthwatch (SNA) 34,60% | ISE 9,36% (suman 99,99%).
Se normalizaron los porcentajes (BD5:BD7) para que el desglose cuadre al 100% con el original.
Aquí C y D sí eran numéricos, por lo que también se repartieron:
PPTO SOLICITADO $411.619,98 y PPTO APROBADO $333.795,40.</t>
      </text>
    </comment>
  </commentList>
</comments>
</file>

<file path=xl/sharedStrings.xml><?xml version="1.0" encoding="utf-8"?>
<sst xmlns="http://schemas.openxmlformats.org/spreadsheetml/2006/main" count="791" uniqueCount="252">
  <si>
    <t>Plataforma</t>
  </si>
  <si>
    <t>Línea de
presupuesto</t>
  </si>
  <si>
    <t>PPTO SOLICITADO</t>
  </si>
  <si>
    <t>PPTO APROBADO</t>
  </si>
  <si>
    <t>PRESUPUESTO CALCULADO</t>
  </si>
  <si>
    <t>EJECUCIÓN PROYECTADA</t>
  </si>
  <si>
    <t>DIF PROYECTADA</t>
  </si>
  <si>
    <t>Presupuesto acumulado AL MES</t>
  </si>
  <si>
    <t>Ejecución acumulada AL MES</t>
  </si>
  <si>
    <t>% Ejecución actual AL MES</t>
  </si>
  <si>
    <t>% Ejecución planificada AL MES</t>
  </si>
  <si>
    <t>Desviación AL MES</t>
  </si>
  <si>
    <t>% Desviación AL MES</t>
  </si>
  <si>
    <t>Ene-Presup</t>
  </si>
  <si>
    <t>Ene-Ejec</t>
  </si>
  <si>
    <t>Feb-Presup</t>
  </si>
  <si>
    <t>Feb-Ejec</t>
  </si>
  <si>
    <t>Mar-Presup</t>
  </si>
  <si>
    <t>Mar-Ejec</t>
  </si>
  <si>
    <t>Abr-Presup</t>
  </si>
  <si>
    <t>Abr-Ejec</t>
  </si>
  <si>
    <t>May-Presup</t>
  </si>
  <si>
    <t>May-Ejec</t>
  </si>
  <si>
    <t>Jun-Presup</t>
  </si>
  <si>
    <t>Jun-Ejec</t>
  </si>
  <si>
    <t>Jul-Presup</t>
  </si>
  <si>
    <t>Jul-Ejec</t>
  </si>
  <si>
    <t>Ago-Presup</t>
  </si>
  <si>
    <t>AGO-Ejec</t>
  </si>
  <si>
    <t>Sep-Presup</t>
  </si>
  <si>
    <t>SEP-Ejec-PROYECT</t>
  </si>
  <si>
    <t>Oct-Presup</t>
  </si>
  <si>
    <t>OCT-Ejec-PROYECT</t>
  </si>
  <si>
    <t>Nov-Presup</t>
  </si>
  <si>
    <t>NOV-Ejec-PROYECT</t>
  </si>
  <si>
    <t>Dic-Presup</t>
  </si>
  <si>
    <t>DIC-Ejec-PROYECT</t>
  </si>
  <si>
    <t>Notas</t>
  </si>
  <si>
    <t>SUPUESTOS DE DESDOBLAMIENTO</t>
  </si>
  <si>
    <t>RESPALDO valores mensuales originales (N:AK) antes del desdoblamiento</t>
  </si>
  <si>
    <t>GESTIÓN PLATAFORMAS - BRAVCO</t>
  </si>
  <si>
    <t>TEC1192</t>
  </si>
  <si>
    <t xml:space="preserve">En abril se realizo un pago menor correspondiente a nota de credito por pago multa y por valores que se estuvieron pagando de mas por plataformas que no estaban siendo administradas por teuno. En julio se reasignó del presupuesto  $53.919,32 para el EA de Cisco, la ejecución varia debido a salida de plataformas del contrato de administración y </t>
  </si>
  <si>
    <t>Definidos por: FALCONI NORIEGA MARCO FABRICIO — 04/09/2026</t>
  </si>
  <si>
    <t>ProtegeGX</t>
  </si>
  <si>
    <t>TEC1478</t>
  </si>
  <si>
    <t>Se tiene ejecución parcial en junio por SP. PROVISIONES CONTROL FINANCIERO, se proyecta en septiembre realizar el pago por el nuevo contrato de soporte de las plataformas</t>
  </si>
  <si>
    <t>TEC1817 (fila 51 orig.)</t>
  </si>
  <si>
    <t>Coren Web</t>
  </si>
  <si>
    <t>Línea</t>
  </si>
  <si>
    <t>Componente</t>
  </si>
  <si>
    <t>% indicado</t>
  </si>
  <si>
    <t>% normalizado</t>
  </si>
  <si>
    <t>Nota</t>
  </si>
  <si>
    <t>TEC1818 (fila 52 orig.)</t>
  </si>
  <si>
    <t>DynamicsCodes</t>
  </si>
  <si>
    <t>TEC0610</t>
  </si>
  <si>
    <t>IPS</t>
  </si>
  <si>
    <t>Cisco EA</t>
  </si>
  <si>
    <t>TEC0610 (fila 54 orig.)</t>
  </si>
  <si>
    <t>Compass</t>
  </si>
  <si>
    <t>Stealthwatch (SNA)</t>
  </si>
  <si>
    <t>DLS5</t>
  </si>
  <si>
    <t>ISE</t>
  </si>
  <si>
    <t>Entidad Certificadora INTERNA</t>
  </si>
  <si>
    <t>no requiere presupuesto</t>
  </si>
  <si>
    <t>No requiere presupuesto</t>
  </si>
  <si>
    <t>TEC1817 / TEC1818</t>
  </si>
  <si>
    <t>HTOM y Licencia/Soporte Cisco</t>
  </si>
  <si>
    <t>Cloud Defender for Apps</t>
  </si>
  <si>
    <t>SIN DATO</t>
  </si>
  <si>
    <t>Incluida en MS E5</t>
  </si>
  <si>
    <t>MAM Intune</t>
  </si>
  <si>
    <t>Microsoft 365 Defender / Email &amp; Colaboration Security</t>
  </si>
  <si>
    <t>SNOW (SIR &amp; TIP / Certificados)</t>
  </si>
  <si>
    <t>Linea en arquitectura</t>
  </si>
  <si>
    <t>Spartan</t>
  </si>
  <si>
    <t>Sentinel Prevention</t>
  </si>
  <si>
    <t>TEC0245</t>
  </si>
  <si>
    <t>Línea en el negocio</t>
  </si>
  <si>
    <t>Línea pagada por el negocio</t>
  </si>
  <si>
    <t>Trellix</t>
  </si>
  <si>
    <t>TEC0109</t>
  </si>
  <si>
    <t>Presupuesto Solicitado: Anterior contrato era por $96.416,  Contrato actual es de 58850</t>
  </si>
  <si>
    <t>Certificados Digicert</t>
  </si>
  <si>
    <t>TEC0112</t>
  </si>
  <si>
    <t>Valor de contrato actual de $47.830</t>
  </si>
  <si>
    <t>Seguridad Perimetral Firewall Onpremise</t>
  </si>
  <si>
    <t>TEC0115</t>
  </si>
  <si>
    <t>Reasignacion de Desarrollo seguro  en julio de $89.500 desde julio</t>
  </si>
  <si>
    <t>TEC1482</t>
  </si>
  <si>
    <t>Proyeccion de acuerdo a servidores retirados</t>
  </si>
  <si>
    <t>Alarmnet</t>
  </si>
  <si>
    <t>TEC0152</t>
  </si>
  <si>
    <t>Softguard</t>
  </si>
  <si>
    <t>SG-System III Console</t>
  </si>
  <si>
    <t>Atalla</t>
  </si>
  <si>
    <t>TEC0244</t>
  </si>
  <si>
    <t>AntiDDoS Radware</t>
  </si>
  <si>
    <t>TEC0498</t>
  </si>
  <si>
    <t>A partir de la ejecución de Junio se considera los impuestos no recuperables</t>
  </si>
  <si>
    <t>Deep Security</t>
  </si>
  <si>
    <t>TEC0507</t>
  </si>
  <si>
    <t>Considera Renovación en Diciembre</t>
  </si>
  <si>
    <t>DecisionCLoud</t>
  </si>
  <si>
    <t>TEC0521</t>
  </si>
  <si>
    <t>Pagos variables, se presupuesto un valor mayor al monto del nuevo contrato</t>
  </si>
  <si>
    <t>Detect ID</t>
  </si>
  <si>
    <t>TEC0645</t>
  </si>
  <si>
    <t>Facephi</t>
  </si>
  <si>
    <t>TEC0648</t>
  </si>
  <si>
    <t>Akamai WAF</t>
  </si>
  <si>
    <t>TEC0653</t>
  </si>
  <si>
    <t>Valor de presupuesto recortada, se realizó una reasignacion de azure a waf ($93,356,01)</t>
  </si>
  <si>
    <t>Cortex Cloud</t>
  </si>
  <si>
    <t>TEC0655</t>
  </si>
  <si>
    <t>Se realizó el pago en  junio, tambien hubo una reasigancion de $2.056 de los servidores HP ($257,01  desde mayo se sumo al presupuesto)</t>
  </si>
  <si>
    <t>Netskope</t>
  </si>
  <si>
    <t>TEC0770</t>
  </si>
  <si>
    <t>Proofpoint</t>
  </si>
  <si>
    <t>TEC0771</t>
  </si>
  <si>
    <t>Se tenia 2 lineas, se proyecto las 2 lineas en una, el TAM ya fue pagado y el valor va sobrando, valor restante se reasignará al EA de Cisco</t>
  </si>
  <si>
    <t>Crowdstrike</t>
  </si>
  <si>
    <t>TEC0772</t>
  </si>
  <si>
    <t>Se realizó reduccion de presupuesto</t>
  </si>
  <si>
    <t>Forcepoint DLP</t>
  </si>
  <si>
    <t>TEC0773</t>
  </si>
  <si>
    <t>Biocatch</t>
  </si>
  <si>
    <t>TEC0855</t>
  </si>
  <si>
    <t>Presupuesto reducido desde noviembre</t>
  </si>
  <si>
    <t>360 Brand Guardian</t>
  </si>
  <si>
    <t>TEC0912</t>
  </si>
  <si>
    <t>Seguridad Perimetral Firewall Nube</t>
  </si>
  <si>
    <t>TEC0919</t>
  </si>
  <si>
    <t>Snyk/StackHawk</t>
  </si>
  <si>
    <t>TEC0940</t>
  </si>
  <si>
    <t>Tenable</t>
  </si>
  <si>
    <t>TEC0995</t>
  </si>
  <si>
    <t>Security Scorecard</t>
  </si>
  <si>
    <t>TEC1002</t>
  </si>
  <si>
    <t>Valor correspondiente a BP, $8310.51 lo paga D1</t>
  </si>
  <si>
    <t>KnowBe4</t>
  </si>
  <si>
    <t>TEC1003</t>
  </si>
  <si>
    <t>No se renovó, presupuesto se reasigno a Servicios IAM</t>
  </si>
  <si>
    <t>Firemon</t>
  </si>
  <si>
    <t>TEC1021</t>
  </si>
  <si>
    <t>Cyberark</t>
  </si>
  <si>
    <t>TEC1030</t>
  </si>
  <si>
    <t>Contrato se renueva en Noviembre y no estuvo en presupuesto la renovacion</t>
  </si>
  <si>
    <t>Keeper Security</t>
  </si>
  <si>
    <t>TEC1097</t>
  </si>
  <si>
    <t>No se renueva, probable reasignación a EA de Cisco</t>
  </si>
  <si>
    <t>Colector de Eventos SOC (NXLog)</t>
  </si>
  <si>
    <t>TEC1108</t>
  </si>
  <si>
    <t>Correlacionador de Eventos SOC (SPLUNK)</t>
  </si>
  <si>
    <t>TEC1113</t>
  </si>
  <si>
    <t>Recorte de presupuesto para Noviembre y Diciembre</t>
  </si>
  <si>
    <t>Optimizador de Eventos SOC (ORXLog)</t>
  </si>
  <si>
    <t>TEC1419</t>
  </si>
  <si>
    <t>Gestión Identidades (WSO2)</t>
  </si>
  <si>
    <t>TEC1119</t>
  </si>
  <si>
    <t>No se ha pagado aún WSO2</t>
  </si>
  <si>
    <t>Darktrace</t>
  </si>
  <si>
    <t>TEC1195</t>
  </si>
  <si>
    <t>Diferencia corresponde a Pago de ISD</t>
  </si>
  <si>
    <t>Kriptos</t>
  </si>
  <si>
    <t>TEC1412</t>
  </si>
  <si>
    <t>Octopus</t>
  </si>
  <si>
    <t>TEC1513</t>
  </si>
  <si>
    <t>IPS CISCO</t>
  </si>
  <si>
    <t>TEC1817</t>
  </si>
  <si>
    <t>linea nueva HTOM</t>
  </si>
  <si>
    <t>linea nueva</t>
  </si>
  <si>
    <t>Se realiza ajuste en agosto de ejecución realizada en julio, se amortiza desde febrero</t>
  </si>
  <si>
    <t>Stealthwatch</t>
  </si>
  <si>
    <t>Se realiza ajuste en agosto de ejecución realizada en julio</t>
  </si>
  <si>
    <t>TEC1818</t>
  </si>
  <si>
    <t>linea nueva Licencia y Soporte Cisco</t>
  </si>
  <si>
    <t>Incluido impuestos no recuperables</t>
  </si>
  <si>
    <t>Cisco SmartNet</t>
  </si>
  <si>
    <t>TEC1282</t>
  </si>
  <si>
    <t>Licenciamiento E5</t>
  </si>
  <si>
    <t>AMO0065</t>
  </si>
  <si>
    <t>Falta amortizacion de enero se lo debe visualizar, error del sistema</t>
  </si>
  <si>
    <t>Catalogo IPs</t>
  </si>
  <si>
    <t>TEC0718</t>
  </si>
  <si>
    <t>VideoWall</t>
  </si>
  <si>
    <t>TEC1483</t>
  </si>
  <si>
    <t>Licencias Microsoft RDP</t>
  </si>
  <si>
    <t>TEC1509</t>
  </si>
  <si>
    <t>Validar</t>
  </si>
  <si>
    <t>TOTALES</t>
  </si>
  <si>
    <t>Ene-Presup-Comentario</t>
  </si>
  <si>
    <t>Ene-Ejec-Comentario</t>
  </si>
  <si>
    <t>Feb-Presup-Comentario</t>
  </si>
  <si>
    <t>Feb-Ejec-Comentario</t>
  </si>
  <si>
    <t>Mar-Presup-Comentario</t>
  </si>
  <si>
    <t>Mar-Ejec-Comentario</t>
  </si>
  <si>
    <t>Abr-Presup-Comentario</t>
  </si>
  <si>
    <t>Abr-Ejec-Comentario</t>
  </si>
  <si>
    <t>May-Presup-Comentario</t>
  </si>
  <si>
    <t>May-Ejec-Comentario</t>
  </si>
  <si>
    <t>Jun-Presup-Comentario</t>
  </si>
  <si>
    <t>Jun-Ejec-Comentario</t>
  </si>
  <si>
    <t>Jul-Presup-Comentario</t>
  </si>
  <si>
    <t>Jul-Ejec-Comentario</t>
  </si>
  <si>
    <t>Ago-Presup-Comentario</t>
  </si>
  <si>
    <t>AGO-Ejec-Comentario</t>
  </si>
  <si>
    <t>Sep-Presup-Comentario</t>
  </si>
  <si>
    <t>SEP-Ejec-PROYECT-Comentario</t>
  </si>
  <si>
    <t>Oct-Presup-Comentario</t>
  </si>
  <si>
    <t>OCT-Ejec-PROYECT-Comentario</t>
  </si>
  <si>
    <t>Nov-Presup-Comentario</t>
  </si>
  <si>
    <t>NOV-Ejec-PROYECT-Comentario</t>
  </si>
  <si>
    <t>Dic-Presup-Comentario</t>
  </si>
  <si>
    <t>DIC-Ejec-PROYECT-Comentario</t>
  </si>
  <si>
    <t>Se resto del valor la Multa + nota de credito por facturacion de mas (-$49.112,93)</t>
  </si>
  <si>
    <t>En Archivo de Finanzas existe un valor adicional que de $130.000 provisiones que se suma al valor actual</t>
  </si>
  <si>
    <t>Se realizo una reasignación desde esta cuenta al EA CIsco por $53919,32</t>
  </si>
  <si>
    <t>Se registra en archivo de Finanzas esta ejecución como SP. PROVISIONES CONTROL FINANCIERO</t>
  </si>
  <si>
    <t>Proyección pago restante</t>
  </si>
  <si>
    <t>Verificar valor, en archivo de finanzas no se lo tiene mapeado la ejecución</t>
  </si>
  <si>
    <t>No se registra ejecución en este periodo en el archivo de Finanzas</t>
  </si>
  <si>
    <t>Se paga acumulado junio y julio</t>
  </si>
  <si>
    <t>Ejecución de Enero, Febrero</t>
  </si>
  <si>
    <t>En ejecucion se considera los impuestos no recuperables ($1405.14)</t>
  </si>
  <si>
    <t>Valor del presupuesto $19.852.35 + $10.372.89 (reasignacion de Azure $93.536,01/9)</t>
  </si>
  <si>
    <t>Presupuesto de nuevo Contrato</t>
  </si>
  <si>
    <t>Pago de Mayo y Junio</t>
  </si>
  <si>
    <t>No se registra Ejecución en archivo de Finanzas</t>
  </si>
  <si>
    <t>Registrado como Categoria: Depreciación y GL Contabilidad en el archivo de Finanzas</t>
  </si>
  <si>
    <t>Se tenia 2 lineas, se proyecto las 2 lineas en una, el TAM pagado y el valor va sobrando, valor restante se reasignar al EA de Cisco</t>
  </si>
  <si>
    <t>Reduccion de presupuesto</t>
  </si>
  <si>
    <t>Acumulado de presupuesto de Enero y Febrero</t>
  </si>
  <si>
    <t>Presupuesto Recortado</t>
  </si>
  <si>
    <t>Ejecución de Valor Menor al presupuestado</t>
  </si>
  <si>
    <t>Ejecución de Nuevo Contrato</t>
  </si>
  <si>
    <t>Existe Variacion de Presupuesto</t>
  </si>
  <si>
    <t>Existe Variacion de Presupuesto, no estuvo presupuestado</t>
  </si>
  <si>
    <t>No se ejecutará, Se reasignará</t>
  </si>
  <si>
    <t>Presupuesto acumulado desde marzo</t>
  </si>
  <si>
    <t>Corresponde a Primer pago anual + 3 meses de servicio mensual ($5200x3) -abril,mayo,junio</t>
  </si>
  <si>
    <t>Corresponde a Primer pago anual + 2 Mese de Servicio (Abril, Mayo) + ISD ($27186,65)</t>
  </si>
  <si>
    <t>Corresponde a dos meses de servicio (junio y julio) + impuesto no recuperable</t>
  </si>
  <si>
    <t>Se esta restando el impuesto no recuperable el 0,4 del 0,15 del total $5.200</t>
  </si>
  <si>
    <t>Esta sumado el impuesto no recuperable</t>
  </si>
  <si>
    <t>Pago de mayo, junio, julio</t>
  </si>
  <si>
    <t>Pago agosto septiembre, octubre</t>
  </si>
  <si>
    <t>Presupuesto Acumulado de 6 meses Feb a Jul</t>
  </si>
  <si>
    <t>Valores superiores a los que se deberia ejecutar en este periodo</t>
  </si>
  <si>
    <t>Por ajuste, en total de toda la linea de $-55.587,3 + $4632,27 (Incluido impuesto no recuperable)</t>
  </si>
  <si>
    <t>Incluido impuesto no recuperable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</si>
</sst>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$&quot;* #,##0.00_ ;_ &quot;$&quot;* \-#,##0.00_ ;_ &quot;$&quot;* &quot;-&quot;??_ ;_ @_ "/>
    <numFmt numFmtId="164" formatCode="&quot;$&quot;#,##0.00"/>
    <numFmt numFmtId="165" formatCode="0.0%"/>
    <numFmt numFmtId="166" formatCode="#.##000"/>
    <numFmt numFmtId="167" formatCode="#,000%"/>
  </numFmts>
  <fonts count="17"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9"/>
      <color rgb="FFFFFFFF"/>
      <name val="Calibri"/>
      <family val="2"/>
      <scheme val="minor"/>
    </font>
    <font>
      <b/>
      <sz val="9"/>
      <color theme="3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sz val="9"/>
      <name val="Calibri"/>
      <family val="2"/>
      <charset val="1"/>
    </font>
    <font>
      <b/>
      <sz val="11"/>
      <name val="Calibri"/>
      <family val="2"/>
      <scheme val="minor"/>
    </font>
    <font>
      <sz val="9"/>
      <color rgb="FF333333"/>
      <name val="Segoe UI"/>
      <charset val="1"/>
    </font>
    <font>
      <sz val="9"/>
      <color rgb="FF333333"/>
      <name val="Inherit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6"/>
        <bgColor rgb="FF333333"/>
      </patternFill>
    </fill>
    <fill>
      <patternFill patternType="solid">
        <fgColor theme="5" tint="0.39997558519241921"/>
        <bgColor rgb="FF333333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rgb="FF333333"/>
      </patternFill>
    </fill>
    <fill>
      <patternFill patternType="solid">
        <fgColor theme="9" tint="0.79998168889431442"/>
        <bgColor rgb="FF333333"/>
      </patternFill>
    </fill>
    <fill>
      <patternFill patternType="solid">
        <fgColor theme="7" tint="0.79998168889431442"/>
        <bgColor rgb="FF333333"/>
      </patternFill>
    </fill>
    <fill>
      <patternFill patternType="solid">
        <fgColor rgb="FF1F4E7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4" fontId="11" fillId="0" borderId="0" applyBorder="0" applyAlignment="0" applyProtection="0"/>
    <xf numFmtId="9" fontId="2" fillId="0" borderId="0" applyFont="0" applyFill="0" applyBorder="0" applyAlignment="0" applyProtection="0"/>
  </cellStyleXfs>
  <cellXfs count="6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0" fillId="0" borderId="1" xfId="0" applyFont="1" applyBorder="1" applyAlignment="1">
      <alignment horizontal="left" vertical="center" wrapText="1"/>
    </xf>
    <xf numFmtId="164" fontId="12" fillId="0" borderId="1" xfId="1" applyNumberFormat="1" applyFont="1" applyBorder="1" applyAlignment="1">
      <alignment horizontal="right" vertical="center"/>
    </xf>
    <xf numFmtId="164" fontId="13" fillId="0" borderId="1" xfId="1" applyNumberFormat="1" applyFont="1" applyBorder="1" applyAlignment="1">
      <alignment horizontal="right" vertical="center"/>
    </xf>
    <xf numFmtId="164" fontId="12" fillId="12" borderId="1" xfId="0" applyNumberFormat="1" applyFont="1" applyFill="1" applyBorder="1" applyAlignment="1">
      <alignment horizontal="right" vertical="center"/>
    </xf>
    <xf numFmtId="165" fontId="12" fillId="12" borderId="1" xfId="0" applyNumberFormat="1" applyFont="1" applyFill="1" applyBorder="1" applyAlignment="1">
      <alignment horizontal="right" vertical="center"/>
    </xf>
    <xf numFmtId="165" fontId="12" fillId="12" borderId="1" xfId="2" applyNumberFormat="1" applyFont="1" applyFill="1" applyBorder="1" applyAlignment="1">
      <alignment horizontal="right" vertical="center"/>
    </xf>
    <xf numFmtId="164" fontId="7" fillId="13" borderId="1" xfId="0" applyNumberFormat="1" applyFont="1" applyFill="1" applyBorder="1" applyAlignment="1">
      <alignment horizontal="right"/>
    </xf>
    <xf numFmtId="164" fontId="7" fillId="14" borderId="1" xfId="0" applyNumberFormat="1" applyFont="1" applyFill="1" applyBorder="1" applyAlignment="1">
      <alignment horizontal="right"/>
    </xf>
    <xf numFmtId="164" fontId="7" fillId="5" borderId="1" xfId="0" applyNumberFormat="1" applyFont="1" applyFill="1" applyBorder="1" applyAlignment="1">
      <alignment horizontal="right"/>
    </xf>
    <xf numFmtId="164" fontId="7" fillId="15" borderId="1" xfId="0" applyNumberFormat="1" applyFont="1" applyFill="1" applyBorder="1" applyAlignment="1">
      <alignment horizontal="right"/>
    </xf>
    <xf numFmtId="0" fontId="7" fillId="0" borderId="0" xfId="0" applyFont="1"/>
    <xf numFmtId="166" fontId="7" fillId="0" borderId="0" xfId="0" applyNumberFormat="1" applyFont="1"/>
    <xf numFmtId="0" fontId="5" fillId="0" borderId="0" xfId="0" applyFont="1"/>
    <xf numFmtId="167" fontId="7" fillId="0" borderId="0" xfId="0" applyNumberFormat="1" applyFont="1"/>
    <xf numFmtId="0" fontId="10" fillId="16" borderId="1" xfId="0" applyFont="1" applyFill="1" applyBorder="1" applyAlignment="1">
      <alignment horizontal="left" vertical="center" wrapText="1"/>
    </xf>
    <xf numFmtId="164" fontId="12" fillId="0" borderId="1" xfId="1" applyNumberFormat="1" applyFont="1" applyBorder="1" applyAlignment="1">
      <alignment horizontal="left" vertical="center"/>
    </xf>
    <xf numFmtId="0" fontId="7" fillId="0" borderId="3" xfId="0" applyFont="1" applyBorder="1"/>
    <xf numFmtId="167" fontId="7" fillId="0" borderId="3" xfId="0" applyNumberFormat="1" applyFont="1" applyBorder="1"/>
    <xf numFmtId="164" fontId="12" fillId="5" borderId="1" xfId="1" applyNumberFormat="1" applyFont="1" applyFill="1" applyBorder="1" applyAlignment="1">
      <alignment horizontal="right" vertical="center"/>
    </xf>
    <xf numFmtId="164" fontId="12" fillId="0" borderId="1" xfId="0" applyNumberFormat="1" applyFont="1" applyBorder="1" applyAlignment="1">
      <alignment horizontal="right" vertical="center"/>
    </xf>
    <xf numFmtId="164" fontId="7" fillId="0" borderId="0" xfId="0" applyNumberFormat="1" applyFont="1"/>
    <xf numFmtId="164" fontId="12" fillId="13" borderId="1" xfId="1" applyNumberFormat="1" applyFont="1" applyFill="1" applyBorder="1" applyAlignment="1">
      <alignment horizontal="right" vertical="center"/>
    </xf>
    <xf numFmtId="164" fontId="12" fillId="14" borderId="1" xfId="1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164" fontId="14" fillId="0" borderId="1" xfId="1" applyNumberFormat="1" applyFont="1" applyBorder="1" applyAlignment="1">
      <alignment horizontal="right" vertical="center"/>
    </xf>
    <xf numFmtId="164" fontId="14" fillId="12" borderId="1" xfId="0" applyNumberFormat="1" applyFont="1" applyFill="1" applyBorder="1" applyAlignment="1">
      <alignment horizontal="right" vertical="center"/>
    </xf>
    <xf numFmtId="165" fontId="14" fillId="12" borderId="1" xfId="0" applyNumberFormat="1" applyFont="1" applyFill="1" applyBorder="1" applyAlignment="1">
      <alignment horizontal="right" vertical="center"/>
    </xf>
    <xf numFmtId="165" fontId="14" fillId="12" borderId="1" xfId="2" applyNumberFormat="1" applyFont="1" applyFill="1" applyBorder="1" applyAlignment="1">
      <alignment horizontal="right" vertical="center"/>
    </xf>
    <xf numFmtId="164" fontId="1" fillId="13" borderId="1" xfId="0" applyNumberFormat="1" applyFont="1" applyFill="1" applyBorder="1" applyAlignment="1">
      <alignment horizontal="right"/>
    </xf>
    <xf numFmtId="0" fontId="1" fillId="0" borderId="0" xfId="0" applyFont="1"/>
    <xf numFmtId="164" fontId="12" fillId="0" borderId="0" xfId="1" applyNumberFormat="1" applyFont="1" applyAlignment="1">
      <alignment horizontal="right" vertical="center"/>
    </xf>
    <xf numFmtId="0" fontId="5" fillId="10" borderId="0" xfId="0" applyFont="1" applyFill="1" applyAlignment="1">
      <alignment horizontal="center" vertical="center" wrapText="1"/>
    </xf>
    <xf numFmtId="164" fontId="7" fillId="13" borderId="1" xfId="0" applyNumberFormat="1" applyFont="1" applyFill="1" applyBorder="1" applyAlignment="1">
      <alignment horizontal="left" wrapText="1"/>
    </xf>
    <xf numFmtId="164" fontId="12" fillId="13" borderId="1" xfId="1" applyNumberFormat="1" applyFont="1" applyFill="1" applyBorder="1" applyAlignment="1">
      <alignment horizontal="left" vertical="center" wrapText="1"/>
    </xf>
    <xf numFmtId="164" fontId="1" fillId="13" borderId="1" xfId="0" applyNumberFormat="1" applyFont="1" applyFill="1" applyBorder="1" applyAlignment="1">
      <alignment horizontal="left" wrapText="1"/>
    </xf>
    <xf numFmtId="164" fontId="7" fillId="14" borderId="1" xfId="0" applyNumberFormat="1" applyFont="1" applyFill="1" applyBorder="1" applyAlignment="1">
      <alignment horizontal="left" wrapText="1"/>
    </xf>
    <xf numFmtId="164" fontId="7" fillId="5" borderId="1" xfId="0" applyNumberFormat="1" applyFont="1" applyFill="1" applyBorder="1" applyAlignment="1">
      <alignment horizontal="left" wrapText="1"/>
    </xf>
    <xf numFmtId="164" fontId="12" fillId="14" borderId="1" xfId="1" applyNumberFormat="1" applyFont="1" applyFill="1" applyBorder="1" applyAlignment="1">
      <alignment horizontal="left" vertical="center" wrapText="1"/>
    </xf>
    <xf numFmtId="164" fontId="7" fillId="15" borderId="1" xfId="0" applyNumberFormat="1" applyFont="1" applyFill="1" applyBorder="1" applyAlignment="1">
      <alignment horizontal="left" wrapText="1"/>
    </xf>
    <xf numFmtId="164" fontId="7" fillId="15" borderId="0" xfId="0" applyNumberFormat="1" applyFont="1" applyFill="1" applyAlignment="1">
      <alignment horizontal="left" wrapText="1"/>
    </xf>
    <xf numFmtId="164" fontId="1" fillId="13" borderId="0" xfId="0" applyNumberFormat="1" applyFont="1" applyFill="1" applyAlignment="1">
      <alignment horizontal="left" wrapText="1"/>
    </xf>
    <xf numFmtId="0" fontId="15" fillId="0" borderId="0" xfId="0" applyFont="1"/>
    <xf numFmtId="0" fontId="15" fillId="5" borderId="0" xfId="0" applyFont="1" applyFill="1"/>
    <xf numFmtId="0" fontId="16" fillId="5" borderId="0" xfId="0" applyFont="1" applyFill="1" applyAlignment="1">
      <alignment wrapText="1"/>
    </xf>
    <xf numFmtId="0" fontId="10" fillId="5" borderId="1" xfId="0" applyFont="1" applyFill="1" applyBorder="1" applyAlignment="1">
      <alignment horizontal="left" vertical="center" wrapText="1"/>
    </xf>
    <xf numFmtId="0" fontId="7" fillId="5" borderId="0" xfId="0" applyFont="1" applyFill="1"/>
  </cellXfs>
  <cellStyles count="3">
    <cellStyle name="Moneda" xfId="1" builtinId="4"/>
    <cellStyle name="Normal" xfId="0" builtinId="0"/>
    <cellStyle name="Porcentaje" xfId="2" builtinId="5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ichincha-my.sharepoint.com/personal/mafalcon_pichincha_com/Documents/Documentos/ING%20SEG/CONTRATOS/BZGC240002442%20Admin%20Plataformas/matriz%20final%20contrato%20adminitracion%20plataformas.xlsx" TargetMode="External"/><Relationship Id="rId1" Type="http://schemas.openxmlformats.org/officeDocument/2006/relationships/externalLinkPath" Target="https://pichincha-my.sharepoint.com/personal/mafalcon_pichincha_com/Documents/Documentos/ING%20SEG/CONTRATOS/BZGC240002442%20Admin%20Plataformas/matriz%20final%20contrato%20adminitracion%20plataform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cio Adenda Con Nuevas Pla "/>
      <sheetName val="Precio Adenda Sin Nuevas Plat"/>
      <sheetName val="Precios Transición  AMELIA"/>
      <sheetName val="Precios Transición  FF"/>
      <sheetName val="Hoja1"/>
      <sheetName val="FACTURACION SEP 25"/>
      <sheetName val="FACTURACIÓN OCT 25"/>
      <sheetName val="FACTURACIÓN NOV 25"/>
      <sheetName val="FACTURACIÓN DIC 25"/>
      <sheetName val="FACTURACIÓN ENE 26"/>
      <sheetName val="MATRIZ ADENDA SIMPLE"/>
      <sheetName val="MATRIZ ADENDA V1"/>
      <sheetName val="MATRIZ ADENDA V2"/>
      <sheetName val="FACT FEB 26 (2)"/>
      <sheetName val="FACT JUN 26"/>
      <sheetName val="FACT JUL 26"/>
      <sheetName val="PROYECCIÓN 2026 2027 2028"/>
      <sheetName val="MATRIZ DESPUES ADENDA"/>
      <sheetName val="FACTURACIÓN FEB 26"/>
      <sheetName val="recursos asignados"/>
      <sheetName val="Precios Contrato "/>
      <sheetName val="propuesta ahorro"/>
      <sheetName val="registro pagos"/>
      <sheetName val="F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3">
          <cell r="AE53">
            <v>123193.72049093814</v>
          </cell>
          <cell r="AH53">
            <v>129546.68797963513</v>
          </cell>
          <cell r="AK53">
            <v>129546.68797963513</v>
          </cell>
          <cell r="AN53">
            <v>129546.68797963513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ILVA VIZCARRA DAVID FERNANDO" id="{3D7510F0-CCAC-4598-9BDC-D04A78666CAE}" userId="S::dfsilvav@pichincha.com::d27b7220-acd5-4710-b42e-417decea16d7" providerId="AD"/>
  <person displayName="FALCONI NORIEGA MARCO FABRICIO" id="{C1BA7411-6E02-4A69-9C21-84B4A7F4CB84}" userId="S::mafalcon@pichincha.com::4e40f65f-4820-4b7d-b5ae-431216b59aa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Y1" dT="2026-09-04T16:51:15.32" personId="{C1BA7411-6E02-4A69-9C21-84B4A7F4CB84}" id="{B60C0220-8A56-4389-8758-29E0F8816FF1}">
    <text>DESDOBLAMIENTO DE LÍNEAS CISCO — 04/09/2026
Solicitado por M. Falconi
Las líneas TEC1817, TEC1818 y TEC0610 se dividieron en 3 componentes: IPS, Stealthwatch (SNA) e ISE.
Los valores mensuales originales (N:AK) se conservan en la zona de respaldo BG3:CD5 y cada fila hija los multiplica por su porcentaje normalizado (columna BD).
Así la suma de los 3 componentes reproduce exactamente el importe original de cada línea.</text>
  </threadedComment>
  <threadedComment ref="BE1" dT="2026-09-04T16:51:15.36" personId="{C1BA7411-6E02-4A69-9C21-84B4A7F4CB84}" id="{BA5AB311-25F2-4D1F-971A-F16438178448}">
    <text>Copia estática de los valores mensuales que tenían las filas originales antes del desdoblamiento:
Fila 3 = TEC1817 | Fila 4 = TEC1818 | Fila 5 = TEC0610
No borrar: las filas hijas dependen de estas celdas.</text>
  </threadedComment>
  <threadedComment ref="U2" dT="2026-09-10T16:39:41.68" personId="{3D7510F0-CCAC-4598-9BDC-D04A78666CAE}" id="{A6EB4637-7669-4C40-BCBA-1E6DE8CFBD74}">
    <text>Se resto del valor la Multa + nota de credito por facturacion de mas (-49112,93)</text>
  </threadedComment>
  <threadedComment ref="W2" dT="2026-09-15T17:39:26.42" personId="{3D7510F0-CCAC-4598-9BDC-D04A78666CAE}" id="{A1A78B8E-F178-4A3D-B0C6-CD9D81D4C10A}">
    <text xml:space="preserve">En Archivo de Finanzas existe un valor adicional que de $130.000 provisiones que se suma al valor actual
</text>
  </threadedComment>
  <threadedComment ref="Z2" dT="2026-08-28T17:07:40.96" personId="{3D7510F0-CCAC-4598-9BDC-D04A78666CAE}" id="{0A6C4ED8-8643-4210-895D-4BE5385E458B}">
    <text>Se realizo una reasignación de $53919,32</text>
  </threadedComment>
  <threadedComment ref="W3" dT="2026-09-15T17:46:30.16" personId="{3D7510F0-CCAC-4598-9BDC-D04A78666CAE}" id="{D4EAD7E2-AF78-415A-94E5-D9FCA2BF8AAF}">
    <text>$47.700, se tiene un valor de provisiones en la linea de presupuesto general</text>
  </threadedComment>
  <threadedComment ref="BA5" dT="2026-09-04T16:51:15.34" personId="{C1BA7411-6E02-4A69-9C21-84B4A7F4CB84}" id="{2CF9296D-6657-430E-A851-1561D9052FE2}">
    <text>Porcentajes indicados por el usuario para TEC0610:
IPS 56,03% | SNA 34,60% | ISE 9,36%
Suman 99,99%, no 100%.
Por eso la columna BD normaliza cada valor dividiéndolo entre la suma del grupo (99,99%), evitando que queden ~$33 sin asignar.</text>
  </threadedComment>
  <threadedComment ref="BA8" dT="2026-09-04T16:51:15.35" personId="{C1BA7411-6E02-4A69-9C21-84B4A7F4CB84}" id="{B8C48682-0AD3-464D-9310-8971BE9AA0CB}">
    <text>Porcentajes indicados por el usuario para TEC1817 y TEC1818:
IPS 62,62% | SNA 21,90% | ISE 15,48%
Suman exactamente 100%, la normalización no altera los valores.</text>
  </threadedComment>
  <threadedComment ref="AK15" dT="2026-09-04T17:47:00.94" personId="{C1BA7411-6E02-4A69-9C21-84B4A7F4CB84}" id="{550C4761-7C48-4A19-BBA7-41AD546D8EEA}">
    <text>se pasa a Cyberark</text>
  </threadedComment>
  <threadedComment ref="O17" dT="2026-09-16T22:46:58.38" personId="{3D7510F0-CCAC-4598-9BDC-D04A78666CAE}" id="{44446A3A-CEF0-4F3C-B4A0-48FD1E9BA683}">
    <text>Validar valor, en archivo finanzas no se lo tiene</text>
  </threadedComment>
  <threadedComment ref="Z17" dT="2026-09-10T17:05:28.99" personId="{3D7510F0-CCAC-4598-9BDC-D04A78666CAE}" id="{70BD2026-BA85-4948-84DF-3DAB66C4BD37}">
    <text xml:space="preserve">Presupuesto se redujo a valor de 19174.41 se completo con reasignacion desde Desarrollo seguro  89500/6 = 14870 </text>
  </threadedComment>
  <threadedComment ref="B18" dT="2026-09-04T17:51:58.57" personId="{C1BA7411-6E02-4A69-9C21-84B4A7F4CB84}" id="{503729BB-5FA3-49AA-B710-89EBF57AB2BB}">
    <text xml:space="preserve">hardware
</text>
  </threadedComment>
  <threadedComment ref="AA18" dT="2026-09-15T17:18:42.32" personId="{3D7510F0-CCAC-4598-9BDC-D04A78666CAE}" id="{84C6D172-2FE1-49C2-89BE-1685B0B0E9F4}">
    <text>Se paga acumulado junio y julio</text>
  </threadedComment>
  <threadedComment ref="Y23" dT="2026-09-10T22:09:08.31" personId="{3D7510F0-CCAC-4598-9BDC-D04A78666CAE}" id="{E32AE676-5AC2-4F12-914D-9108994D6982}">
    <text>En ejecucion se considera los impuestos ($1405.14)</text>
  </threadedComment>
  <threadedComment ref="O27" dT="2026-09-16T22:55:32.68" personId="{3D7510F0-CCAC-4598-9BDC-D04A78666CAE}" id="{2FB91F05-93AE-4EED-8C9D-FBD8BE121E2C}">
    <text>Verificar valor, archivo de SAP no cuneta con esta ejecucion</text>
  </threadedComment>
  <threadedComment ref="T28" dT="2026-09-10T22:49:26.84" personId="{3D7510F0-CCAC-4598-9BDC-D04A78666CAE}" id="{0FEF6048-F923-4976-80DA-73B77AEDB197}">
    <text>Valor del presupuesto $19.852.35 + $10.372.89 (reasignacion de Azure $93.536,01/9)</text>
  </threadedComment>
  <threadedComment ref="V29" dT="2026-09-11T14:17:31.54" personId="{3D7510F0-CCAC-4598-9BDC-D04A78666CAE}" id="{9172A3F4-BBC2-4F29-AF63-CEC067FCBEDD}">
    <text>Nuevo contrato</text>
  </threadedComment>
  <threadedComment ref="Y29" dT="2026-09-10T22:53:29.99" personId="{3D7510F0-CCAC-4598-9BDC-D04A78666CAE}" id="{2615AE9D-4611-4424-99C0-FD806B7E1E27}">
    <text>Pago de Mayo y Junio</text>
  </threadedComment>
  <threadedComment ref="R34" dT="2026-09-11T14:53:18.14" personId="{3D7510F0-CCAC-4598-9BDC-D04A78666CAE}" id="{54A45316-DDCC-47F5-8FC1-C1E25142B169}">
    <text>Acumulado de presupuesto de Enero  y Febrero</text>
  </threadedComment>
  <threadedComment ref="O38" dT="2026-09-16T17:13:54.08" personId="{3D7510F0-CCAC-4598-9BDC-D04A78666CAE}" id="{A201BB66-9F51-489F-9454-CA63AC8204A0}">
    <text>No registra este valor en ejecucion de finanzas, validar valor de ejecucion</text>
  </threadedComment>
  <threadedComment ref="S38" dT="2026-09-16T17:11:08.47" personId="{3D7510F0-CCAC-4598-9BDC-D04A78666CAE}" id="{C499571A-71BF-4804-9203-9E6C0FBA1A68}">
    <text>Nuevo contrato</text>
  </threadedComment>
  <threadedComment ref="Y39" dT="2026-09-15T13:55:01.90" personId="{3D7510F0-CCAC-4598-9BDC-D04A78666CAE}" id="{751CC863-65C9-428F-AD8D-4471733D9D32}">
    <text>Valor correspondiente a BP, $8310.51 lo paga D1</text>
  </threadedComment>
  <threadedComment ref="O47" dT="2026-09-16T17:47:25.09" personId="{3D7510F0-CCAC-4598-9BDC-D04A78666CAE}" id="{DB81C68C-4A6D-431B-B603-E93600181EEB}">
    <text>Validar valor debido que archivo de finanzas no registra valor de enero</text>
  </threadedComment>
  <threadedComment ref="Z47" dT="2026-09-16T17:49:05.75" personId="{3D7510F0-CCAC-4598-9BDC-D04A78666CAE}" id="{9950E991-6B1F-4CB2-A842-238C24AB69C5}">
    <text>Presupuesto desde acumulado desde marzo</text>
  </threadedComment>
  <threadedComment ref="X48" dT="2026-09-15T14:25:29.61" personId="{3D7510F0-CCAC-4598-9BDC-D04A78666CAE}" id="{737A1E7F-D55E-4CE9-A3EA-656B44115E1F}">
    <text>Corresponde a Primer pago anual + 3 meses de servicio mensual ($5200x3) -abril,mayo,junio</text>
  </threadedComment>
  <threadedComment ref="Y48" dT="2026-09-15T14:38:35.65" personId="{3D7510F0-CCAC-4598-9BDC-D04A78666CAE}" id="{34DD0B5E-9F68-4E38-A3F0-4756714A6849}">
    <text>Corresponde a Primer pago anual + 2 Mese de Servicio (Abril, Mayo) + ISD ($27186,65)</text>
  </threadedComment>
  <threadedComment ref="AA48" dT="2026-09-16T20:19:19.62" personId="{3D7510F0-CCAC-4598-9BDC-D04A78666CAE}" id="{1F23D1C4-AF34-4AB1-A9E0-ADEEF02DB86E}">
    <text>Corresponde a dos meses de servicio (junio y julio) + impuesto no recuperable</text>
  </threadedComment>
  <threadedComment ref="AC48" dT="2026-09-16T20:24:32.77" personId="{3D7510F0-CCAC-4598-9BDC-D04A78666CAE}" id="{24FD36C7-D534-4CC0-BA3D-6A18F25BF359}">
    <text>Se  esta restando el impuesto no recuperable el 0,4 del 0,15 del total $5.200</text>
  </threadedComment>
  <threadedComment ref="AC49" dT="2026-09-16T20:55:56.52" personId="{3D7510F0-CCAC-4598-9BDC-D04A78666CAE}" id="{85E98085-B120-401B-9940-624E6C91EAFE}">
    <text xml:space="preserve">Esta sumado el impuesto no recuperable
</text>
  </threadedComment>
  <threadedComment ref="W50" dT="2026-09-16T20:37:46.84" personId="{3D7510F0-CCAC-4598-9BDC-D04A78666CAE}" id="{2FBE4E70-4A9A-4D09-B14A-D6D75445F52D}">
    <text>Pago de mayo, junio, julio</text>
  </threadedComment>
  <threadedComment ref="AC50" dT="2026-09-16T20:40:04.50" personId="{3D7510F0-CCAC-4598-9BDC-D04A78666CAE}" id="{4C8CF433-442A-45B7-8BED-66CFD838C683}">
    <text>Pago agosto septiembre, octubre</text>
  </threadedComment>
  <threadedComment ref="A51" dT="2026-09-04T16:51:15.37" personId="{C1BA7411-6E02-4A69-9C21-84B4A7F4CB84}" id="{E00C0D55-FBB3-40B7-8B4B-BE6E869CF595}">
    <text>TEC1817 (IPS CISCO/ISE/Stealthwatch - HTOM) desdoblada en 3 componentes — 04/09/2026
Solicitado por M. Falconi
Reparto: IPS 62,62% | Stealthwatch (SNA) 21,90% | ISE 15,48%
Cada celda mensual = valor original (respaldo BG3:CD3) x % de la tabla BA4:BE10.</text>
  </threadedComment>
  <threadedComment ref="Z51" dT="2026-09-16T22:17:41.74" personId="{3D7510F0-CCAC-4598-9BDC-D04A78666CAE}" id="{448B51E2-0D19-45D6-85FE-146C9700588B}">
    <text>Presupuesto Acumulado de 6 meses Feb a Jul</text>
  </threadedComment>
  <threadedComment ref="AC51" dT="2026-09-16T20:58:13.04" personId="{3D7510F0-CCAC-4598-9BDC-D04A78666CAE}" id="{277F6E60-165B-4020-99F0-D57459F8C104}">
    <text xml:space="preserve">Por ajuste, en total de toda la linea de $-55.587,3 + $4632,27 (Incluido impuesto no recuperable)
</text>
  </threadedComment>
  <threadedComment ref="Z52" dT="2026-09-16T22:17:46.67" personId="{3D7510F0-CCAC-4598-9BDC-D04A78666CAE}" id="{BC7082E9-232A-4E5A-B584-084E5DFA621F}">
    <text>Presupuesto Acumulado de 6 meses Feb a Jul</text>
  </threadedComment>
  <threadedComment ref="AC52" dT="2026-09-16T20:58:39.98" personId="{3D7510F0-CCAC-4598-9BDC-D04A78666CAE}" id="{43B2C169-9595-4E79-A49E-F6B56A994AC4}">
    <text>Por ajuste, en total de toda la linea de $-55.587,3</text>
  </threadedComment>
  <threadedComment ref="Z53" dT="2026-09-16T22:17:51.33" personId="{3D7510F0-CCAC-4598-9BDC-D04A78666CAE}" id="{52F155AD-7414-4B80-8598-85E9A32B7EF2}">
    <text>Presupuesto Acumulado de 6 meses Feb a Jul</text>
  </threadedComment>
  <threadedComment ref="AC53" dT="2026-09-16T20:58:45.08" personId="{3D7510F0-CCAC-4598-9BDC-D04A78666CAE}" id="{27A5CBF3-722C-43E2-903A-6641A43E3B66}">
    <text>Por ajuste, en total de toda la linea de $-55.587,3</text>
  </threadedComment>
  <threadedComment ref="A54" dT="2026-09-04T16:51:15.38" personId="{C1BA7411-6E02-4A69-9C21-84B4A7F4CB84}" id="{0C3C9E48-AB32-4507-B0E1-054C8AE03171}">
    <text>TEC1818 (IPS CISCO/ISE/Stealthwatch - Licencia y Soporte Cisco) desdoblada en 3 componentes — 04/09/2026
Solicitado por M. Falconi
Reparto: IPS 62,62% | Stealthwatch (SNA) 21,90% | ISE 15,48%
Cada celda mensual = valor original (respaldo BG4:CD4) x % de la tabla BA4:BE10.
Nota: el Jul-Presup original venía de la fórmula =AB52*6 ($192.183,60); ese importe ya resuelto es el que se repartió.</text>
  </threadedComment>
  <threadedComment ref="AA54" dT="2026-09-16T21:13:20.49" personId="{3D7510F0-CCAC-4598-9BDC-D04A78666CAE}" id="{CA05D8AC-046C-464A-9D1B-3112966D6B89}">
    <text>Incluido impuesto no recuperable</text>
  </threadedComment>
  <threadedComment ref="AC54" dT="2026-09-16T21:10:47.52" personId="{3D7510F0-CCAC-4598-9BDC-D04A78666CAE}" id="{92FA488F-9C97-4DC6-B470-30CEAAA46442}">
    <text>Incluido impuesto no recuperable</text>
  </threadedComment>
  <threadedComment ref="AA55" dT="2026-09-16T21:13:25.61" personId="{3D7510F0-CCAC-4598-9BDC-D04A78666CAE}" id="{32073D5F-DBAC-45C4-A22E-20E870204E8C}">
    <text>Incluido impuesto no recuperable</text>
  </threadedComment>
  <threadedComment ref="AC55" dT="2026-09-16T21:10:50.95" personId="{3D7510F0-CCAC-4598-9BDC-D04A78666CAE}" id="{74AE151B-70BF-49B2-B096-3B9A13BC6368}">
    <text>Incluido impuesto no recuperable</text>
  </threadedComment>
  <threadedComment ref="AA56" dT="2026-09-16T21:13:30.02" personId="{3D7510F0-CCAC-4598-9BDC-D04A78666CAE}" id="{6C68C2F8-917B-499A-9373-57D113F9001A}">
    <text>Incluido impuesto no recuperable</text>
  </threadedComment>
  <threadedComment ref="AC56" dT="2026-09-16T21:10:54.43" personId="{3D7510F0-CCAC-4598-9BDC-D04A78666CAE}" id="{54948E1E-6C0D-4776-8E50-39C5D2C025C7}">
    <text>Incluido impuesto no recuperable</text>
  </threadedComment>
  <threadedComment ref="E57" dT="2026-09-02T20:42:18.12" personId="{C1BA7411-6E02-4A69-9C21-84B4A7F4CB84}" id="{56A802C7-FF94-471C-BF00-456506D876DA}">
    <text xml:space="preserve">Se reasigna a la nueva linea tec1818
</text>
  </threadedComment>
  <threadedComment ref="A58" dT="2026-09-04T16:51:15.39" personId="{C1BA7411-6E02-4A69-9C21-84B4A7F4CB84}" id="{64737DC9-D6F7-4603-B288-155A1AC3C709}">
    <text>TEC0610 (Cisco EA) desdoblada en 3 componentes — 04/09/2026
Solicitado por M. Falconi
Reparto indicado: IPS 56,03% | Stealthwatch (SNA) 34,60% | ISE 9,36% (suman 99,99%).
Se normalizaron los porcentajes (BD5:BD7) para que el desglose cuadre al 100% con el original.
Aquí C y D sí eran numéricos, por lo que también se repartieron:
PPTO SOLICITADO $411.619,98 y PPTO APROBADO $333.795,40.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W1" dT="2026-09-04T16:51:15.32" personId="{C1BA7411-6E02-4A69-9C21-84B4A7F4CB84}" id="{CD913606-BC61-437B-9F79-664AF33DA5DF}">
    <text>DESDOBLAMIENTO DE LÍNEAS CISCO — 04/09/2026
Solicitado por M. Falconi
Las líneas TEC1817, TEC1818 y TEC0610 se dividieron en 3 componentes: IPS, Stealthwatch (SNA) e ISE.
Los valores mensuales originales (N:AK) se conservan en la zona de respaldo BG3:CD5 y cada fila hija los multiplica por su porcentaje normalizado (columna BD).
Así la suma de los 3 componentes reproduce exactamente el importe original de cada línea.</text>
  </threadedComment>
  <threadedComment ref="CC1" dT="2026-09-04T16:51:15.36" personId="{C1BA7411-6E02-4A69-9C21-84B4A7F4CB84}" id="{E58030E3-2428-48A6-9FA7-67250408C7FF}">
    <text>Copia estática de los valores mensuales que tenían las filas originales antes del desdoblamiento:
Fila 3 = TEC1817 | Fila 4 = TEC1818 | Fila 5 = TEC0610
No borrar: las filas hijas dependen de estas celdas.</text>
  </threadedComment>
  <threadedComment ref="AB2" dT="2026-09-10T16:39:41.68" personId="{3D7510F0-CCAC-4598-9BDC-D04A78666CAE}" id="{99D49EE7-415A-466A-B45E-72902F346BA4}">
    <text>Se resto del valor la Multa + nota de credito por facturacion de mas (-49112,93)</text>
  </threadedComment>
  <threadedComment ref="AF2" dT="2026-09-15T17:39:26.42" personId="{3D7510F0-CCAC-4598-9BDC-D04A78666CAE}" id="{3AC324B2-6D39-4A27-A21B-1ACFD73ABAF2}">
    <text xml:space="preserve">En Archivo de Finanzas existe un valor adicional que de $130.000 provisiones que se suma al valor actual
</text>
  </threadedComment>
  <threadedComment ref="AL2" dT="2026-08-28T17:07:40.96" personId="{3D7510F0-CCAC-4598-9BDC-D04A78666CAE}" id="{2E556760-93C6-4B28-8636-45C937B1347B}">
    <text>Se realizo una reasignación de $53919,32</text>
  </threadedComment>
  <threadedComment ref="AF3" dT="2026-09-15T17:46:30.16" personId="{3D7510F0-CCAC-4598-9BDC-D04A78666CAE}" id="{A8FDC567-E1EB-417B-9730-FBDA5A147782}">
    <text>$47.700, se tiene un valor de provisiones en la linea de presupuesto general</text>
  </threadedComment>
  <threadedComment ref="BY5" dT="2026-09-04T16:51:15.34" personId="{C1BA7411-6E02-4A69-9C21-84B4A7F4CB84}" id="{5C4DE0D8-9313-495F-9B1B-73BB5F2586FB}">
    <text>Porcentajes indicados por el usuario para TEC0610:
IPS 56,03% | SNA 34,60% | ISE 9,36%
Suman 99,99%, no 100%.
Por eso la columna BD normaliza cada valor dividiéndolo entre la suma del grupo (99,99%), evitando que queden ~$33 sin asignar.</text>
  </threadedComment>
  <threadedComment ref="BY8" dT="2026-09-04T16:51:15.35" personId="{C1BA7411-6E02-4A69-9C21-84B4A7F4CB84}" id="{D3159B41-6E75-4957-986F-0E3C54912DE1}">
    <text>Porcentajes indicados por el usuario para TEC1817 y TEC1818:
IPS 62,62% | SNA 21,90% | ISE 15,48%
Suman exactamente 100%, la normalización no altera los valores.</text>
  </threadedComment>
  <threadedComment ref="BH15" dT="2026-09-04T17:47:00.94" personId="{C1BA7411-6E02-4A69-9C21-84B4A7F4CB84}" id="{D84FF134-CB5E-47AB-95EC-6F9075A7A650}">
    <text>se pasa a Cyberark</text>
  </threadedComment>
  <threadedComment ref="P17" dT="2026-09-16T22:46:58.38" personId="{3D7510F0-CCAC-4598-9BDC-D04A78666CAE}" id="{5614DACD-F0C2-4A29-B177-6C5EA689441D}">
    <text>Validar valor, en archivo finanzas no se lo tiene</text>
  </threadedComment>
  <threadedComment ref="AL17" dT="2026-09-10T17:05:28.99" personId="{3D7510F0-CCAC-4598-9BDC-D04A78666CAE}" id="{DBF4B814-DE6A-4F96-9E40-DA56F0120769}">
    <text xml:space="preserve">Presupuesto se redujo a valor de 19174.41 se completo con reasignacion de Desarrollo seguro  89500/6 = 14870 </text>
  </threadedComment>
  <threadedComment ref="B18" dT="2026-09-04T17:51:58.57" personId="{C1BA7411-6E02-4A69-9C21-84B4A7F4CB84}" id="{DBDF0259-CC92-46A2-8CBA-80DC01C5EE7D}">
    <text xml:space="preserve">hardware
</text>
  </threadedComment>
  <threadedComment ref="AN18" dT="2026-09-15T17:18:42.32" personId="{3D7510F0-CCAC-4598-9BDC-D04A78666CAE}" id="{FDADB4B6-FB5C-406B-BA0E-0B3F6D4F2797}">
    <text>Se paga acumulado junio y julio</text>
  </threadedComment>
  <threadedComment ref="AJ23" dT="2026-09-10T22:09:08.31" personId="{3D7510F0-CCAC-4598-9BDC-D04A78666CAE}" id="{9AC92667-B4AC-483A-A7EE-A4BE00355D9A}">
    <text>En ejecucion se considera los impuestos ($1405.14)</text>
  </threadedComment>
  <threadedComment ref="P27" dT="2026-09-16T22:55:32.68" personId="{3D7510F0-CCAC-4598-9BDC-D04A78666CAE}" id="{966A3BDA-E5E4-4B5D-A065-50BB0A98C4DE}">
    <text>Verificar valor, archivo de SAP no cuneta con esta ejecucion</text>
  </threadedComment>
  <threadedComment ref="Z28" dT="2026-09-10T22:49:26.84" personId="{3D7510F0-CCAC-4598-9BDC-D04A78666CAE}" id="{D99EC1D8-DB55-4570-9B98-2B1749AFF364}">
    <text>Valor del presupuesto $19.852.35 + $10.372.89 (reasignacion de Azure $93.536,01/9)</text>
  </threadedComment>
  <threadedComment ref="AD29" dT="2026-09-11T14:17:31.54" personId="{3D7510F0-CCAC-4598-9BDC-D04A78666CAE}" id="{15379129-FE83-45A9-AADD-1ABC3310F06C}">
    <text>Nuevo contrato</text>
  </threadedComment>
  <threadedComment ref="AJ29" dT="2026-09-10T22:53:29.99" personId="{3D7510F0-CCAC-4598-9BDC-D04A78666CAE}" id="{6E54FD97-02C3-4947-AF75-2438E1B1EA2E}">
    <text>Pago de Mayo y Junio</text>
  </threadedComment>
  <threadedComment ref="V34" dT="2026-09-11T14:53:18.14" personId="{3D7510F0-CCAC-4598-9BDC-D04A78666CAE}" id="{C7DF978D-F876-41A2-991E-82FE51F120F2}">
    <text>Acumulado de presupuesto de Enero  y Febrero</text>
  </threadedComment>
  <threadedComment ref="P38" dT="2026-09-16T17:13:54.08" personId="{3D7510F0-CCAC-4598-9BDC-D04A78666CAE}" id="{EACD2FC1-4DD2-46B8-A640-B89074ED4B10}">
    <text>No registra este valor en ejecucion de finanzas, validar valor de ejecucion</text>
  </threadedComment>
  <threadedComment ref="X38" dT="2026-09-16T17:11:08.47" personId="{3D7510F0-CCAC-4598-9BDC-D04A78666CAE}" id="{2CEAD69F-33DD-40AF-9189-92B0082639FC}">
    <text>Nuevo contrato</text>
  </threadedComment>
  <threadedComment ref="AJ39" dT="2026-09-15T13:55:01.90" personId="{3D7510F0-CCAC-4598-9BDC-D04A78666CAE}" id="{B5EF8C58-408D-4F56-9C46-A6F2D11AE8CF}">
    <text>Valor correspondiente a BP, $8310.51 lo paga D1</text>
  </threadedComment>
  <threadedComment ref="P47" dT="2026-09-16T17:47:25.09" personId="{3D7510F0-CCAC-4598-9BDC-D04A78666CAE}" id="{B24F8C96-A486-4266-88CE-745CEF02F22D}">
    <text>Validar valor debido que archivo de finanzas no registra valor de enero</text>
  </threadedComment>
  <threadedComment ref="AL47" dT="2026-09-16T17:49:05.75" personId="{3D7510F0-CCAC-4598-9BDC-D04A78666CAE}" id="{FADF5911-2818-4506-AC27-810D6D793B98}">
    <text>Presupuesto desde acumulado desde marzo</text>
  </threadedComment>
  <threadedComment ref="AH48" dT="2026-09-15T14:25:29.61" personId="{3D7510F0-CCAC-4598-9BDC-D04A78666CAE}" id="{50A551EF-CBAF-4080-93E8-358AF614C7E9}">
    <text>Corresponde a Primer pago anual + 3 meses de servicio mensual ($5200x3) -abril,mayo,junio</text>
  </threadedComment>
  <threadedComment ref="AJ48" dT="2026-09-15T14:38:35.65" personId="{3D7510F0-CCAC-4598-9BDC-D04A78666CAE}" id="{BF34DE21-1642-424E-A1BE-BAEA401571D6}">
    <text>Corresponde a Primer pago anual + 2 Mese de Servicio (Abril, Mayo) + ISD ($27186,65)</text>
  </threadedComment>
  <threadedComment ref="AN48" dT="2026-09-16T20:19:19.62" personId="{3D7510F0-CCAC-4598-9BDC-D04A78666CAE}" id="{406F571B-2432-4027-86CA-0BF20D9C848E}">
    <text>Corresponde a dos meses de servicio (junio y julio) + impuesto no recuperable</text>
  </threadedComment>
  <threadedComment ref="AR48" dT="2026-09-16T20:24:32.77" personId="{3D7510F0-CCAC-4598-9BDC-D04A78666CAE}" id="{FAF446FB-652B-40B6-8E9A-A7A7297998E7}">
    <text>Se  esta restando el impuesto no recuperable el 0,4 del 0,15 del total $5.200</text>
  </threadedComment>
  <threadedComment ref="AR49" dT="2026-09-16T20:55:56.52" personId="{3D7510F0-CCAC-4598-9BDC-D04A78666CAE}" id="{1EA81F05-6C5C-497F-AE26-9D334BF61F3B}">
    <text xml:space="preserve">Esta sumado el impuesto no recuperable
</text>
  </threadedComment>
  <threadedComment ref="AF50" dT="2026-09-16T20:37:46.84" personId="{3D7510F0-CCAC-4598-9BDC-D04A78666CAE}" id="{19729131-F5FE-4109-B70D-35F9FFF1ACCA}">
    <text>Pago de mayo, junio, julio</text>
  </threadedComment>
  <threadedComment ref="AR50" dT="2026-09-16T20:40:04.50" personId="{3D7510F0-CCAC-4598-9BDC-D04A78666CAE}" id="{53244449-BB3E-4D08-B9D3-E38287A55931}">
    <text>Pago agosto septiembre, octubre</text>
  </threadedComment>
  <threadedComment ref="A51" dT="2026-09-04T16:51:15.37" personId="{C1BA7411-6E02-4A69-9C21-84B4A7F4CB84}" id="{9E59FFC0-27CD-4076-A8F7-E8C56493095C}">
    <text>TEC1817 (IPS CISCO/ISE/Stealthwatch - HTOM) desdoblada en 3 componentes — 04/09/2026
Solicitado por M. Falconi
Reparto: IPS 62,62% | Stealthwatch (SNA) 21,90% | ISE 15,48%
Cada celda mensual = valor original (respaldo BG3:CD3) x % de la tabla BA4:BE10.</text>
  </threadedComment>
  <threadedComment ref="AL51" dT="2026-09-16T22:17:41.74" personId="{3D7510F0-CCAC-4598-9BDC-D04A78666CAE}" id="{A1810A63-C776-4E48-982D-3B5B0F1724B2}">
    <text>Presupuesto Acumulado de 6 meses Feb a Jul</text>
  </threadedComment>
  <threadedComment ref="AR51" dT="2026-09-16T20:58:13.04" personId="{3D7510F0-CCAC-4598-9BDC-D04A78666CAE}" id="{0B910F28-F5D4-4922-8525-4A3BF07069C0}">
    <text xml:space="preserve">Por ajuste, en total de toda la linea de $-55.587,3 + $4632,27 (Incluido impuesto no recuperable)
</text>
  </threadedComment>
  <threadedComment ref="AL52" dT="2026-09-16T22:17:46.67" personId="{3D7510F0-CCAC-4598-9BDC-D04A78666CAE}" id="{B5B44526-B463-49BD-9E58-6185B89D1972}">
    <text>Presupuesto Acumulado de 6 meses Feb a Jul</text>
  </threadedComment>
  <threadedComment ref="AR52" dT="2026-09-16T20:58:39.98" personId="{3D7510F0-CCAC-4598-9BDC-D04A78666CAE}" id="{9A284C9E-736B-4242-B34D-8B2B993E9BBA}">
    <text>Por ajuste, en total de toda la linea de $-55.587,3</text>
  </threadedComment>
  <threadedComment ref="AL53" dT="2026-09-16T22:17:51.33" personId="{3D7510F0-CCAC-4598-9BDC-D04A78666CAE}" id="{72B87152-4983-481B-A437-758D4A083F90}">
    <text>Presupuesto Acumulado de 6 meses Feb a Jul</text>
  </threadedComment>
  <threadedComment ref="AR53" dT="2026-09-16T20:58:45.08" personId="{3D7510F0-CCAC-4598-9BDC-D04A78666CAE}" id="{C1B4F4B4-231F-422C-B382-7C2109263A4A}">
    <text>Por ajuste, en total de toda la linea de $-55.587,3</text>
  </threadedComment>
  <threadedComment ref="A54" dT="2026-09-04T16:51:15.38" personId="{C1BA7411-6E02-4A69-9C21-84B4A7F4CB84}" id="{2C902684-ECCE-424C-AEB3-12EB24527963}">
    <text>TEC1818 (IPS CISCO/ISE/Stealthwatch - Licencia y Soporte Cisco) desdoblada en 3 componentes — 04/09/2026
Solicitado por M. Falconi
Reparto: IPS 62,62% | Stealthwatch (SNA) 21,90% | ISE 15,48%
Cada celda mensual = valor original (respaldo BG4:CD4) x % de la tabla BA4:BE10.
Nota: el Jul-Presup original venía de la fórmula =AB52*6 ($192.183,60); ese importe ya resuelto es el que se repartió.</text>
  </threadedComment>
  <threadedComment ref="AN54" dT="2026-09-16T21:13:20.49" personId="{3D7510F0-CCAC-4598-9BDC-D04A78666CAE}" id="{61473906-D9DB-4E93-A600-9713002C791C}">
    <text>Incluido impuesto no recuperable</text>
  </threadedComment>
  <threadedComment ref="AR54" dT="2026-09-16T21:10:47.52" personId="{3D7510F0-CCAC-4598-9BDC-D04A78666CAE}" id="{C82D1928-FBCF-4AD0-AAFA-34D1460D303F}">
    <text>Incluido impuesto no recuperable</text>
  </threadedComment>
  <threadedComment ref="AN55" dT="2026-09-16T21:13:25.61" personId="{3D7510F0-CCAC-4598-9BDC-D04A78666CAE}" id="{4FA88554-99DA-437E-9D55-98C7066A7332}">
    <text>Incluido impuesto no recuperable</text>
  </threadedComment>
  <threadedComment ref="AR55" dT="2026-09-16T21:10:50.95" personId="{3D7510F0-CCAC-4598-9BDC-D04A78666CAE}" id="{D791F24E-FCD3-4FBE-A9FD-978D900FA479}">
    <text>Incluido impuesto no recuperable</text>
  </threadedComment>
  <threadedComment ref="AN56" dT="2026-09-16T21:13:30.02" personId="{3D7510F0-CCAC-4598-9BDC-D04A78666CAE}" id="{9084D6A9-8C60-4206-B385-08489B1C871E}">
    <text>Incluido impuesto no recuperable</text>
  </threadedComment>
  <threadedComment ref="AR56" dT="2026-09-16T21:10:54.43" personId="{3D7510F0-CCAC-4598-9BDC-D04A78666CAE}" id="{F8B6CFB9-36C3-4EC3-899B-B2A75AD7ACA6}">
    <text>Incluido impuesto no recuperable</text>
  </threadedComment>
  <threadedComment ref="E57" dT="2026-09-02T20:42:18.12" personId="{C1BA7411-6E02-4A69-9C21-84B4A7F4CB84}" id="{09305B1C-E9A3-43D3-95A3-BAF977367DE2}">
    <text xml:space="preserve">Se reasigna a la nueva linea tec1818
</text>
  </threadedComment>
  <threadedComment ref="A58" dT="2026-09-04T16:51:15.39" personId="{C1BA7411-6E02-4A69-9C21-84B4A7F4CB84}" id="{4A776926-0565-4CC5-96FE-03AF7A173504}">
    <text>TEC0610 (Cisco EA) desdoblada en 3 componentes — 04/09/2026
Solicitado por M. Falconi
Reparto indicado: IPS 56,03% | Stealthwatch (SNA) 34,60% | ISE 9,36% (suman 99,99%).
Se normalizaron los porcentajes (BD5:BD7) para que el desglose cuadre al 100% con el original.
Aquí C y D sí eran numéricos, por lo que también se repartieron:
PPTO SOLICITADO $411.619,98 y PPTO APROBADO $333.795,40.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D57BF-B726-4216-90CA-5F60E2CBAE59}">
  <sheetPr>
    <tabColor rgb="FF92D050"/>
  </sheetPr>
  <dimension ref="A1:CB67"/>
  <sheetViews>
    <sheetView showGridLines="0" tabSelected="1" zoomScale="136" zoomScaleNormal="145" workbookViewId="0">
      <pane xSplit="1" ySplit="1" topLeftCell="B50" activePane="bottomRight" state="frozen"/>
      <selection pane="bottomRight" activeCell="G65" sqref="G65"/>
      <selection pane="bottomLeft" activeCell="A2" sqref="A2"/>
      <selection pane="topRight" activeCell="B1" sqref="B1"/>
    </sheetView>
  </sheetViews>
  <sheetFormatPr defaultColWidth="8.7109375" defaultRowHeight="12"/>
  <cols>
    <col min="1" max="1" width="33.7109375" style="25" customWidth="1"/>
    <col min="2" max="2" width="11.42578125" style="46" customWidth="1"/>
    <col min="3" max="3" width="23.42578125" style="46" bestFit="1" customWidth="1"/>
    <col min="4" max="4" width="15.42578125" style="46" customWidth="1"/>
    <col min="5" max="5" width="14.28515625" style="25" customWidth="1"/>
    <col min="6" max="6" width="14.140625" style="25" customWidth="1"/>
    <col min="7" max="7" width="16.7109375" style="25" customWidth="1"/>
    <col min="8" max="8" width="14" style="25" bestFit="1" customWidth="1"/>
    <col min="9" max="9" width="16.85546875" style="25" bestFit="1" customWidth="1"/>
    <col min="10" max="10" width="13.140625" style="25" bestFit="1" customWidth="1"/>
    <col min="11" max="11" width="11.140625" style="25" customWidth="1"/>
    <col min="12" max="13" width="16.7109375" style="25" customWidth="1"/>
    <col min="14" max="14" width="13.7109375" style="25" bestFit="1" customWidth="1"/>
    <col min="15" max="15" width="11.7109375" style="25" bestFit="1" customWidth="1"/>
    <col min="16" max="16" width="13.7109375" style="25" bestFit="1" customWidth="1"/>
    <col min="17" max="17" width="11.7109375" style="25" bestFit="1" customWidth="1"/>
    <col min="18" max="18" width="13.85546875" style="25" bestFit="1" customWidth="1"/>
    <col min="19" max="19" width="11.7109375" style="25" customWidth="1"/>
    <col min="20" max="20" width="13.42578125" style="25" bestFit="1" customWidth="1"/>
    <col min="21" max="21" width="11.42578125" style="25" bestFit="1" customWidth="1"/>
    <col min="22" max="22" width="14" style="25" bestFit="1" customWidth="1"/>
    <col min="23" max="23" width="13" style="25" bestFit="1" customWidth="1"/>
    <col min="24" max="24" width="13.42578125" style="25" bestFit="1" customWidth="1"/>
    <col min="25" max="25" width="12.28515625" style="25" customWidth="1"/>
    <col min="26" max="27" width="13" style="25" bestFit="1" customWidth="1"/>
    <col min="28" max="28" width="13.7109375" style="25" bestFit="1" customWidth="1"/>
    <col min="29" max="29" width="14" style="25" customWidth="1"/>
    <col min="30" max="30" width="13.7109375" style="25" bestFit="1" customWidth="1"/>
    <col min="31" max="31" width="13" style="25" bestFit="1" customWidth="1"/>
    <col min="32" max="32" width="13.42578125" style="25" bestFit="1" customWidth="1"/>
    <col min="33" max="33" width="13" style="25" bestFit="1" customWidth="1"/>
    <col min="34" max="34" width="13.85546875" style="25" bestFit="1" customWidth="1"/>
    <col min="35" max="35" width="13.28515625" style="25" customWidth="1"/>
    <col min="36" max="36" width="13.28515625" style="25" bestFit="1" customWidth="1"/>
    <col min="37" max="37" width="13" style="25" bestFit="1" customWidth="1"/>
    <col min="38" max="38" width="55.42578125" style="25" customWidth="1"/>
    <col min="39" max="50" width="8.7109375" style="25"/>
    <col min="51" max="51" width="25" style="25" customWidth="1"/>
    <col min="52" max="52" width="21.7109375" style="25" customWidth="1"/>
    <col min="53" max="54" width="8.7109375" style="25"/>
    <col min="55" max="55" width="30" style="25" customWidth="1"/>
    <col min="56" max="56" width="26.7109375" style="25" customWidth="1"/>
    <col min="57" max="16384" width="8.7109375" style="25"/>
  </cols>
  <sheetData>
    <row r="1" spans="1:80" s="11" customFormat="1" ht="96.6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7" t="s">
        <v>13</v>
      </c>
      <c r="O1" s="8" t="s">
        <v>14</v>
      </c>
      <c r="P1" s="7" t="s">
        <v>15</v>
      </c>
      <c r="Q1" s="8" t="s">
        <v>16</v>
      </c>
      <c r="R1" s="7" t="s">
        <v>17</v>
      </c>
      <c r="S1" s="8" t="s">
        <v>18</v>
      </c>
      <c r="T1" s="7" t="s">
        <v>19</v>
      </c>
      <c r="U1" s="8" t="s">
        <v>20</v>
      </c>
      <c r="V1" s="7" t="s">
        <v>21</v>
      </c>
      <c r="W1" s="8" t="s">
        <v>22</v>
      </c>
      <c r="X1" s="7" t="s">
        <v>23</v>
      </c>
      <c r="Y1" s="8" t="s">
        <v>24</v>
      </c>
      <c r="Z1" s="7" t="s">
        <v>25</v>
      </c>
      <c r="AA1" s="8" t="s">
        <v>26</v>
      </c>
      <c r="AB1" s="7" t="s">
        <v>27</v>
      </c>
      <c r="AC1" s="8" t="s">
        <v>28</v>
      </c>
      <c r="AD1" s="7" t="s">
        <v>29</v>
      </c>
      <c r="AE1" s="9" t="s">
        <v>30</v>
      </c>
      <c r="AF1" s="7" t="s">
        <v>31</v>
      </c>
      <c r="AG1" s="9" t="s">
        <v>32</v>
      </c>
      <c r="AH1" s="7" t="s">
        <v>33</v>
      </c>
      <c r="AI1" s="9" t="s">
        <v>34</v>
      </c>
      <c r="AJ1" s="7" t="s">
        <v>35</v>
      </c>
      <c r="AK1" s="9" t="s">
        <v>36</v>
      </c>
      <c r="AL1" s="10" t="s">
        <v>37</v>
      </c>
      <c r="AY1" s="12" t="s">
        <v>38</v>
      </c>
      <c r="AZ1" s="13"/>
      <c r="BA1" s="13"/>
      <c r="BB1" s="13"/>
      <c r="BC1" s="13"/>
      <c r="BE1" s="14" t="s">
        <v>39</v>
      </c>
    </row>
    <row r="2" spans="1:80" ht="12.75">
      <c r="A2" s="15" t="s">
        <v>40</v>
      </c>
      <c r="B2" s="16" t="s">
        <v>41</v>
      </c>
      <c r="C2" s="16">
        <v>1595008.8</v>
      </c>
      <c r="D2" s="17">
        <v>1595008.8</v>
      </c>
      <c r="E2" s="18">
        <f>SUM(N2,P2,R2,T2,V2,X2,Z2,AB2,AD2,AF2,AH2,AJ2)</f>
        <v>1540804.4400000002</v>
      </c>
      <c r="F2" s="18">
        <f>SUM(O2,Q2,S2,U2,W2,Y2,AA2,AC2,AE2,AG2,AI2,AK2)</f>
        <v>1436499.7488104159</v>
      </c>
      <c r="G2" s="18">
        <f>E2-F2</f>
        <v>104304.69118958432</v>
      </c>
      <c r="H2" s="18">
        <f>IFERROR(SUM(N2+P2+R2+T2+V2+X2+Z2+AB2),"SIN_DATOS")</f>
        <v>1009136.2800000001</v>
      </c>
      <c r="I2" s="18">
        <f>IFERROR(SUM(O2+Q2+S2+U2+W2+Y2+AA2+AC2),"SIN_DATOS")</f>
        <v>924665.96438057243</v>
      </c>
      <c r="J2" s="19">
        <f>IF(OR(NOT(ISNUMBER($E2)),$E2=0),"SIN DATO",$I2/$E2)</f>
        <v>0.60011896407864218</v>
      </c>
      <c r="K2" s="19">
        <f>IF(OR(NOT(ISNUMBER($E2)),$E2=0),"SIN DATO",$H2/$E2)</f>
        <v>0.65494118124425971</v>
      </c>
      <c r="L2" s="18">
        <f>IFERROR(H2-I2,"SIN DATO")</f>
        <v>84470.315619427711</v>
      </c>
      <c r="M2" s="20">
        <f>IFERROR(K2-J2,"SIN DATO")</f>
        <v>5.4822217165617526E-2</v>
      </c>
      <c r="N2" s="21">
        <v>132917.04</v>
      </c>
      <c r="O2" s="22">
        <v>123584.17</v>
      </c>
      <c r="P2" s="21">
        <f>N2</f>
        <v>132917.04</v>
      </c>
      <c r="Q2" s="22">
        <v>130653.12349319145</v>
      </c>
      <c r="R2" s="21">
        <f>P2</f>
        <v>132917.04</v>
      </c>
      <c r="S2" s="22">
        <v>119814.87313063326</v>
      </c>
      <c r="T2" s="21">
        <f>R2</f>
        <v>132917.04</v>
      </c>
      <c r="U2" s="23">
        <v>63397.359999999993</v>
      </c>
      <c r="V2" s="21">
        <f>T2</f>
        <v>132917.04</v>
      </c>
      <c r="W2" s="23">
        <v>121935.55899545691</v>
      </c>
      <c r="X2" s="21">
        <f>V2</f>
        <v>132917.04</v>
      </c>
      <c r="Y2" s="22">
        <v>123606.07</v>
      </c>
      <c r="Z2" s="23">
        <v>78717</v>
      </c>
      <c r="AA2" s="22">
        <v>125550.04</v>
      </c>
      <c r="AB2" s="21">
        <f>X2</f>
        <v>132917.04</v>
      </c>
      <c r="AC2" s="22">
        <v>116124.76876129085</v>
      </c>
      <c r="AD2" s="21">
        <f>AB2</f>
        <v>132917.04</v>
      </c>
      <c r="AE2" s="24">
        <f>'[1]PROYECCIÓN 2026 2027 2028'!$AE$53</f>
        <v>123193.72049093814</v>
      </c>
      <c r="AF2" s="21">
        <f>AD2</f>
        <v>132917.04</v>
      </c>
      <c r="AG2" s="24">
        <f>'[1]PROYECCIÓN 2026 2027 2028'!$AH$53</f>
        <v>129546.68797963513</v>
      </c>
      <c r="AH2" s="21">
        <f>AF2</f>
        <v>132917.04</v>
      </c>
      <c r="AI2" s="24">
        <f>'[1]PROYECCIÓN 2026 2027 2028'!$AK$53</f>
        <v>129546.68797963513</v>
      </c>
      <c r="AJ2" s="21">
        <f>AH2</f>
        <v>132917.04</v>
      </c>
      <c r="AK2" s="24">
        <f>'[1]PROYECCIÓN 2026 2027 2028'!$AN$53</f>
        <v>129546.68797963513</v>
      </c>
      <c r="AL2" s="25" t="s">
        <v>42</v>
      </c>
      <c r="AY2" s="25" t="s">
        <v>43</v>
      </c>
    </row>
    <row r="3" spans="1:80">
      <c r="A3" s="15" t="s">
        <v>44</v>
      </c>
      <c r="B3" s="16" t="s">
        <v>45</v>
      </c>
      <c r="C3" s="16">
        <v>37900</v>
      </c>
      <c r="D3" s="17">
        <v>37900</v>
      </c>
      <c r="E3" s="18">
        <f>SUM(N3,P3,R3,T3,V3,X3,Z3,AB3,AD3,AF3,AH3,AJ3)</f>
        <v>37900</v>
      </c>
      <c r="F3" s="18">
        <f>SUM(O3,Q3,S3,U3,W3,Y3,AA3,AC3,AE3,AG3,AI3,AK3)</f>
        <v>37900.000000000007</v>
      </c>
      <c r="G3" s="18">
        <f>E3-F3</f>
        <v>0</v>
      </c>
      <c r="H3" s="18">
        <f>IFERROR(SUM(N3+P3+R3+T3+V3+X3+Z3+AB3),"SIN_DATOS")</f>
        <v>25266.666666666664</v>
      </c>
      <c r="I3" s="18">
        <f>IFERROR(SUM(O3+Q3+S3+U3+W3+Y3+AA3+AC3),"SIN_DATOS")</f>
        <v>18950.000000000004</v>
      </c>
      <c r="J3" s="19">
        <f>IF(OR(NOT(ISNUMBER($E3)),$E3=0),"SIN DATO",$I3/$E3)</f>
        <v>0.50000000000000011</v>
      </c>
      <c r="K3" s="19">
        <f>IF(OR(NOT(ISNUMBER($E3)),$E3=0),"SIN DATO",$H3/$E3)</f>
        <v>0.66666666666666663</v>
      </c>
      <c r="L3" s="18">
        <f>IFERROR(H3-I3,"SIN DATO")</f>
        <v>6316.6666666666606</v>
      </c>
      <c r="M3" s="20">
        <f>IFERROR(K3-J3,"SIN DATO")</f>
        <v>0.16666666666666652</v>
      </c>
      <c r="N3" s="21">
        <f>0*$D3/SUM($D$3:$D$7)</f>
        <v>0</v>
      </c>
      <c r="O3" s="22">
        <f>0*$D3/SUM($D$3:$D$7)</f>
        <v>0</v>
      </c>
      <c r="P3" s="21">
        <f>0*$D3/SUM($D$3:$D$7)</f>
        <v>0</v>
      </c>
      <c r="Q3" s="22">
        <f>0*$D3/SUM($D$3:$D$7)</f>
        <v>0</v>
      </c>
      <c r="R3" s="21">
        <f>23850*$D3/SUM($D$3:$D$7)</f>
        <v>9475</v>
      </c>
      <c r="S3" s="22">
        <f>0*$D3/SUM($D$3:$D$7)</f>
        <v>0</v>
      </c>
      <c r="T3" s="21">
        <f>7950*$D3/SUM($D$3:$D$7)</f>
        <v>3158.3333333333335</v>
      </c>
      <c r="U3" s="22">
        <f>0*$D3/SUM($D$3:$D$7)</f>
        <v>0</v>
      </c>
      <c r="V3" s="21">
        <f>7950*$D3/SUM($D$3:$D$7)</f>
        <v>3158.3333333333335</v>
      </c>
      <c r="W3" s="23">
        <v>0</v>
      </c>
      <c r="X3" s="21">
        <f>7950*$D3/SUM($D$3:$D$7)</f>
        <v>3158.3333333333335</v>
      </c>
      <c r="Y3" s="23">
        <v>18950.000000000004</v>
      </c>
      <c r="Z3" s="21">
        <f>7950*$D3/SUM($D$3:$D$7)</f>
        <v>3158.3333333333335</v>
      </c>
      <c r="AA3" s="22">
        <f>0*$D3/SUM($D$3:$D$7)</f>
        <v>0</v>
      </c>
      <c r="AB3" s="21">
        <f>7950*$D3/SUM($D$3:$D$7)</f>
        <v>3158.3333333333335</v>
      </c>
      <c r="AC3" s="22">
        <f>0*$D3/SUM($D$3:$D$7)</f>
        <v>0</v>
      </c>
      <c r="AD3" s="21">
        <f>7950*$D3/SUM($D$3:$D$7)</f>
        <v>3158.3333333333335</v>
      </c>
      <c r="AE3" s="23">
        <v>18950.000000000004</v>
      </c>
      <c r="AF3" s="21">
        <f>7950*$D3/SUM($D$3:$D$7)</f>
        <v>3158.3333333333335</v>
      </c>
      <c r="AG3" s="24">
        <f>0*$D3/SUM($D$3:$D$7)</f>
        <v>0</v>
      </c>
      <c r="AH3" s="21">
        <f>7950*$D3/SUM($D$3:$D$7)</f>
        <v>3158.3333333333335</v>
      </c>
      <c r="AI3" s="24">
        <f>0*$D3/SUM($D$3:$D$7)</f>
        <v>0</v>
      </c>
      <c r="AJ3" s="21">
        <f>7950*$D3/SUM($D$3:$D$7)</f>
        <v>3158.3333333333335</v>
      </c>
      <c r="AK3" s="24">
        <f>0*$D3/SUM($D$3:$D$7)</f>
        <v>0</v>
      </c>
      <c r="AL3" s="25" t="s">
        <v>46</v>
      </c>
      <c r="BD3" s="25" t="s">
        <v>47</v>
      </c>
      <c r="BE3" s="26">
        <v>0</v>
      </c>
      <c r="BF3" s="26">
        <v>0</v>
      </c>
      <c r="BG3" s="26">
        <v>0</v>
      </c>
      <c r="BH3" s="26">
        <v>0</v>
      </c>
      <c r="BI3" s="26">
        <v>0</v>
      </c>
      <c r="BJ3" s="26">
        <v>0</v>
      </c>
      <c r="BK3" s="26">
        <v>0</v>
      </c>
      <c r="BL3" s="26">
        <v>0</v>
      </c>
      <c r="BM3" s="26">
        <v>0</v>
      </c>
      <c r="BN3" s="26">
        <v>0</v>
      </c>
      <c r="BO3" s="26">
        <v>0</v>
      </c>
      <c r="BP3" s="26">
        <v>0</v>
      </c>
      <c r="BQ3" s="26">
        <v>26220.42</v>
      </c>
      <c r="BR3" s="26">
        <v>83380.92</v>
      </c>
      <c r="BS3" s="26">
        <v>4370.07</v>
      </c>
      <c r="BT3" s="26">
        <v>4370.07</v>
      </c>
      <c r="BU3" s="26">
        <v>4370.07</v>
      </c>
      <c r="BV3" s="26">
        <v>4370.07</v>
      </c>
      <c r="BW3" s="26">
        <v>4370.07</v>
      </c>
      <c r="BX3" s="26">
        <v>4370.07</v>
      </c>
      <c r="BY3" s="26">
        <v>4370.07</v>
      </c>
      <c r="BZ3" s="26">
        <v>4370.07</v>
      </c>
      <c r="CA3" s="26">
        <v>4375.7</v>
      </c>
      <c r="CB3" s="26">
        <v>4370.07</v>
      </c>
    </row>
    <row r="4" spans="1:80">
      <c r="A4" s="15" t="s">
        <v>48</v>
      </c>
      <c r="B4" s="16" t="s">
        <v>45</v>
      </c>
      <c r="C4" s="16">
        <v>24200</v>
      </c>
      <c r="D4" s="17">
        <v>24200</v>
      </c>
      <c r="E4" s="18">
        <f>SUM(N4,P4,R4,T4,V4,X4,Z4,AB4,AD4,AF4,AH4,AJ4)</f>
        <v>24200.000000000004</v>
      </c>
      <c r="F4" s="18">
        <f>SUM(O4,Q4,S4,U4,W4,Y4,AA4,AC4,AE4,AG4,AI4,AK4)</f>
        <v>24200</v>
      </c>
      <c r="G4" s="18">
        <f>E4-F4</f>
        <v>0</v>
      </c>
      <c r="H4" s="18">
        <f>IFERROR(SUM(N4+P4+R4+T4+V4+X4+Z4+AB4),"SIN_DATOS")</f>
        <v>16133.333333333332</v>
      </c>
      <c r="I4" s="18">
        <f>IFERROR(SUM(O4+Q4+S4+U4+W4+Y4+AA4+AC4),"SIN_DATOS")</f>
        <v>12100</v>
      </c>
      <c r="J4" s="19">
        <f>IF(OR(NOT(ISNUMBER($E4)),$E4=0),"SIN DATO",$I4/$E4)</f>
        <v>0.49999999999999994</v>
      </c>
      <c r="K4" s="19">
        <f>IF(OR(NOT(ISNUMBER($E4)),$E4=0),"SIN DATO",$H4/$E4)</f>
        <v>0.66666666666666652</v>
      </c>
      <c r="L4" s="18">
        <f>IFERROR(H4-I4,"SIN DATO")</f>
        <v>4033.3333333333321</v>
      </c>
      <c r="M4" s="20">
        <f>IFERROR(K4-J4,"SIN DATO")</f>
        <v>0.16666666666666657</v>
      </c>
      <c r="N4" s="21">
        <f>0*$D4/SUM($D$3:$D$7)</f>
        <v>0</v>
      </c>
      <c r="O4" s="22">
        <f>0*$D4/SUM($D$3:$D$7)</f>
        <v>0</v>
      </c>
      <c r="P4" s="21">
        <f>0*$D4/SUM($D$3:$D$7)</f>
        <v>0</v>
      </c>
      <c r="Q4" s="22">
        <f>0*$D4/SUM($D$3:$D$7)</f>
        <v>0</v>
      </c>
      <c r="R4" s="21">
        <f>23850*$D4/SUM($D$3:$D$7)</f>
        <v>6050</v>
      </c>
      <c r="S4" s="22">
        <f>0*$D4/SUM($D$3:$D$7)</f>
        <v>0</v>
      </c>
      <c r="T4" s="21">
        <f>7950*$D4/SUM($D$3:$D$7)</f>
        <v>2016.6666666666667</v>
      </c>
      <c r="U4" s="22">
        <f>0*$D4/SUM($D$3:$D$7)</f>
        <v>0</v>
      </c>
      <c r="V4" s="21">
        <f>7950*$D4/SUM($D$3:$D$7)</f>
        <v>2016.6666666666667</v>
      </c>
      <c r="W4" s="22">
        <v>0</v>
      </c>
      <c r="X4" s="21">
        <f>7950*$D4/SUM($D$3:$D$7)</f>
        <v>2016.6666666666667</v>
      </c>
      <c r="Y4" s="23">
        <v>12100</v>
      </c>
      <c r="Z4" s="21">
        <f>7950*$D4/SUM($D$3:$D$7)</f>
        <v>2016.6666666666667</v>
      </c>
      <c r="AA4" s="22">
        <f>0*$D4/SUM($D$3:$D$7)</f>
        <v>0</v>
      </c>
      <c r="AB4" s="21">
        <f>7950*$D4/SUM($D$3:$D$7)</f>
        <v>2016.6666666666667</v>
      </c>
      <c r="AC4" s="22">
        <f>0*$D4/SUM($D$3:$D$7)</f>
        <v>0</v>
      </c>
      <c r="AD4" s="21">
        <f>7950*$D4/SUM($D$3:$D$7)</f>
        <v>2016.6666666666667</v>
      </c>
      <c r="AE4" s="23">
        <v>12100</v>
      </c>
      <c r="AF4" s="21">
        <f>7950*$D4/SUM($D$3:$D$7)</f>
        <v>2016.6666666666667</v>
      </c>
      <c r="AG4" s="24">
        <f>0*$D4/SUM($D$3:$D$7)</f>
        <v>0</v>
      </c>
      <c r="AH4" s="21">
        <f>7950*$D4/SUM($D$3:$D$7)</f>
        <v>2016.6666666666667</v>
      </c>
      <c r="AI4" s="24">
        <f>0*$D4/SUM($D$3:$D$7)</f>
        <v>0</v>
      </c>
      <c r="AJ4" s="21">
        <f>7950*$D4/SUM($D$3:$D$7)</f>
        <v>2016.6666666666667</v>
      </c>
      <c r="AK4" s="24">
        <f>0*$D4/SUM($D$3:$D$7)</f>
        <v>0</v>
      </c>
      <c r="AL4" s="25" t="s">
        <v>46</v>
      </c>
      <c r="AY4" s="27" t="s">
        <v>49</v>
      </c>
      <c r="AZ4" s="27" t="s">
        <v>50</v>
      </c>
      <c r="BA4" s="27" t="s">
        <v>51</v>
      </c>
      <c r="BB4" s="27" t="s">
        <v>52</v>
      </c>
      <c r="BC4" s="27" t="s">
        <v>53</v>
      </c>
      <c r="BD4" s="25" t="s">
        <v>54</v>
      </c>
      <c r="BE4" s="26">
        <v>0</v>
      </c>
      <c r="BF4" s="26">
        <v>0</v>
      </c>
      <c r="BG4" s="26">
        <v>0</v>
      </c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6">
        <v>0</v>
      </c>
      <c r="BP4" s="26">
        <v>0</v>
      </c>
      <c r="BQ4" s="26">
        <v>192183.6</v>
      </c>
      <c r="BR4" s="26">
        <v>203714.64</v>
      </c>
      <c r="BS4" s="26">
        <v>32030.6</v>
      </c>
      <c r="BT4" s="26">
        <v>32030.6</v>
      </c>
      <c r="BU4" s="26">
        <v>32030.6</v>
      </c>
      <c r="BV4" s="26">
        <v>32030.6</v>
      </c>
      <c r="BW4" s="26">
        <v>32030.6</v>
      </c>
      <c r="BX4" s="26">
        <v>32030.6</v>
      </c>
      <c r="BY4" s="26">
        <v>32030.6</v>
      </c>
      <c r="BZ4" s="26">
        <v>32030.6</v>
      </c>
      <c r="CA4" s="26">
        <v>32050.6</v>
      </c>
      <c r="CB4" s="26">
        <v>32030.6</v>
      </c>
    </row>
    <row r="5" spans="1:80">
      <c r="A5" s="15" t="s">
        <v>55</v>
      </c>
      <c r="B5" s="16" t="s">
        <v>45</v>
      </c>
      <c r="C5" s="16">
        <v>16200</v>
      </c>
      <c r="D5" s="17">
        <v>16200</v>
      </c>
      <c r="E5" s="18">
        <f>SUM(N5,P5,R5,T5,V5,X5,Z5,AB5,AD5,AF5,AH5,AJ5)</f>
        <v>16200</v>
      </c>
      <c r="F5" s="18">
        <f>SUM(O5,Q5,S5,U5,W5,Y5,AA5,AC5,AE5,AG5,AI5,AK5)</f>
        <v>16200</v>
      </c>
      <c r="G5" s="18">
        <f>E5-F5</f>
        <v>0</v>
      </c>
      <c r="H5" s="18">
        <f>IFERROR(SUM(N5+P5+R5+T5+V5+X5+Z5+AB5),"SIN_DATOS")</f>
        <v>10800</v>
      </c>
      <c r="I5" s="18">
        <f>IFERROR(SUM(O5+Q5+S5+U5+W5+Y5+AA5+AC5),"SIN_DATOS")</f>
        <v>8100</v>
      </c>
      <c r="J5" s="19">
        <f>IF(OR(NOT(ISNUMBER($E5)),$E5=0),"SIN DATO",$I5/$E5)</f>
        <v>0.5</v>
      </c>
      <c r="K5" s="19">
        <f>IF(OR(NOT(ISNUMBER($E5)),$E5=0),"SIN DATO",$H5/$E5)</f>
        <v>0.66666666666666663</v>
      </c>
      <c r="L5" s="18">
        <f>IFERROR(H5-I5,"SIN DATO")</f>
        <v>2700</v>
      </c>
      <c r="M5" s="20">
        <f>IFERROR(K5-J5,"SIN DATO")</f>
        <v>0.16666666666666663</v>
      </c>
      <c r="N5" s="21">
        <f>0*$D5/SUM($D$3:$D$7)</f>
        <v>0</v>
      </c>
      <c r="O5" s="22">
        <f>0*$D5/SUM($D$3:$D$7)</f>
        <v>0</v>
      </c>
      <c r="P5" s="21">
        <f>0*$D5/SUM($D$3:$D$7)</f>
        <v>0</v>
      </c>
      <c r="Q5" s="22">
        <f>0*$D5/SUM($D$3:$D$7)</f>
        <v>0</v>
      </c>
      <c r="R5" s="21">
        <f>23850*$D5/SUM($D$3:$D$7)</f>
        <v>4050</v>
      </c>
      <c r="S5" s="22">
        <f>0*$D5/SUM($D$3:$D$7)</f>
        <v>0</v>
      </c>
      <c r="T5" s="21">
        <f>7950*$D5/SUM($D$3:$D$7)</f>
        <v>1350</v>
      </c>
      <c r="U5" s="22">
        <f>0*$D5/SUM($D$3:$D$7)</f>
        <v>0</v>
      </c>
      <c r="V5" s="21">
        <f>7950*$D5/SUM($D$3:$D$7)</f>
        <v>1350</v>
      </c>
      <c r="W5" s="22">
        <v>0</v>
      </c>
      <c r="X5" s="21">
        <f>7950*$D5/SUM($D$3:$D$7)</f>
        <v>1350</v>
      </c>
      <c r="Y5" s="23">
        <v>8100</v>
      </c>
      <c r="Z5" s="21">
        <f>7950*$D5/SUM($D$3:$D$7)</f>
        <v>1350</v>
      </c>
      <c r="AA5" s="22">
        <f>0*$D5/SUM($D$3:$D$7)</f>
        <v>0</v>
      </c>
      <c r="AB5" s="21">
        <f>7950*$D5/SUM($D$3:$D$7)</f>
        <v>1350</v>
      </c>
      <c r="AC5" s="22">
        <f>0*$D5/SUM($D$3:$D$7)</f>
        <v>0</v>
      </c>
      <c r="AD5" s="21">
        <f>7950*$D5/SUM($D$3:$D$7)</f>
        <v>1350</v>
      </c>
      <c r="AE5" s="23">
        <v>8100</v>
      </c>
      <c r="AF5" s="21">
        <f>7950*$D5/SUM($D$3:$D$7)</f>
        <v>1350</v>
      </c>
      <c r="AG5" s="24">
        <f>0*$D5/SUM($D$3:$D$7)</f>
        <v>0</v>
      </c>
      <c r="AH5" s="21">
        <f>7950*$D5/SUM($D$3:$D$7)</f>
        <v>1350</v>
      </c>
      <c r="AI5" s="24">
        <f>0*$D5/SUM($D$3:$D$7)</f>
        <v>0</v>
      </c>
      <c r="AJ5" s="21">
        <f>7950*$D5/SUM($D$3:$D$7)</f>
        <v>1350</v>
      </c>
      <c r="AK5" s="24">
        <f>0*$D5/SUM($D$3:$D$7)</f>
        <v>0</v>
      </c>
      <c r="AL5" s="25" t="s">
        <v>46</v>
      </c>
      <c r="AY5" s="25" t="s">
        <v>56</v>
      </c>
      <c r="AZ5" s="25" t="s">
        <v>57</v>
      </c>
      <c r="BA5" s="28">
        <v>0.56030000000000002</v>
      </c>
      <c r="BB5" s="28">
        <f>$BA5/SUM($BA$5:$BA$7)</f>
        <v>0.5603560356035604</v>
      </c>
      <c r="BC5" s="25" t="s">
        <v>58</v>
      </c>
      <c r="BD5" s="25" t="s">
        <v>59</v>
      </c>
      <c r="BE5" s="26">
        <v>33379.54</v>
      </c>
      <c r="BF5" s="26">
        <v>33377.870000000003</v>
      </c>
      <c r="BG5" s="26">
        <v>33379.54</v>
      </c>
      <c r="BH5" s="26">
        <v>33377.870000000003</v>
      </c>
      <c r="BI5" s="26">
        <v>33379.54</v>
      </c>
      <c r="BJ5" s="26">
        <v>33377.870000000003</v>
      </c>
      <c r="BK5" s="26">
        <v>33379.54</v>
      </c>
      <c r="BL5" s="26">
        <v>33377.870000000003</v>
      </c>
      <c r="BM5" s="26">
        <v>33379.54</v>
      </c>
      <c r="BN5" s="26">
        <v>33377.870000000003</v>
      </c>
      <c r="BO5" s="26">
        <v>33379.54</v>
      </c>
      <c r="BP5" s="26">
        <v>33377.870000000003</v>
      </c>
      <c r="BQ5" s="26">
        <v>33379.54</v>
      </c>
      <c r="BR5" s="26">
        <v>33377.870000000003</v>
      </c>
      <c r="BS5" s="26">
        <v>33379.54</v>
      </c>
      <c r="BT5" s="26">
        <v>33377.870000000003</v>
      </c>
      <c r="BU5" s="26">
        <v>33379.54</v>
      </c>
      <c r="BV5" s="26">
        <v>33377.870000000003</v>
      </c>
      <c r="BW5" s="26">
        <v>33379.54</v>
      </c>
      <c r="BX5" s="26">
        <v>33377.870000000003</v>
      </c>
      <c r="BY5" s="26">
        <v>0</v>
      </c>
      <c r="BZ5" s="26">
        <v>0</v>
      </c>
      <c r="CA5" s="26">
        <v>0</v>
      </c>
      <c r="CB5" s="26">
        <v>0</v>
      </c>
    </row>
    <row r="6" spans="1:80">
      <c r="A6" s="15" t="s">
        <v>60</v>
      </c>
      <c r="B6" s="16" t="s">
        <v>45</v>
      </c>
      <c r="C6" s="16">
        <v>17100</v>
      </c>
      <c r="D6" s="17">
        <v>17100</v>
      </c>
      <c r="E6" s="18">
        <f>SUM(N6,P6,R6,T6,V6,X6,Z6,AB6,AD6,AF6,AH6,AJ6)</f>
        <v>17100</v>
      </c>
      <c r="F6" s="18">
        <f>SUM(O6,Q6,S6,U6,W6,Y6,AA6,AC6,AE6,AG6,AI6,AK6)</f>
        <v>17100</v>
      </c>
      <c r="G6" s="18">
        <f>E6-F6</f>
        <v>0</v>
      </c>
      <c r="H6" s="18">
        <f>IFERROR(SUM(N6+P6+R6+T6+V6+X6+Z6+AB6),"SIN_DATOS")</f>
        <v>11400</v>
      </c>
      <c r="I6" s="18">
        <f>IFERROR(SUM(O6+Q6+S6+U6+W6+Y6+AA6+AC6),"SIN_DATOS")</f>
        <v>8550</v>
      </c>
      <c r="J6" s="19">
        <f>IF(OR(NOT(ISNUMBER($E6)),$E6=0),"SIN DATO",$I6/$E6)</f>
        <v>0.5</v>
      </c>
      <c r="K6" s="19">
        <f>IF(OR(NOT(ISNUMBER($E6)),$E6=0),"SIN DATO",$H6/$E6)</f>
        <v>0.66666666666666663</v>
      </c>
      <c r="L6" s="18">
        <f>IFERROR(H6-I6,"SIN DATO")</f>
        <v>2850</v>
      </c>
      <c r="M6" s="20">
        <f>IFERROR(K6-J6,"SIN DATO")</f>
        <v>0.16666666666666663</v>
      </c>
      <c r="N6" s="21">
        <f>0*$D6/SUM($D$3:$D$7)</f>
        <v>0</v>
      </c>
      <c r="O6" s="22">
        <f>0*$D6/SUM($D$3:$D$7)</f>
        <v>0</v>
      </c>
      <c r="P6" s="21">
        <f>0*$D6/SUM($D$3:$D$7)</f>
        <v>0</v>
      </c>
      <c r="Q6" s="22">
        <f>0*$D6/SUM($D$3:$D$7)</f>
        <v>0</v>
      </c>
      <c r="R6" s="21">
        <f>23850*$D6/SUM($D$3:$D$7)</f>
        <v>4275</v>
      </c>
      <c r="S6" s="22">
        <f>0*$D6/SUM($D$3:$D$7)</f>
        <v>0</v>
      </c>
      <c r="T6" s="21">
        <f>7950*$D6/SUM($D$3:$D$7)</f>
        <v>1425</v>
      </c>
      <c r="U6" s="22">
        <f>0*$D6/SUM($D$3:$D$7)</f>
        <v>0</v>
      </c>
      <c r="V6" s="21">
        <f>7950*$D6/SUM($D$3:$D$7)</f>
        <v>1425</v>
      </c>
      <c r="W6" s="22">
        <v>0</v>
      </c>
      <c r="X6" s="21">
        <f>7950*$D6/SUM($D$3:$D$7)</f>
        <v>1425</v>
      </c>
      <c r="Y6" s="23">
        <v>8550</v>
      </c>
      <c r="Z6" s="21">
        <f>7950*$D6/SUM($D$3:$D$7)</f>
        <v>1425</v>
      </c>
      <c r="AA6" s="22">
        <f>0*$D6/SUM($D$3:$D$7)</f>
        <v>0</v>
      </c>
      <c r="AB6" s="21">
        <f>7950*$D6/SUM($D$3:$D$7)</f>
        <v>1425</v>
      </c>
      <c r="AC6" s="22">
        <f>0*$D6/SUM($D$3:$D$7)</f>
        <v>0</v>
      </c>
      <c r="AD6" s="21">
        <f>7950*$D6/SUM($D$3:$D$7)</f>
        <v>1425</v>
      </c>
      <c r="AE6" s="23">
        <v>8550</v>
      </c>
      <c r="AF6" s="21">
        <f>7950*$D6/SUM($D$3:$D$7)</f>
        <v>1425</v>
      </c>
      <c r="AG6" s="24">
        <f>0*$D6/SUM($D$3:$D$7)</f>
        <v>0</v>
      </c>
      <c r="AH6" s="21">
        <f>7950*$D6/SUM($D$3:$D$7)</f>
        <v>1425</v>
      </c>
      <c r="AI6" s="24">
        <f>0*$D6/SUM($D$3:$D$7)</f>
        <v>0</v>
      </c>
      <c r="AJ6" s="21">
        <f>7950*$D6/SUM($D$3:$D$7)</f>
        <v>1425</v>
      </c>
      <c r="AK6" s="24">
        <f>0*$D6/SUM($D$3:$D$7)</f>
        <v>0</v>
      </c>
      <c r="AL6" s="25" t="s">
        <v>46</v>
      </c>
      <c r="AY6" s="25" t="s">
        <v>56</v>
      </c>
      <c r="AZ6" s="25" t="s">
        <v>61</v>
      </c>
      <c r="BA6" s="28">
        <v>0.34599999999999997</v>
      </c>
      <c r="BB6" s="28">
        <f>$BA6/SUM($BA$5:$BA$7)</f>
        <v>0.34603460346034598</v>
      </c>
      <c r="BC6" s="25" t="s">
        <v>58</v>
      </c>
    </row>
    <row r="7" spans="1:80">
      <c r="A7" s="15" t="s">
        <v>62</v>
      </c>
      <c r="B7" s="16" t="s">
        <v>45</v>
      </c>
      <c r="C7" s="16">
        <v>0</v>
      </c>
      <c r="D7" s="17">
        <v>0</v>
      </c>
      <c r="E7" s="18">
        <f>SUM(N7,P7,R7,T7,V7,X7,Z7,AB7,AD7,AF7,AH7,AJ7)</f>
        <v>0</v>
      </c>
      <c r="F7" s="18">
        <f>SUM(O7,Q7,S7,U7,W7,Y7,AA7,AC7,AE7,AG7,AI7,AK7)</f>
        <v>0</v>
      </c>
      <c r="G7" s="18">
        <f>E7-F7</f>
        <v>0</v>
      </c>
      <c r="H7" s="18">
        <f>IFERROR(SUM(N7+P7+R7+T7+V7+X7+Z7+AB7),"SIN_DATOS")</f>
        <v>0</v>
      </c>
      <c r="I7" s="18">
        <f>IFERROR(SUM(O7+Q7+S7+U7+W7+Y7+AA7+AC7),"SIN_DATOS")</f>
        <v>0</v>
      </c>
      <c r="J7" s="19" t="str">
        <f>IF(OR(NOT(ISNUMBER($E7)),$E7=0),"SIN DATO",$I7/$E7)</f>
        <v>SIN DATO</v>
      </c>
      <c r="K7" s="19" t="str">
        <f>IF(OR(NOT(ISNUMBER($E7)),$E7=0),"SIN DATO",$H7/$E7)</f>
        <v>SIN DATO</v>
      </c>
      <c r="L7" s="18">
        <f>IFERROR(H7-I7,"SIN DATO")</f>
        <v>0</v>
      </c>
      <c r="M7" s="20" t="str">
        <f>IFERROR(K7-J7,"SIN DATO")</f>
        <v>SIN DATO</v>
      </c>
      <c r="N7" s="21">
        <f>0*$D7/SUM($D$3:$D$7)</f>
        <v>0</v>
      </c>
      <c r="O7" s="22">
        <f>0*$D7/SUM($D$3:$D$7)</f>
        <v>0</v>
      </c>
      <c r="P7" s="21">
        <f>0*$D7/SUM($D$3:$D$7)</f>
        <v>0</v>
      </c>
      <c r="Q7" s="22">
        <f>0*$D7/SUM($D$3:$D$7)</f>
        <v>0</v>
      </c>
      <c r="R7" s="21">
        <f>23850*$D7/SUM($D$3:$D$7)</f>
        <v>0</v>
      </c>
      <c r="S7" s="22">
        <f>0*$D7/SUM($D$3:$D$7)</f>
        <v>0</v>
      </c>
      <c r="T7" s="21">
        <f>7950*$D7/SUM($D$3:$D$7)</f>
        <v>0</v>
      </c>
      <c r="U7" s="22">
        <f>0*$D7/SUM($D$3:$D$7)</f>
        <v>0</v>
      </c>
      <c r="V7" s="21">
        <f>7950*$D7/SUM($D$3:$D$7)</f>
        <v>0</v>
      </c>
      <c r="W7" s="22">
        <f>47700*$D7/SUM($D$3:$D$7)</f>
        <v>0</v>
      </c>
      <c r="X7" s="21">
        <f>7950*$D7/SUM($D$3:$D$7)</f>
        <v>0</v>
      </c>
      <c r="Y7" s="22">
        <f>0*$D7/SUM($D$3:$D$7)</f>
        <v>0</v>
      </c>
      <c r="Z7" s="21">
        <f>7950*$D7/SUM($D$3:$D$7)</f>
        <v>0</v>
      </c>
      <c r="AA7" s="22">
        <f>0*$D7/SUM($D$3:$D$7)</f>
        <v>0</v>
      </c>
      <c r="AB7" s="21">
        <f>7950*$D7/SUM($D$3:$D$7)</f>
        <v>0</v>
      </c>
      <c r="AC7" s="22">
        <f>0*$D7/SUM($D$3:$D$7)</f>
        <v>0</v>
      </c>
      <c r="AD7" s="21">
        <f>7950*$D7/SUM($D$3:$D$7)</f>
        <v>0</v>
      </c>
      <c r="AE7" s="24">
        <v>0</v>
      </c>
      <c r="AF7" s="21">
        <f>7950*$D7/SUM($D$3:$D$7)</f>
        <v>0</v>
      </c>
      <c r="AG7" s="24">
        <f>0*$D7/SUM($D$3:$D$7)</f>
        <v>0</v>
      </c>
      <c r="AH7" s="21">
        <f>7950*$D7/SUM($D$3:$D$7)</f>
        <v>0</v>
      </c>
      <c r="AI7" s="24">
        <f>0*$D7/SUM($D$3:$D$7)</f>
        <v>0</v>
      </c>
      <c r="AJ7" s="21">
        <f>7950*$D7/SUM($D$3:$D$7)</f>
        <v>0</v>
      </c>
      <c r="AK7" s="24">
        <f>0*$D7/SUM($D$3:$D$7)</f>
        <v>0</v>
      </c>
      <c r="AY7" s="25" t="s">
        <v>56</v>
      </c>
      <c r="AZ7" s="25" t="s">
        <v>63</v>
      </c>
      <c r="BA7" s="28">
        <v>9.3600000000000003E-2</v>
      </c>
      <c r="BB7" s="28">
        <f>$BA7/SUM($BA$5:$BA$7)</f>
        <v>9.3609360936093608E-2</v>
      </c>
      <c r="BC7" s="25" t="s">
        <v>58</v>
      </c>
    </row>
    <row r="8" spans="1:80">
      <c r="A8" s="15" t="s">
        <v>64</v>
      </c>
      <c r="B8" s="16">
        <v>0</v>
      </c>
      <c r="C8" s="16" t="s">
        <v>65</v>
      </c>
      <c r="D8" s="16" t="s">
        <v>65</v>
      </c>
      <c r="E8" s="18">
        <f>SUM(N8,P8,R8,T8,V8,X8,Z8,AB8,AD8,AF8,AH8,AJ8)</f>
        <v>0</v>
      </c>
      <c r="F8" s="18">
        <f>SUM(O8,Q8,S8,U8,W8,Y8,AA8,AC8,AE8,AG8,AI8,AK8)</f>
        <v>0</v>
      </c>
      <c r="G8" s="18">
        <f>E8-F8</f>
        <v>0</v>
      </c>
      <c r="H8" s="18">
        <f>IFERROR(SUM(N8+P8+R8+T8+V8+X8+Z8+AB8),"SIN_DATOS")</f>
        <v>0</v>
      </c>
      <c r="I8" s="18">
        <f>IFERROR(SUM(O8+Q8+S8+U8+W8+Y8+AA8+AC8),"SIN_DATOS")</f>
        <v>0</v>
      </c>
      <c r="J8" s="19" t="str">
        <f>IF(OR(NOT(ISNUMBER($E8)),$E8=0),"SIN DATO",$I8/$E8)</f>
        <v>SIN DATO</v>
      </c>
      <c r="K8" s="19" t="str">
        <f>IF(OR(NOT(ISNUMBER($E8)),$E8=0),"SIN DATO",$H8/$E8)</f>
        <v>SIN DATO</v>
      </c>
      <c r="L8" s="18">
        <f>IFERROR(H8-I8,"SIN DATO")</f>
        <v>0</v>
      </c>
      <c r="M8" s="20" t="str">
        <f>IFERROR(K8-J8,"SIN DATO")</f>
        <v>SIN DATO</v>
      </c>
      <c r="N8" s="21">
        <v>0</v>
      </c>
      <c r="O8" s="22">
        <v>0</v>
      </c>
      <c r="P8" s="21">
        <v>0</v>
      </c>
      <c r="Q8" s="22">
        <v>0</v>
      </c>
      <c r="R8" s="21">
        <v>0</v>
      </c>
      <c r="S8" s="22">
        <v>0</v>
      </c>
      <c r="T8" s="21">
        <v>0</v>
      </c>
      <c r="U8" s="22">
        <v>0</v>
      </c>
      <c r="V8" s="21">
        <v>0</v>
      </c>
      <c r="W8" s="22">
        <v>0</v>
      </c>
      <c r="X8" s="21">
        <v>0</v>
      </c>
      <c r="Y8" s="22">
        <v>0</v>
      </c>
      <c r="Z8" s="21">
        <v>0</v>
      </c>
      <c r="AA8" s="22">
        <v>0</v>
      </c>
      <c r="AB8" s="21">
        <v>0</v>
      </c>
      <c r="AC8" s="22">
        <v>0</v>
      </c>
      <c r="AD8" s="21">
        <v>0</v>
      </c>
      <c r="AE8" s="24">
        <v>0</v>
      </c>
      <c r="AF8" s="21">
        <v>0</v>
      </c>
      <c r="AG8" s="24">
        <v>0</v>
      </c>
      <c r="AH8" s="21">
        <v>0</v>
      </c>
      <c r="AI8" s="24">
        <v>0</v>
      </c>
      <c r="AJ8" s="21">
        <v>0</v>
      </c>
      <c r="AK8" s="24">
        <v>0</v>
      </c>
      <c r="AL8" s="25" t="s">
        <v>66</v>
      </c>
      <c r="AY8" s="25" t="s">
        <v>67</v>
      </c>
      <c r="AZ8" s="25" t="s">
        <v>57</v>
      </c>
      <c r="BA8" s="28">
        <v>0.62619999999999998</v>
      </c>
      <c r="BB8" s="28">
        <f>$BA8/SUM($BA$8:$BA$10)</f>
        <v>0.62619999999999998</v>
      </c>
      <c r="BC8" s="25" t="s">
        <v>68</v>
      </c>
    </row>
    <row r="9" spans="1:80">
      <c r="A9" s="29" t="s">
        <v>69</v>
      </c>
      <c r="B9" s="16" t="s">
        <v>70</v>
      </c>
      <c r="C9" s="16" t="s">
        <v>71</v>
      </c>
      <c r="D9" s="16">
        <v>0</v>
      </c>
      <c r="E9" s="18">
        <f>SUM(N9,P9,R9,T9,V9,X9,Z9,AB9,AD9,AF9,AH9,AJ9)</f>
        <v>0</v>
      </c>
      <c r="F9" s="18">
        <f>SUM(O9,Q9,S9,U9,W9,Y9,AA9,AC9,AE9,AG9,AI9,AK9)</f>
        <v>0</v>
      </c>
      <c r="G9" s="18">
        <f>E9-F9</f>
        <v>0</v>
      </c>
      <c r="H9" s="18" t="str">
        <f>IFERROR(SUM(N9+P9+R9+T9+V9+X9+Z9+AB9),"SIN_DATOS")</f>
        <v>SIN_DATOS</v>
      </c>
      <c r="I9" s="18" t="str">
        <f>IFERROR(SUM(O9+Q9+S9+U9+W9+Y9+AA9+AC9),"SIN_DATOS")</f>
        <v>SIN_DATOS</v>
      </c>
      <c r="J9" s="19" t="str">
        <f>IF(OR(NOT(ISNUMBER($E9)),$E9=0),"SIN DATO",$I9/$E9)</f>
        <v>SIN DATO</v>
      </c>
      <c r="K9" s="19" t="str">
        <f>IF(OR(NOT(ISNUMBER($E9)),$E9=0),"SIN DATO",$H9/$E9)</f>
        <v>SIN DATO</v>
      </c>
      <c r="L9" s="18" t="str">
        <f>IFERROR(H9-I9,"SIN DATO")</f>
        <v>SIN DATO</v>
      </c>
      <c r="M9" s="20" t="str">
        <f>IFERROR(K9-J9,"SIN DATO")</f>
        <v>SIN DATO</v>
      </c>
      <c r="N9" s="21" t="s">
        <v>70</v>
      </c>
      <c r="O9" s="22" t="s">
        <v>70</v>
      </c>
      <c r="P9" s="21" t="s">
        <v>70</v>
      </c>
      <c r="Q9" s="22" t="s">
        <v>70</v>
      </c>
      <c r="R9" s="21" t="s">
        <v>70</v>
      </c>
      <c r="S9" s="22" t="s">
        <v>70</v>
      </c>
      <c r="T9" s="21" t="s">
        <v>70</v>
      </c>
      <c r="U9" s="22" t="s">
        <v>70</v>
      </c>
      <c r="V9" s="21" t="s">
        <v>70</v>
      </c>
      <c r="W9" s="22" t="s">
        <v>70</v>
      </c>
      <c r="X9" s="21" t="s">
        <v>70</v>
      </c>
      <c r="Y9" s="22" t="s">
        <v>70</v>
      </c>
      <c r="Z9" s="21" t="s">
        <v>70</v>
      </c>
      <c r="AA9" s="22" t="s">
        <v>70</v>
      </c>
      <c r="AB9" s="21" t="s">
        <v>70</v>
      </c>
      <c r="AC9" s="22" t="s">
        <v>70</v>
      </c>
      <c r="AD9" s="21" t="s">
        <v>70</v>
      </c>
      <c r="AE9" s="24" t="s">
        <v>70</v>
      </c>
      <c r="AF9" s="21" t="s">
        <v>70</v>
      </c>
      <c r="AG9" s="24" t="s">
        <v>70</v>
      </c>
      <c r="AH9" s="21" t="s">
        <v>70</v>
      </c>
      <c r="AI9" s="24" t="s">
        <v>70</v>
      </c>
      <c r="AJ9" s="21" t="s">
        <v>70</v>
      </c>
      <c r="AK9" s="24" t="s">
        <v>70</v>
      </c>
      <c r="AL9" s="30" t="s">
        <v>71</v>
      </c>
      <c r="AY9" s="25" t="s">
        <v>67</v>
      </c>
      <c r="AZ9" s="25" t="s">
        <v>61</v>
      </c>
      <c r="BA9" s="28">
        <v>0.219</v>
      </c>
      <c r="BB9" s="28">
        <f>$BA9/SUM($BA$8:$BA$10)</f>
        <v>0.219</v>
      </c>
      <c r="BC9" s="25" t="s">
        <v>68</v>
      </c>
    </row>
    <row r="10" spans="1:80">
      <c r="A10" s="29" t="s">
        <v>72</v>
      </c>
      <c r="B10" s="16" t="s">
        <v>70</v>
      </c>
      <c r="C10" s="16" t="s">
        <v>71</v>
      </c>
      <c r="D10" s="16">
        <v>0</v>
      </c>
      <c r="E10" s="18">
        <f>SUM(N10,P10,R10,T10,V10,X10,Z10,AB10,AD10,AF10,AH10,AJ10)</f>
        <v>0</v>
      </c>
      <c r="F10" s="18">
        <f>SUM(O10,Q10,S10,U10,W10,Y10,AA10,AC10,AE10,AG10,AI10,AK10)</f>
        <v>0</v>
      </c>
      <c r="G10" s="18">
        <f>E10-F10</f>
        <v>0</v>
      </c>
      <c r="H10" s="18" t="str">
        <f>IFERROR(SUM(N10+P10+R10+T10+V10+X10+Z10+AB10),"SIN_DATOS")</f>
        <v>SIN_DATOS</v>
      </c>
      <c r="I10" s="18" t="str">
        <f>IFERROR(SUM(O10+Q10+S10+U10+W10+Y10+AA10+AC10),"SIN_DATOS")</f>
        <v>SIN_DATOS</v>
      </c>
      <c r="J10" s="19" t="str">
        <f>IF(OR(NOT(ISNUMBER($E10)),$E10=0),"SIN DATO",$I10/$E10)</f>
        <v>SIN DATO</v>
      </c>
      <c r="K10" s="19" t="str">
        <f>IF(OR(NOT(ISNUMBER($E10)),$E10=0),"SIN DATO",$H10/$E10)</f>
        <v>SIN DATO</v>
      </c>
      <c r="L10" s="18" t="str">
        <f>IFERROR(H10-I10,"SIN DATO")</f>
        <v>SIN DATO</v>
      </c>
      <c r="M10" s="20" t="str">
        <f>IFERROR(K10-J10,"SIN DATO")</f>
        <v>SIN DATO</v>
      </c>
      <c r="N10" s="21" t="s">
        <v>70</v>
      </c>
      <c r="O10" s="22" t="s">
        <v>70</v>
      </c>
      <c r="P10" s="21" t="s">
        <v>70</v>
      </c>
      <c r="Q10" s="22" t="s">
        <v>70</v>
      </c>
      <c r="R10" s="21" t="s">
        <v>70</v>
      </c>
      <c r="S10" s="22" t="s">
        <v>70</v>
      </c>
      <c r="T10" s="21" t="s">
        <v>70</v>
      </c>
      <c r="U10" s="22" t="s">
        <v>70</v>
      </c>
      <c r="V10" s="21" t="s">
        <v>70</v>
      </c>
      <c r="W10" s="22" t="s">
        <v>70</v>
      </c>
      <c r="X10" s="21" t="s">
        <v>70</v>
      </c>
      <c r="Y10" s="22" t="s">
        <v>70</v>
      </c>
      <c r="Z10" s="21" t="s">
        <v>70</v>
      </c>
      <c r="AA10" s="22" t="s">
        <v>70</v>
      </c>
      <c r="AB10" s="21" t="s">
        <v>70</v>
      </c>
      <c r="AC10" s="22" t="s">
        <v>70</v>
      </c>
      <c r="AD10" s="21" t="s">
        <v>70</v>
      </c>
      <c r="AE10" s="24" t="s">
        <v>70</v>
      </c>
      <c r="AF10" s="21" t="s">
        <v>70</v>
      </c>
      <c r="AG10" s="24" t="s">
        <v>70</v>
      </c>
      <c r="AH10" s="21" t="s">
        <v>70</v>
      </c>
      <c r="AI10" s="24" t="s">
        <v>70</v>
      </c>
      <c r="AJ10" s="21" t="s">
        <v>70</v>
      </c>
      <c r="AK10" s="24" t="s">
        <v>70</v>
      </c>
      <c r="AL10" s="30" t="s">
        <v>71</v>
      </c>
      <c r="AY10" s="31" t="s">
        <v>67</v>
      </c>
      <c r="AZ10" s="31" t="s">
        <v>63</v>
      </c>
      <c r="BA10" s="32">
        <v>0.15479999999999999</v>
      </c>
      <c r="BB10" s="32">
        <f>$BA10/SUM($BA$8:$BA$10)</f>
        <v>0.15479999999999999</v>
      </c>
      <c r="BC10" s="31" t="s">
        <v>68</v>
      </c>
    </row>
    <row r="11" spans="1:80" ht="24">
      <c r="A11" s="29" t="s">
        <v>73</v>
      </c>
      <c r="B11" s="16" t="s">
        <v>70</v>
      </c>
      <c r="C11" s="16" t="s">
        <v>71</v>
      </c>
      <c r="D11" s="16">
        <v>0</v>
      </c>
      <c r="E11" s="18">
        <f>SUM(N11,P11,R11,T11,V11,X11,Z11,AB11,AD11,AF11,AH11,AJ11)</f>
        <v>0</v>
      </c>
      <c r="F11" s="18">
        <f>SUM(O11,Q11,S11,U11,W11,Y11,AA11,AC11,AE11,AG11,AI11,AK11)</f>
        <v>0</v>
      </c>
      <c r="G11" s="18">
        <f>E11-F11</f>
        <v>0</v>
      </c>
      <c r="H11" s="18" t="str">
        <f>IFERROR(SUM(N11+P11+R11+T11+V11+X11+Z11+AB11),"SIN_DATOS")</f>
        <v>SIN_DATOS</v>
      </c>
      <c r="I11" s="18" t="str">
        <f>IFERROR(SUM(O11+Q11+S11+U11+W11+Y11+AA11+AC11),"SIN_DATOS")</f>
        <v>SIN_DATOS</v>
      </c>
      <c r="J11" s="19" t="str">
        <f>IF(OR(NOT(ISNUMBER($E11)),$E11=0),"SIN DATO",$I11/$E11)</f>
        <v>SIN DATO</v>
      </c>
      <c r="K11" s="19" t="str">
        <f>IF(OR(NOT(ISNUMBER($E11)),$E11=0),"SIN DATO",$H11/$E11)</f>
        <v>SIN DATO</v>
      </c>
      <c r="L11" s="18" t="str">
        <f>IFERROR(H11-I11,"SIN DATO")</f>
        <v>SIN DATO</v>
      </c>
      <c r="M11" s="20" t="str">
        <f>IFERROR(K11-J11,"SIN DATO")</f>
        <v>SIN DATO</v>
      </c>
      <c r="N11" s="21" t="s">
        <v>70</v>
      </c>
      <c r="O11" s="22" t="s">
        <v>70</v>
      </c>
      <c r="P11" s="21" t="s">
        <v>70</v>
      </c>
      <c r="Q11" s="22" t="s">
        <v>70</v>
      </c>
      <c r="R11" s="21" t="s">
        <v>70</v>
      </c>
      <c r="S11" s="22" t="s">
        <v>70</v>
      </c>
      <c r="T11" s="21" t="s">
        <v>70</v>
      </c>
      <c r="U11" s="22" t="s">
        <v>70</v>
      </c>
      <c r="V11" s="21" t="s">
        <v>70</v>
      </c>
      <c r="W11" s="22" t="s">
        <v>70</v>
      </c>
      <c r="X11" s="21" t="s">
        <v>70</v>
      </c>
      <c r="Y11" s="22" t="s">
        <v>70</v>
      </c>
      <c r="Z11" s="21" t="s">
        <v>70</v>
      </c>
      <c r="AA11" s="22" t="s">
        <v>70</v>
      </c>
      <c r="AB11" s="21" t="s">
        <v>70</v>
      </c>
      <c r="AC11" s="22" t="s">
        <v>70</v>
      </c>
      <c r="AD11" s="21" t="s">
        <v>70</v>
      </c>
      <c r="AE11" s="24" t="s">
        <v>70</v>
      </c>
      <c r="AF11" s="21" t="s">
        <v>70</v>
      </c>
      <c r="AG11" s="24" t="s">
        <v>70</v>
      </c>
      <c r="AH11" s="21" t="s">
        <v>70</v>
      </c>
      <c r="AI11" s="24" t="s">
        <v>70</v>
      </c>
      <c r="AJ11" s="21" t="s">
        <v>70</v>
      </c>
      <c r="AK11" s="24" t="s">
        <v>70</v>
      </c>
      <c r="AL11" s="30" t="s">
        <v>71</v>
      </c>
    </row>
    <row r="12" spans="1:80">
      <c r="A12" s="15" t="s">
        <v>74</v>
      </c>
      <c r="B12" s="16" t="s">
        <v>70</v>
      </c>
      <c r="C12" s="16" t="s">
        <v>75</v>
      </c>
      <c r="D12" s="16">
        <v>0</v>
      </c>
      <c r="E12" s="18">
        <f>SUM(N12,P12,R12,T12,V12,X12,Z12,AB12,AD12,AF12,AH12,AJ12)</f>
        <v>0</v>
      </c>
      <c r="F12" s="18">
        <f>SUM(O12,Q12,S12,U12,W12,Y12,AA12,AC12,AE12,AG12,AI12,AK12)</f>
        <v>0</v>
      </c>
      <c r="G12" s="18">
        <f>E12-F12</f>
        <v>0</v>
      </c>
      <c r="H12" s="18">
        <f>IFERROR(SUM(N12+P12+R12+T12+V12+X12+Z12+AB12),"SIN_DATOS")</f>
        <v>0</v>
      </c>
      <c r="I12" s="18">
        <f>IFERROR(SUM(O12+Q12+S12+U12+W12+Y12+AA12+AC12),"SIN_DATOS")</f>
        <v>0</v>
      </c>
      <c r="J12" s="19" t="str">
        <f>IF(OR(NOT(ISNUMBER($E12)),$E12=0),"SIN DATO",$I12/$E12)</f>
        <v>SIN DATO</v>
      </c>
      <c r="K12" s="19" t="str">
        <f>IF(OR(NOT(ISNUMBER($E12)),$E12=0),"SIN DATO",$H12/$E12)</f>
        <v>SIN DATO</v>
      </c>
      <c r="L12" s="18">
        <f>IFERROR(H12-I12,"SIN DATO")</f>
        <v>0</v>
      </c>
      <c r="M12" s="20" t="str">
        <f>IFERROR(K12-J12,"SIN DATO")</f>
        <v>SIN DATO</v>
      </c>
      <c r="N12" s="21">
        <v>0</v>
      </c>
      <c r="O12" s="22">
        <v>0</v>
      </c>
      <c r="P12" s="21">
        <v>0</v>
      </c>
      <c r="Q12" s="22">
        <v>0</v>
      </c>
      <c r="R12" s="21">
        <v>0</v>
      </c>
      <c r="S12" s="22">
        <v>0</v>
      </c>
      <c r="T12" s="21">
        <v>0</v>
      </c>
      <c r="U12" s="22">
        <v>0</v>
      </c>
      <c r="V12" s="21">
        <v>0</v>
      </c>
      <c r="W12" s="22">
        <v>0</v>
      </c>
      <c r="X12" s="21">
        <v>0</v>
      </c>
      <c r="Y12" s="22">
        <v>0</v>
      </c>
      <c r="Z12" s="21">
        <v>0</v>
      </c>
      <c r="AA12" s="22">
        <v>0</v>
      </c>
      <c r="AB12" s="21">
        <v>0</v>
      </c>
      <c r="AC12" s="22">
        <v>0</v>
      </c>
      <c r="AD12" s="21">
        <v>0</v>
      </c>
      <c r="AE12" s="24">
        <v>0</v>
      </c>
      <c r="AF12" s="21">
        <v>0</v>
      </c>
      <c r="AG12" s="24">
        <v>0</v>
      </c>
      <c r="AH12" s="21">
        <v>0</v>
      </c>
      <c r="AI12" s="24">
        <v>0</v>
      </c>
      <c r="AJ12" s="21">
        <v>0</v>
      </c>
      <c r="AK12" s="24">
        <v>0</v>
      </c>
      <c r="AL12" s="30" t="s">
        <v>75</v>
      </c>
    </row>
    <row r="13" spans="1:80">
      <c r="A13" s="15" t="s">
        <v>76</v>
      </c>
      <c r="B13" s="16" t="s">
        <v>70</v>
      </c>
      <c r="C13" s="16" t="s">
        <v>66</v>
      </c>
      <c r="D13" s="16">
        <v>0</v>
      </c>
      <c r="E13" s="18">
        <f>SUM(N13,P13,R13,T13,V13,X13,Z13,AB13,AD13,AF13,AH13,AJ13)</f>
        <v>0</v>
      </c>
      <c r="F13" s="18">
        <f>SUM(O13,Q13,S13,U13,W13,Y13,AA13,AC13,AE13,AG13,AI13,AK13)</f>
        <v>0</v>
      </c>
      <c r="G13" s="18">
        <f>E13-F13</f>
        <v>0</v>
      </c>
      <c r="H13" s="18">
        <f>IFERROR(SUM(N13+P13+R13+T13+V13+X13+Z13+AB13),"SIN_DATOS")</f>
        <v>0</v>
      </c>
      <c r="I13" s="18">
        <f>IFERROR(SUM(O13+Q13+S13+U13+W13+Y13+AA13+AC13),"SIN_DATOS")</f>
        <v>0</v>
      </c>
      <c r="J13" s="19" t="str">
        <f>IF(OR(NOT(ISNUMBER($E13)),$E13=0),"SIN DATO",$I13/$E13)</f>
        <v>SIN DATO</v>
      </c>
      <c r="K13" s="19" t="str">
        <f>IF(OR(NOT(ISNUMBER($E13)),$E13=0),"SIN DATO",$H13/$E13)</f>
        <v>SIN DATO</v>
      </c>
      <c r="L13" s="18">
        <f>IFERROR(H13-I13,"SIN DATO")</f>
        <v>0</v>
      </c>
      <c r="M13" s="20" t="str">
        <f>IFERROR(K13-J13,"SIN DATO")</f>
        <v>SIN DATO</v>
      </c>
      <c r="N13" s="21">
        <v>0</v>
      </c>
      <c r="O13" s="22">
        <v>0</v>
      </c>
      <c r="P13" s="21">
        <v>0</v>
      </c>
      <c r="Q13" s="22">
        <v>0</v>
      </c>
      <c r="R13" s="21">
        <v>0</v>
      </c>
      <c r="S13" s="22">
        <v>0</v>
      </c>
      <c r="T13" s="21">
        <v>0</v>
      </c>
      <c r="U13" s="22">
        <v>0</v>
      </c>
      <c r="V13" s="21">
        <v>0</v>
      </c>
      <c r="W13" s="22">
        <v>0</v>
      </c>
      <c r="X13" s="21">
        <v>0</v>
      </c>
      <c r="Y13" s="22">
        <v>0</v>
      </c>
      <c r="Z13" s="21">
        <v>0</v>
      </c>
      <c r="AA13" s="22">
        <v>0</v>
      </c>
      <c r="AB13" s="21">
        <v>0</v>
      </c>
      <c r="AC13" s="22">
        <v>0</v>
      </c>
      <c r="AD13" s="21">
        <v>0</v>
      </c>
      <c r="AE13" s="24">
        <v>0</v>
      </c>
      <c r="AF13" s="21">
        <v>0</v>
      </c>
      <c r="AG13" s="24">
        <v>0</v>
      </c>
      <c r="AH13" s="21">
        <v>0</v>
      </c>
      <c r="AI13" s="24">
        <v>0</v>
      </c>
      <c r="AJ13" s="21">
        <v>0</v>
      </c>
      <c r="AK13" s="24">
        <v>0</v>
      </c>
      <c r="AL13" s="30" t="s">
        <v>66</v>
      </c>
    </row>
    <row r="14" spans="1:80">
      <c r="A14" s="15" t="s">
        <v>77</v>
      </c>
      <c r="B14" s="16" t="s">
        <v>78</v>
      </c>
      <c r="C14" s="16" t="s">
        <v>79</v>
      </c>
      <c r="D14" s="16">
        <v>0</v>
      </c>
      <c r="E14" s="18">
        <f>SUM(N14,P14,R14,T14,V14,X14,Z14,AB14,AD14,AF14,AH14,AJ14)</f>
        <v>0</v>
      </c>
      <c r="F14" s="18">
        <f>SUM(O14,Q14,S14,U14,W14,Y14,AA14,AC14,AE14,AG14,AI14,AK14)</f>
        <v>0</v>
      </c>
      <c r="G14" s="18">
        <f>E14-F14</f>
        <v>0</v>
      </c>
      <c r="H14" s="18">
        <f>IFERROR(SUM(N14+P14+R14+T14+V14+X14+Z14+AB14),"SIN_DATOS")</f>
        <v>0</v>
      </c>
      <c r="I14" s="18">
        <f>IFERROR(SUM(O14+Q14+S14+U14+W14+Y14+AA14+AC14),"SIN_DATOS")</f>
        <v>0</v>
      </c>
      <c r="J14" s="19" t="str">
        <f>IF(OR(NOT(ISNUMBER($E14)),$E14=0),"SIN DATO",$I14/$E14)</f>
        <v>SIN DATO</v>
      </c>
      <c r="K14" s="19" t="str">
        <f>IF(OR(NOT(ISNUMBER($E14)),$E14=0),"SIN DATO",$H14/$E14)</f>
        <v>SIN DATO</v>
      </c>
      <c r="L14" s="18">
        <f>IFERROR(H14-I14,"SIN DATO")</f>
        <v>0</v>
      </c>
      <c r="M14" s="20" t="str">
        <f>IFERROR(K14-J14,"SIN DATO")</f>
        <v>SIN DATO</v>
      </c>
      <c r="N14" s="21">
        <v>0</v>
      </c>
      <c r="O14" s="22">
        <v>0</v>
      </c>
      <c r="P14" s="21">
        <v>0</v>
      </c>
      <c r="Q14" s="22">
        <v>0</v>
      </c>
      <c r="R14" s="21">
        <v>0</v>
      </c>
      <c r="S14" s="22">
        <v>0</v>
      </c>
      <c r="T14" s="21">
        <v>0</v>
      </c>
      <c r="U14" s="22">
        <v>0</v>
      </c>
      <c r="V14" s="21">
        <v>0</v>
      </c>
      <c r="W14" s="22">
        <v>0</v>
      </c>
      <c r="X14" s="21">
        <v>0</v>
      </c>
      <c r="Y14" s="22">
        <v>0</v>
      </c>
      <c r="Z14" s="21">
        <v>0</v>
      </c>
      <c r="AA14" s="22">
        <v>0</v>
      </c>
      <c r="AB14" s="21">
        <v>0</v>
      </c>
      <c r="AC14" s="22">
        <v>0</v>
      </c>
      <c r="AD14" s="21">
        <v>0</v>
      </c>
      <c r="AE14" s="24">
        <v>0</v>
      </c>
      <c r="AF14" s="21">
        <v>0</v>
      </c>
      <c r="AG14" s="24">
        <v>0</v>
      </c>
      <c r="AH14" s="21">
        <v>0</v>
      </c>
      <c r="AI14" s="24">
        <v>0</v>
      </c>
      <c r="AJ14" s="21">
        <v>0</v>
      </c>
      <c r="AK14" s="24">
        <v>0</v>
      </c>
      <c r="AL14" s="30" t="s">
        <v>80</v>
      </c>
    </row>
    <row r="15" spans="1:80">
      <c r="A15" s="15" t="s">
        <v>81</v>
      </c>
      <c r="B15" s="16" t="s">
        <v>82</v>
      </c>
      <c r="C15" s="16">
        <v>99000</v>
      </c>
      <c r="D15" s="16">
        <v>99000</v>
      </c>
      <c r="E15" s="18">
        <f>SUM(N15,P15,R15,T15,V15,X15,Z15,AB15,AD15,AF15,AH15,AJ15)</f>
        <v>99000</v>
      </c>
      <c r="F15" s="18">
        <f>SUM(O15,Q15,S15,U15,W15,Y15,AA15,AC15,AE15,AG15,AI15,AK15)</f>
        <v>82500</v>
      </c>
      <c r="G15" s="18">
        <f>E15-F15</f>
        <v>16500</v>
      </c>
      <c r="H15" s="18">
        <f>IFERROR(SUM(N15+P15+R15+T15+V15+X15+Z15+AB15),"SIN_DATOS")</f>
        <v>0</v>
      </c>
      <c r="I15" s="18">
        <f>IFERROR(SUM(O15+Q15+S15+U15+W15+Y15+AA15+AC15),"SIN_DATOS")</f>
        <v>0</v>
      </c>
      <c r="J15" s="19">
        <f>IF(OR(NOT(ISNUMBER($E15)),$E15=0),"SIN DATO",$I15/$E15)</f>
        <v>0</v>
      </c>
      <c r="K15" s="19">
        <f>IF(OR(NOT(ISNUMBER($E15)),$E15=0),"SIN DATO",$H15/$E15)</f>
        <v>0</v>
      </c>
      <c r="L15" s="18">
        <f>IFERROR(H15-I15,"SIN DATO")</f>
        <v>0</v>
      </c>
      <c r="M15" s="20">
        <f>IFERROR(K15-J15,"SIN DATO")</f>
        <v>0</v>
      </c>
      <c r="N15" s="21">
        <v>0</v>
      </c>
      <c r="O15" s="22">
        <v>0</v>
      </c>
      <c r="P15" s="21">
        <v>0</v>
      </c>
      <c r="Q15" s="22">
        <v>0</v>
      </c>
      <c r="R15" s="21">
        <v>0</v>
      </c>
      <c r="S15" s="22">
        <v>0</v>
      </c>
      <c r="T15" s="21">
        <v>0</v>
      </c>
      <c r="U15" s="22">
        <v>0</v>
      </c>
      <c r="V15" s="21">
        <v>0</v>
      </c>
      <c r="W15" s="22">
        <v>0</v>
      </c>
      <c r="X15" s="21">
        <v>0</v>
      </c>
      <c r="Y15" s="22">
        <v>0</v>
      </c>
      <c r="Z15" s="21">
        <v>0</v>
      </c>
      <c r="AA15" s="22">
        <v>0</v>
      </c>
      <c r="AB15" s="21">
        <v>0</v>
      </c>
      <c r="AC15" s="22">
        <v>0</v>
      </c>
      <c r="AD15" s="21">
        <v>0</v>
      </c>
      <c r="AE15" s="24">
        <v>0</v>
      </c>
      <c r="AF15" s="21">
        <v>0</v>
      </c>
      <c r="AG15" s="24">
        <v>0</v>
      </c>
      <c r="AH15" s="21">
        <v>99000</v>
      </c>
      <c r="AI15" s="24">
        <v>65000</v>
      </c>
      <c r="AJ15" s="21">
        <v>0</v>
      </c>
      <c r="AK15" s="24">
        <v>17500</v>
      </c>
      <c r="AL15" s="16" t="s">
        <v>83</v>
      </c>
    </row>
    <row r="16" spans="1:80">
      <c r="A16" s="15" t="s">
        <v>84</v>
      </c>
      <c r="B16" s="16" t="s">
        <v>85</v>
      </c>
      <c r="C16" s="16">
        <v>66685</v>
      </c>
      <c r="D16" s="16">
        <v>66685</v>
      </c>
      <c r="E16" s="18">
        <f>SUM(N16,P16,R16,T16,V16,X16,Z16,AB16,AD16,AF16,AH16,AJ16)</f>
        <v>66685</v>
      </c>
      <c r="F16" s="18">
        <f>SUM(O16,Q16,S16,U16,W16,Y16,AA16,AC16,AE16,AG16,AI16,AK16)</f>
        <v>47830</v>
      </c>
      <c r="G16" s="18">
        <f>E16-F16</f>
        <v>18855</v>
      </c>
      <c r="H16" s="18">
        <f>IFERROR(SUM(N16+P16+R16+T16+V16+X16+Z16+AB16),"SIN_DATOS")</f>
        <v>66685</v>
      </c>
      <c r="I16" s="18">
        <f>IFERROR(SUM(O16+Q16+S16+U16+W16+Y16+AA16+AC16),"SIN_DATOS")</f>
        <v>47830</v>
      </c>
      <c r="J16" s="19">
        <f>IF(OR(NOT(ISNUMBER($E16)),$E16=0),"SIN DATO",$I16/$E16)</f>
        <v>0.71725275549223966</v>
      </c>
      <c r="K16" s="19">
        <f>IF(OR(NOT(ISNUMBER($E16)),$E16=0),"SIN DATO",$H16/$E16)</f>
        <v>1</v>
      </c>
      <c r="L16" s="18">
        <f>IFERROR(H16-I16,"SIN DATO")</f>
        <v>18855</v>
      </c>
      <c r="M16" s="20">
        <f>IFERROR(K16-J16,"SIN DATO")</f>
        <v>0.28274724450776034</v>
      </c>
      <c r="N16" s="21">
        <v>66685</v>
      </c>
      <c r="O16" s="22">
        <v>0</v>
      </c>
      <c r="P16" s="21">
        <v>0</v>
      </c>
      <c r="Q16" s="22">
        <v>0</v>
      </c>
      <c r="R16" s="21">
        <v>0</v>
      </c>
      <c r="S16" s="22">
        <v>47830</v>
      </c>
      <c r="T16" s="21">
        <v>0</v>
      </c>
      <c r="U16" s="22">
        <v>0</v>
      </c>
      <c r="V16" s="21">
        <v>0</v>
      </c>
      <c r="W16" s="22">
        <v>0</v>
      </c>
      <c r="X16" s="21">
        <v>0</v>
      </c>
      <c r="Y16" s="22">
        <v>0</v>
      </c>
      <c r="Z16" s="21">
        <v>0</v>
      </c>
      <c r="AA16" s="22">
        <v>0</v>
      </c>
      <c r="AB16" s="21">
        <v>0</v>
      </c>
      <c r="AC16" s="22">
        <v>0</v>
      </c>
      <c r="AD16" s="21">
        <v>0</v>
      </c>
      <c r="AE16" s="24">
        <v>0</v>
      </c>
      <c r="AF16" s="21">
        <v>0</v>
      </c>
      <c r="AG16" s="24">
        <v>0</v>
      </c>
      <c r="AH16" s="21">
        <v>0</v>
      </c>
      <c r="AI16" s="24">
        <v>0</v>
      </c>
      <c r="AJ16" s="21">
        <v>0</v>
      </c>
      <c r="AK16" s="24">
        <v>0</v>
      </c>
      <c r="AL16" s="25" t="s">
        <v>86</v>
      </c>
    </row>
    <row r="17" spans="1:38">
      <c r="A17" s="60" t="s">
        <v>87</v>
      </c>
      <c r="B17" s="16" t="s">
        <v>88</v>
      </c>
      <c r="C17" s="16">
        <v>765471.3</v>
      </c>
      <c r="D17" s="16">
        <v>500000</v>
      </c>
      <c r="E17" s="18">
        <f>SUM(N17,P17,R17,T17,V17,X17,Z17,AB17,AD17,AF17,AH17,AJ17)</f>
        <v>589500</v>
      </c>
      <c r="F17" s="18">
        <f>SUM(O17,Q17,S17,U17,W17,Y17,AA17,AC17,AE17,AG17,AI17,AK17)</f>
        <v>521131.68000000011</v>
      </c>
      <c r="G17" s="18">
        <f>E17-F17</f>
        <v>68368.319999999891</v>
      </c>
      <c r="H17" s="18">
        <f>IFERROR(SUM(N17+P17+R17+T17+V17+X17+Z17+AB17),"SIN_DATOS")</f>
        <v>453044.56</v>
      </c>
      <c r="I17" s="18">
        <f>IFERROR(SUM(O17+Q17+S17+U17+W17+Y17+AA17+AC17),"SIN_DATOS")</f>
        <v>384953.60000000003</v>
      </c>
      <c r="J17" s="19">
        <f>IF(OR(NOT(ISNUMBER($E17)),$E17=0),"SIN DATO",$I17/$E17)</f>
        <v>0.65301713316369814</v>
      </c>
      <c r="K17" s="19">
        <f>IF(OR(NOT(ISNUMBER($E17)),$E17=0),"SIN DATO",$H17/$E17)</f>
        <v>0.76852342663273965</v>
      </c>
      <c r="L17" s="18">
        <f>IFERROR(H17-I17,"SIN DATO")</f>
        <v>68090.959999999963</v>
      </c>
      <c r="M17" s="20">
        <f>IFERROR(K17-J17,"SIN DATO")</f>
        <v>0.11550629346904151</v>
      </c>
      <c r="N17" s="21">
        <v>64158.92</v>
      </c>
      <c r="O17" s="23">
        <v>64158.92</v>
      </c>
      <c r="P17" s="21">
        <v>64158.92</v>
      </c>
      <c r="Q17" s="22">
        <v>64158.92</v>
      </c>
      <c r="R17" s="21">
        <v>64158.92</v>
      </c>
      <c r="S17" s="22">
        <v>64158.92</v>
      </c>
      <c r="T17" s="21">
        <v>64158.92</v>
      </c>
      <c r="U17" s="22">
        <v>64158.92</v>
      </c>
      <c r="V17" s="21">
        <v>64158.92</v>
      </c>
      <c r="W17" s="22">
        <v>64158.96</v>
      </c>
      <c r="X17" s="21">
        <v>64160.92</v>
      </c>
      <c r="Y17" s="22">
        <f>W17</f>
        <v>64158.96</v>
      </c>
      <c r="Z17" s="23">
        <v>34044.520000000004</v>
      </c>
      <c r="AA17" s="23">
        <v>0</v>
      </c>
      <c r="AB17" s="21">
        <v>34044.520000000004</v>
      </c>
      <c r="AC17" s="23">
        <v>0</v>
      </c>
      <c r="AD17" s="21">
        <v>34044.520000000004</v>
      </c>
      <c r="AE17" s="24">
        <f>AD17</f>
        <v>34044.520000000004</v>
      </c>
      <c r="AF17" s="21">
        <v>34044.520000000004</v>
      </c>
      <c r="AG17" s="24">
        <f>AE17</f>
        <v>34044.520000000004</v>
      </c>
      <c r="AH17" s="21">
        <v>34044.54</v>
      </c>
      <c r="AI17" s="24">
        <f>AG17</f>
        <v>34044.520000000004</v>
      </c>
      <c r="AJ17" s="21">
        <v>34321.86</v>
      </c>
      <c r="AK17" s="24">
        <f>AI17</f>
        <v>34044.520000000004</v>
      </c>
      <c r="AL17" s="25" t="s">
        <v>89</v>
      </c>
    </row>
    <row r="18" spans="1:38">
      <c r="A18" s="15" t="s">
        <v>87</v>
      </c>
      <c r="B18" s="16" t="s">
        <v>90</v>
      </c>
      <c r="C18" s="16">
        <v>132000</v>
      </c>
      <c r="D18" s="16">
        <v>132000</v>
      </c>
      <c r="E18" s="18">
        <f>SUM(N18,P18,R18,T18,V18,X18,Z18,AB18,AD18,AF18,AH18,AJ18)</f>
        <v>129943.92</v>
      </c>
      <c r="F18" s="18">
        <f>SUM(O18,Q18,S18,U18,W18,Y18,AA18,AC18,AE18,AG18,AI18,AK18)</f>
        <v>110406.45999999999</v>
      </c>
      <c r="G18" s="18">
        <f>E18-F18</f>
        <v>19537.460000000006</v>
      </c>
      <c r="H18" s="18">
        <f>IFERROR(SUM(N18+P18+R18+T18+V18+X18+Z18+AB18),"SIN_DATOS")</f>
        <v>88000</v>
      </c>
      <c r="I18" s="18">
        <f>IFERROR(SUM(O18+Q18+S18+U18+W18+Y18+AA18+AC18),"SIN_DATOS")</f>
        <v>82638.459999999992</v>
      </c>
      <c r="J18" s="19">
        <f>IF(OR(NOT(ISNUMBER($E18)),$E18=0),"SIN DATO",$I18/$E18)</f>
        <v>0.63595480265640747</v>
      </c>
      <c r="K18" s="19">
        <f>IF(OR(NOT(ISNUMBER($E18)),$E18=0),"SIN DATO",$H18/$E18)</f>
        <v>0.67721521714905941</v>
      </c>
      <c r="L18" s="18">
        <f>IFERROR(H18-I18,"SIN DATO")</f>
        <v>5361.5400000000081</v>
      </c>
      <c r="M18" s="20">
        <f>IFERROR(K18-J18,"SIN DATO")</f>
        <v>4.1260414492651942E-2</v>
      </c>
      <c r="N18" s="21">
        <v>11000</v>
      </c>
      <c r="O18" s="22">
        <v>10999.96</v>
      </c>
      <c r="P18" s="21">
        <v>11000</v>
      </c>
      <c r="Q18" s="22">
        <v>11015.92</v>
      </c>
      <c r="R18" s="21">
        <v>11000</v>
      </c>
      <c r="S18" s="22">
        <v>11015.92</v>
      </c>
      <c r="T18" s="21">
        <v>11000</v>
      </c>
      <c r="U18" s="22">
        <v>11015.92</v>
      </c>
      <c r="V18" s="21">
        <v>11000</v>
      </c>
      <c r="W18" s="22">
        <v>10388.16</v>
      </c>
      <c r="X18" s="21">
        <v>11000</v>
      </c>
      <c r="Y18" s="22">
        <v>0</v>
      </c>
      <c r="Z18" s="21">
        <v>11000</v>
      </c>
      <c r="AA18" s="22">
        <v>19189.45</v>
      </c>
      <c r="AB18" s="21">
        <v>11000</v>
      </c>
      <c r="AC18" s="22">
        <v>9013.1299999999992</v>
      </c>
      <c r="AD18" s="21">
        <v>11000</v>
      </c>
      <c r="AE18" s="22">
        <v>6942</v>
      </c>
      <c r="AF18" s="21">
        <v>11000</v>
      </c>
      <c r="AG18" s="24">
        <f>AE18</f>
        <v>6942</v>
      </c>
      <c r="AH18" s="21">
        <v>10000</v>
      </c>
      <c r="AI18" s="24">
        <f>AG18</f>
        <v>6942</v>
      </c>
      <c r="AJ18" s="21">
        <v>9943.92</v>
      </c>
      <c r="AK18" s="24">
        <f>AI18</f>
        <v>6942</v>
      </c>
      <c r="AL18" s="25" t="s">
        <v>91</v>
      </c>
    </row>
    <row r="19" spans="1:38">
      <c r="A19" s="15" t="s">
        <v>92</v>
      </c>
      <c r="B19" s="16" t="s">
        <v>93</v>
      </c>
      <c r="C19" s="34">
        <v>25333.320000000003</v>
      </c>
      <c r="D19" s="18">
        <v>25333.320000000003</v>
      </c>
      <c r="E19" s="18">
        <f>SUM(N19,P19,R19,T19,V19,X19,Z19,AB19,AD19,AF19,AH19,AJ19)</f>
        <v>25333.320000000003</v>
      </c>
      <c r="F19" s="18">
        <f>SUM(O19,Q19,S19,U19,W19,Y19,AA19,AC19,AE19,AG19,AI19,AK19)</f>
        <v>25333.320000000003</v>
      </c>
      <c r="G19" s="18">
        <f>E19-F19</f>
        <v>0</v>
      </c>
      <c r="H19" s="18">
        <f>IFERROR(SUM(N19+P19+R19+T19+V19+X19+Z19+AB19),"SIN_DATOS")</f>
        <v>16888.88</v>
      </c>
      <c r="I19" s="18">
        <f>IFERROR(SUM(O19+Q19+S19+U19+W19+Y19+AA19+AC19),"SIN_DATOS")</f>
        <v>16888.88</v>
      </c>
      <c r="J19" s="19">
        <f>IF(OR(NOT(ISNUMBER($E19)),$E19=0),"SIN DATO",$I19/$E19)</f>
        <v>0.66666666666666663</v>
      </c>
      <c r="K19" s="19">
        <f>IF(OR(NOT(ISNUMBER($E19)),$E19=0),"SIN DATO",$H19/$E19)</f>
        <v>0.66666666666666663</v>
      </c>
      <c r="L19" s="18">
        <f>IFERROR(H19-I19,"SIN DATO")</f>
        <v>0</v>
      </c>
      <c r="M19" s="20">
        <f>IFERROR(K19-J19,"SIN DATO")</f>
        <v>0</v>
      </c>
      <c r="N19" s="21">
        <f>6333.33*$D19/SUM($D$19:$D$21)</f>
        <v>2111.11</v>
      </c>
      <c r="O19" s="22">
        <f>0*$D19/SUM($D$19:$D$21)</f>
        <v>0</v>
      </c>
      <c r="P19" s="21">
        <f>6333.33*$D19/SUM($D$19:$D$21)</f>
        <v>2111.11</v>
      </c>
      <c r="Q19" s="22">
        <f>12666.66*$D19/SUM($D$19:$D$21)</f>
        <v>4222.22</v>
      </c>
      <c r="R19" s="21">
        <f>6333.33*$D19/SUM($D$19:$D$21)</f>
        <v>2111.11</v>
      </c>
      <c r="S19" s="22">
        <f>6333.33*$D19/SUM($D$19:$D$21)</f>
        <v>2111.11</v>
      </c>
      <c r="T19" s="21">
        <f>6333.33*$D19/SUM($D$19:$D$21)</f>
        <v>2111.11</v>
      </c>
      <c r="U19" s="22">
        <f>6333.33*$D19/SUM($D$19:$D$21)</f>
        <v>2111.11</v>
      </c>
      <c r="V19" s="21">
        <f>6333.33*$D19/SUM($D$19:$D$21)</f>
        <v>2111.11</v>
      </c>
      <c r="W19" s="22">
        <f>6333.33*$D19/SUM($D$19:$D$21)</f>
        <v>2111.11</v>
      </c>
      <c r="X19" s="21">
        <f>6333.33*$D19/SUM($D$19:$D$21)</f>
        <v>2111.11</v>
      </c>
      <c r="Y19" s="22">
        <f>6333.33*$D19/SUM($D$19:$D$21)</f>
        <v>2111.11</v>
      </c>
      <c r="Z19" s="21">
        <f>6333.33*$D19/SUM($D$19:$D$21)</f>
        <v>2111.11</v>
      </c>
      <c r="AA19" s="22">
        <f>Y19</f>
        <v>2111.11</v>
      </c>
      <c r="AB19" s="21">
        <f>6333.33*$D19/SUM($D$19:$D$21)</f>
        <v>2111.11</v>
      </c>
      <c r="AC19" s="22">
        <f>AA19</f>
        <v>2111.11</v>
      </c>
      <c r="AD19" s="21">
        <f>6333.33*$D19/SUM($D$19:$D$21)</f>
        <v>2111.11</v>
      </c>
      <c r="AE19" s="24">
        <f>AC19</f>
        <v>2111.11</v>
      </c>
      <c r="AF19" s="21">
        <f>6333.33*$D19/SUM($D$19:$D$21)</f>
        <v>2111.11</v>
      </c>
      <c r="AG19" s="24">
        <f>AE19</f>
        <v>2111.11</v>
      </c>
      <c r="AH19" s="21">
        <f>6333.33*$D19/SUM($D$19:$D$21)</f>
        <v>2111.11</v>
      </c>
      <c r="AI19" s="24">
        <f>AG19</f>
        <v>2111.11</v>
      </c>
      <c r="AJ19" s="21">
        <f>6333.33*$D19/SUM($D$19:$D$21)</f>
        <v>2111.11</v>
      </c>
      <c r="AK19" s="24">
        <f>AI19</f>
        <v>2111.11</v>
      </c>
    </row>
    <row r="20" spans="1:38">
      <c r="A20" s="15" t="s">
        <v>94</v>
      </c>
      <c r="B20" s="16" t="s">
        <v>93</v>
      </c>
      <c r="C20" s="34">
        <v>25333.320000000003</v>
      </c>
      <c r="D20" s="18">
        <v>25333.320000000003</v>
      </c>
      <c r="E20" s="18">
        <f>SUM(N20,P20,R20,T20,V20,X20,Z20,AB20,AD20,AF20,AH20,AJ20)</f>
        <v>25333.320000000003</v>
      </c>
      <c r="F20" s="18">
        <f>SUM(O20,Q20,S20,U20,W20,Y20,AA20,AC20,AE20,AG20,AI20,AK20)</f>
        <v>25333.320000000003</v>
      </c>
      <c r="G20" s="18">
        <f>E20-F20</f>
        <v>0</v>
      </c>
      <c r="H20" s="18">
        <f>IFERROR(SUM(N20+P20+R20+T20+V20+X20+Z20+AB20),"SIN_DATOS")</f>
        <v>16888.88</v>
      </c>
      <c r="I20" s="18">
        <f>IFERROR(SUM(O20+Q20+S20+U20+W20+Y20+AA20+AC20),"SIN_DATOS")</f>
        <v>16888.88</v>
      </c>
      <c r="J20" s="19">
        <f>IF(OR(NOT(ISNUMBER($E20)),$E20=0),"SIN DATO",$I20/$E20)</f>
        <v>0.66666666666666663</v>
      </c>
      <c r="K20" s="19">
        <f>IF(OR(NOT(ISNUMBER($E20)),$E20=0),"SIN DATO",$H20/$E20)</f>
        <v>0.66666666666666663</v>
      </c>
      <c r="L20" s="18">
        <f>IFERROR(H20-I20,"SIN DATO")</f>
        <v>0</v>
      </c>
      <c r="M20" s="20">
        <f>IFERROR(K20-J20,"SIN DATO")</f>
        <v>0</v>
      </c>
      <c r="N20" s="21">
        <f>6333.33*$D20/SUM($D$19:$D$21)</f>
        <v>2111.11</v>
      </c>
      <c r="O20" s="22">
        <f>0*$D20/SUM($D$19:$D$21)</f>
        <v>0</v>
      </c>
      <c r="P20" s="21">
        <f>6333.33*$D20/SUM($D$19:$D$21)</f>
        <v>2111.11</v>
      </c>
      <c r="Q20" s="22">
        <f>12666.66*$D20/SUM($D$19:$D$21)</f>
        <v>4222.22</v>
      </c>
      <c r="R20" s="21">
        <f>6333.33*$D20/SUM($D$19:$D$21)</f>
        <v>2111.11</v>
      </c>
      <c r="S20" s="22">
        <f>6333.33*$D20/SUM($D$19:$D$21)</f>
        <v>2111.11</v>
      </c>
      <c r="T20" s="21">
        <f>6333.33*$D20/SUM($D$19:$D$21)</f>
        <v>2111.11</v>
      </c>
      <c r="U20" s="22">
        <f>6333.33*$D20/SUM($D$19:$D$21)</f>
        <v>2111.11</v>
      </c>
      <c r="V20" s="21">
        <f>6333.33*$D20/SUM($D$19:$D$21)</f>
        <v>2111.11</v>
      </c>
      <c r="W20" s="22">
        <f>6333.33*$D20/SUM($D$19:$D$21)</f>
        <v>2111.11</v>
      </c>
      <c r="X20" s="21">
        <f>6333.33*$D20/SUM($D$19:$D$21)</f>
        <v>2111.11</v>
      </c>
      <c r="Y20" s="22">
        <f>6333.33*$D20/SUM($D$19:$D$21)</f>
        <v>2111.11</v>
      </c>
      <c r="Z20" s="21">
        <f>6333.33*$D20/SUM($D$19:$D$21)</f>
        <v>2111.11</v>
      </c>
      <c r="AA20" s="22">
        <f>Y20</f>
        <v>2111.11</v>
      </c>
      <c r="AB20" s="21">
        <f>6333.33*$D20/SUM($D$19:$D$21)</f>
        <v>2111.11</v>
      </c>
      <c r="AC20" s="22">
        <f>AA20</f>
        <v>2111.11</v>
      </c>
      <c r="AD20" s="21">
        <f>6333.33*$D20/SUM($D$19:$D$21)</f>
        <v>2111.11</v>
      </c>
      <c r="AE20" s="24">
        <f>AC20</f>
        <v>2111.11</v>
      </c>
      <c r="AF20" s="21">
        <f>6333.33*$D20/SUM($D$19:$D$21)</f>
        <v>2111.11</v>
      </c>
      <c r="AG20" s="24">
        <f>AE20</f>
        <v>2111.11</v>
      </c>
      <c r="AH20" s="21">
        <f>6333.33*$D20/SUM($D$19:$D$21)</f>
        <v>2111.11</v>
      </c>
      <c r="AI20" s="24">
        <f>AG20</f>
        <v>2111.11</v>
      </c>
      <c r="AJ20" s="21">
        <f>6333.33*$D20/SUM($D$19:$D$21)</f>
        <v>2111.11</v>
      </c>
      <c r="AK20" s="24">
        <f>AI20</f>
        <v>2111.11</v>
      </c>
    </row>
    <row r="21" spans="1:38">
      <c r="A21" s="15" t="s">
        <v>95</v>
      </c>
      <c r="B21" s="16" t="s">
        <v>93</v>
      </c>
      <c r="C21" s="34">
        <v>25333.320000000003</v>
      </c>
      <c r="D21" s="18">
        <v>25333.320000000003</v>
      </c>
      <c r="E21" s="18">
        <f>SUM(N21,P21,R21,T21,V21,X21,Z21,AB21,AD21,AF21,AH21,AJ21)</f>
        <v>25333.320000000003</v>
      </c>
      <c r="F21" s="18">
        <f>SUM(O21,Q21,S21,U21,W21,Y21,AA21,AC21,AE21,AG21,AI21,AK21)</f>
        <v>25333.320000000003</v>
      </c>
      <c r="G21" s="18">
        <f>E21-F21</f>
        <v>0</v>
      </c>
      <c r="H21" s="18">
        <f>IFERROR(SUM(N21+P21+R21+T21+V21+X21+Z21+AB21),"SIN_DATOS")</f>
        <v>16888.88</v>
      </c>
      <c r="I21" s="18">
        <f>IFERROR(SUM(O21+Q21+S21+U21+W21+Y21+AA21+AC21),"SIN_DATOS")</f>
        <v>16888.88</v>
      </c>
      <c r="J21" s="19">
        <f>IF(OR(NOT(ISNUMBER($E21)),$E21=0),"SIN DATO",$I21/$E21)</f>
        <v>0.66666666666666663</v>
      </c>
      <c r="K21" s="19">
        <f>IF(OR(NOT(ISNUMBER($E21)),$E21=0),"SIN DATO",$H21/$E21)</f>
        <v>0.66666666666666663</v>
      </c>
      <c r="L21" s="18">
        <f>IFERROR(H21-I21,"SIN DATO")</f>
        <v>0</v>
      </c>
      <c r="M21" s="20">
        <f>IFERROR(K21-J21,"SIN DATO")</f>
        <v>0</v>
      </c>
      <c r="N21" s="21">
        <f>6333.33*$D21/SUM($D$19:$D$21)</f>
        <v>2111.11</v>
      </c>
      <c r="O21" s="22">
        <f>0*$D21/SUM($D$19:$D$21)</f>
        <v>0</v>
      </c>
      <c r="P21" s="21">
        <f>6333.33*$D21/SUM($D$19:$D$21)</f>
        <v>2111.11</v>
      </c>
      <c r="Q21" s="22">
        <f>12666.66*$D21/SUM($D$19:$D$21)</f>
        <v>4222.22</v>
      </c>
      <c r="R21" s="21">
        <f>6333.33*$D21/SUM($D$19:$D$21)</f>
        <v>2111.11</v>
      </c>
      <c r="S21" s="22">
        <f>6333.33*$D21/SUM($D$19:$D$21)</f>
        <v>2111.11</v>
      </c>
      <c r="T21" s="21">
        <f>6333.33*$D21/SUM($D$19:$D$21)</f>
        <v>2111.11</v>
      </c>
      <c r="U21" s="22">
        <f>6333.33*$D21/SUM($D$19:$D$21)</f>
        <v>2111.11</v>
      </c>
      <c r="V21" s="21">
        <f>6333.33*$D21/SUM($D$19:$D$21)</f>
        <v>2111.11</v>
      </c>
      <c r="W21" s="22">
        <f>6333.33*$D21/SUM($D$19:$D$21)</f>
        <v>2111.11</v>
      </c>
      <c r="X21" s="21">
        <f>6333.33*$D21/SUM($D$19:$D$21)</f>
        <v>2111.11</v>
      </c>
      <c r="Y21" s="22">
        <f>6333.33*$D21/SUM($D$19:$D$21)</f>
        <v>2111.11</v>
      </c>
      <c r="Z21" s="21">
        <f>6333.33*$D21/SUM($D$19:$D$21)</f>
        <v>2111.11</v>
      </c>
      <c r="AA21" s="22">
        <f>Y21</f>
        <v>2111.11</v>
      </c>
      <c r="AB21" s="21">
        <f>6333.33*$D21/SUM($D$19:$D$21)</f>
        <v>2111.11</v>
      </c>
      <c r="AC21" s="22">
        <f>AA21</f>
        <v>2111.11</v>
      </c>
      <c r="AD21" s="21">
        <f>6333.33*$D21/SUM($D$19:$D$21)</f>
        <v>2111.11</v>
      </c>
      <c r="AE21" s="24">
        <f>AC21</f>
        <v>2111.11</v>
      </c>
      <c r="AF21" s="21">
        <f>6333.33*$D21/SUM($D$19:$D$21)</f>
        <v>2111.11</v>
      </c>
      <c r="AG21" s="24">
        <f>AE21</f>
        <v>2111.11</v>
      </c>
      <c r="AH21" s="21">
        <f>6333.33*$D21/SUM($D$19:$D$21)</f>
        <v>2111.11</v>
      </c>
      <c r="AI21" s="24">
        <f>AG21</f>
        <v>2111.11</v>
      </c>
      <c r="AJ21" s="21">
        <f>6333.33*$D21/SUM($D$19:$D$21)</f>
        <v>2111.11</v>
      </c>
      <c r="AK21" s="24">
        <f>AI21</f>
        <v>2111.11</v>
      </c>
    </row>
    <row r="22" spans="1:38">
      <c r="A22" s="15" t="s">
        <v>96</v>
      </c>
      <c r="B22" s="16" t="s">
        <v>97</v>
      </c>
      <c r="C22" s="16">
        <v>67606</v>
      </c>
      <c r="D22" s="16">
        <v>40570</v>
      </c>
      <c r="E22" s="18">
        <f>SUM(N22,P22,R22,T22,V22,X22,Z22,AB22,AD22,AF22,AH22,AJ22)</f>
        <v>40570</v>
      </c>
      <c r="F22" s="18">
        <f>SUM(O22,Q22,S22,U22,W22,Y22,AA22,AC22,AE22,AG22,AI22,AK22)</f>
        <v>40570</v>
      </c>
      <c r="G22" s="18">
        <f>E22-F22</f>
        <v>0</v>
      </c>
      <c r="H22" s="18">
        <f>IFERROR(SUM(N22+P22+R22+T22+V22+X22+Z22+AB22),"SIN_DATOS")</f>
        <v>40570</v>
      </c>
      <c r="I22" s="18">
        <f>IFERROR(SUM(O22+Q22+S22+U22+W22+Y22+AA22+AC22),"SIN_DATOS")</f>
        <v>40570</v>
      </c>
      <c r="J22" s="19">
        <f>IF(OR(NOT(ISNUMBER($E22)),$E22=0),"SIN DATO",$I22/$E22)</f>
        <v>1</v>
      </c>
      <c r="K22" s="19">
        <f>IF(OR(NOT(ISNUMBER($E22)),$E22=0),"SIN DATO",$H22/$E22)</f>
        <v>1</v>
      </c>
      <c r="L22" s="18">
        <f>IFERROR(H22-I22,"SIN DATO")</f>
        <v>0</v>
      </c>
      <c r="M22" s="20">
        <f>IFERROR(K22-J22,"SIN DATO")</f>
        <v>0</v>
      </c>
      <c r="N22" s="21">
        <v>0</v>
      </c>
      <c r="O22" s="22">
        <v>0</v>
      </c>
      <c r="P22" s="21">
        <v>40570</v>
      </c>
      <c r="Q22" s="22">
        <v>40570</v>
      </c>
      <c r="R22" s="21">
        <v>0</v>
      </c>
      <c r="S22" s="22">
        <v>0</v>
      </c>
      <c r="T22" s="21">
        <v>0</v>
      </c>
      <c r="U22" s="22">
        <v>0</v>
      </c>
      <c r="V22" s="21">
        <v>0</v>
      </c>
      <c r="W22" s="22">
        <v>0</v>
      </c>
      <c r="X22" s="21">
        <v>0</v>
      </c>
      <c r="Y22" s="22">
        <v>0</v>
      </c>
      <c r="Z22" s="21">
        <v>0</v>
      </c>
      <c r="AA22" s="22">
        <v>0</v>
      </c>
      <c r="AB22" s="21">
        <v>0</v>
      </c>
      <c r="AC22" s="22">
        <v>0</v>
      </c>
      <c r="AD22" s="21">
        <v>0</v>
      </c>
      <c r="AE22" s="24">
        <f>AC22</f>
        <v>0</v>
      </c>
      <c r="AF22" s="21">
        <v>0</v>
      </c>
      <c r="AG22" s="24">
        <f>AE22</f>
        <v>0</v>
      </c>
      <c r="AH22" s="21">
        <v>0</v>
      </c>
      <c r="AI22" s="24">
        <f>AG22</f>
        <v>0</v>
      </c>
      <c r="AJ22" s="21">
        <v>0</v>
      </c>
      <c r="AK22" s="24">
        <f>AI22</f>
        <v>0</v>
      </c>
    </row>
    <row r="23" spans="1:38" ht="12.75">
      <c r="A23" s="15" t="s">
        <v>98</v>
      </c>
      <c r="B23" s="16" t="s">
        <v>99</v>
      </c>
      <c r="C23" s="16">
        <v>281027.28000000003</v>
      </c>
      <c r="D23" s="16">
        <v>281027.28000000003</v>
      </c>
      <c r="E23" s="18">
        <f>SUM(N23,P23,R23,T23,V23,X23,Z23,AB23,AD23,AF23,AH23,AJ23)</f>
        <v>281027.28999999998</v>
      </c>
      <c r="F23" s="18">
        <f>SUM(O23,Q23,S23,U23,W23,Y23,AA23,AC23,AE23,AG23,AI23,AK23)</f>
        <v>290863.27000000008</v>
      </c>
      <c r="G23" s="18">
        <f>E23-F23</f>
        <v>-9835.9800000000978</v>
      </c>
      <c r="H23" s="18">
        <f>IFERROR(SUM(N23+P23+R23+T23+V23+X23+Z23+AB23),"SIN_DATOS")</f>
        <v>187353.53</v>
      </c>
      <c r="I23" s="18">
        <f>IFERROR(SUM(O23+Q23+S23+U23+W23+Y23+AA23+AC23),"SIN_DATOS")</f>
        <v>191566.95</v>
      </c>
      <c r="J23" s="19">
        <f>IF(OR(NOT(ISNUMBER($E23)),$E23=0),"SIN DATO",$I23/$E23)</f>
        <v>0.68166671642458643</v>
      </c>
      <c r="K23" s="19">
        <f>IF(OR(NOT(ISNUMBER($E23)),$E23=0),"SIN DATO",$H23/$E23)</f>
        <v>0.66667379527447324</v>
      </c>
      <c r="L23" s="18">
        <f>IFERROR(H23-I23,"SIN DATO")</f>
        <v>-4213.4200000000128</v>
      </c>
      <c r="M23" s="20">
        <f>IFERROR(K23-J23,"SIN DATO")</f>
        <v>-1.4992921150113192E-2</v>
      </c>
      <c r="N23" s="21">
        <v>23418.94</v>
      </c>
      <c r="O23" s="22">
        <v>23418.94</v>
      </c>
      <c r="P23" s="21">
        <v>23418.94</v>
      </c>
      <c r="Q23" s="22">
        <v>23418.94</v>
      </c>
      <c r="R23" s="21">
        <v>23418.94</v>
      </c>
      <c r="S23" s="22">
        <v>23418.94</v>
      </c>
      <c r="T23" s="21">
        <v>23418.94</v>
      </c>
      <c r="U23" s="22">
        <v>23418.94</v>
      </c>
      <c r="V23" s="21">
        <v>23418.95</v>
      </c>
      <c r="W23" s="22">
        <v>23418.95</v>
      </c>
      <c r="X23" s="21">
        <v>23420.94</v>
      </c>
      <c r="Y23" s="23">
        <v>24824.080000000002</v>
      </c>
      <c r="Z23" s="21">
        <v>23418.94</v>
      </c>
      <c r="AA23" s="22">
        <f>Y23</f>
        <v>24824.080000000002</v>
      </c>
      <c r="AB23" s="21">
        <v>23418.94</v>
      </c>
      <c r="AC23" s="22">
        <f>AA23</f>
        <v>24824.080000000002</v>
      </c>
      <c r="AD23" s="21">
        <v>23418.94</v>
      </c>
      <c r="AE23" s="24">
        <f>AC23</f>
        <v>24824.080000000002</v>
      </c>
      <c r="AF23" s="21">
        <v>23418.94</v>
      </c>
      <c r="AG23" s="24">
        <f>AE23</f>
        <v>24824.080000000002</v>
      </c>
      <c r="AH23" s="21">
        <v>23418.94</v>
      </c>
      <c r="AI23" s="24">
        <f>AG23</f>
        <v>24824.080000000002</v>
      </c>
      <c r="AJ23" s="21">
        <v>23416.94</v>
      </c>
      <c r="AK23" s="24">
        <f>AI23</f>
        <v>24824.080000000002</v>
      </c>
      <c r="AL23" s="25" t="s">
        <v>100</v>
      </c>
    </row>
    <row r="24" spans="1:38" ht="12.75">
      <c r="A24" s="15" t="s">
        <v>101</v>
      </c>
      <c r="B24" s="16" t="s">
        <v>102</v>
      </c>
      <c r="C24" s="16">
        <v>45000</v>
      </c>
      <c r="D24" s="16">
        <v>45000</v>
      </c>
      <c r="E24" s="18">
        <f>SUM(N24,P24,R24,T24,V24,X24,Z24,AB24,AD24,AF24,AH24,AJ24)</f>
        <v>45000</v>
      </c>
      <c r="F24" s="18">
        <f>SUM(O24,Q24,S24,U24,W24,Y24,AA24,AC24,AE24,AG24,AI24,AK24)</f>
        <v>45000</v>
      </c>
      <c r="G24" s="18">
        <f>E24-F24</f>
        <v>0</v>
      </c>
      <c r="H24" s="18">
        <f>IFERROR(SUM(N24+P24+R24+T24+V24+X24+Z24+AB24),"SIN_DATOS")</f>
        <v>0</v>
      </c>
      <c r="I24" s="18">
        <f>IFERROR(SUM(O24+Q24+S24+U24+W24+Y24+AA24+AC24),"SIN_DATOS")</f>
        <v>0</v>
      </c>
      <c r="J24" s="19">
        <f>IF(OR(NOT(ISNUMBER($E24)),$E24=0),"SIN DATO",$I24/$E24)</f>
        <v>0</v>
      </c>
      <c r="K24" s="19">
        <f>IF(OR(NOT(ISNUMBER($E24)),$E24=0),"SIN DATO",$H24/$E24)</f>
        <v>0</v>
      </c>
      <c r="L24" s="18">
        <f>IFERROR(H24-I24,"SIN DATO")</f>
        <v>0</v>
      </c>
      <c r="M24" s="20">
        <f>IFERROR(K24-J24,"SIN DATO")</f>
        <v>0</v>
      </c>
      <c r="N24" s="21">
        <v>0</v>
      </c>
      <c r="O24" s="22">
        <v>0</v>
      </c>
      <c r="P24" s="21">
        <v>0</v>
      </c>
      <c r="Q24" s="22">
        <v>0</v>
      </c>
      <c r="R24" s="21">
        <v>0</v>
      </c>
      <c r="S24" s="22">
        <v>0</v>
      </c>
      <c r="T24" s="21">
        <v>0</v>
      </c>
      <c r="U24" s="22">
        <v>0</v>
      </c>
      <c r="V24" s="21">
        <v>0</v>
      </c>
      <c r="W24" s="22">
        <v>0</v>
      </c>
      <c r="X24" s="21">
        <v>0</v>
      </c>
      <c r="Y24" s="22">
        <v>0</v>
      </c>
      <c r="Z24" s="21">
        <v>0</v>
      </c>
      <c r="AA24" s="22">
        <v>0</v>
      </c>
      <c r="AB24" s="21">
        <v>0</v>
      </c>
      <c r="AC24" s="22">
        <v>0</v>
      </c>
      <c r="AD24" s="21">
        <v>0</v>
      </c>
      <c r="AE24" s="24">
        <f>AC24</f>
        <v>0</v>
      </c>
      <c r="AF24" s="21">
        <v>0</v>
      </c>
      <c r="AG24" s="24">
        <f>AE24</f>
        <v>0</v>
      </c>
      <c r="AH24" s="21">
        <v>0</v>
      </c>
      <c r="AI24" s="24">
        <f>AG24</f>
        <v>0</v>
      </c>
      <c r="AJ24" s="21">
        <v>45000</v>
      </c>
      <c r="AK24" s="24">
        <f>AJ24</f>
        <v>45000</v>
      </c>
      <c r="AL24" s="25" t="s">
        <v>103</v>
      </c>
    </row>
    <row r="25" spans="1:38" ht="12.75">
      <c r="A25" s="15" t="s">
        <v>104</v>
      </c>
      <c r="B25" s="16" t="s">
        <v>105</v>
      </c>
      <c r="C25" s="34">
        <v>80449.959999999992</v>
      </c>
      <c r="D25" s="18">
        <v>80449.959999999992</v>
      </c>
      <c r="E25" s="18">
        <f>SUM(N25,P25,R25,T25,V25,X25,Z25,AB25,AD25,AF25,AH25,AJ25)</f>
        <v>80449.959999999992</v>
      </c>
      <c r="F25" s="18">
        <f>SUM(O25,Q25,S25,U25,W25,Y25,AA25,AC25,AE25,AG25,AI25,AK25)</f>
        <v>66211.399999999994</v>
      </c>
      <c r="G25" s="18">
        <f>E25-F25</f>
        <v>14238.559999999998</v>
      </c>
      <c r="H25" s="18">
        <f>IFERROR(SUM(N25+P25+R25+T25+V25+X25+Z25+AB25),"SIN_DATOS")</f>
        <v>47783.28</v>
      </c>
      <c r="I25" s="18">
        <f>IFERROR(SUM(O25+Q25+S25+U25+W25+Y25+AA25+AC25),"SIN_DATOS")</f>
        <v>43839.399999999994</v>
      </c>
      <c r="J25" s="19">
        <f>IF(OR(NOT(ISNUMBER($E25)),$E25=0),"SIN DATO",$I25/$E25)</f>
        <v>0.54492755496708756</v>
      </c>
      <c r="K25" s="19">
        <f>IF(OR(NOT(ISNUMBER($E25)),$E25=0),"SIN DATO",$H25/$E25)</f>
        <v>0.59395032638922385</v>
      </c>
      <c r="L25" s="18">
        <f>IFERROR(H25-I25,"SIN DATO")</f>
        <v>3943.8800000000047</v>
      </c>
      <c r="M25" s="20">
        <f>IFERROR(K25-J25,"SIN DATO")</f>
        <v>4.9022771422136291E-2</v>
      </c>
      <c r="N25" s="21">
        <v>5972.91</v>
      </c>
      <c r="O25" s="22">
        <v>5434.8</v>
      </c>
      <c r="P25" s="21">
        <v>5972.91</v>
      </c>
      <c r="Q25" s="22">
        <v>5313</v>
      </c>
      <c r="R25" s="21">
        <v>5972.91</v>
      </c>
      <c r="S25" s="22">
        <v>5541.8</v>
      </c>
      <c r="T25" s="21">
        <v>5972.91</v>
      </c>
      <c r="U25" s="22">
        <v>5485.8</v>
      </c>
      <c r="V25" s="21">
        <v>5972.91</v>
      </c>
      <c r="W25" s="22">
        <v>5494.4</v>
      </c>
      <c r="X25" s="21">
        <v>5972.91</v>
      </c>
      <c r="Y25" s="22">
        <v>5414.6</v>
      </c>
      <c r="Z25" s="21">
        <v>5972.91</v>
      </c>
      <c r="AA25" s="22">
        <v>5562</v>
      </c>
      <c r="AB25" s="21">
        <v>5972.91</v>
      </c>
      <c r="AC25" s="22">
        <v>5593</v>
      </c>
      <c r="AD25" s="21">
        <v>8166.67</v>
      </c>
      <c r="AE25" s="24">
        <f>AC25</f>
        <v>5593</v>
      </c>
      <c r="AF25" s="21">
        <v>8166.67</v>
      </c>
      <c r="AG25" s="24">
        <f>AE25</f>
        <v>5593</v>
      </c>
      <c r="AH25" s="21">
        <v>8166.67</v>
      </c>
      <c r="AI25" s="24">
        <f>AG25</f>
        <v>5593</v>
      </c>
      <c r="AJ25" s="21">
        <v>8166.67</v>
      </c>
      <c r="AK25" s="24">
        <f>AI25</f>
        <v>5593</v>
      </c>
      <c r="AL25" s="25" t="s">
        <v>106</v>
      </c>
    </row>
    <row r="26" spans="1:38" ht="12.75">
      <c r="A26" s="15" t="s">
        <v>107</v>
      </c>
      <c r="B26" s="16" t="s">
        <v>108</v>
      </c>
      <c r="C26" s="16" t="s">
        <v>79</v>
      </c>
      <c r="D26" s="16">
        <v>0</v>
      </c>
      <c r="E26" s="18">
        <f>SUM(N26,P26,R26,T26,V26,X26,Z26,AB26,AD26,AF26,AH26,AJ26)</f>
        <v>0</v>
      </c>
      <c r="F26" s="18">
        <f>SUM(O26,Q26,S26,U26,W26,Y26,AA26,AC26,AE26,AG26,AI26,AK26)</f>
        <v>0</v>
      </c>
      <c r="G26" s="18">
        <f>E26-F26</f>
        <v>0</v>
      </c>
      <c r="H26" s="18">
        <f>IFERROR(SUM(N26+P26+R26+T26+V26+X26+Z26+AB26),"SIN_DATOS")</f>
        <v>0</v>
      </c>
      <c r="I26" s="18">
        <f>IFERROR(SUM(O26+Q26+S26+U26+W26+Y26+AA26+AC26),"SIN_DATOS")</f>
        <v>0</v>
      </c>
      <c r="J26" s="19" t="str">
        <f>IF(OR(NOT(ISNUMBER($E26)),$E26=0),"SIN DATO",$I26/$E26)</f>
        <v>SIN DATO</v>
      </c>
      <c r="K26" s="19" t="str">
        <f>IF(OR(NOT(ISNUMBER($E26)),$E26=0),"SIN DATO",$H26/$E26)</f>
        <v>SIN DATO</v>
      </c>
      <c r="L26" s="18">
        <f>IFERROR(H26-I26,"SIN DATO")</f>
        <v>0</v>
      </c>
      <c r="M26" s="20" t="str">
        <f>IFERROR(K26-J26,"SIN DATO")</f>
        <v>SIN DATO</v>
      </c>
      <c r="N26" s="21">
        <v>0</v>
      </c>
      <c r="O26" s="22">
        <v>0</v>
      </c>
      <c r="P26" s="21">
        <v>0</v>
      </c>
      <c r="Q26" s="22">
        <v>0</v>
      </c>
      <c r="R26" s="21">
        <v>0</v>
      </c>
      <c r="S26" s="22">
        <v>0</v>
      </c>
      <c r="T26" s="21">
        <v>0</v>
      </c>
      <c r="U26" s="22">
        <v>0</v>
      </c>
      <c r="V26" s="21">
        <v>0</v>
      </c>
      <c r="W26" s="22">
        <v>0</v>
      </c>
      <c r="X26" s="21">
        <v>0</v>
      </c>
      <c r="Y26" s="22">
        <v>0</v>
      </c>
      <c r="Z26" s="21">
        <v>0</v>
      </c>
      <c r="AA26" s="22">
        <v>0</v>
      </c>
      <c r="AB26" s="21">
        <v>0</v>
      </c>
      <c r="AC26" s="22">
        <v>0</v>
      </c>
      <c r="AD26" s="21">
        <v>0</v>
      </c>
      <c r="AE26" s="24">
        <f>AC26</f>
        <v>0</v>
      </c>
      <c r="AF26" s="21">
        <v>0</v>
      </c>
      <c r="AG26" s="24">
        <f>AE26</f>
        <v>0</v>
      </c>
      <c r="AH26" s="21">
        <v>0</v>
      </c>
      <c r="AI26" s="24">
        <f>AG26</f>
        <v>0</v>
      </c>
      <c r="AJ26" s="21">
        <v>0</v>
      </c>
      <c r="AK26" s="24">
        <f>AI26</f>
        <v>0</v>
      </c>
    </row>
    <row r="27" spans="1:38" ht="12.75">
      <c r="A27" s="15" t="s">
        <v>109</v>
      </c>
      <c r="B27" s="16" t="s">
        <v>110</v>
      </c>
      <c r="C27" s="16">
        <v>690999.96</v>
      </c>
      <c r="D27" s="16">
        <v>691000.08</v>
      </c>
      <c r="E27" s="18">
        <f>SUM(N27,P27,R27,T27,V27,X27,Z27,AB27,AD27,AF27,AH27,AJ27)</f>
        <v>691000.08000000007</v>
      </c>
      <c r="F27" s="18">
        <f>SUM(O27,Q27,S27,U27,W27,Y27,AA27,AC27,AE27,AG27,AI27,AK27)</f>
        <v>691000.07999999973</v>
      </c>
      <c r="G27" s="18">
        <f>E27-F27</f>
        <v>0</v>
      </c>
      <c r="H27" s="18">
        <f>IFERROR(SUM(N27+P27+R27+T27+V27+X27+Z27+AB27),"SIN_DATOS")</f>
        <v>460666.72000000009</v>
      </c>
      <c r="I27" s="18">
        <f>IFERROR(SUM(O27+Q27+S27+U27+W27+Y27+AA27+AC27),"SIN_DATOS")</f>
        <v>460666.71999999986</v>
      </c>
      <c r="J27" s="19">
        <f>IF(OR(NOT(ISNUMBER($E27)),$E27=0),"SIN DATO",$I27/$E27)</f>
        <v>0.66666666666666641</v>
      </c>
      <c r="K27" s="19">
        <f>IF(OR(NOT(ISNUMBER($E27)),$E27=0),"SIN DATO",$H27/$E27)</f>
        <v>0.66666666666666674</v>
      </c>
      <c r="L27" s="18">
        <f>IFERROR(H27-I27,"SIN DATO")</f>
        <v>2.3283064365386963E-10</v>
      </c>
      <c r="M27" s="20">
        <f>IFERROR(K27-J27,"SIN DATO")</f>
        <v>3.3306690738754696E-16</v>
      </c>
      <c r="N27" s="21">
        <v>57583.33</v>
      </c>
      <c r="O27" s="23">
        <v>57583.34</v>
      </c>
      <c r="P27" s="21">
        <v>57583.33</v>
      </c>
      <c r="Q27" s="22">
        <v>57583.34</v>
      </c>
      <c r="R27" s="21">
        <v>57583.33</v>
      </c>
      <c r="S27" s="22">
        <v>57583.34</v>
      </c>
      <c r="T27" s="21">
        <v>57583.37</v>
      </c>
      <c r="U27" s="22">
        <v>57583.34</v>
      </c>
      <c r="V27" s="21">
        <v>57583.340000000004</v>
      </c>
      <c r="W27" s="22">
        <v>57583.34</v>
      </c>
      <c r="X27" s="21">
        <v>57583.340000000004</v>
      </c>
      <c r="Y27" s="22">
        <v>57583.34</v>
      </c>
      <c r="Z27" s="21">
        <v>57583.340000000004</v>
      </c>
      <c r="AA27" s="22">
        <f>Y27</f>
        <v>57583.34</v>
      </c>
      <c r="AB27" s="21">
        <v>57583.340000000004</v>
      </c>
      <c r="AC27" s="22">
        <f>AA27</f>
        <v>57583.34</v>
      </c>
      <c r="AD27" s="21">
        <v>57583.340000000004</v>
      </c>
      <c r="AE27" s="24">
        <f>AC27</f>
        <v>57583.34</v>
      </c>
      <c r="AF27" s="21">
        <v>57583.340000000004</v>
      </c>
      <c r="AG27" s="24">
        <f>AE27</f>
        <v>57583.34</v>
      </c>
      <c r="AH27" s="21">
        <v>57583.340000000004</v>
      </c>
      <c r="AI27" s="24">
        <f>AG27</f>
        <v>57583.34</v>
      </c>
      <c r="AJ27" s="21">
        <v>57583.340000000004</v>
      </c>
      <c r="AK27" s="24">
        <f>AI27</f>
        <v>57583.34</v>
      </c>
    </row>
    <row r="28" spans="1:38" ht="12.75">
      <c r="A28" s="15" t="s">
        <v>111</v>
      </c>
      <c r="B28" s="16" t="s">
        <v>112</v>
      </c>
      <c r="C28" s="16">
        <v>300219</v>
      </c>
      <c r="D28" s="16">
        <v>238228.18</v>
      </c>
      <c r="E28" s="18">
        <f>SUM(N28,P28,R28,T28,V28,X28,Z28,AB28,AD28,AF28,AH28,AJ28)</f>
        <v>331584.18999999994</v>
      </c>
      <c r="F28" s="18">
        <f>SUM(O28,Q28,S28,U28,W28,Y28,AA28,AC28,AE28,AG28,AI28,AK28)</f>
        <v>322249.76000000007</v>
      </c>
      <c r="G28" s="18">
        <f>E28-F28</f>
        <v>9334.4299999998766</v>
      </c>
      <c r="H28" s="18">
        <f>IFERROR(SUM(N28+P28+R28+T28+V28+X28+Z28+AB28),"SIN_DATOS")</f>
        <v>210683.24999999997</v>
      </c>
      <c r="I28" s="18">
        <f>IFERROR(SUM(O28+Q28+S28+U28+W28+Y28+AA28+AC28),"SIN_DATOS")</f>
        <v>204560.4</v>
      </c>
      <c r="J28" s="19">
        <f>IF(OR(NOT(ISNUMBER($E28)),$E28=0),"SIN DATO",$I28/$E28)</f>
        <v>0.61691843631024756</v>
      </c>
      <c r="K28" s="19">
        <f>IF(OR(NOT(ISNUMBER($E28)),$E28=0),"SIN DATO",$H28/$E28)</f>
        <v>0.63538388244626498</v>
      </c>
      <c r="L28" s="18">
        <f>IFERROR(H28-I28,"SIN DATO")</f>
        <v>6122.8499999999767</v>
      </c>
      <c r="M28" s="20">
        <f>IFERROR(K28-J28,"SIN DATO")</f>
        <v>1.8465446136017416E-2</v>
      </c>
      <c r="N28" s="21">
        <v>19852.349999999999</v>
      </c>
      <c r="O28" s="23">
        <v>21717.759999999998</v>
      </c>
      <c r="P28" s="21">
        <v>19852.349999999999</v>
      </c>
      <c r="Q28" s="22">
        <v>21717.759999999998</v>
      </c>
      <c r="R28" s="21">
        <v>19852.349999999999</v>
      </c>
      <c r="S28" s="22">
        <v>21717.759999999998</v>
      </c>
      <c r="T28" s="23">
        <v>30225.239999999998</v>
      </c>
      <c r="U28" s="22">
        <v>21717.759999999998</v>
      </c>
      <c r="V28" s="21">
        <v>30225.239999999998</v>
      </c>
      <c r="W28" s="22">
        <v>29422.34</v>
      </c>
      <c r="X28" s="21">
        <v>30225.239999999998</v>
      </c>
      <c r="Y28" s="22">
        <v>29422.34</v>
      </c>
      <c r="Z28" s="21">
        <v>30225.239999999998</v>
      </c>
      <c r="AA28" s="22">
        <f>Y28</f>
        <v>29422.34</v>
      </c>
      <c r="AB28" s="21">
        <v>30225.239999999998</v>
      </c>
      <c r="AC28" s="22">
        <f>AA28</f>
        <v>29422.34</v>
      </c>
      <c r="AD28" s="21">
        <v>30225.239999999998</v>
      </c>
      <c r="AE28" s="24">
        <f>AC28</f>
        <v>29422.34</v>
      </c>
      <c r="AF28" s="21">
        <v>30225.239999999998</v>
      </c>
      <c r="AG28" s="24">
        <f>AE28</f>
        <v>29422.34</v>
      </c>
      <c r="AH28" s="21">
        <v>30225.239999999998</v>
      </c>
      <c r="AI28" s="24">
        <f>AG28</f>
        <v>29422.34</v>
      </c>
      <c r="AJ28" s="21">
        <v>30225.22</v>
      </c>
      <c r="AK28" s="24">
        <f>AI28</f>
        <v>29422.34</v>
      </c>
      <c r="AL28" s="25" t="s">
        <v>113</v>
      </c>
    </row>
    <row r="29" spans="1:38" ht="12.75">
      <c r="A29" s="15" t="s">
        <v>114</v>
      </c>
      <c r="B29" s="16" t="s">
        <v>115</v>
      </c>
      <c r="C29" s="16">
        <v>546592.32999999996</v>
      </c>
      <c r="D29" s="16">
        <v>546592.32999999996</v>
      </c>
      <c r="E29" s="18">
        <f>SUM(N29,P29,R29,T29,V29,X29,Z29,AB29,AD29,AF29,AH29,AJ29)</f>
        <v>548648.56000000017</v>
      </c>
      <c r="F29" s="18">
        <f>SUM(O29,Q29,S29,U29,W29,Y29,AA29,AC29,AE29,AG29,AI29,AK29)</f>
        <v>537415.46</v>
      </c>
      <c r="G29" s="18">
        <f>E29-F29</f>
        <v>11233.10000000021</v>
      </c>
      <c r="H29" s="18">
        <f>IFERROR(SUM(N29+P29+R29+T29+V29+X29+Z29+AB29),"SIN_DATOS")</f>
        <v>373548.72000000009</v>
      </c>
      <c r="I29" s="18">
        <f>IFERROR(SUM(O29+Q29+S29+U29+W29+Y29+AA29+AC29),"SIN_DATOS")</f>
        <v>362315.7</v>
      </c>
      <c r="J29" s="19">
        <f>IF(OR(NOT(ISNUMBER($E29)),$E29=0),"SIN DATO",$I29/$E29)</f>
        <v>0.66037847615967482</v>
      </c>
      <c r="K29" s="19">
        <f>IF(OR(NOT(ISNUMBER($E29)),$E29=0),"SIN DATO",$H29/$E29)</f>
        <v>0.68085245680768758</v>
      </c>
      <c r="L29" s="18">
        <f>IFERROR(H29-I29,"SIN DATO")</f>
        <v>11233.020000000077</v>
      </c>
      <c r="M29" s="20">
        <f>IFERROR(K29-J29,"SIN DATO")</f>
        <v>2.0473980648012757E-2</v>
      </c>
      <c r="N29" s="21">
        <v>49612.23</v>
      </c>
      <c r="O29" s="23">
        <v>46803.99</v>
      </c>
      <c r="P29" s="21">
        <v>49612.23</v>
      </c>
      <c r="Q29" s="22">
        <v>46803.99</v>
      </c>
      <c r="R29" s="21">
        <v>49612.23</v>
      </c>
      <c r="S29" s="22">
        <v>46803.98</v>
      </c>
      <c r="T29" s="21">
        <v>49612.23</v>
      </c>
      <c r="U29" s="22">
        <v>46803.98</v>
      </c>
      <c r="V29" s="23">
        <v>43774.94</v>
      </c>
      <c r="W29" s="22">
        <v>0</v>
      </c>
      <c r="X29" s="21">
        <v>43774.94</v>
      </c>
      <c r="Y29" s="23">
        <v>87549.88</v>
      </c>
      <c r="Z29" s="21">
        <v>43774.96</v>
      </c>
      <c r="AA29" s="22">
        <v>43774.94</v>
      </c>
      <c r="AB29" s="21">
        <v>43774.96</v>
      </c>
      <c r="AC29" s="22">
        <f>AA29</f>
        <v>43774.94</v>
      </c>
      <c r="AD29" s="21">
        <v>43774.96</v>
      </c>
      <c r="AE29" s="24">
        <f>AC29</f>
        <v>43774.94</v>
      </c>
      <c r="AF29" s="21">
        <v>43774.96</v>
      </c>
      <c r="AG29" s="24">
        <f>AE29</f>
        <v>43774.94</v>
      </c>
      <c r="AH29" s="21">
        <v>43774.96</v>
      </c>
      <c r="AI29" s="24">
        <f>AG29</f>
        <v>43774.94</v>
      </c>
      <c r="AJ29" s="21">
        <v>43774.96</v>
      </c>
      <c r="AK29" s="24">
        <f>AI29</f>
        <v>43774.94</v>
      </c>
      <c r="AL29" s="25" t="s">
        <v>116</v>
      </c>
    </row>
    <row r="30" spans="1:38" ht="12.75">
      <c r="A30" s="15" t="s">
        <v>117</v>
      </c>
      <c r="B30" s="16" t="s">
        <v>118</v>
      </c>
      <c r="C30" s="16">
        <v>502200.24</v>
      </c>
      <c r="D30" s="16">
        <v>502200.37</v>
      </c>
      <c r="E30" s="18">
        <f>SUM(N30,P30,R30,T30,V30,X30,Z30,AB30,AD30,AF30,AH30,AJ30)</f>
        <v>502200.37000000005</v>
      </c>
      <c r="F30" s="18">
        <f>SUM(O30,Q30,S30,U30,W30,Y30,AA30,AC30,AE30,AG30,AI30,AK30)</f>
        <v>503556.93000000017</v>
      </c>
      <c r="G30" s="18">
        <f>E30-F30</f>
        <v>-1356.5600000001141</v>
      </c>
      <c r="H30" s="18">
        <f>IFERROR(SUM(N30+P30+R30+T30+V30+X30+Z30+AB30),"SIN_DATOS")</f>
        <v>336156.85</v>
      </c>
      <c r="I30" s="18">
        <f>IFERROR(SUM(O30+Q30+S30+U30+W30+Y30+AA30+AC30),"SIN_DATOS")</f>
        <v>336156.81000000006</v>
      </c>
      <c r="J30" s="19">
        <f>IF(OR(NOT(ISNUMBER($E30)),$E30=0),"SIN DATO",$I30/$E30)</f>
        <v>0.66936790588186945</v>
      </c>
      <c r="K30" s="19">
        <f>IF(OR(NOT(ISNUMBER($E30)),$E30=0),"SIN DATO",$H30/$E30)</f>
        <v>0.66936798553135268</v>
      </c>
      <c r="L30" s="18">
        <f>IFERROR(H30-I30,"SIN DATO")</f>
        <v>3.9999999920837581E-2</v>
      </c>
      <c r="M30" s="20">
        <f>IFERROR(K30-J30,"SIN DATO")</f>
        <v>7.9649483231136742E-8</v>
      </c>
      <c r="N30" s="21">
        <v>41850.019999999997</v>
      </c>
      <c r="O30" s="22">
        <v>43206.6</v>
      </c>
      <c r="P30" s="21">
        <v>41850.019999999997</v>
      </c>
      <c r="Q30" s="22">
        <v>0</v>
      </c>
      <c r="R30" s="21">
        <v>41850.019999999997</v>
      </c>
      <c r="S30" s="22">
        <v>40493.46</v>
      </c>
      <c r="T30" s="21">
        <v>41850.019999999997</v>
      </c>
      <c r="U30" s="22">
        <v>41850.03</v>
      </c>
      <c r="V30" s="21">
        <v>41850.049999999996</v>
      </c>
      <c r="W30" s="22">
        <v>41850.03</v>
      </c>
      <c r="X30" s="21">
        <v>43206.649999999994</v>
      </c>
      <c r="Y30" s="23">
        <v>85056.63</v>
      </c>
      <c r="Z30" s="21">
        <v>41850.04</v>
      </c>
      <c r="AA30" s="22">
        <v>41850.03</v>
      </c>
      <c r="AB30" s="21">
        <v>41850.03</v>
      </c>
      <c r="AC30" s="22">
        <f>AA30</f>
        <v>41850.03</v>
      </c>
      <c r="AD30" s="21">
        <v>41850.03</v>
      </c>
      <c r="AE30" s="24">
        <f>AC30</f>
        <v>41850.03</v>
      </c>
      <c r="AF30" s="21">
        <v>41850.03</v>
      </c>
      <c r="AG30" s="24">
        <f>AE30</f>
        <v>41850.03</v>
      </c>
      <c r="AH30" s="21">
        <v>41850.03</v>
      </c>
      <c r="AI30" s="24">
        <f>AG30</f>
        <v>41850.03</v>
      </c>
      <c r="AJ30" s="21">
        <v>40493.43</v>
      </c>
      <c r="AK30" s="24">
        <f>AI30</f>
        <v>41850.03</v>
      </c>
    </row>
    <row r="31" spans="1:38" ht="12.75">
      <c r="A31" s="15" t="s">
        <v>119</v>
      </c>
      <c r="B31" s="16" t="s">
        <v>120</v>
      </c>
      <c r="C31" s="16">
        <v>425067.1</v>
      </c>
      <c r="D31" s="16">
        <v>425067.1</v>
      </c>
      <c r="E31" s="18">
        <f>SUM(N31,P31,R31,T31,V31,X31,Z31,AB31,AD31,AF31,AH31,AJ31)</f>
        <v>425067.10000000009</v>
      </c>
      <c r="F31" s="18">
        <f>SUM(O31,Q31,S31,U31,W31,Y31,AA31,AC31,AE31,AG31,AI31,AK31)</f>
        <v>397192.34999999992</v>
      </c>
      <c r="G31" s="18">
        <f>E31-F31</f>
        <v>27874.750000000175</v>
      </c>
      <c r="H31" s="18">
        <f>IFERROR(SUM(N31+P31+R31+T31+V31+X31+Z31+AB31),"SIN_DATOS")</f>
        <v>236172.89</v>
      </c>
      <c r="I31" s="18">
        <f>IFERROR(SUM(O31+Q31+S31+U31+W31+Y31+AA31+AC31),"SIN_DATOS")</f>
        <v>238419.66999999998</v>
      </c>
      <c r="J31" s="19">
        <f>IF(OR(NOT(ISNUMBER($E31)),$E31=0),"SIN DATO",$I31/$E31)</f>
        <v>0.56089890278499543</v>
      </c>
      <c r="K31" s="19">
        <f>IF(OR(NOT(ISNUMBER($E31)),$E31=0),"SIN DATO",$H31/$E31)</f>
        <v>0.55561319612832882</v>
      </c>
      <c r="L31" s="18">
        <f>IFERROR(H31-I31,"SIN DATO")</f>
        <v>-2246.7799999999697</v>
      </c>
      <c r="M31" s="20">
        <f>IFERROR(K31-J31,"SIN DATO")</f>
        <v>-5.2857066566666111E-3</v>
      </c>
      <c r="N31" s="21">
        <v>33976.449999999997</v>
      </c>
      <c r="O31" s="23">
        <v>28389.5</v>
      </c>
      <c r="P31" s="21">
        <v>33976.449999999997</v>
      </c>
      <c r="Q31" s="22">
        <v>28389.5</v>
      </c>
      <c r="R31" s="21">
        <v>33976.449999999997</v>
      </c>
      <c r="S31" s="22">
        <v>28389.5</v>
      </c>
      <c r="T31" s="21">
        <v>33976.449999999997</v>
      </c>
      <c r="U31" s="22">
        <v>28389.5</v>
      </c>
      <c r="V31" s="21">
        <v>33976.449999999997</v>
      </c>
      <c r="W31" s="22">
        <v>28389.5</v>
      </c>
      <c r="X31" s="21">
        <v>33976.449999999997</v>
      </c>
      <c r="Y31" s="22">
        <v>28389.5</v>
      </c>
      <c r="Z31" s="21">
        <v>33976.449999999997</v>
      </c>
      <c r="AA31" s="22">
        <f>Y31</f>
        <v>28389.5</v>
      </c>
      <c r="AB31" s="21">
        <v>-1662.260000000002</v>
      </c>
      <c r="AC31" s="23">
        <v>39693.17</v>
      </c>
      <c r="AD31" s="21">
        <v>37446.39</v>
      </c>
      <c r="AE31" s="24">
        <f>AC31</f>
        <v>39693.17</v>
      </c>
      <c r="AF31" s="21">
        <v>37446.39</v>
      </c>
      <c r="AG31" s="24">
        <f>AE31</f>
        <v>39693.17</v>
      </c>
      <c r="AH31" s="21">
        <v>37446.39</v>
      </c>
      <c r="AI31" s="24">
        <f>AG31</f>
        <v>39693.17</v>
      </c>
      <c r="AJ31" s="21">
        <v>76555.040000000008</v>
      </c>
      <c r="AK31" s="24">
        <f>AI31</f>
        <v>39693.17</v>
      </c>
      <c r="AL31" s="25" t="s">
        <v>121</v>
      </c>
    </row>
    <row r="32" spans="1:38" ht="12.75">
      <c r="A32" s="15" t="s">
        <v>122</v>
      </c>
      <c r="B32" s="16" t="s">
        <v>123</v>
      </c>
      <c r="C32" s="16">
        <v>762149.42</v>
      </c>
      <c r="D32" s="16">
        <v>724041.95</v>
      </c>
      <c r="E32" s="18">
        <f>SUM(N32,P32,R32,T32,V32,X32,Z32,AB32,AD32,AF32,AH32,AJ32)</f>
        <v>724041.95</v>
      </c>
      <c r="F32" s="18">
        <f>SUM(O32,Q32,S32,U32,W32,Y32,AA32,AC32,AE32,AG32,AI32,AK32)</f>
        <v>758904</v>
      </c>
      <c r="G32" s="18">
        <f>E32-F32</f>
        <v>-34862.050000000047</v>
      </c>
      <c r="H32" s="18">
        <f>IFERROR(SUM(N32+P32+R32+T32+V32+X32+Z32+AB32),"SIN_DATOS")</f>
        <v>505936</v>
      </c>
      <c r="I32" s="18">
        <f>IFERROR(SUM(O32+Q32+S32+U32+W32+Y32+AA32+AC32),"SIN_DATOS")</f>
        <v>505936</v>
      </c>
      <c r="J32" s="19">
        <f>IF(OR(NOT(ISNUMBER($E32)),$E32=0),"SIN DATO",$I32/$E32)</f>
        <v>0.69876614193417941</v>
      </c>
      <c r="K32" s="19">
        <f>IF(OR(NOT(ISNUMBER($E32)),$E32=0),"SIN DATO",$H32/$E32)</f>
        <v>0.69876614193417941</v>
      </c>
      <c r="L32" s="18">
        <f>IFERROR(H32-I32,"SIN DATO")</f>
        <v>0</v>
      </c>
      <c r="M32" s="20">
        <f>IFERROR(K32-J32,"SIN DATO")</f>
        <v>0</v>
      </c>
      <c r="N32" s="21">
        <v>63242</v>
      </c>
      <c r="O32" s="23">
        <v>63242</v>
      </c>
      <c r="P32" s="21">
        <v>63242</v>
      </c>
      <c r="Q32" s="22">
        <v>63242</v>
      </c>
      <c r="R32" s="21">
        <v>63242</v>
      </c>
      <c r="S32" s="22">
        <v>63242</v>
      </c>
      <c r="T32" s="21">
        <v>63242</v>
      </c>
      <c r="U32" s="22">
        <v>63242</v>
      </c>
      <c r="V32" s="21">
        <v>63242</v>
      </c>
      <c r="W32" s="22">
        <v>63242</v>
      </c>
      <c r="X32" s="21">
        <v>63242</v>
      </c>
      <c r="Y32" s="22">
        <v>63242</v>
      </c>
      <c r="Z32" s="21">
        <v>63242</v>
      </c>
      <c r="AA32" s="22">
        <f>Y32</f>
        <v>63242</v>
      </c>
      <c r="AB32" s="21">
        <v>63242</v>
      </c>
      <c r="AC32" s="22">
        <f>AA32</f>
        <v>63242</v>
      </c>
      <c r="AD32" s="21">
        <v>63242</v>
      </c>
      <c r="AE32" s="24">
        <f>AC32</f>
        <v>63242</v>
      </c>
      <c r="AF32" s="21">
        <v>63242</v>
      </c>
      <c r="AG32" s="24">
        <f>AE32</f>
        <v>63242</v>
      </c>
      <c r="AH32" s="21">
        <v>63242</v>
      </c>
      <c r="AI32" s="24">
        <f>AG32</f>
        <v>63242</v>
      </c>
      <c r="AJ32" s="23">
        <v>28379.95</v>
      </c>
      <c r="AK32" s="24">
        <f>AI32</f>
        <v>63242</v>
      </c>
      <c r="AL32" s="35" t="s">
        <v>124</v>
      </c>
    </row>
    <row r="33" spans="1:38" ht="12.75">
      <c r="A33" s="15" t="s">
        <v>125</v>
      </c>
      <c r="B33" s="16" t="s">
        <v>126</v>
      </c>
      <c r="C33" s="16">
        <v>89976.36</v>
      </c>
      <c r="D33" s="16">
        <v>89976.36</v>
      </c>
      <c r="E33" s="18">
        <f>SUM(N33,P33,R33,T33,V33,X33,Z33,AB33,AD33,AF33,AH33,AJ33)</f>
        <v>89976.36</v>
      </c>
      <c r="F33" s="18">
        <f>SUM(O33,Q33,S33,U33,W33,Y33,AA33,AC33,AE33,AG33,AI33,AK33)</f>
        <v>89976.240000000034</v>
      </c>
      <c r="G33" s="18">
        <f>E33-F33</f>
        <v>0.11999999996623956</v>
      </c>
      <c r="H33" s="18">
        <f>IFERROR(SUM(N33+P33+R33+T33+V33+X33+Z33+AB33),"SIN_DATOS")</f>
        <v>59984.24</v>
      </c>
      <c r="I33" s="18">
        <f>IFERROR(SUM(O33+Q33+S33+U33+W33+Y33+AA33+AC33),"SIN_DATOS")</f>
        <v>59984.160000000018</v>
      </c>
      <c r="J33" s="19">
        <f>IF(OR(NOT(ISNUMBER($E33)),$E33=0),"SIN DATO",$I33/$E33)</f>
        <v>0.66666577754423517</v>
      </c>
      <c r="K33" s="19">
        <f>IF(OR(NOT(ISNUMBER($E33)),$E33=0),"SIN DATO",$H33/$E33)</f>
        <v>0.66666666666666663</v>
      </c>
      <c r="L33" s="18">
        <f>IFERROR(H33-I33,"SIN DATO")</f>
        <v>7.9999999979918357E-2</v>
      </c>
      <c r="M33" s="20">
        <f>IFERROR(K33-J33,"SIN DATO")</f>
        <v>8.8912243145777836E-7</v>
      </c>
      <c r="N33" s="21">
        <v>7498.03</v>
      </c>
      <c r="O33" s="23">
        <v>7498.02</v>
      </c>
      <c r="P33" s="21">
        <v>7498.03</v>
      </c>
      <c r="Q33" s="22">
        <v>7498.02</v>
      </c>
      <c r="R33" s="21">
        <v>7498.03</v>
      </c>
      <c r="S33" s="22">
        <v>7498.02</v>
      </c>
      <c r="T33" s="21">
        <v>7498.03</v>
      </c>
      <c r="U33" s="22">
        <v>7498.02</v>
      </c>
      <c r="V33" s="21">
        <v>7498.03</v>
      </c>
      <c r="W33" s="22">
        <v>7498.02</v>
      </c>
      <c r="X33" s="21">
        <v>7498.03</v>
      </c>
      <c r="Y33" s="22">
        <v>7498.02</v>
      </c>
      <c r="Z33" s="21">
        <v>7498.03</v>
      </c>
      <c r="AA33" s="22">
        <f>Y33</f>
        <v>7498.02</v>
      </c>
      <c r="AB33" s="21">
        <v>7498.03</v>
      </c>
      <c r="AC33" s="22">
        <f>AA33</f>
        <v>7498.02</v>
      </c>
      <c r="AD33" s="21">
        <v>7498.03</v>
      </c>
      <c r="AE33" s="24">
        <f>AC33</f>
        <v>7498.02</v>
      </c>
      <c r="AF33" s="21">
        <v>7498.03</v>
      </c>
      <c r="AG33" s="24">
        <f>AE33</f>
        <v>7498.02</v>
      </c>
      <c r="AH33" s="21">
        <v>7498.03</v>
      </c>
      <c r="AI33" s="24">
        <f>AG33</f>
        <v>7498.02</v>
      </c>
      <c r="AJ33" s="21">
        <v>7498.03</v>
      </c>
      <c r="AK33" s="24">
        <f>AI33</f>
        <v>7498.02</v>
      </c>
    </row>
    <row r="34" spans="1:38" ht="12.75">
      <c r="A34" s="15" t="s">
        <v>127</v>
      </c>
      <c r="B34" s="16" t="s">
        <v>128</v>
      </c>
      <c r="C34" s="16">
        <v>1023629</v>
      </c>
      <c r="D34" s="16">
        <v>1023629</v>
      </c>
      <c r="E34" s="18">
        <f>SUM(N34,P34,R34,T34,V34,X34,Z34,AB34,AD34,AF34,AH34,AJ34)</f>
        <v>1023629</v>
      </c>
      <c r="F34" s="18">
        <f>SUM(O34,Q34,S34,U34,W34,Y34,AA34,AC34,AE34,AG34,AI34,AK34)</f>
        <v>1033500</v>
      </c>
      <c r="G34" s="18">
        <f>E34-F34</f>
        <v>-9871</v>
      </c>
      <c r="H34" s="18">
        <f>IFERROR(SUM(N34+P34+R34+T34+V34+X34+Z34+AB34),"SIN_DATOS")</f>
        <v>689000</v>
      </c>
      <c r="I34" s="18">
        <f>IFERROR(SUM(O34+Q34+S34+U34+W34+Y34+AA34+AC34),"SIN_DATOS")</f>
        <v>689000</v>
      </c>
      <c r="J34" s="19">
        <f>IF(OR(NOT(ISNUMBER($E34)),$E34=0),"SIN DATO",$I34/$E34)</f>
        <v>0.6730954281287459</v>
      </c>
      <c r="K34" s="19">
        <f>IF(OR(NOT(ISNUMBER($E34)),$E34=0),"SIN DATO",$H34/$E34)</f>
        <v>0.6730954281287459</v>
      </c>
      <c r="L34" s="18">
        <f>IFERROR(H34-I34,"SIN DATO")</f>
        <v>0</v>
      </c>
      <c r="M34" s="20">
        <f>IFERROR(K34-J34,"SIN DATO")</f>
        <v>0</v>
      </c>
      <c r="N34" s="21">
        <v>0</v>
      </c>
      <c r="O34" s="23">
        <v>86125</v>
      </c>
      <c r="P34" s="21">
        <v>0</v>
      </c>
      <c r="Q34" s="22">
        <v>86125</v>
      </c>
      <c r="R34" s="23">
        <v>258375</v>
      </c>
      <c r="S34" s="22">
        <v>86125</v>
      </c>
      <c r="T34" s="21">
        <v>86125</v>
      </c>
      <c r="U34" s="22">
        <v>86125</v>
      </c>
      <c r="V34" s="21">
        <v>86125</v>
      </c>
      <c r="W34" s="22">
        <v>86125</v>
      </c>
      <c r="X34" s="21">
        <v>86125</v>
      </c>
      <c r="Y34" s="22">
        <v>86125</v>
      </c>
      <c r="Z34" s="21">
        <v>86125</v>
      </c>
      <c r="AA34" s="22">
        <f>Y34</f>
        <v>86125</v>
      </c>
      <c r="AB34" s="21">
        <v>86125</v>
      </c>
      <c r="AC34" s="22">
        <f>AA34</f>
        <v>86125</v>
      </c>
      <c r="AD34" s="21">
        <v>86125</v>
      </c>
      <c r="AE34" s="24">
        <f>AC34</f>
        <v>86125</v>
      </c>
      <c r="AF34" s="21">
        <v>86125</v>
      </c>
      <c r="AG34" s="24">
        <f>AE34</f>
        <v>86125</v>
      </c>
      <c r="AH34" s="23">
        <v>81189.5</v>
      </c>
      <c r="AI34" s="24">
        <f>AG34</f>
        <v>86125</v>
      </c>
      <c r="AJ34" s="21">
        <v>81189.5</v>
      </c>
      <c r="AK34" s="24">
        <f>AI34</f>
        <v>86125</v>
      </c>
      <c r="AL34" s="25" t="s">
        <v>129</v>
      </c>
    </row>
    <row r="35" spans="1:38" ht="12.75">
      <c r="A35" s="15" t="s">
        <v>130</v>
      </c>
      <c r="B35" s="16" t="s">
        <v>131</v>
      </c>
      <c r="C35" s="16">
        <v>0</v>
      </c>
      <c r="D35" s="16">
        <v>0</v>
      </c>
      <c r="E35" s="18">
        <f>SUM(N35,P35,R35,T35,V35,X35,Z35,AB35,AD35,AF35,AH35,AJ35)</f>
        <v>0</v>
      </c>
      <c r="F35" s="18">
        <f>SUM(O35,Q35,S35,U35,W35,Y35,AA35,AC35,AE35,AG35,AI35,AK35)</f>
        <v>0</v>
      </c>
      <c r="G35" s="18">
        <f>E35-F35</f>
        <v>0</v>
      </c>
      <c r="H35" s="18">
        <f>IFERROR(SUM(N35+P35+R35+T35+V35+X35+Z35+AB35),"SIN_DATOS")</f>
        <v>0</v>
      </c>
      <c r="I35" s="18">
        <f>IFERROR(SUM(O35+Q35+S35+U35+W35+Y35+AA35+AC35),"SIN_DATOS")</f>
        <v>0</v>
      </c>
      <c r="J35" s="19" t="str">
        <f>IF(OR(NOT(ISNUMBER($E35)),$E35=0),"SIN DATO",$I35/$E35)</f>
        <v>SIN DATO</v>
      </c>
      <c r="K35" s="19" t="str">
        <f>IF(OR(NOT(ISNUMBER($E35)),$E35=0),"SIN DATO",$H35/$E35)</f>
        <v>SIN DATO</v>
      </c>
      <c r="L35" s="18">
        <f>IFERROR(H35-I35,"SIN DATO")</f>
        <v>0</v>
      </c>
      <c r="M35" s="20" t="str">
        <f>IFERROR(K35-J35,"SIN DATO")</f>
        <v>SIN DATO</v>
      </c>
      <c r="N35" s="21">
        <v>0</v>
      </c>
      <c r="O35" s="22">
        <v>0</v>
      </c>
      <c r="P35" s="21">
        <v>0</v>
      </c>
      <c r="Q35" s="22">
        <v>0</v>
      </c>
      <c r="R35" s="21">
        <v>0</v>
      </c>
      <c r="S35" s="22">
        <v>0</v>
      </c>
      <c r="T35" s="21">
        <v>0</v>
      </c>
      <c r="U35" s="22">
        <v>0</v>
      </c>
      <c r="V35" s="21">
        <v>0</v>
      </c>
      <c r="W35" s="22">
        <v>0</v>
      </c>
      <c r="X35" s="21">
        <v>0</v>
      </c>
      <c r="Y35" s="22">
        <v>0</v>
      </c>
      <c r="Z35" s="21">
        <v>0</v>
      </c>
      <c r="AA35" s="22">
        <f>Y35</f>
        <v>0</v>
      </c>
      <c r="AB35" s="21">
        <v>0</v>
      </c>
      <c r="AC35" s="22">
        <f>AA35</f>
        <v>0</v>
      </c>
      <c r="AD35" s="21">
        <v>0</v>
      </c>
      <c r="AE35" s="24">
        <f>AC35</f>
        <v>0</v>
      </c>
      <c r="AF35" s="21">
        <v>0</v>
      </c>
      <c r="AG35" s="24">
        <f>AE35</f>
        <v>0</v>
      </c>
      <c r="AH35" s="21">
        <v>0</v>
      </c>
      <c r="AI35" s="24">
        <f>AG35</f>
        <v>0</v>
      </c>
      <c r="AJ35" s="21">
        <v>0</v>
      </c>
      <c r="AK35" s="24">
        <f>AI35</f>
        <v>0</v>
      </c>
    </row>
    <row r="36" spans="1:38" ht="12.75">
      <c r="A36" s="15" t="s">
        <v>132</v>
      </c>
      <c r="B36" s="16" t="s">
        <v>133</v>
      </c>
      <c r="C36" s="16">
        <v>79867.8</v>
      </c>
      <c r="D36" s="16">
        <v>79867.8</v>
      </c>
      <c r="E36" s="18">
        <f>SUM(N36,P36,R36,T36,V36,X36,Z36,AB36,AD36,AF36,AH36,AJ36)</f>
        <v>79867.799999999988</v>
      </c>
      <c r="F36" s="18">
        <f>SUM(O36,Q36,S36,U36,W36,Y36,AA36,AC36,AE36,AG36,AI36,AK36)</f>
        <v>79867.799999999988</v>
      </c>
      <c r="G36" s="18">
        <f>E36-F36</f>
        <v>0</v>
      </c>
      <c r="H36" s="18">
        <f>IFERROR(SUM(N36+P36+R36+T36+V36+X36+Z36+AB36),"SIN_DATOS")</f>
        <v>53245.200000000004</v>
      </c>
      <c r="I36" s="18">
        <f>IFERROR(SUM(O36+Q36+S36+U36+W36+Y36+AA36+AC36),"SIN_DATOS")</f>
        <v>53245.200000000004</v>
      </c>
      <c r="J36" s="19">
        <f>IF(OR(NOT(ISNUMBER($E36)),$E36=0),"SIN DATO",$I36/$E36)</f>
        <v>0.66666666666666685</v>
      </c>
      <c r="K36" s="19">
        <f>IF(OR(NOT(ISNUMBER($E36)),$E36=0),"SIN DATO",$H36/$E36)</f>
        <v>0.66666666666666685</v>
      </c>
      <c r="L36" s="18">
        <f>IFERROR(H36-I36,"SIN DATO")</f>
        <v>0</v>
      </c>
      <c r="M36" s="20">
        <f>IFERROR(K36-J36,"SIN DATO")</f>
        <v>0</v>
      </c>
      <c r="N36" s="21">
        <v>6655.65</v>
      </c>
      <c r="O36" s="23">
        <v>6655.65</v>
      </c>
      <c r="P36" s="21">
        <v>6655.65</v>
      </c>
      <c r="Q36" s="22">
        <v>6655.65</v>
      </c>
      <c r="R36" s="21">
        <v>6655.65</v>
      </c>
      <c r="S36" s="22">
        <v>6655.65</v>
      </c>
      <c r="T36" s="21">
        <v>6655.65</v>
      </c>
      <c r="U36" s="22">
        <v>6655.65</v>
      </c>
      <c r="V36" s="21">
        <v>6655.65</v>
      </c>
      <c r="W36" s="22">
        <v>6655.65</v>
      </c>
      <c r="X36" s="21">
        <v>6655.65</v>
      </c>
      <c r="Y36" s="22">
        <v>6655.65</v>
      </c>
      <c r="Z36" s="21">
        <v>6655.65</v>
      </c>
      <c r="AA36" s="22">
        <f>Y36</f>
        <v>6655.65</v>
      </c>
      <c r="AB36" s="21">
        <v>6655.65</v>
      </c>
      <c r="AC36" s="22">
        <f>AA36</f>
        <v>6655.65</v>
      </c>
      <c r="AD36" s="21">
        <v>6655.65</v>
      </c>
      <c r="AE36" s="24">
        <f>AC36</f>
        <v>6655.65</v>
      </c>
      <c r="AF36" s="21">
        <v>6655.65</v>
      </c>
      <c r="AG36" s="24">
        <f>AE36</f>
        <v>6655.65</v>
      </c>
      <c r="AH36" s="21">
        <v>6655.65</v>
      </c>
      <c r="AI36" s="24">
        <f>AG36</f>
        <v>6655.65</v>
      </c>
      <c r="AJ36" s="21">
        <v>6655.65</v>
      </c>
      <c r="AK36" s="24">
        <f>AI36</f>
        <v>6655.65</v>
      </c>
    </row>
    <row r="37" spans="1:38" ht="12.75">
      <c r="A37" s="15" t="s">
        <v>134</v>
      </c>
      <c r="B37" s="16" t="s">
        <v>135</v>
      </c>
      <c r="C37" s="16">
        <v>0</v>
      </c>
      <c r="D37" s="16">
        <v>0</v>
      </c>
      <c r="E37" s="18">
        <f>SUM(N37,P37,R37,T37,V37,X37,Z37,AB37,AD37,AF37,AH37,AJ37)</f>
        <v>0</v>
      </c>
      <c r="F37" s="18">
        <f>SUM(O37,Q37,S37,U37,W37,Y37,AA37,AC37,AE37,AG37,AI37,AK37)</f>
        <v>0</v>
      </c>
      <c r="G37" s="18">
        <f>E37-F37</f>
        <v>0</v>
      </c>
      <c r="H37" s="18" t="str">
        <f>IFERROR(SUM(N37+P37+R37+T37+V37+X37+Z37+AB37),"SIN_DATOS")</f>
        <v>SIN_DATOS</v>
      </c>
      <c r="I37" s="18" t="str">
        <f>IFERROR(SUM(O37+Q37+S37+U37+W37+Y37+AA37+AC37),"SIN_DATOS")</f>
        <v>SIN_DATOS</v>
      </c>
      <c r="J37" s="19" t="str">
        <f>IF(OR(NOT(ISNUMBER($E37)),$E37=0),"SIN DATO",$I37/$E37)</f>
        <v>SIN DATO</v>
      </c>
      <c r="K37" s="19" t="str">
        <f>IF(OR(NOT(ISNUMBER($E37)),$E37=0),"SIN DATO",$H37/$E37)</f>
        <v>SIN DATO</v>
      </c>
      <c r="L37" s="18" t="str">
        <f>IFERROR(H37-I37,"SIN DATO")</f>
        <v>SIN DATO</v>
      </c>
      <c r="M37" s="20" t="str">
        <f>IFERROR(K37-J37,"SIN DATO")</f>
        <v>SIN DATO</v>
      </c>
      <c r="N37" s="21" t="s">
        <v>70</v>
      </c>
      <c r="O37" s="22" t="s">
        <v>70</v>
      </c>
      <c r="P37" s="21" t="s">
        <v>70</v>
      </c>
      <c r="Q37" s="22" t="s">
        <v>70</v>
      </c>
      <c r="R37" s="21" t="s">
        <v>70</v>
      </c>
      <c r="S37" s="22" t="s">
        <v>70</v>
      </c>
      <c r="T37" s="21" t="s">
        <v>70</v>
      </c>
      <c r="U37" s="22" t="s">
        <v>70</v>
      </c>
      <c r="V37" s="21" t="s">
        <v>70</v>
      </c>
      <c r="W37" s="22" t="s">
        <v>70</v>
      </c>
      <c r="X37" s="21" t="s">
        <v>70</v>
      </c>
      <c r="Y37" s="22" t="s">
        <v>70</v>
      </c>
      <c r="Z37" s="21" t="s">
        <v>70</v>
      </c>
      <c r="AA37" s="22" t="str">
        <f>Y37</f>
        <v>SIN DATO</v>
      </c>
      <c r="AB37" s="21" t="s">
        <v>70</v>
      </c>
      <c r="AC37" s="22" t="str">
        <f>AA37</f>
        <v>SIN DATO</v>
      </c>
      <c r="AD37" s="21" t="s">
        <v>70</v>
      </c>
      <c r="AE37" s="24" t="str">
        <f>AC37</f>
        <v>SIN DATO</v>
      </c>
      <c r="AF37" s="21" t="s">
        <v>70</v>
      </c>
      <c r="AG37" s="24" t="str">
        <f>AE37</f>
        <v>SIN DATO</v>
      </c>
      <c r="AH37" s="21" t="s">
        <v>70</v>
      </c>
      <c r="AI37" s="24" t="str">
        <f>AG37</f>
        <v>SIN DATO</v>
      </c>
      <c r="AJ37" s="21" t="s">
        <v>70</v>
      </c>
      <c r="AK37" s="24" t="str">
        <f>AI37</f>
        <v>SIN DATO</v>
      </c>
    </row>
    <row r="38" spans="1:38" ht="12.75">
      <c r="A38" s="15" t="s">
        <v>136</v>
      </c>
      <c r="B38" s="16" t="s">
        <v>137</v>
      </c>
      <c r="C38" s="16">
        <v>224026.64</v>
      </c>
      <c r="D38" s="16">
        <v>201623.98</v>
      </c>
      <c r="E38" s="18">
        <f>SUM(N38,P38,R38,T38,V38,X38,Z38,AB38,AD38,AF38,AH38,AJ38)</f>
        <v>216322.98</v>
      </c>
      <c r="F38" s="18">
        <f>SUM(O38,Q38,S38,U38,W38,Y38,AA38,AC38,AE38,AG38,AI38,AK38)</f>
        <v>215299.36999999997</v>
      </c>
      <c r="G38" s="18">
        <f>E38-F38</f>
        <v>1023.6100000000442</v>
      </c>
      <c r="H38" s="18">
        <f>IFERROR(SUM(N38+P38+R38+T38+V38+X38+Z38+AB38),"SIN_DATOS")</f>
        <v>144247.10000000003</v>
      </c>
      <c r="I38" s="18">
        <f>IFERROR(SUM(O38+Q38+S38+U38+W38+Y38+AA38+AC38),"SIN_DATOS")</f>
        <v>143223.88999999998</v>
      </c>
      <c r="J38" s="19">
        <f>IF(OR(NOT(ISNUMBER($E38)),$E38=0),"SIN DATO",$I38/$E38)</f>
        <v>0.66208356597158557</v>
      </c>
      <c r="K38" s="19">
        <f>IF(OR(NOT(ISNUMBER($E38)),$E38=0),"SIN DATO",$H38/$E38)</f>
        <v>0.66681357662510021</v>
      </c>
      <c r="L38" s="18">
        <f>IFERROR(H38-I38,"SIN DATO")</f>
        <v>1023.2100000000501</v>
      </c>
      <c r="M38" s="20">
        <f>IFERROR(K38-J38,"SIN DATO")</f>
        <v>4.730010653514638E-3</v>
      </c>
      <c r="N38" s="21">
        <v>18066.669999999998</v>
      </c>
      <c r="O38" s="23">
        <v>18066.669999999998</v>
      </c>
      <c r="P38" s="21">
        <v>18066.669999999998</v>
      </c>
      <c r="Q38" s="23">
        <v>17044</v>
      </c>
      <c r="R38" s="21">
        <v>18018.960000000003</v>
      </c>
      <c r="S38" s="23">
        <v>18018.87</v>
      </c>
      <c r="T38" s="21">
        <v>18018.960000000003</v>
      </c>
      <c r="U38" s="22">
        <v>18018.87</v>
      </c>
      <c r="V38" s="21">
        <v>18018.960000000003</v>
      </c>
      <c r="W38" s="22">
        <v>18018.87</v>
      </c>
      <c r="X38" s="21">
        <v>18018.960000000003</v>
      </c>
      <c r="Y38" s="22">
        <v>18018.87</v>
      </c>
      <c r="Z38" s="21">
        <v>18018.960000000003</v>
      </c>
      <c r="AA38" s="22">
        <f>Y38</f>
        <v>18018.87</v>
      </c>
      <c r="AB38" s="21">
        <v>18018.960000000003</v>
      </c>
      <c r="AC38" s="22">
        <f>AA38</f>
        <v>18018.87</v>
      </c>
      <c r="AD38" s="21">
        <v>18018.960000000003</v>
      </c>
      <c r="AE38" s="24">
        <f>AC38</f>
        <v>18018.87</v>
      </c>
      <c r="AF38" s="21">
        <v>18018.960000000003</v>
      </c>
      <c r="AG38" s="24">
        <f>AE38</f>
        <v>18018.87</v>
      </c>
      <c r="AH38" s="21">
        <v>18018.960000000003</v>
      </c>
      <c r="AI38" s="24">
        <f>AG38</f>
        <v>18018.87</v>
      </c>
      <c r="AJ38" s="21">
        <v>18019</v>
      </c>
      <c r="AK38" s="24">
        <f>AI38</f>
        <v>18018.87</v>
      </c>
    </row>
    <row r="39" spans="1:38" ht="12.75">
      <c r="A39" s="15" t="s">
        <v>138</v>
      </c>
      <c r="B39" s="16" t="s">
        <v>139</v>
      </c>
      <c r="C39" s="16">
        <v>27701.7</v>
      </c>
      <c r="D39" s="16">
        <v>27701.7</v>
      </c>
      <c r="E39" s="18">
        <f>SUM(N39,P39,R39,T39,V39,X39,Z39,AB39,AD39,AF39,AH39,AJ39)</f>
        <v>27701.7</v>
      </c>
      <c r="F39" s="18">
        <f>SUM(O39,Q39,S39,U39,W39,Y39,AA39,AC39,AE39,AG39,AI39,AK39)</f>
        <v>19391.189999999999</v>
      </c>
      <c r="G39" s="18">
        <f>E39-F39</f>
        <v>8310.510000000002</v>
      </c>
      <c r="H39" s="18">
        <f>IFERROR(SUM(N39+P39+R39+T39+V39+X39+Z39+AB39),"SIN_DATOS")</f>
        <v>27701.7</v>
      </c>
      <c r="I39" s="18">
        <f>IFERROR(SUM(O39+Q39+S39+U39+W39+Y39+AA39+AC39),"SIN_DATOS")</f>
        <v>19391.189999999999</v>
      </c>
      <c r="J39" s="19">
        <f>IF(OR(NOT(ISNUMBER($E39)),$E39=0),"SIN DATO",$I39/$E39)</f>
        <v>0.7</v>
      </c>
      <c r="K39" s="19">
        <f>IF(OR(NOT(ISNUMBER($E39)),$E39=0),"SIN DATO",$H39/$E39)</f>
        <v>1</v>
      </c>
      <c r="L39" s="18">
        <f>IFERROR(H39-I39,"SIN DATO")</f>
        <v>8310.510000000002</v>
      </c>
      <c r="M39" s="20">
        <f>IFERROR(K39-J39,"SIN DATO")</f>
        <v>0.30000000000000004</v>
      </c>
      <c r="N39" s="21">
        <v>0</v>
      </c>
      <c r="O39" s="22">
        <v>0</v>
      </c>
      <c r="P39" s="21">
        <v>0</v>
      </c>
      <c r="Q39" s="22">
        <v>0</v>
      </c>
      <c r="R39" s="21">
        <v>0</v>
      </c>
      <c r="S39" s="22">
        <v>0</v>
      </c>
      <c r="T39" s="21">
        <v>0</v>
      </c>
      <c r="U39" s="22">
        <v>0</v>
      </c>
      <c r="V39" s="21">
        <v>0</v>
      </c>
      <c r="W39" s="22">
        <v>0</v>
      </c>
      <c r="X39" s="21">
        <v>27701.7</v>
      </c>
      <c r="Y39" s="23">
        <v>19391.189999999999</v>
      </c>
      <c r="Z39" s="21">
        <v>0</v>
      </c>
      <c r="AA39" s="22">
        <v>0</v>
      </c>
      <c r="AB39" s="21">
        <v>0</v>
      </c>
      <c r="AC39" s="22">
        <f>AA39</f>
        <v>0</v>
      </c>
      <c r="AD39" s="21">
        <v>0</v>
      </c>
      <c r="AE39" s="24">
        <f>AC39</f>
        <v>0</v>
      </c>
      <c r="AF39" s="21">
        <v>0</v>
      </c>
      <c r="AG39" s="24">
        <f>AE39</f>
        <v>0</v>
      </c>
      <c r="AH39" s="21">
        <v>0</v>
      </c>
      <c r="AI39" s="24">
        <f>AG39</f>
        <v>0</v>
      </c>
      <c r="AJ39" s="21">
        <v>0</v>
      </c>
      <c r="AK39" s="24">
        <f>AI39</f>
        <v>0</v>
      </c>
      <c r="AL39" s="25" t="s">
        <v>140</v>
      </c>
    </row>
    <row r="40" spans="1:38" ht="12.75">
      <c r="A40" s="15" t="s">
        <v>141</v>
      </c>
      <c r="B40" s="16" t="s">
        <v>142</v>
      </c>
      <c r="C40" s="16">
        <v>59716</v>
      </c>
      <c r="D40" s="16">
        <v>59716</v>
      </c>
      <c r="E40" s="18">
        <f>SUM(N40,P40,R40,T40,V40,X40,Z40,AB40,AD40,AF40,AH40,AJ40)</f>
        <v>59716</v>
      </c>
      <c r="F40" s="18">
        <f>SUM(O40,Q40,S40,U40,W40,Y40,AA40,AC40,AE40,AG40,AI40,AK40)</f>
        <v>0</v>
      </c>
      <c r="G40" s="18">
        <f>E40-F40</f>
        <v>59716</v>
      </c>
      <c r="H40" s="18">
        <f>IFERROR(SUM(N40+P40+R40+T40+V40+X40+Z40+AB40),"SIN_DATOS")</f>
        <v>0</v>
      </c>
      <c r="I40" s="18">
        <f>IFERROR(SUM(O40+Q40+S40+U40+W40+Y40+AA40+AC40),"SIN_DATOS")</f>
        <v>0</v>
      </c>
      <c r="J40" s="19">
        <f>IF(OR(NOT(ISNUMBER($E40)),$E40=0),"SIN DATO",$I40/$E40)</f>
        <v>0</v>
      </c>
      <c r="K40" s="19">
        <f>IF(OR(NOT(ISNUMBER($E40)),$E40=0),"SIN DATO",$H40/$E40)</f>
        <v>0</v>
      </c>
      <c r="L40" s="18">
        <f>IFERROR(H40-I40,"SIN DATO")</f>
        <v>0</v>
      </c>
      <c r="M40" s="20">
        <f>IFERROR(K40-J40,"SIN DATO")</f>
        <v>0</v>
      </c>
      <c r="N40" s="21">
        <v>0</v>
      </c>
      <c r="O40" s="22">
        <v>0</v>
      </c>
      <c r="P40" s="21">
        <v>0</v>
      </c>
      <c r="Q40" s="22">
        <v>0</v>
      </c>
      <c r="R40" s="21">
        <v>0</v>
      </c>
      <c r="S40" s="22">
        <v>0</v>
      </c>
      <c r="T40" s="21">
        <v>0</v>
      </c>
      <c r="U40" s="22">
        <v>0</v>
      </c>
      <c r="V40" s="21">
        <v>0</v>
      </c>
      <c r="W40" s="22">
        <v>0</v>
      </c>
      <c r="X40" s="21">
        <v>0</v>
      </c>
      <c r="Y40" s="22">
        <v>0</v>
      </c>
      <c r="Z40" s="21">
        <v>0</v>
      </c>
      <c r="AA40" s="22">
        <f>Y40</f>
        <v>0</v>
      </c>
      <c r="AB40" s="21">
        <v>0</v>
      </c>
      <c r="AC40" s="22">
        <f>AA40</f>
        <v>0</v>
      </c>
      <c r="AD40" s="21">
        <v>59716</v>
      </c>
      <c r="AE40" s="24">
        <f>AC40</f>
        <v>0</v>
      </c>
      <c r="AF40" s="21">
        <v>0</v>
      </c>
      <c r="AG40" s="24">
        <f>AE40</f>
        <v>0</v>
      </c>
      <c r="AH40" s="21">
        <v>0</v>
      </c>
      <c r="AI40" s="24">
        <f>AG40</f>
        <v>0</v>
      </c>
      <c r="AJ40" s="21">
        <v>0</v>
      </c>
      <c r="AK40" s="24">
        <f>AI40</f>
        <v>0</v>
      </c>
      <c r="AL40" s="25" t="s">
        <v>143</v>
      </c>
    </row>
    <row r="41" spans="1:38" ht="12.75">
      <c r="A41" s="15" t="s">
        <v>144</v>
      </c>
      <c r="B41" s="16" t="s">
        <v>145</v>
      </c>
      <c r="C41" s="16">
        <v>45653.16</v>
      </c>
      <c r="D41" s="16">
        <v>45653.16</v>
      </c>
      <c r="E41" s="18">
        <f>SUM(N41,P41,R41,T41,V41,X41,Z41,AB41,AD41,AF41,AH41,AJ41)</f>
        <v>45653.16</v>
      </c>
      <c r="F41" s="18">
        <f>SUM(O41,Q41,S41,U41,W41,Y41,AA41,AC41,AE41,AG41,AI41,AK41)</f>
        <v>45653.16</v>
      </c>
      <c r="G41" s="18">
        <f>E41-F41</f>
        <v>0</v>
      </c>
      <c r="H41" s="18">
        <f>IFERROR(SUM(N41+P41+R41+T41+V41+X41+Z41+AB41),"SIN_DATOS")</f>
        <v>45653.16</v>
      </c>
      <c r="I41" s="18">
        <f>IFERROR(SUM(O41+Q41+S41+U41+W41+Y41+AA41+AC41),"SIN_DATOS")</f>
        <v>45653.16</v>
      </c>
      <c r="J41" s="19">
        <f>IF(OR(NOT(ISNUMBER($E41)),$E41=0),"SIN DATO",$I41/$E41)</f>
        <v>1</v>
      </c>
      <c r="K41" s="19">
        <f>IF(OR(NOT(ISNUMBER($E41)),$E41=0),"SIN DATO",$H41/$E41)</f>
        <v>1</v>
      </c>
      <c r="L41" s="18">
        <f>IFERROR(H41-I41,"SIN DATO")</f>
        <v>0</v>
      </c>
      <c r="M41" s="20">
        <f>IFERROR(K41-J41,"SIN DATO")</f>
        <v>0</v>
      </c>
      <c r="N41" s="21">
        <v>0</v>
      </c>
      <c r="O41" s="22">
        <v>0</v>
      </c>
      <c r="P41" s="21">
        <v>0</v>
      </c>
      <c r="Q41" s="22">
        <v>0</v>
      </c>
      <c r="R41" s="21">
        <v>0</v>
      </c>
      <c r="S41" s="22">
        <v>0</v>
      </c>
      <c r="T41" s="21">
        <v>0</v>
      </c>
      <c r="U41" s="22">
        <v>0</v>
      </c>
      <c r="V41" s="21">
        <v>0</v>
      </c>
      <c r="W41" s="22">
        <v>0</v>
      </c>
      <c r="X41" s="21">
        <v>0</v>
      </c>
      <c r="Y41" s="22">
        <v>0</v>
      </c>
      <c r="Z41" s="21">
        <v>45653.16</v>
      </c>
      <c r="AA41" s="22">
        <v>45653.16</v>
      </c>
      <c r="AB41" s="21">
        <v>0</v>
      </c>
      <c r="AC41" s="22">
        <v>0</v>
      </c>
      <c r="AD41" s="21">
        <v>0</v>
      </c>
      <c r="AE41" s="24">
        <f>AC41</f>
        <v>0</v>
      </c>
      <c r="AF41" s="21">
        <v>0</v>
      </c>
      <c r="AG41" s="24">
        <f>AE41</f>
        <v>0</v>
      </c>
      <c r="AH41" s="21">
        <v>0</v>
      </c>
      <c r="AI41" s="24">
        <f>AG41</f>
        <v>0</v>
      </c>
      <c r="AJ41" s="21">
        <v>0</v>
      </c>
      <c r="AK41" s="24">
        <f>AI41</f>
        <v>0</v>
      </c>
    </row>
    <row r="42" spans="1:38" ht="12.75">
      <c r="A42" s="15" t="s">
        <v>146</v>
      </c>
      <c r="B42" s="16" t="s">
        <v>147</v>
      </c>
      <c r="C42" s="16">
        <v>95000</v>
      </c>
      <c r="D42" s="16">
        <v>90000</v>
      </c>
      <c r="E42" s="18">
        <f>SUM(N42,P42,R42,T42,V42,X42,Z42,AB42,AD42,AF42,AH42,AJ42)</f>
        <v>90000.000000000015</v>
      </c>
      <c r="F42" s="18">
        <f>SUM(O42,Q42,S42,U42,W42,Y42,AA42,AC42,AE42,AG42,AI42,AK42)</f>
        <v>103716.60000000002</v>
      </c>
      <c r="G42" s="18">
        <f>E42-F42</f>
        <v>-13716.600000000006</v>
      </c>
      <c r="H42" s="18">
        <f>IFERROR(SUM(N42+P42+R42+T42+V42+X42+Z42+AB42),"SIN_DATOS")</f>
        <v>72756.680000000008</v>
      </c>
      <c r="I42" s="18">
        <f>IFERROR(SUM(O42+Q42+S42+U42+W42+Y42+AA42+AC42),"SIN_DATOS")</f>
        <v>68973.280000000013</v>
      </c>
      <c r="J42" s="19">
        <f>IF(OR(NOT(ISNUMBER($E42)),$E42=0),"SIN DATO",$I42/$E42)</f>
        <v>0.76636977777777782</v>
      </c>
      <c r="K42" s="19">
        <f>IF(OR(NOT(ISNUMBER($E42)),$E42=0),"SIN DATO",$H42/$E42)</f>
        <v>0.80840755555555555</v>
      </c>
      <c r="L42" s="18">
        <f>IFERROR(H42-I42,"SIN DATO")</f>
        <v>3783.3999999999942</v>
      </c>
      <c r="M42" s="20">
        <f>IFERROR(K42-J42,"SIN DATO")</f>
        <v>4.203777777777773E-2</v>
      </c>
      <c r="N42" s="21">
        <v>0</v>
      </c>
      <c r="O42" s="23">
        <v>8621.66</v>
      </c>
      <c r="P42" s="23">
        <v>15000</v>
      </c>
      <c r="Q42" s="22">
        <v>8621.66</v>
      </c>
      <c r="R42" s="23">
        <v>22500</v>
      </c>
      <c r="S42" s="22">
        <v>8621.66</v>
      </c>
      <c r="T42" s="23">
        <v>7500</v>
      </c>
      <c r="U42" s="22">
        <v>8621.66</v>
      </c>
      <c r="V42" s="23">
        <v>1891.6999999999998</v>
      </c>
      <c r="W42" s="22">
        <v>8621.66</v>
      </c>
      <c r="X42" s="21">
        <v>8621.66</v>
      </c>
      <c r="Y42" s="22">
        <v>8621.66</v>
      </c>
      <c r="Z42" s="21">
        <v>8621.66</v>
      </c>
      <c r="AA42" s="22">
        <f>Y42</f>
        <v>8621.66</v>
      </c>
      <c r="AB42" s="21">
        <v>8621.66</v>
      </c>
      <c r="AC42" s="22">
        <f>AA42</f>
        <v>8621.66</v>
      </c>
      <c r="AD42" s="21">
        <v>8621.66</v>
      </c>
      <c r="AE42" s="24">
        <f>AC42</f>
        <v>8621.66</v>
      </c>
      <c r="AF42" s="21">
        <v>8621.66</v>
      </c>
      <c r="AG42" s="24">
        <f>AE42</f>
        <v>8621.66</v>
      </c>
      <c r="AH42" s="21">
        <v>7500</v>
      </c>
      <c r="AI42" s="24">
        <f>105000/12</f>
        <v>8750</v>
      </c>
      <c r="AJ42" s="23">
        <v>-7500</v>
      </c>
      <c r="AK42" s="24">
        <f>AI42</f>
        <v>8750</v>
      </c>
      <c r="AL42" s="25" t="s">
        <v>148</v>
      </c>
    </row>
    <row r="43" spans="1:38" ht="12.75">
      <c r="A43" s="15" t="s">
        <v>149</v>
      </c>
      <c r="B43" s="16" t="s">
        <v>150</v>
      </c>
      <c r="C43" s="16">
        <v>22000</v>
      </c>
      <c r="D43" s="16">
        <v>22000</v>
      </c>
      <c r="E43" s="18">
        <f>SUM(N43,P43,R43,T43,V43,X43,Z43,AB43,AD43,AF43,AH43,AJ43)</f>
        <v>22000</v>
      </c>
      <c r="F43" s="18">
        <f>SUM(O43,Q43,S43,U43,W43,Y43,AA43,AC43,AE43,AG43,AI43,AK43)</f>
        <v>0</v>
      </c>
      <c r="G43" s="18">
        <f>E43-F43</f>
        <v>22000</v>
      </c>
      <c r="H43" s="18">
        <f>IFERROR(SUM(N43+P43+R43+T43+V43+X43+Z43+AB43),"SIN_DATOS")</f>
        <v>0</v>
      </c>
      <c r="I43" s="18">
        <f>IFERROR(SUM(O43+Q43+S43+U43+W43+Y43+AA43+AC43),"SIN_DATOS")</f>
        <v>0</v>
      </c>
      <c r="J43" s="19">
        <f>IF(OR(NOT(ISNUMBER($E43)),$E43=0),"SIN DATO",$I43/$E43)</f>
        <v>0</v>
      </c>
      <c r="K43" s="19">
        <f>IF(OR(NOT(ISNUMBER($E43)),$E43=0),"SIN DATO",$H43/$E43)</f>
        <v>0</v>
      </c>
      <c r="L43" s="18">
        <f>IFERROR(H43-I43,"SIN DATO")</f>
        <v>0</v>
      </c>
      <c r="M43" s="20">
        <f>IFERROR(K43-J43,"SIN DATO")</f>
        <v>0</v>
      </c>
      <c r="N43" s="21">
        <v>0</v>
      </c>
      <c r="O43" s="22">
        <v>0</v>
      </c>
      <c r="P43" s="21">
        <v>0</v>
      </c>
      <c r="Q43" s="22">
        <v>0</v>
      </c>
      <c r="R43" s="21">
        <v>0</v>
      </c>
      <c r="S43" s="22">
        <v>0</v>
      </c>
      <c r="T43" s="21">
        <v>0</v>
      </c>
      <c r="U43" s="22">
        <v>0</v>
      </c>
      <c r="V43" s="21">
        <v>0</v>
      </c>
      <c r="W43" s="22">
        <v>0</v>
      </c>
      <c r="X43" s="21">
        <v>0</v>
      </c>
      <c r="Y43" s="22">
        <v>0</v>
      </c>
      <c r="Z43" s="21">
        <v>0</v>
      </c>
      <c r="AA43" s="22">
        <f>Y43</f>
        <v>0</v>
      </c>
      <c r="AB43" s="21">
        <v>0</v>
      </c>
      <c r="AC43" s="22">
        <f>AA43</f>
        <v>0</v>
      </c>
      <c r="AD43" s="21">
        <v>0</v>
      </c>
      <c r="AE43" s="24">
        <f>AC43</f>
        <v>0</v>
      </c>
      <c r="AF43" s="23">
        <v>22000</v>
      </c>
      <c r="AG43" s="24">
        <f>AE43</f>
        <v>0</v>
      </c>
      <c r="AH43" s="21">
        <v>0</v>
      </c>
      <c r="AI43" s="24">
        <f>AG43</f>
        <v>0</v>
      </c>
      <c r="AJ43" s="21">
        <v>0</v>
      </c>
      <c r="AK43" s="24">
        <f>AI43</f>
        <v>0</v>
      </c>
      <c r="AL43" s="25" t="s">
        <v>151</v>
      </c>
    </row>
    <row r="44" spans="1:38" ht="12.75">
      <c r="A44" s="15" t="s">
        <v>152</v>
      </c>
      <c r="B44" s="16" t="s">
        <v>153</v>
      </c>
      <c r="C44" s="16">
        <v>75000</v>
      </c>
      <c r="D44" s="16">
        <v>56000</v>
      </c>
      <c r="E44" s="18">
        <f>SUM(N44,P44,R44,T44,V44,X44,Z44,AB44,AD44,AF44,AH44,AJ44)</f>
        <v>56000</v>
      </c>
      <c r="F44" s="18">
        <f>SUM(O44,Q44,S44,U44,W44,Y44,AA44,AC44,AE44,AG44,AI44,AK44)</f>
        <v>56000</v>
      </c>
      <c r="G44" s="18">
        <f>E44-F44</f>
        <v>0</v>
      </c>
      <c r="H44" s="18">
        <f>IFERROR(SUM(N44+P44+R44+T44+V44+X44+Z44+AB44),"SIN_DATOS")</f>
        <v>0</v>
      </c>
      <c r="I44" s="18">
        <f>IFERROR(SUM(O44+Q44+S44+U44+W44+Y44+AA44+AC44),"SIN_DATOS")</f>
        <v>0</v>
      </c>
      <c r="J44" s="19">
        <f>IF(OR(NOT(ISNUMBER($E44)),$E44=0),"SIN DATO",$I44/$E44)</f>
        <v>0</v>
      </c>
      <c r="K44" s="19">
        <f>IF(OR(NOT(ISNUMBER($E44)),$E44=0),"SIN DATO",$H44/$E44)</f>
        <v>0</v>
      </c>
      <c r="L44" s="18">
        <f>IFERROR(H44-I44,"SIN DATO")</f>
        <v>0</v>
      </c>
      <c r="M44" s="20">
        <f>IFERROR(K44-J44,"SIN DATO")</f>
        <v>0</v>
      </c>
      <c r="N44" s="21">
        <v>0</v>
      </c>
      <c r="O44" s="22">
        <v>0</v>
      </c>
      <c r="P44" s="21">
        <v>0</v>
      </c>
      <c r="Q44" s="22">
        <v>0</v>
      </c>
      <c r="R44" s="21">
        <v>0</v>
      </c>
      <c r="S44" s="22">
        <v>0</v>
      </c>
      <c r="T44" s="21">
        <v>0</v>
      </c>
      <c r="U44" s="22">
        <v>0</v>
      </c>
      <c r="V44" s="21">
        <v>0</v>
      </c>
      <c r="W44" s="22">
        <v>0</v>
      </c>
      <c r="X44" s="21">
        <v>0</v>
      </c>
      <c r="Y44" s="22">
        <v>0</v>
      </c>
      <c r="Z44" s="21">
        <v>0</v>
      </c>
      <c r="AA44" s="22">
        <f>Y44</f>
        <v>0</v>
      </c>
      <c r="AB44" s="21">
        <v>0</v>
      </c>
      <c r="AC44" s="22">
        <f>AA44</f>
        <v>0</v>
      </c>
      <c r="AD44" s="21">
        <v>0</v>
      </c>
      <c r="AE44" s="24">
        <f>AC44</f>
        <v>0</v>
      </c>
      <c r="AF44" s="21">
        <v>0</v>
      </c>
      <c r="AG44" s="24">
        <f>AE44</f>
        <v>0</v>
      </c>
      <c r="AH44" s="21">
        <v>0</v>
      </c>
      <c r="AI44" s="24">
        <f>AG44</f>
        <v>0</v>
      </c>
      <c r="AJ44" s="21">
        <v>56000</v>
      </c>
      <c r="AK44" s="24">
        <f>AJ44</f>
        <v>56000</v>
      </c>
    </row>
    <row r="45" spans="1:38" ht="12.75">
      <c r="A45" s="15" t="s">
        <v>154</v>
      </c>
      <c r="B45" s="16" t="s">
        <v>155</v>
      </c>
      <c r="C45" s="16">
        <v>1125003.3</v>
      </c>
      <c r="D45" s="16">
        <v>1095003.3</v>
      </c>
      <c r="E45" s="18">
        <f>SUM(N45,P45,R45,T45,V45,X45,Z45,AB45,AD45,AF45,AH45,AJ45)</f>
        <v>1095003.2999999998</v>
      </c>
      <c r="F45" s="18">
        <f>SUM(O45,Q45,S45,U45,W45,Y45,AA45,AC45,AE45,AG45,AI45,AK45)</f>
        <v>1115706.9599999997</v>
      </c>
      <c r="G45" s="18">
        <f>E45-F45</f>
        <v>-20703.659999999916</v>
      </c>
      <c r="H45" s="18">
        <f>IFERROR(SUM(N45+P45+R45+T45+V45+X45+Z45+AB45),"SIN_DATOS")</f>
        <v>743804.6399999999</v>
      </c>
      <c r="I45" s="18">
        <f>IFERROR(SUM(O45+Q45+S45+U45+W45+Y45+AA45+AC45),"SIN_DATOS")</f>
        <v>743804.6399999999</v>
      </c>
      <c r="J45" s="19">
        <f>IF(OR(NOT(ISNUMBER($E45)),$E45=0),"SIN DATO",$I45/$E45)</f>
        <v>0.67927159671573589</v>
      </c>
      <c r="K45" s="19">
        <f>IF(OR(NOT(ISNUMBER($E45)),$E45=0),"SIN DATO",$H45/$E45)</f>
        <v>0.67927159671573589</v>
      </c>
      <c r="L45" s="18">
        <f>IFERROR(H45-I45,"SIN DATO")</f>
        <v>0</v>
      </c>
      <c r="M45" s="20">
        <f>IFERROR(K45-J45,"SIN DATO")</f>
        <v>0</v>
      </c>
      <c r="N45" s="21">
        <v>92975.58</v>
      </c>
      <c r="O45" s="23">
        <v>92975.58</v>
      </c>
      <c r="P45" s="21">
        <v>92975.58</v>
      </c>
      <c r="Q45" s="22">
        <v>92975.58</v>
      </c>
      <c r="R45" s="21">
        <v>92975.58</v>
      </c>
      <c r="S45" s="22">
        <v>92975.58</v>
      </c>
      <c r="T45" s="21">
        <v>92975.58</v>
      </c>
      <c r="U45" s="22">
        <v>92975.58</v>
      </c>
      <c r="V45" s="21">
        <v>92975.58</v>
      </c>
      <c r="W45" s="22">
        <v>92975.58</v>
      </c>
      <c r="X45" s="21">
        <v>92975.58</v>
      </c>
      <c r="Y45" s="22">
        <v>92975.58</v>
      </c>
      <c r="Z45" s="21">
        <v>92975.58</v>
      </c>
      <c r="AA45" s="22">
        <f>Y45</f>
        <v>92975.58</v>
      </c>
      <c r="AB45" s="21">
        <v>92975.58</v>
      </c>
      <c r="AC45" s="22">
        <f>AA45</f>
        <v>92975.58</v>
      </c>
      <c r="AD45" s="21">
        <v>92975.58</v>
      </c>
      <c r="AE45" s="24">
        <f>AC45</f>
        <v>92975.58</v>
      </c>
      <c r="AF45" s="21">
        <v>92975.58</v>
      </c>
      <c r="AG45" s="24">
        <f>AE45</f>
        <v>92975.58</v>
      </c>
      <c r="AH45" s="23">
        <v>82623.75</v>
      </c>
      <c r="AI45" s="24">
        <f>AG45</f>
        <v>92975.58</v>
      </c>
      <c r="AJ45" s="21">
        <v>82623.75</v>
      </c>
      <c r="AK45" s="24">
        <f>AI45</f>
        <v>92975.58</v>
      </c>
      <c r="AL45" s="25" t="s">
        <v>156</v>
      </c>
    </row>
    <row r="46" spans="1:38" ht="12.75">
      <c r="A46" s="15" t="s">
        <v>157</v>
      </c>
      <c r="B46" s="16" t="s">
        <v>158</v>
      </c>
      <c r="C46" s="16">
        <v>998298.86</v>
      </c>
      <c r="D46" s="16">
        <v>998298.86</v>
      </c>
      <c r="E46" s="18">
        <f>SUM(N46,P46,R46,T46,V46,X46,Z46,AB46,AD46,AF46,AH46,AJ46)</f>
        <v>998298.86000000022</v>
      </c>
      <c r="F46" s="18">
        <f>SUM(O46,Q46,S46,U46,W46,Y46,AA46,AC46,AE46,AG46,AI46,AK46)</f>
        <v>998298.84000000032</v>
      </c>
      <c r="G46" s="18">
        <f>E46-F46</f>
        <v>1.999999990221113E-2</v>
      </c>
      <c r="H46" s="18">
        <f>IFERROR(SUM(N46+P46+R46+T46+V46+X46+Z46+AB46),"SIN_DATOS")</f>
        <v>665532.56000000006</v>
      </c>
      <c r="I46" s="18">
        <f>IFERROR(SUM(O46+Q46+S46+U46+W46+Y46+AA46+AC46),"SIN_DATOS")</f>
        <v>665532.56000000006</v>
      </c>
      <c r="J46" s="19">
        <f>IF(OR(NOT(ISNUMBER($E46)),$E46=0),"SIN DATO",$I46/$E46)</f>
        <v>0.6666666533106127</v>
      </c>
      <c r="K46" s="19">
        <f>IF(OR(NOT(ISNUMBER($E46)),$E46=0),"SIN DATO",$H46/$E46)</f>
        <v>0.6666666533106127</v>
      </c>
      <c r="L46" s="18">
        <f>IFERROR(H46-I46,"SIN DATO")</f>
        <v>0</v>
      </c>
      <c r="M46" s="20">
        <f>IFERROR(K46-J46,"SIN DATO")</f>
        <v>0</v>
      </c>
      <c r="N46" s="21">
        <v>83191.570000000007</v>
      </c>
      <c r="O46" s="23">
        <v>83191.570000000007</v>
      </c>
      <c r="P46" s="21">
        <v>83191.570000000007</v>
      </c>
      <c r="Q46" s="22">
        <v>83191.570000000007</v>
      </c>
      <c r="R46" s="21">
        <v>83191.570000000007</v>
      </c>
      <c r="S46" s="22">
        <v>83191.570000000007</v>
      </c>
      <c r="T46" s="21">
        <v>83191.570000000007</v>
      </c>
      <c r="U46" s="22">
        <v>83191.570000000007</v>
      </c>
      <c r="V46" s="21">
        <v>83191.570000000007</v>
      </c>
      <c r="W46" s="22">
        <v>83191.570000000007</v>
      </c>
      <c r="X46" s="21">
        <v>83191.570000000007</v>
      </c>
      <c r="Y46" s="22">
        <v>83191.570000000007</v>
      </c>
      <c r="Z46" s="21">
        <v>83191.570000000007</v>
      </c>
      <c r="AA46" s="22">
        <f>Y46</f>
        <v>83191.570000000007</v>
      </c>
      <c r="AB46" s="21">
        <v>83191.570000000007</v>
      </c>
      <c r="AC46" s="22">
        <f>AA46</f>
        <v>83191.570000000007</v>
      </c>
      <c r="AD46" s="21">
        <v>83191.570000000007</v>
      </c>
      <c r="AE46" s="24">
        <f>AC46</f>
        <v>83191.570000000007</v>
      </c>
      <c r="AF46" s="21">
        <v>83191.570000000007</v>
      </c>
      <c r="AG46" s="24">
        <f>AE46</f>
        <v>83191.570000000007</v>
      </c>
      <c r="AH46" s="21">
        <v>83191.570000000007</v>
      </c>
      <c r="AI46" s="24">
        <f>AG46</f>
        <v>83191.570000000007</v>
      </c>
      <c r="AJ46" s="21">
        <v>83191.59</v>
      </c>
      <c r="AK46" s="24">
        <f>AI46</f>
        <v>83191.570000000007</v>
      </c>
    </row>
    <row r="47" spans="1:38" ht="12.75">
      <c r="A47" s="15" t="s">
        <v>159</v>
      </c>
      <c r="B47" s="16" t="s">
        <v>160</v>
      </c>
      <c r="C47" s="16">
        <v>126803.34</v>
      </c>
      <c r="D47" s="16">
        <v>126803.34</v>
      </c>
      <c r="E47" s="18">
        <f>SUM(N47,P47,R47,T47,V47,X47,Z47,AB47,AD47,AF47,AH47,AJ47)</f>
        <v>288803.36</v>
      </c>
      <c r="F47" s="18">
        <f>SUM(O47,Q47,S47,U47,W47,Y47,AA47,AC47,AE47,AG47,AI47,AK47)</f>
        <v>126803.4</v>
      </c>
      <c r="G47" s="18">
        <f>E47-F47</f>
        <v>161999.96</v>
      </c>
      <c r="H47" s="18">
        <f>IFERROR(SUM(N47+P47+R47+T47+V47+X47+Z47+AB47),"SIN_DATOS")</f>
        <v>223414.34</v>
      </c>
      <c r="I47" s="18">
        <f>IFERROR(SUM(O47+Q47+S47+U47+W47+Y47+AA47+AC47),"SIN_DATOS")</f>
        <v>126803.4</v>
      </c>
      <c r="J47" s="19">
        <f>IF(OR(NOT(ISNUMBER($E47)),$E47=0),"SIN DATO",$I47/$E47)</f>
        <v>0.43906483636478466</v>
      </c>
      <c r="K47" s="19">
        <f>IF(OR(NOT(ISNUMBER($E47)),$E47=0),"SIN DATO",$H47/$E47)</f>
        <v>0.77358635993708658</v>
      </c>
      <c r="L47" s="18">
        <f>IFERROR(H47-I47,"SIN DATO")</f>
        <v>96610.94</v>
      </c>
      <c r="M47" s="20">
        <f>IFERROR(K47-J47,"SIN DATO")</f>
        <v>0.33452152357230192</v>
      </c>
      <c r="N47" s="21">
        <v>63401.67</v>
      </c>
      <c r="O47" s="23">
        <v>63401.7</v>
      </c>
      <c r="P47" s="21">
        <v>63401.67</v>
      </c>
      <c r="Q47" s="22">
        <v>63401.7</v>
      </c>
      <c r="R47" s="21">
        <v>0</v>
      </c>
      <c r="S47" s="22">
        <v>0</v>
      </c>
      <c r="T47" s="21">
        <v>0</v>
      </c>
      <c r="U47" s="22">
        <v>0</v>
      </c>
      <c r="V47" s="21">
        <v>0.02</v>
      </c>
      <c r="W47" s="22">
        <v>0</v>
      </c>
      <c r="X47" s="21">
        <v>0</v>
      </c>
      <c r="Y47" s="22">
        <v>0</v>
      </c>
      <c r="Z47" s="23">
        <v>80509.149999999994</v>
      </c>
      <c r="AA47" s="22">
        <f>Y47</f>
        <v>0</v>
      </c>
      <c r="AB47" s="21">
        <v>16101.83</v>
      </c>
      <c r="AC47" s="22">
        <f>AA47</f>
        <v>0</v>
      </c>
      <c r="AD47" s="21">
        <v>16101.83</v>
      </c>
      <c r="AE47" s="24">
        <f>AC47</f>
        <v>0</v>
      </c>
      <c r="AF47" s="21">
        <v>16101.83</v>
      </c>
      <c r="AG47" s="24">
        <f>AE47</f>
        <v>0</v>
      </c>
      <c r="AH47" s="21">
        <v>16101.83</v>
      </c>
      <c r="AI47" s="24">
        <f>AG47</f>
        <v>0</v>
      </c>
      <c r="AJ47" s="21">
        <v>17083.53</v>
      </c>
      <c r="AK47" s="24">
        <f>AI47</f>
        <v>0</v>
      </c>
      <c r="AL47" s="25" t="s">
        <v>161</v>
      </c>
    </row>
    <row r="48" spans="1:38" ht="12.75">
      <c r="A48" s="15" t="s">
        <v>162</v>
      </c>
      <c r="B48" s="16" t="s">
        <v>163</v>
      </c>
      <c r="C48" s="16">
        <v>594216</v>
      </c>
      <c r="D48" s="16">
        <v>594216</v>
      </c>
      <c r="E48" s="18">
        <f>SUM(N48,P48,R48,T48,V48,X48,Z48,AB48,AD48,AF48,AH48,AJ48)</f>
        <v>580133</v>
      </c>
      <c r="F48" s="18">
        <f>SUM(O48,Q48,S48,U48,W48,Y48,AA48,AC48,AE48,AG48,AI48,AK48)</f>
        <v>607319.65</v>
      </c>
      <c r="G48" s="18">
        <f>E48-F48</f>
        <v>-27186.650000000023</v>
      </c>
      <c r="H48" s="18">
        <f>IFERROR(SUM(N48+P48+R48+T48+V48+X48+Z48+AB48),"SIN_DATOS")</f>
        <v>559333</v>
      </c>
      <c r="I48" s="18">
        <f>IFERROR(SUM(O48+Q48+S48+U48+W48+Y48+AA48+AC48),"SIN_DATOS")</f>
        <v>586519.65</v>
      </c>
      <c r="J48" s="19">
        <f>IF(OR(NOT(ISNUMBER($E48)),$E48=0),"SIN DATO",$I48/$E48)</f>
        <v>1.0110089410531724</v>
      </c>
      <c r="K48" s="19">
        <f>IF(OR(NOT(ISNUMBER($E48)),$E48=0),"SIN DATO",$H48/$E48)</f>
        <v>0.9641461526925722</v>
      </c>
      <c r="L48" s="18">
        <f>IFERROR(H48-I48,"SIN DATO")</f>
        <v>-27186.650000000023</v>
      </c>
      <c r="M48" s="20">
        <f>IFERROR(K48-J48,"SIN DATO")</f>
        <v>-4.6862788360600205E-2</v>
      </c>
      <c r="N48" s="21">
        <v>0</v>
      </c>
      <c r="O48" s="22">
        <v>0</v>
      </c>
      <c r="P48" s="21">
        <v>0</v>
      </c>
      <c r="Q48" s="22">
        <v>0</v>
      </c>
      <c r="R48" s="21">
        <v>594216</v>
      </c>
      <c r="S48" s="22">
        <v>0</v>
      </c>
      <c r="T48" s="21">
        <v>0</v>
      </c>
      <c r="U48" s="22">
        <v>0</v>
      </c>
      <c r="V48" s="21">
        <v>-594216</v>
      </c>
      <c r="W48" s="22">
        <v>0</v>
      </c>
      <c r="X48" s="23">
        <v>548933</v>
      </c>
      <c r="Y48" s="23">
        <v>570919.65</v>
      </c>
      <c r="Z48" s="21">
        <v>5200</v>
      </c>
      <c r="AA48" s="23">
        <v>10712</v>
      </c>
      <c r="AB48" s="21">
        <v>5200</v>
      </c>
      <c r="AC48" s="23">
        <v>4888</v>
      </c>
      <c r="AD48" s="21">
        <v>5200</v>
      </c>
      <c r="AE48" s="24">
        <v>5200</v>
      </c>
      <c r="AF48" s="21">
        <v>5200</v>
      </c>
      <c r="AG48" s="24">
        <f>AE48</f>
        <v>5200</v>
      </c>
      <c r="AH48" s="21">
        <v>5200</v>
      </c>
      <c r="AI48" s="24">
        <f>AG48</f>
        <v>5200</v>
      </c>
      <c r="AJ48" s="21">
        <v>5200</v>
      </c>
      <c r="AK48" s="24">
        <f>AI48</f>
        <v>5200</v>
      </c>
      <c r="AL48" s="25" t="s">
        <v>164</v>
      </c>
    </row>
    <row r="49" spans="1:38" ht="12.75">
      <c r="A49" s="15" t="s">
        <v>165</v>
      </c>
      <c r="B49" s="16" t="s">
        <v>166</v>
      </c>
      <c r="C49" s="16">
        <v>149044.56</v>
      </c>
      <c r="D49" s="16">
        <v>149044.56</v>
      </c>
      <c r="E49" s="18">
        <f>SUM(N49,P49,R49,T49,V49,X49,Z49,AB49,AD49,AF49,AH49,AJ49)</f>
        <v>149044.56000000003</v>
      </c>
      <c r="F49" s="18">
        <f>SUM(O49,Q49,S49,U49,W49,Y49,AA49,AC49,AE49,AG49,AI49,AK49)</f>
        <v>152770.66000000003</v>
      </c>
      <c r="G49" s="18">
        <f>E49-F49</f>
        <v>-3726.1000000000058</v>
      </c>
      <c r="H49" s="18">
        <f>IFERROR(SUM(N49+P49+R49+T49+V49+X49+Z49+AB49),"SIN_DATOS")</f>
        <v>99363.040000000008</v>
      </c>
      <c r="I49" s="18">
        <f>IFERROR(SUM(O49+Q49+S49+U49+W49+Y49+AA49+AC49),"SIN_DATOS")</f>
        <v>100108.26000000001</v>
      </c>
      <c r="J49" s="19">
        <f>IF(OR(NOT(ISNUMBER($E49)),$E49=0),"SIN DATO",$I49/$E49)</f>
        <v>0.67166664788033859</v>
      </c>
      <c r="K49" s="19">
        <f>IF(OR(NOT(ISNUMBER($E49)),$E49=0),"SIN DATO",$H49/$E49)</f>
        <v>0.66666666666666663</v>
      </c>
      <c r="L49" s="18">
        <f>IFERROR(H49-I49,"SIN DATO")</f>
        <v>-745.22000000000116</v>
      </c>
      <c r="M49" s="20">
        <f>IFERROR(K49-J49,"SIN DATO")</f>
        <v>-4.9999812136719557E-3</v>
      </c>
      <c r="N49" s="21">
        <v>12420.38</v>
      </c>
      <c r="O49" s="23">
        <v>12420.38</v>
      </c>
      <c r="P49" s="21">
        <v>12420.38</v>
      </c>
      <c r="Q49" s="22">
        <v>12420.38</v>
      </c>
      <c r="R49" s="21">
        <v>12420.38</v>
      </c>
      <c r="S49" s="22">
        <v>12420.38</v>
      </c>
      <c r="T49" s="21">
        <v>12420.38</v>
      </c>
      <c r="U49" s="22">
        <v>12420.38</v>
      </c>
      <c r="V49" s="21">
        <v>12420.38</v>
      </c>
      <c r="W49" s="22">
        <v>12420.38</v>
      </c>
      <c r="X49" s="21">
        <v>12420.38</v>
      </c>
      <c r="Y49" s="22">
        <v>12420.38</v>
      </c>
      <c r="Z49" s="21">
        <v>12420.38</v>
      </c>
      <c r="AA49" s="22">
        <f>Y49</f>
        <v>12420.38</v>
      </c>
      <c r="AB49" s="21">
        <v>12420.38</v>
      </c>
      <c r="AC49" s="23">
        <v>13165.6</v>
      </c>
      <c r="AD49" s="21">
        <v>12420.38</v>
      </c>
      <c r="AE49" s="24">
        <f>AC49</f>
        <v>13165.6</v>
      </c>
      <c r="AF49" s="21">
        <v>12420.38</v>
      </c>
      <c r="AG49" s="24">
        <f>AE49</f>
        <v>13165.6</v>
      </c>
      <c r="AH49" s="21">
        <v>12420.38</v>
      </c>
      <c r="AI49" s="24">
        <f>AG49</f>
        <v>13165.6</v>
      </c>
      <c r="AJ49" s="21">
        <v>12420.38</v>
      </c>
      <c r="AK49" s="24">
        <f>AI49</f>
        <v>13165.6</v>
      </c>
    </row>
    <row r="50" spans="1:38" ht="12.75">
      <c r="A50" s="15" t="s">
        <v>167</v>
      </c>
      <c r="B50" s="16" t="s">
        <v>168</v>
      </c>
      <c r="C50" s="16">
        <v>366345.04</v>
      </c>
      <c r="D50" s="16">
        <v>366345.04</v>
      </c>
      <c r="E50" s="18">
        <f>SUM(N50,P50,R50,T50,V50,X50,Z50,AB50,AD50,AF50,AH50,AJ50)</f>
        <v>366345.04</v>
      </c>
      <c r="F50" s="18">
        <f>SUM(O50,Q50,S50,U50,W50,Y50,AA50,AC50,AE50,AG50,AI50,AK50)</f>
        <v>272629.24</v>
      </c>
      <c r="G50" s="18">
        <f>E50-F50</f>
        <v>93715.799999999988</v>
      </c>
      <c r="H50" s="18">
        <f>IFERROR(SUM(N50+P50+R50+T50+V50+X50+Z50+AB50),"SIN_DATOS")</f>
        <v>244230</v>
      </c>
      <c r="I50" s="18">
        <f>IFERROR(SUM(O50+Q50+S50+U50+W50+Y50+AA50+AC50),"SIN_DATOS")</f>
        <v>211976.22</v>
      </c>
      <c r="J50" s="19">
        <f>IF(OR(NOT(ISNUMBER($E50)),$E50=0),"SIN DATO",$I50/$E50)</f>
        <v>0.57862451201741405</v>
      </c>
      <c r="K50" s="19">
        <f>IF(OR(NOT(ISNUMBER($E50)),$E50=0),"SIN DATO",$H50/$E50)</f>
        <v>0.66666659387554428</v>
      </c>
      <c r="L50" s="18">
        <f>IFERROR(H50-I50,"SIN DATO")</f>
        <v>32253.78</v>
      </c>
      <c r="M50" s="20">
        <f>IFERROR(K50-J50,"SIN DATO")</f>
        <v>8.8042081858130228E-2</v>
      </c>
      <c r="N50" s="21">
        <v>30528.75</v>
      </c>
      <c r="O50" s="23">
        <v>0</v>
      </c>
      <c r="P50" s="21">
        <v>30528.75</v>
      </c>
      <c r="Q50" s="22">
        <v>0</v>
      </c>
      <c r="R50" s="21">
        <v>30528.75</v>
      </c>
      <c r="S50" s="22">
        <v>0</v>
      </c>
      <c r="T50" s="21">
        <v>30528.75</v>
      </c>
      <c r="U50" s="22">
        <v>30017.16</v>
      </c>
      <c r="V50" s="21">
        <v>30528.75</v>
      </c>
      <c r="W50" s="23">
        <v>90979.53</v>
      </c>
      <c r="X50" s="21">
        <v>30528.75</v>
      </c>
      <c r="Y50" s="22">
        <v>0</v>
      </c>
      <c r="Z50" s="21">
        <v>30528.75</v>
      </c>
      <c r="AA50" s="22">
        <v>0</v>
      </c>
      <c r="AB50" s="21">
        <v>30528.75</v>
      </c>
      <c r="AC50" s="23">
        <v>90979.53</v>
      </c>
      <c r="AD50" s="21">
        <v>30528.75</v>
      </c>
      <c r="AE50" s="24">
        <v>0</v>
      </c>
      <c r="AF50" s="21">
        <v>30528.75</v>
      </c>
      <c r="AG50" s="24">
        <f>AE50</f>
        <v>0</v>
      </c>
      <c r="AH50" s="21">
        <v>30528.75</v>
      </c>
      <c r="AI50" s="24">
        <v>30326.51</v>
      </c>
      <c r="AJ50" s="21">
        <v>30528.79</v>
      </c>
      <c r="AK50" s="24">
        <f>AI50</f>
        <v>30326.51</v>
      </c>
    </row>
    <row r="51" spans="1:38" ht="12.95" customHeight="1">
      <c r="A51" s="15" t="s">
        <v>169</v>
      </c>
      <c r="B51" s="16" t="s">
        <v>170</v>
      </c>
      <c r="C51" s="16" t="s">
        <v>171</v>
      </c>
      <c r="D51" s="16" t="s">
        <v>172</v>
      </c>
      <c r="E51" s="18">
        <f>SUM(N51,P51,R51,T51,V51,X51,Z51,AB51,AD51,AF51,AH51,AJ51)</f>
        <v>30105.441679999993</v>
      </c>
      <c r="F51" s="18">
        <f>SUM(O51,Q51,S51,U51,W51,Y51,AA51,AC51,AE51,AG51,AI51,AK51)</f>
        <v>31908.012520159988</v>
      </c>
      <c r="G51" s="18">
        <f>E51-F51</f>
        <v>-1802.570840159995</v>
      </c>
      <c r="H51" s="18">
        <f>IFERROR(SUM(N51+P51+R51+T51+V51+X51+Z51+AB51),"SIN_DATOS")</f>
        <v>19155.764837999996</v>
      </c>
      <c r="I51" s="18">
        <f>IFERROR(SUM(O51+Q51+S51+U51+W51+Y51+AA51+AC51),"SIN_DATOS")</f>
        <v>20305.092103999996</v>
      </c>
      <c r="J51" s="19">
        <f>IF(OR(NOT(ISNUMBER($E51)),$E51=0),"SIN DATO",$I51/$E51)</f>
        <v>0.6744658430801006</v>
      </c>
      <c r="K51" s="19">
        <f>IF(OR(NOT(ISNUMBER($E51)),$E51=0),"SIN DATO",$H51/$E51)</f>
        <v>0.63628911482556927</v>
      </c>
      <c r="L51" s="18">
        <f>IFERROR(H51-I51,"SIN DATO")</f>
        <v>-1149.3272660000002</v>
      </c>
      <c r="M51" s="20">
        <f>IFERROR(K51-J51,"SIN DATO")</f>
        <v>-3.8176728254531334E-2</v>
      </c>
      <c r="N51" s="21">
        <f>$BE$3*$BB$8</f>
        <v>0</v>
      </c>
      <c r="O51" s="22">
        <f>$BF$3*$BB$8</f>
        <v>0</v>
      </c>
      <c r="P51" s="21">
        <f>$BG$3*$BB$8</f>
        <v>0</v>
      </c>
      <c r="Q51" s="22">
        <f>$BH$3*$BB$8</f>
        <v>0</v>
      </c>
      <c r="R51" s="21">
        <f>$BI$3*$BB$8</f>
        <v>0</v>
      </c>
      <c r="S51" s="22">
        <f>$BJ$3*$BB$8</f>
        <v>0</v>
      </c>
      <c r="T51" s="21">
        <f>$BK$3*$BB$8</f>
        <v>0</v>
      </c>
      <c r="U51" s="22">
        <f>$BL$3*$BB$8</f>
        <v>0</v>
      </c>
      <c r="V51" s="21">
        <f>$BM$3*$BB$8</f>
        <v>0</v>
      </c>
      <c r="W51" s="22">
        <f>$BN$3*$BB$8</f>
        <v>0</v>
      </c>
      <c r="X51" s="21">
        <f>$BO$3*$BB$8</f>
        <v>0</v>
      </c>
      <c r="Y51" s="22">
        <f>$BP$3*$BB$8</f>
        <v>0</v>
      </c>
      <c r="Z51" s="21">
        <f>$BQ$3*$BB$8</f>
        <v>16419.227003999997</v>
      </c>
      <c r="AA51" s="23">
        <f>$BR$3*$BB$8</f>
        <v>52213.132103999997</v>
      </c>
      <c r="AB51" s="21">
        <f>$BS$3*$BB$8</f>
        <v>2736.5378339999997</v>
      </c>
      <c r="AC51" s="23">
        <v>-31908.04</v>
      </c>
      <c r="AD51" s="21">
        <f>$BU$3*$BB$8</f>
        <v>2736.5378339999997</v>
      </c>
      <c r="AE51" s="24">
        <v>2900.7301040399998</v>
      </c>
      <c r="AF51" s="21">
        <f>$BW$3*$BB$8</f>
        <v>2736.5378339999997</v>
      </c>
      <c r="AG51" s="24">
        <v>2900.7301040399998</v>
      </c>
      <c r="AH51" s="21">
        <f>$BY$3*$BB$8</f>
        <v>2736.5378339999997</v>
      </c>
      <c r="AI51" s="24">
        <v>2900.7301040399998</v>
      </c>
      <c r="AJ51" s="21">
        <f>$CA$3*$BB$8</f>
        <v>2740.0633399999997</v>
      </c>
      <c r="AK51" s="24">
        <v>2900.7301040399998</v>
      </c>
      <c r="AL51" s="25" t="s">
        <v>173</v>
      </c>
    </row>
    <row r="52" spans="1:38" ht="12.95" customHeight="1">
      <c r="A52" s="15" t="s">
        <v>174</v>
      </c>
      <c r="B52" s="16" t="s">
        <v>170</v>
      </c>
      <c r="C52" s="16" t="s">
        <v>171</v>
      </c>
      <c r="D52" s="16" t="s">
        <v>172</v>
      </c>
      <c r="E52" s="18">
        <f>SUM(N52,P52,R52,T52,V52,X52,Z52,AB52,AD52,AF52,AH52,AJ52)</f>
        <v>10528.731600000001</v>
      </c>
      <c r="F52" s="18">
        <f>SUM(O52,Q52,S52,U52,W52,Y52,AA52,AC52,AE52,AG52,AI52,AK52)</f>
        <v>11159.1436792</v>
      </c>
      <c r="G52" s="18">
        <f>E52-F52</f>
        <v>-630.41207919999943</v>
      </c>
      <c r="H52" s="18">
        <f>IFERROR(SUM(N52+P52+R52+T52+V52+X52+Z52+AB52),"SIN_DATOS")</f>
        <v>6699.3173099999995</v>
      </c>
      <c r="I52" s="18">
        <f>IFERROR(SUM(O52+Q52+S52+U52+W52+Y52+AA52+AC52),"SIN_DATOS")</f>
        <v>7101.2714800000012</v>
      </c>
      <c r="J52" s="19">
        <f>IF(OR(NOT(ISNUMBER($E52)),$E52=0),"SIN DATO",$I52/$E52)</f>
        <v>0.67446599930422768</v>
      </c>
      <c r="K52" s="19">
        <f>IF(OR(NOT(ISNUMBER($E52)),$E52=0),"SIN DATO",$H52/$E52)</f>
        <v>0.63628911482556916</v>
      </c>
      <c r="L52" s="18">
        <f>IFERROR(H52-I52,"SIN DATO")</f>
        <v>-401.9541700000018</v>
      </c>
      <c r="M52" s="20">
        <f>IFERROR(K52-J52,"SIN DATO")</f>
        <v>-3.8176884478658524E-2</v>
      </c>
      <c r="N52" s="21">
        <f>$BE$3*$BB$9</f>
        <v>0</v>
      </c>
      <c r="O52" s="22">
        <f>$BF$3*$BB$9</f>
        <v>0</v>
      </c>
      <c r="P52" s="21">
        <f>$BG$3*$BB$9</f>
        <v>0</v>
      </c>
      <c r="Q52" s="22">
        <f>$BH$3*$BB$9</f>
        <v>0</v>
      </c>
      <c r="R52" s="21">
        <f>$BI$3*$BB$9</f>
        <v>0</v>
      </c>
      <c r="S52" s="22">
        <f>$BJ$3*$BB$9</f>
        <v>0</v>
      </c>
      <c r="T52" s="21">
        <f>$BK$3*$BB$9</f>
        <v>0</v>
      </c>
      <c r="U52" s="22">
        <f>$BL$3*$BB$9</f>
        <v>0</v>
      </c>
      <c r="V52" s="21">
        <f>$BM$3*$BB$9</f>
        <v>0</v>
      </c>
      <c r="W52" s="22">
        <f>$BN$3*$BB$9</f>
        <v>0</v>
      </c>
      <c r="X52" s="21">
        <f>$BO$3*$BB$9</f>
        <v>0</v>
      </c>
      <c r="Y52" s="22">
        <f>$BP$3*$BB$9</f>
        <v>0</v>
      </c>
      <c r="Z52" s="21">
        <f>$BQ$3*$BB$9</f>
        <v>5742.2719799999995</v>
      </c>
      <c r="AA52" s="23">
        <f>$BR$3*$BB$9</f>
        <v>18260.421480000001</v>
      </c>
      <c r="AB52" s="21">
        <f>$BS$3*$BB$9</f>
        <v>957.04532999999992</v>
      </c>
      <c r="AC52" s="23">
        <v>-11159.15</v>
      </c>
      <c r="AD52" s="21">
        <f>$BU$3*$BB$9</f>
        <v>957.04532999999992</v>
      </c>
      <c r="AE52" s="24">
        <v>1014.4680497999999</v>
      </c>
      <c r="AF52" s="21">
        <f>$BW$3*$BB$9</f>
        <v>957.04532999999992</v>
      </c>
      <c r="AG52" s="24">
        <v>1014.4680497999999</v>
      </c>
      <c r="AH52" s="21">
        <f>$BY$3*$BB$9</f>
        <v>957.04532999999992</v>
      </c>
      <c r="AI52" s="24">
        <v>1014.4680497999999</v>
      </c>
      <c r="AJ52" s="21">
        <f>$CA$3*$BB$9</f>
        <v>958.27829999999994</v>
      </c>
      <c r="AK52" s="24">
        <v>1014.4680497999999</v>
      </c>
      <c r="AL52" s="25" t="s">
        <v>175</v>
      </c>
    </row>
    <row r="53" spans="1:38" ht="12.95" customHeight="1">
      <c r="A53" s="15" t="s">
        <v>63</v>
      </c>
      <c r="B53" s="16" t="s">
        <v>170</v>
      </c>
      <c r="C53" s="16" t="s">
        <v>171</v>
      </c>
      <c r="D53" s="16" t="s">
        <v>172</v>
      </c>
      <c r="E53" s="18">
        <f>SUM(N53,P53,R53,T53,V53,X53,Z53,AB53,AD53,AF53,AH53,AJ53)</f>
        <v>7442.2267199999997</v>
      </c>
      <c r="F53" s="18">
        <f>SUM(O53,Q53,S53,U53,W53,Y53,AA53,AC53,AE53,AG53,AI53,AK53)</f>
        <v>7887.8306006399998</v>
      </c>
      <c r="G53" s="18">
        <f>E53-F53</f>
        <v>-445.60388064000017</v>
      </c>
      <c r="H53" s="18">
        <f>IFERROR(SUM(N53+P53+R53+T53+V53+X53+Z53+AB53),"SIN_DATOS")</f>
        <v>4735.4078519999994</v>
      </c>
      <c r="I53" s="18">
        <f>IFERROR(SUM(O53+Q53+S53+U53+W53+Y53+AA53+AC53),"SIN_DATOS")</f>
        <v>5019.5264159999988</v>
      </c>
      <c r="J53" s="19">
        <f>IF(OR(NOT(ISNUMBER($E53)),$E53=0),"SIN DATO",$I53/$E53)</f>
        <v>0.67446566798491714</v>
      </c>
      <c r="K53" s="19">
        <f>IF(OR(NOT(ISNUMBER($E53)),$E53=0),"SIN DATO",$H53/$E53)</f>
        <v>0.63628911482556927</v>
      </c>
      <c r="L53" s="18">
        <f>IFERROR(H53-I53,"SIN DATO")</f>
        <v>-284.11856399999942</v>
      </c>
      <c r="M53" s="20">
        <f>IFERROR(K53-J53,"SIN DATO")</f>
        <v>-3.817655315934787E-2</v>
      </c>
      <c r="N53" s="21">
        <f>$BE$3*$BB$10</f>
        <v>0</v>
      </c>
      <c r="O53" s="22">
        <f>$BF$3*$BB$10</f>
        <v>0</v>
      </c>
      <c r="P53" s="21">
        <f>$BG$3*$BB$10</f>
        <v>0</v>
      </c>
      <c r="Q53" s="22">
        <f>$BH$3*$BB$10</f>
        <v>0</v>
      </c>
      <c r="R53" s="21">
        <f>$BI$3*$BB$10</f>
        <v>0</v>
      </c>
      <c r="S53" s="22">
        <f>$BJ$3*$BB$10</f>
        <v>0</v>
      </c>
      <c r="T53" s="21">
        <f>$BK$3*$BB$10</f>
        <v>0</v>
      </c>
      <c r="U53" s="22">
        <f>$BL$3*$BB$10</f>
        <v>0</v>
      </c>
      <c r="V53" s="21">
        <f>$BM$3*$BB$10</f>
        <v>0</v>
      </c>
      <c r="W53" s="22">
        <f>$BN$3*$BB$10</f>
        <v>0</v>
      </c>
      <c r="X53" s="21">
        <f>$BO$3*$BB$10</f>
        <v>0</v>
      </c>
      <c r="Y53" s="22">
        <f>$BP$3*$BB$10</f>
        <v>0</v>
      </c>
      <c r="Z53" s="21">
        <f>$BQ$3*$BB$10</f>
        <v>4058.9210159999993</v>
      </c>
      <c r="AA53" s="23">
        <f>$BR$3*$BB$10</f>
        <v>12907.366415999999</v>
      </c>
      <c r="AB53" s="21">
        <f>$BS$3*$BB$10</f>
        <v>676.48683599999993</v>
      </c>
      <c r="AC53" s="23">
        <v>-7887.84</v>
      </c>
      <c r="AD53" s="21">
        <f>$BU$3*$BB$10</f>
        <v>676.48683599999993</v>
      </c>
      <c r="AE53" s="24">
        <v>717.07604615999992</v>
      </c>
      <c r="AF53" s="21">
        <f>$BW$3*$BB$10</f>
        <v>676.48683599999993</v>
      </c>
      <c r="AG53" s="24">
        <v>717.07604615999992</v>
      </c>
      <c r="AH53" s="21">
        <f>$BY$3*$BB$10</f>
        <v>676.48683599999993</v>
      </c>
      <c r="AI53" s="24">
        <v>717.07604615999992</v>
      </c>
      <c r="AJ53" s="21">
        <f>$CA$3*$BB$10</f>
        <v>677.35835999999995</v>
      </c>
      <c r="AK53" s="24">
        <v>717.07604615999992</v>
      </c>
      <c r="AL53" s="25" t="s">
        <v>175</v>
      </c>
    </row>
    <row r="54" spans="1:38" ht="12.75">
      <c r="A54" s="15" t="s">
        <v>169</v>
      </c>
      <c r="B54" s="16" t="s">
        <v>176</v>
      </c>
      <c r="C54" s="16" t="s">
        <v>177</v>
      </c>
      <c r="D54" s="16" t="s">
        <v>172</v>
      </c>
      <c r="E54" s="18">
        <f>SUM(N54,P54,R54,T54,V54,X54,Z54,AB54,AD54,AF54,AH54,AJ54)</f>
        <v>220645.70291999998</v>
      </c>
      <c r="F54" s="18">
        <f>SUM(O54,Q54,S54,U54,W54,Y54,AA54,AC54,AE54,AG54,AI54,AK54)</f>
        <v>233871.18468400004</v>
      </c>
      <c r="G54" s="18">
        <f>E54-F54</f>
        <v>-13225.481764000055</v>
      </c>
      <c r="H54" s="18">
        <f>IFERROR(SUM(N54+P54+R54+T54+V54+X54+Z54+AB54),"SIN_DATOS")</f>
        <v>140402.93203999999</v>
      </c>
      <c r="I54" s="18">
        <f>IFERROR(SUM(O54+Q54+S54+U54+W54+Y54+AA54+AC54),"SIN_DATOS")</f>
        <v>148827.12299120001</v>
      </c>
      <c r="J54" s="19">
        <f>IF(OR(NOT(ISNUMBER($E54)),$E54=0),"SIN DATO",$I54/$E54)</f>
        <v>0.67450723499999732</v>
      </c>
      <c r="K54" s="19">
        <f>IF(OR(NOT(ISNUMBER($E54)),$E54=0),"SIN DATO",$H54/$E54)</f>
        <v>0.63632751593130366</v>
      </c>
      <c r="L54" s="18">
        <f>IFERROR(H54-I54,"SIN DATO")</f>
        <v>-8424.1909512000275</v>
      </c>
      <c r="M54" s="20">
        <f>IFERROR(K54-J54,"SIN DATO")</f>
        <v>-3.8179719068693663E-2</v>
      </c>
      <c r="N54" s="21">
        <f>$BE$4*$BB$8</f>
        <v>0</v>
      </c>
      <c r="O54" s="22">
        <f>$BF$4*$BB$8</f>
        <v>0</v>
      </c>
      <c r="P54" s="21">
        <f>$BG$4*$BB$8</f>
        <v>0</v>
      </c>
      <c r="Q54" s="22">
        <f>$BH$4*$BB$8</f>
        <v>0</v>
      </c>
      <c r="R54" s="21">
        <f>$BI$4*$BB$8</f>
        <v>0</v>
      </c>
      <c r="S54" s="22">
        <f>$BJ$4*$BB$8</f>
        <v>0</v>
      </c>
      <c r="T54" s="21">
        <f>$BK$4*$BB$8</f>
        <v>0</v>
      </c>
      <c r="U54" s="22">
        <f>$BL$4*$BB$8</f>
        <v>0</v>
      </c>
      <c r="V54" s="21">
        <f>$BM$4*$BB$8</f>
        <v>0</v>
      </c>
      <c r="W54" s="22">
        <f>$BN$4*$BB$8</f>
        <v>0</v>
      </c>
      <c r="X54" s="21">
        <f>$BO$4*$BB$8</f>
        <v>0</v>
      </c>
      <c r="Y54" s="22">
        <f>$BP$4*$BB$8</f>
        <v>0</v>
      </c>
      <c r="Z54" s="21">
        <f>$BQ$4*$BB$8</f>
        <v>120345.37032</v>
      </c>
      <c r="AA54" s="22">
        <f>$BR$4*$BB$8</f>
        <v>127566.10756800001</v>
      </c>
      <c r="AB54" s="21">
        <f>$BS$4*$BB$8</f>
        <v>20057.561719999998</v>
      </c>
      <c r="AC54" s="22">
        <v>21261.015423199999</v>
      </c>
      <c r="AD54" s="21">
        <f>$BU$4*$BB$8</f>
        <v>20057.561719999998</v>
      </c>
      <c r="AE54" s="24">
        <v>21261.015423199999</v>
      </c>
      <c r="AF54" s="21">
        <f>$BW$4*$BB$8</f>
        <v>20057.561719999998</v>
      </c>
      <c r="AG54" s="24">
        <v>21261.015423199999</v>
      </c>
      <c r="AH54" s="21">
        <f>$BY$4*$BB$8</f>
        <v>20057.561719999998</v>
      </c>
      <c r="AI54" s="24">
        <v>21261.015423199999</v>
      </c>
      <c r="AJ54" s="21">
        <f>$CA$4*$BB$8</f>
        <v>20070.085719999999</v>
      </c>
      <c r="AK54" s="24">
        <v>21261.015423199999</v>
      </c>
      <c r="AL54" s="25" t="s">
        <v>178</v>
      </c>
    </row>
    <row r="55" spans="1:38" ht="12.75">
      <c r="A55" s="15" t="s">
        <v>174</v>
      </c>
      <c r="B55" s="16" t="s">
        <v>176</v>
      </c>
      <c r="C55" s="16" t="s">
        <v>177</v>
      </c>
      <c r="D55" s="16" t="s">
        <v>172</v>
      </c>
      <c r="E55" s="18">
        <f>SUM(N55,P55,R55,T55,V55,X55,Z55,AB55,AD55,AF55,AH55,AJ55)</f>
        <v>77166.095399999991</v>
      </c>
      <c r="F55" s="18">
        <f>SUM(O55,Q55,S55,U55,W55,Y55,AA55,AC55,AE55,AG55,AI55,AK55)</f>
        <v>81791.423580000017</v>
      </c>
      <c r="G55" s="18">
        <f>E55-F55</f>
        <v>-4625.3281800000259</v>
      </c>
      <c r="H55" s="18">
        <f>IFERROR(SUM(N55+P55+R55+T55+V55+X55+Z55+AB55),"SIN_DATOS")</f>
        <v>49102.909800000001</v>
      </c>
      <c r="I55" s="18">
        <f>IFERROR(SUM(O55+Q55+S55+U55+W55+Y55+AA55+AC55),"SIN_DATOS")</f>
        <v>52049.089644000007</v>
      </c>
      <c r="J55" s="19">
        <f>IF(OR(NOT(ISNUMBER($E55)),$E55=0),"SIN DATO",$I55/$E55)</f>
        <v>0.67450723499999732</v>
      </c>
      <c r="K55" s="19">
        <f>IF(OR(NOT(ISNUMBER($E55)),$E55=0),"SIN DATO",$H55/$E55)</f>
        <v>0.63632751593130377</v>
      </c>
      <c r="L55" s="18">
        <f>IFERROR(H55-I55,"SIN DATO")</f>
        <v>-2946.1798440000057</v>
      </c>
      <c r="M55" s="20">
        <f>IFERROR(K55-J55,"SIN DATO")</f>
        <v>-3.8179719068693552E-2</v>
      </c>
      <c r="N55" s="21">
        <f>$BE$4*$BB$9</f>
        <v>0</v>
      </c>
      <c r="O55" s="22">
        <f>$BF$4*$BB$9</f>
        <v>0</v>
      </c>
      <c r="P55" s="21">
        <f>$BG$4*$BB$9</f>
        <v>0</v>
      </c>
      <c r="Q55" s="22">
        <f>$BH$4*$BB$9</f>
        <v>0</v>
      </c>
      <c r="R55" s="21">
        <f>$BI$4*$BB$9</f>
        <v>0</v>
      </c>
      <c r="S55" s="22">
        <f>$BJ$4*$BB$9</f>
        <v>0</v>
      </c>
      <c r="T55" s="21">
        <f>$BK$4*$BB$9</f>
        <v>0</v>
      </c>
      <c r="U55" s="22">
        <f>$BL$4*$BB$9</f>
        <v>0</v>
      </c>
      <c r="V55" s="21">
        <f>$BM$4*$BB$9</f>
        <v>0</v>
      </c>
      <c r="W55" s="22">
        <f>$BN$4*$BB$9</f>
        <v>0</v>
      </c>
      <c r="X55" s="21">
        <f>$BO$4*$BB$9</f>
        <v>0</v>
      </c>
      <c r="Y55" s="22">
        <f>$BP$4*$BB$9</f>
        <v>0</v>
      </c>
      <c r="Z55" s="21">
        <f>$BQ$4*$BB$9</f>
        <v>42088.208400000003</v>
      </c>
      <c r="AA55" s="22">
        <f>$BR$4*$BB$9</f>
        <v>44613.506160000004</v>
      </c>
      <c r="AB55" s="21">
        <f>$BS$4*$BB$9</f>
        <v>7014.7013999999999</v>
      </c>
      <c r="AC55" s="22">
        <v>7435.5834839999998</v>
      </c>
      <c r="AD55" s="21">
        <f>$BU$4*$BB$9</f>
        <v>7014.7013999999999</v>
      </c>
      <c r="AE55" s="24">
        <v>7435.5834839999998</v>
      </c>
      <c r="AF55" s="21">
        <f>$BW$4*$BB$9</f>
        <v>7014.7013999999999</v>
      </c>
      <c r="AG55" s="24">
        <v>7435.5834839999998</v>
      </c>
      <c r="AH55" s="21">
        <f>$BY$4*$BB$9</f>
        <v>7014.7013999999999</v>
      </c>
      <c r="AI55" s="24">
        <v>7435.5834839999998</v>
      </c>
      <c r="AJ55" s="21">
        <f>$CA$4*$BB$9</f>
        <v>7019.0814</v>
      </c>
      <c r="AK55" s="24">
        <v>7435.5834839999998</v>
      </c>
      <c r="AL55" s="25" t="s">
        <v>178</v>
      </c>
    </row>
    <row r="56" spans="1:38" ht="12.75">
      <c r="A56" s="15" t="s">
        <v>63</v>
      </c>
      <c r="B56" s="16" t="s">
        <v>176</v>
      </c>
      <c r="C56" s="16" t="s">
        <v>177</v>
      </c>
      <c r="D56" s="16" t="s">
        <v>172</v>
      </c>
      <c r="E56" s="18">
        <f>SUM(N56,P56,R56,T56,V56,X56,Z56,AB56,AD56,AF56,AH56,AJ56)</f>
        <v>54544.801680000011</v>
      </c>
      <c r="F56" s="18">
        <f>SUM(O56,Q56,S56,U56,W56,Y56,AA56,AC56,AE56,AG56,AI56,AK56)</f>
        <v>57814.211735999997</v>
      </c>
      <c r="G56" s="18">
        <f>E56-F56</f>
        <v>-3269.4100559999861</v>
      </c>
      <c r="H56" s="18">
        <f>IFERROR(SUM(N56+P56+R56+T56+V56+X56+Z56+AB56),"SIN_DATOS")</f>
        <v>34708.358160000003</v>
      </c>
      <c r="I56" s="18">
        <f>IFERROR(SUM(O56+Q56+S56+U56+W56+Y56+AA56+AC56),"SIN_DATOS")</f>
        <v>36790.863364799996</v>
      </c>
      <c r="J56" s="19">
        <f>IF(OR(NOT(ISNUMBER($E56)),$E56=0),"SIN DATO",$I56/$E56)</f>
        <v>0.67450723499999699</v>
      </c>
      <c r="K56" s="19">
        <f>IF(OR(NOT(ISNUMBER($E56)),$E56=0),"SIN DATO",$H56/$E56)</f>
        <v>0.63632751593130366</v>
      </c>
      <c r="L56" s="18">
        <f>IFERROR(H56-I56,"SIN DATO")</f>
        <v>-2082.5052047999925</v>
      </c>
      <c r="M56" s="20">
        <f>IFERROR(K56-J56,"SIN DATO")</f>
        <v>-3.817971906869333E-2</v>
      </c>
      <c r="N56" s="21">
        <f>$BE$4*$BB$10</f>
        <v>0</v>
      </c>
      <c r="O56" s="22">
        <f>$BF$4*$BB$10</f>
        <v>0</v>
      </c>
      <c r="P56" s="21">
        <f>$BG$4*$BB$10</f>
        <v>0</v>
      </c>
      <c r="Q56" s="22">
        <f>$BH$4*$BB$10</f>
        <v>0</v>
      </c>
      <c r="R56" s="21">
        <f>$BI$4*$BB$10</f>
        <v>0</v>
      </c>
      <c r="S56" s="22">
        <f>$BJ$4*$BB$10</f>
        <v>0</v>
      </c>
      <c r="T56" s="21">
        <f>$BK$4*$BB$10</f>
        <v>0</v>
      </c>
      <c r="U56" s="22">
        <f>$BL$4*$BB$10</f>
        <v>0</v>
      </c>
      <c r="V56" s="21">
        <f>$BM$4*$BB$10</f>
        <v>0</v>
      </c>
      <c r="W56" s="22">
        <f>$BN$4*$BB$10</f>
        <v>0</v>
      </c>
      <c r="X56" s="21">
        <f>$BO$4*$BB$10</f>
        <v>0</v>
      </c>
      <c r="Y56" s="22">
        <f>$BP$4*$BB$10</f>
        <v>0</v>
      </c>
      <c r="Z56" s="21">
        <f>$BQ$4*$BB$10</f>
        <v>29750.021280000001</v>
      </c>
      <c r="AA56" s="22">
        <f>$BR$4*$BB$10</f>
        <v>31535.026271999999</v>
      </c>
      <c r="AB56" s="21">
        <f>$BS$4*$BB$10</f>
        <v>4958.3368799999998</v>
      </c>
      <c r="AC56" s="22">
        <v>5255.8370927999995</v>
      </c>
      <c r="AD56" s="21">
        <f>$BU$4*$BB$10</f>
        <v>4958.3368799999998</v>
      </c>
      <c r="AE56" s="24">
        <v>5255.8370927999995</v>
      </c>
      <c r="AF56" s="21">
        <f>$BW$4*$BB$10</f>
        <v>4958.3368799999998</v>
      </c>
      <c r="AG56" s="24">
        <v>5255.8370927999995</v>
      </c>
      <c r="AH56" s="21">
        <f>$BY$4*$BB$10</f>
        <v>4958.3368799999998</v>
      </c>
      <c r="AI56" s="24">
        <v>5255.8370927999995</v>
      </c>
      <c r="AJ56" s="21">
        <f>$CA$4*$BB$10</f>
        <v>4961.4328799999994</v>
      </c>
      <c r="AK56" s="24">
        <v>5255.8370927999995</v>
      </c>
      <c r="AL56" s="25" t="s">
        <v>178</v>
      </c>
    </row>
    <row r="57" spans="1:38" ht="12.75">
      <c r="A57" s="15" t="s">
        <v>179</v>
      </c>
      <c r="B57" s="33" t="s">
        <v>180</v>
      </c>
      <c r="C57" s="16">
        <v>350000.04</v>
      </c>
      <c r="D57" s="16">
        <v>300150</v>
      </c>
      <c r="E57" s="18">
        <f>SUM(N57,P57,R57,T57,V57,X57,Z57,AB57,AD57,AF57,AH57,AJ57)</f>
        <v>0</v>
      </c>
      <c r="F57" s="18">
        <f>SUM(O57,Q57,S57,U57,W57,Y57,AA57,AC57,AE57,AG57,AI57,AK57)</f>
        <v>0</v>
      </c>
      <c r="G57" s="18">
        <f>E57-F57</f>
        <v>0</v>
      </c>
      <c r="H57" s="18">
        <f>IFERROR(SUM(N57+P57+R57+T57+V57+X57+Z57+AB57),"SIN_DATOS")</f>
        <v>0</v>
      </c>
      <c r="I57" s="18">
        <f>IFERROR(SUM(O57+Q57+S57+U57+W57+Y57+AA57+AC57),"SIN_DATOS")</f>
        <v>0</v>
      </c>
      <c r="J57" s="19" t="str">
        <f>IF(OR(NOT(ISNUMBER($E57)),$E57=0),"SIN DATO",$I57/$E57)</f>
        <v>SIN DATO</v>
      </c>
      <c r="K57" s="19" t="str">
        <f>IF(OR(NOT(ISNUMBER($E57)),$E57=0),"SIN DATO",$H57/$E57)</f>
        <v>SIN DATO</v>
      </c>
      <c r="L57" s="18">
        <f>IFERROR(H57-I57,"SIN DATO")</f>
        <v>0</v>
      </c>
      <c r="M57" s="20" t="str">
        <f>IFERROR(K57-J57,"SIN DATO")</f>
        <v>SIN DATO</v>
      </c>
      <c r="N57" s="21">
        <v>300150</v>
      </c>
      <c r="O57" s="22">
        <v>0</v>
      </c>
      <c r="P57" s="21">
        <v>0</v>
      </c>
      <c r="Q57" s="22">
        <v>0</v>
      </c>
      <c r="R57" s="21">
        <v>0</v>
      </c>
      <c r="S57" s="22">
        <v>0</v>
      </c>
      <c r="T57" s="21">
        <v>0</v>
      </c>
      <c r="U57" s="22">
        <v>0</v>
      </c>
      <c r="V57" s="21">
        <v>0</v>
      </c>
      <c r="W57" s="22">
        <v>0</v>
      </c>
      <c r="X57" s="21">
        <v>0</v>
      </c>
      <c r="Y57" s="22">
        <v>0</v>
      </c>
      <c r="Z57" s="21">
        <v>-300150</v>
      </c>
      <c r="AA57" s="22">
        <v>0</v>
      </c>
      <c r="AB57" s="21">
        <v>0</v>
      </c>
      <c r="AC57" s="24">
        <f>AA57</f>
        <v>0</v>
      </c>
      <c r="AD57" s="21">
        <v>0</v>
      </c>
      <c r="AE57" s="24">
        <f>AC57</f>
        <v>0</v>
      </c>
      <c r="AF57" s="21">
        <v>0</v>
      </c>
      <c r="AG57" s="24">
        <f>AE57</f>
        <v>0</v>
      </c>
      <c r="AH57" s="21">
        <v>0</v>
      </c>
      <c r="AI57" s="24">
        <f>AG57</f>
        <v>0</v>
      </c>
      <c r="AJ57" s="21">
        <v>0</v>
      </c>
      <c r="AK57" s="24">
        <f>AI57</f>
        <v>0</v>
      </c>
    </row>
    <row r="58" spans="1:38" ht="12.75">
      <c r="A58" s="15" t="s">
        <v>169</v>
      </c>
      <c r="B58" s="16" t="s">
        <v>56</v>
      </c>
      <c r="C58" s="16">
        <v>230653.74016801681</v>
      </c>
      <c r="D58" s="16">
        <v>187044.26704670468</v>
      </c>
      <c r="E58" s="18">
        <f>SUM(N58,P58,R58,T58,V58,X58,Z58,AB58,AD58,AF58,AH58,AJ58)</f>
        <v>187044.26704670474</v>
      </c>
      <c r="F58" s="18">
        <f>SUM(O58,Q58,S58,U58,W58,Y58,AA58,AC58,AE58,AG58,AI58,AK58)</f>
        <v>187034.9091009101</v>
      </c>
      <c r="G58" s="18">
        <f>E58-F58</f>
        <v>9.3579457946470939</v>
      </c>
      <c r="H58" s="18">
        <f>IFERROR(SUM(N58+P58+R58+T58+V58+X58+Z58+AB58),"SIN_DATOS")</f>
        <v>149635.41363736379</v>
      </c>
      <c r="I58" s="18">
        <f>IFERROR(SUM(O58+Q58+S58+U58+W58+Y58+AA58+AC58),"SIN_DATOS")</f>
        <v>149627.92728072809</v>
      </c>
      <c r="J58" s="19">
        <f>IF(OR(NOT(ISNUMBER($E58)),$E58=0),"SIN DATO",$I58/$E58)</f>
        <v>0.79995997548198672</v>
      </c>
      <c r="K58" s="19">
        <f>IF(OR(NOT(ISNUMBER($E58)),$E58=0),"SIN DATO",$H58/$E58)</f>
        <v>0.79999999999999993</v>
      </c>
      <c r="L58" s="18">
        <f>IFERROR(H58-I58,"SIN DATO")</f>
        <v>7.486356635694392</v>
      </c>
      <c r="M58" s="20">
        <f>IFERROR(K58-J58,"SIN DATO")</f>
        <v>4.0024518013215271E-5</v>
      </c>
      <c r="N58" s="36">
        <f>$BE$5*$BB$5</f>
        <v>18704.42670467047</v>
      </c>
      <c r="O58" s="33">
        <f>$BF$5*$BB$5</f>
        <v>18703.490910091012</v>
      </c>
      <c r="P58" s="36">
        <f>$BG$5*$BB$5</f>
        <v>18704.42670467047</v>
      </c>
      <c r="Q58" s="37">
        <f>$BH$5*$BB$5</f>
        <v>18703.490910091012</v>
      </c>
      <c r="R58" s="36">
        <f>$BI$5*$BB$5</f>
        <v>18704.42670467047</v>
      </c>
      <c r="S58" s="37">
        <f>$BJ$5*$BB$5</f>
        <v>18703.490910091012</v>
      </c>
      <c r="T58" s="36">
        <f>$BK$5*$BB$5</f>
        <v>18704.42670467047</v>
      </c>
      <c r="U58" s="37">
        <f>$BL$5*$BB$5</f>
        <v>18703.490910091012</v>
      </c>
      <c r="V58" s="36">
        <f>$BM$5*$BB$5</f>
        <v>18704.42670467047</v>
      </c>
      <c r="W58" s="37">
        <f>$BN$5*$BB$5</f>
        <v>18703.490910091012</v>
      </c>
      <c r="X58" s="36">
        <f>$BO$5*$BB$5</f>
        <v>18704.42670467047</v>
      </c>
      <c r="Y58" s="37">
        <f>$BP$5*$BB$5</f>
        <v>18703.490910091012</v>
      </c>
      <c r="Z58" s="36">
        <f>$BQ$5*$BB$5</f>
        <v>18704.42670467047</v>
      </c>
      <c r="AA58" s="37">
        <f>$BR$5*$BB$5</f>
        <v>18703.490910091012</v>
      </c>
      <c r="AB58" s="36">
        <f>$BS$5*$BB$5</f>
        <v>18704.42670467047</v>
      </c>
      <c r="AC58" s="22">
        <f>$BT$5*$BB$5</f>
        <v>18703.490910091012</v>
      </c>
      <c r="AD58" s="36">
        <f>$BU$5*$BB$5</f>
        <v>18704.42670467047</v>
      </c>
      <c r="AE58" s="24">
        <f>$BV$5*$BB$5</f>
        <v>18703.490910091012</v>
      </c>
      <c r="AF58" s="36">
        <f>$BW$5*$BB$5</f>
        <v>18704.42670467047</v>
      </c>
      <c r="AG58" s="24">
        <f>$BX$5*$BB$5</f>
        <v>18703.490910091012</v>
      </c>
      <c r="AH58" s="21">
        <f>$BY$5*$BB$5</f>
        <v>0</v>
      </c>
      <c r="AI58" s="24">
        <f>$BZ$5*$BB$5</f>
        <v>0</v>
      </c>
      <c r="AJ58" s="21">
        <f>$CA$5*$BB$5</f>
        <v>0</v>
      </c>
      <c r="AK58" s="24">
        <f>$CB$5*$BB$5</f>
        <v>0</v>
      </c>
    </row>
    <row r="59" spans="1:38" ht="12.75">
      <c r="A59" s="15" t="s">
        <v>174</v>
      </c>
      <c r="B59" s="16" t="s">
        <v>56</v>
      </c>
      <c r="C59" s="16">
        <v>142434.75655565553</v>
      </c>
      <c r="D59" s="16">
        <v>115504.75887588758</v>
      </c>
      <c r="E59" s="18">
        <f>SUM(N59,P59,R59,T59,V59,X59,Z59,AB59,AD59,AF59,AH59,AJ59)</f>
        <v>115504.75887588755</v>
      </c>
      <c r="F59" s="18">
        <f>SUM(O59,Q59,S59,U59,W59,Y59,AA59,AC59,AE59,AG59,AI59,AK59)</f>
        <v>115498.98009800979</v>
      </c>
      <c r="G59" s="18">
        <f>E59-F59</f>
        <v>5.7787778777565109</v>
      </c>
      <c r="H59" s="18">
        <f>IFERROR(SUM(N59+P59+R59+T59+V59+X59+Z59+AB59),"SIN_DATOS")</f>
        <v>92403.807100710052</v>
      </c>
      <c r="I59" s="18">
        <f>IFERROR(SUM(O59+Q59+S59+U59+W59+Y59+AA59+AC59),"SIN_DATOS")</f>
        <v>92399.184078407838</v>
      </c>
      <c r="J59" s="19">
        <f>IF(OR(NOT(ISNUMBER($E59)),$E59=0),"SIN DATO",$I59/$E59)</f>
        <v>0.79995997548198716</v>
      </c>
      <c r="K59" s="19">
        <f>IF(OR(NOT(ISNUMBER($E59)),$E59=0),"SIN DATO",$H59/$E59)</f>
        <v>0.80000000000000016</v>
      </c>
      <c r="L59" s="18">
        <f>IFERROR(H59-I59,"SIN DATO")</f>
        <v>4.6230223022139398</v>
      </c>
      <c r="M59" s="20">
        <f>IFERROR(K59-J59,"SIN DATO")</f>
        <v>4.0024518012993227E-5</v>
      </c>
      <c r="N59" s="36">
        <f>$BE$5*$BB$6</f>
        <v>11550.475887588756</v>
      </c>
      <c r="O59" s="33">
        <f>$BF$5*$BB$6</f>
        <v>11549.89800980098</v>
      </c>
      <c r="P59" s="36">
        <f>$BG$5*$BB$6</f>
        <v>11550.475887588756</v>
      </c>
      <c r="Q59" s="37">
        <f>$BH$5*$BB$6</f>
        <v>11549.89800980098</v>
      </c>
      <c r="R59" s="36">
        <f>$BI$5*$BB$6</f>
        <v>11550.475887588756</v>
      </c>
      <c r="S59" s="37">
        <f>$BJ$5*$BB$6</f>
        <v>11549.89800980098</v>
      </c>
      <c r="T59" s="36">
        <f>$BK$5*$BB$6</f>
        <v>11550.475887588756</v>
      </c>
      <c r="U59" s="37">
        <f>$BL$5*$BB$6</f>
        <v>11549.89800980098</v>
      </c>
      <c r="V59" s="36">
        <f>$BM$5*$BB$6</f>
        <v>11550.475887588756</v>
      </c>
      <c r="W59" s="37">
        <f>$BN$5*$BB$6</f>
        <v>11549.89800980098</v>
      </c>
      <c r="X59" s="36">
        <f>$BO$5*$BB$6</f>
        <v>11550.475887588756</v>
      </c>
      <c r="Y59" s="37">
        <f>$BP$5*$BB$6</f>
        <v>11549.89800980098</v>
      </c>
      <c r="Z59" s="36">
        <f>$BQ$5*$BB$6</f>
        <v>11550.475887588756</v>
      </c>
      <c r="AA59" s="37">
        <f>$BR$5*$BB$6</f>
        <v>11549.89800980098</v>
      </c>
      <c r="AB59" s="36">
        <f>$BS$5*$BB$6</f>
        <v>11550.475887588756</v>
      </c>
      <c r="AC59" s="22">
        <f>$BT$5*$BB$6</f>
        <v>11549.89800980098</v>
      </c>
      <c r="AD59" s="36">
        <f>$BU$5*$BB$6</f>
        <v>11550.475887588756</v>
      </c>
      <c r="AE59" s="24">
        <f>$BV$5*$BB$6</f>
        <v>11549.89800980098</v>
      </c>
      <c r="AF59" s="36">
        <f>$BW$5*$BB$6</f>
        <v>11550.475887588756</v>
      </c>
      <c r="AG59" s="24">
        <f>$BX$5*$BB$6</f>
        <v>11549.89800980098</v>
      </c>
      <c r="AH59" s="21">
        <f>$BY$5*$BB$6</f>
        <v>0</v>
      </c>
      <c r="AI59" s="24">
        <f>$BZ$5*$BB$6</f>
        <v>0</v>
      </c>
      <c r="AJ59" s="21">
        <f>$CA$5*$BB$6</f>
        <v>0</v>
      </c>
      <c r="AK59" s="24">
        <f>$CB$5*$BB$6</f>
        <v>0</v>
      </c>
    </row>
    <row r="60" spans="1:38" ht="12.75">
      <c r="A60" s="15" t="s">
        <v>63</v>
      </c>
      <c r="B60" s="16" t="s">
        <v>56</v>
      </c>
      <c r="C60" s="16">
        <v>38531.483276327628</v>
      </c>
      <c r="D60" s="16">
        <v>31246.374077407741</v>
      </c>
      <c r="E60" s="18">
        <f>SUM(N60,P60,R60,T60,V60,X60,Z60,AB60,AD60,AF60,AH60,AJ60)</f>
        <v>31246.374077407741</v>
      </c>
      <c r="F60" s="18">
        <f>SUM(O60,Q60,S60,U60,W60,Y60,AA60,AC60,AE60,AG60,AI60,AK60)</f>
        <v>31244.810801080108</v>
      </c>
      <c r="G60" s="18">
        <f>E60-F60</f>
        <v>1.5632763276335027</v>
      </c>
      <c r="H60" s="18">
        <f>IFERROR(SUM(N60+P60+R60+T60+V60+X60+Z60+AB60),"SIN_DATOS")</f>
        <v>24997.099261926192</v>
      </c>
      <c r="I60" s="18">
        <f>IFERROR(SUM(O60+Q60+S60+U60+W60+Y60+AA60+AC60),"SIN_DATOS")</f>
        <v>24995.848640864089</v>
      </c>
      <c r="J60" s="19">
        <f>IF(OR(NOT(ISNUMBER($E60)),$E60=0),"SIN DATO",$I60/$E60)</f>
        <v>0.79995997548198694</v>
      </c>
      <c r="K60" s="19">
        <f>IF(OR(NOT(ISNUMBER($E60)),$E60=0),"SIN DATO",$H60/$E60)</f>
        <v>0.79999999999999993</v>
      </c>
      <c r="L60" s="18">
        <f>IFERROR(H60-I60,"SIN DATO")</f>
        <v>1.2506210621031641</v>
      </c>
      <c r="M60" s="20">
        <f>IFERROR(K60-J60,"SIN DATO")</f>
        <v>4.0024518012993227E-5</v>
      </c>
      <c r="N60" s="36">
        <f>$BE$5*$BB$7</f>
        <v>3124.6374077407741</v>
      </c>
      <c r="O60" s="33">
        <f>$BF$5*$BB$7</f>
        <v>3124.4810801080112</v>
      </c>
      <c r="P60" s="36">
        <f>$BG$5*$BB$7</f>
        <v>3124.6374077407741</v>
      </c>
      <c r="Q60" s="37">
        <f>$BH$5*$BB$7</f>
        <v>3124.4810801080112</v>
      </c>
      <c r="R60" s="36">
        <f>$BI$5*$BB$7</f>
        <v>3124.6374077407741</v>
      </c>
      <c r="S60" s="37">
        <f>$BJ$5*$BB$7</f>
        <v>3124.4810801080112</v>
      </c>
      <c r="T60" s="36">
        <f>$BK$5*$BB$7</f>
        <v>3124.6374077407741</v>
      </c>
      <c r="U60" s="37">
        <f>$BL$5*$BB$7</f>
        <v>3124.4810801080112</v>
      </c>
      <c r="V60" s="36">
        <f>$BM$5*$BB$7</f>
        <v>3124.6374077407741</v>
      </c>
      <c r="W60" s="37">
        <f>$BN$5*$BB$7</f>
        <v>3124.4810801080112</v>
      </c>
      <c r="X60" s="36">
        <f>$BO$5*$BB$7</f>
        <v>3124.6374077407741</v>
      </c>
      <c r="Y60" s="37">
        <f>$BP$5*$BB$7</f>
        <v>3124.4810801080112</v>
      </c>
      <c r="Z60" s="36">
        <f>$BQ$5*$BB$7</f>
        <v>3124.6374077407741</v>
      </c>
      <c r="AA60" s="37">
        <f>$BR$5*$BB$7</f>
        <v>3124.4810801080112</v>
      </c>
      <c r="AB60" s="36">
        <f>$BS$5*$BB$7</f>
        <v>3124.6374077407741</v>
      </c>
      <c r="AC60" s="22">
        <f>$BT$5*$BB$7</f>
        <v>3124.4810801080112</v>
      </c>
      <c r="AD60" s="36">
        <f>$BU$5*$BB$7</f>
        <v>3124.6374077407741</v>
      </c>
      <c r="AE60" s="24">
        <f>$BV$5*$BB$7</f>
        <v>3124.4810801080112</v>
      </c>
      <c r="AF60" s="36">
        <f>$BW$5*$BB$7</f>
        <v>3124.6374077407741</v>
      </c>
      <c r="AG60" s="24">
        <f>$BX$5*$BB$7</f>
        <v>3124.4810801080112</v>
      </c>
      <c r="AH60" s="21">
        <f>$BY$5*$BB$7</f>
        <v>0</v>
      </c>
      <c r="AI60" s="24">
        <f>$BZ$5*$BB$7</f>
        <v>0</v>
      </c>
      <c r="AJ60" s="21">
        <f>$CA$5*$BB$7</f>
        <v>0</v>
      </c>
      <c r="AK60" s="24">
        <f>$CB$5*$BB$7</f>
        <v>0</v>
      </c>
    </row>
    <row r="61" spans="1:38" ht="12.75">
      <c r="A61" s="38" t="s">
        <v>181</v>
      </c>
      <c r="B61" s="16" t="s">
        <v>182</v>
      </c>
      <c r="C61" s="16">
        <v>1438231.53</v>
      </c>
      <c r="D61" s="16">
        <v>1438231.53</v>
      </c>
      <c r="E61" s="18">
        <f>SUM(N61,P61,R61,T61,V61,X61,Z61,AB61,AD61,AF61,AH61,AJ61)</f>
        <v>1438231.53</v>
      </c>
      <c r="F61" s="18">
        <f>SUM(O61,Q61,S61,U61,W61,Y61,AA61,AC61,AE61,AG61,AI61,AK61)</f>
        <v>934833.0399999998</v>
      </c>
      <c r="G61" s="18">
        <f>E61-F61</f>
        <v>503398.49000000022</v>
      </c>
      <c r="H61" s="18">
        <f>IFERROR(SUM(N61+P61+R61+T61+V61+X61+Z61+AB61),"SIN_DATOS")</f>
        <v>870393.45000000007</v>
      </c>
      <c r="I61" s="18">
        <f>IFERROR(SUM(O61+Q61+S61+U61+W61+Y61+AA61+AC61),"SIN_DATOS")</f>
        <v>519351.67999999993</v>
      </c>
      <c r="J61" s="19">
        <f>IF(OR(NOT(ISNUMBER($E61)),$E61=0),"SIN DATO",$I61/$E61)</f>
        <v>0.36110436266127466</v>
      </c>
      <c r="K61" s="19">
        <f>IF(OR(NOT(ISNUMBER($E61)),$E61=0),"SIN DATO",$H61/$E61)</f>
        <v>0.60518312374920613</v>
      </c>
      <c r="L61" s="18">
        <f>IFERROR(H61-I61,"SIN DATO")</f>
        <v>351041.77000000014</v>
      </c>
      <c r="M61" s="20">
        <f>IFERROR(K61-J61,"SIN DATO")</f>
        <v>0.24407876108793147</v>
      </c>
      <c r="N61" s="21">
        <v>104061.99</v>
      </c>
      <c r="O61" s="23">
        <v>0</v>
      </c>
      <c r="P61" s="21">
        <v>104061.99</v>
      </c>
      <c r="Q61" s="23">
        <v>0</v>
      </c>
      <c r="R61" s="21">
        <v>104061.99</v>
      </c>
      <c r="S61" s="22">
        <v>103870.34</v>
      </c>
      <c r="T61" s="21">
        <v>104061.99</v>
      </c>
      <c r="U61" s="22">
        <v>103870.33</v>
      </c>
      <c r="V61" s="21">
        <v>104061.99</v>
      </c>
      <c r="W61" s="22">
        <v>103870.33</v>
      </c>
      <c r="X61" s="21">
        <v>104061.99</v>
      </c>
      <c r="Y61" s="22">
        <v>103870.34</v>
      </c>
      <c r="Z61" s="21">
        <v>104061.99</v>
      </c>
      <c r="AA61" s="22">
        <f>Y61</f>
        <v>103870.34</v>
      </c>
      <c r="AB61" s="21">
        <v>141959.51999999999</v>
      </c>
      <c r="AC61" s="23">
        <v>0</v>
      </c>
      <c r="AD61" s="21">
        <v>141959.51999999999</v>
      </c>
      <c r="AE61" s="24">
        <v>103870.34</v>
      </c>
      <c r="AF61" s="21">
        <v>141959.51999999999</v>
      </c>
      <c r="AG61" s="24">
        <f>AE61</f>
        <v>103870.34</v>
      </c>
      <c r="AH61" s="21">
        <v>141959.51999999999</v>
      </c>
      <c r="AI61" s="24">
        <f>AG61</f>
        <v>103870.34</v>
      </c>
      <c r="AJ61" s="21">
        <v>141959.51999999999</v>
      </c>
      <c r="AK61" s="24">
        <f>AI61</f>
        <v>103870.34</v>
      </c>
      <c r="AL61" s="25" t="s">
        <v>183</v>
      </c>
    </row>
    <row r="62" spans="1:38" ht="12.75">
      <c r="A62" s="38" t="s">
        <v>184</v>
      </c>
      <c r="B62" s="16" t="s">
        <v>185</v>
      </c>
      <c r="C62" s="16">
        <v>840</v>
      </c>
      <c r="D62" s="16">
        <v>840</v>
      </c>
      <c r="E62" s="18">
        <f>SUM(N62,P62,R62,T62,V62,X62,Z62,AB62,AD62,AF62,AH62,AJ62)</f>
        <v>840</v>
      </c>
      <c r="F62" s="18">
        <f>SUM(O62,Q62,S62,U62,W62,Y62,AA62,AC62,AE62,AG62,AI62,AK62)</f>
        <v>0</v>
      </c>
      <c r="G62" s="18">
        <f>E62-F62</f>
        <v>840</v>
      </c>
      <c r="H62" s="18">
        <f>IFERROR(SUM(N62+P62+R62+T62+V62+X62+Z62+AB62),"SIN_DATOS")</f>
        <v>799</v>
      </c>
      <c r="I62" s="18">
        <f>IFERROR(SUM(O62+Q62+S62+U62+W62+Y62+AA62+AC62),"SIN_DATOS")</f>
        <v>0</v>
      </c>
      <c r="J62" s="19">
        <f>IF(OR(NOT(ISNUMBER($E62)),$E62=0),"SIN DATO",$I62/$E62)</f>
        <v>0</v>
      </c>
      <c r="K62" s="19">
        <f>IF(OR(NOT(ISNUMBER($E62)),$E62=0),"SIN DATO",$H62/$E62)</f>
        <v>0.95119047619047614</v>
      </c>
      <c r="L62" s="18">
        <f>IFERROR(H62-I62,"SIN DATO")</f>
        <v>799</v>
      </c>
      <c r="M62" s="20">
        <f>IFERROR(K62-J62,"SIN DATO")</f>
        <v>0.95119047619047614</v>
      </c>
      <c r="N62" s="36">
        <v>0</v>
      </c>
      <c r="O62" s="37">
        <v>0</v>
      </c>
      <c r="P62" s="36">
        <v>0</v>
      </c>
      <c r="Q62" s="37">
        <v>0</v>
      </c>
      <c r="R62" s="36">
        <v>799</v>
      </c>
      <c r="S62" s="37">
        <v>799</v>
      </c>
      <c r="T62" s="36">
        <v>0</v>
      </c>
      <c r="U62" s="37">
        <v>0</v>
      </c>
      <c r="V62" s="36">
        <v>0</v>
      </c>
      <c r="W62" s="37">
        <v>0</v>
      </c>
      <c r="X62" s="36">
        <v>0</v>
      </c>
      <c r="Y62" s="37">
        <v>-799</v>
      </c>
      <c r="Z62" s="36">
        <v>0</v>
      </c>
      <c r="AA62" s="22">
        <v>0</v>
      </c>
      <c r="AB62" s="36">
        <v>0</v>
      </c>
      <c r="AC62" s="24">
        <f>AA62</f>
        <v>0</v>
      </c>
      <c r="AD62" s="36">
        <v>0</v>
      </c>
      <c r="AE62" s="24">
        <f>AC62</f>
        <v>0</v>
      </c>
      <c r="AF62" s="36">
        <v>0</v>
      </c>
      <c r="AG62" s="24">
        <f>AE62</f>
        <v>0</v>
      </c>
      <c r="AH62" s="21">
        <v>41</v>
      </c>
      <c r="AI62" s="24">
        <f>AG62</f>
        <v>0</v>
      </c>
      <c r="AJ62" s="21">
        <v>0</v>
      </c>
      <c r="AK62" s="24">
        <f>AI62</f>
        <v>0</v>
      </c>
    </row>
    <row r="63" spans="1:38" ht="12.75">
      <c r="A63" s="38" t="s">
        <v>186</v>
      </c>
      <c r="B63" s="16" t="s">
        <v>187</v>
      </c>
      <c r="C63" s="16">
        <v>4250</v>
      </c>
      <c r="D63" s="16">
        <v>4250</v>
      </c>
      <c r="E63" s="18">
        <f>SUM(N63,P63,R63,T63,V63,X63,Z63,AB63,AD63,AF63,AH63,AJ63)</f>
        <v>4250</v>
      </c>
      <c r="F63" s="18">
        <f>SUM(O63,Q63,S63,U63,W63,Y63,AA63,AC63,AE63,AG63,AI63,AK63)</f>
        <v>0</v>
      </c>
      <c r="G63" s="18">
        <f>E63-F63</f>
        <v>4250</v>
      </c>
      <c r="H63" s="18">
        <f>IFERROR(SUM(N63+P63+R63+T63+V63+X63+Z63+AB63),"SIN_DATOS")</f>
        <v>2700</v>
      </c>
      <c r="I63" s="18">
        <f>IFERROR(SUM(O63+Q63+S63+U63+W63+Y63+AA63+AC63),"SIN_DATOS")</f>
        <v>0</v>
      </c>
      <c r="J63" s="19">
        <f>IF(OR(NOT(ISNUMBER($E63)),$E63=0),"SIN DATO",$I63/$E63)</f>
        <v>0</v>
      </c>
      <c r="K63" s="19">
        <f>IF(OR(NOT(ISNUMBER($E63)),$E63=0),"SIN DATO",$H63/$E63)</f>
        <v>0.63529411764705879</v>
      </c>
      <c r="L63" s="18">
        <f>IFERROR(H63-I63,"SIN DATO")</f>
        <v>2700</v>
      </c>
      <c r="M63" s="20">
        <f>IFERROR(K63-J63,"SIN DATO")</f>
        <v>0.63529411764705879</v>
      </c>
      <c r="N63" s="36">
        <v>0</v>
      </c>
      <c r="O63" s="37">
        <v>0</v>
      </c>
      <c r="P63" s="36">
        <v>0</v>
      </c>
      <c r="Q63" s="37">
        <v>0</v>
      </c>
      <c r="R63" s="36">
        <v>200</v>
      </c>
      <c r="S63" s="37">
        <v>0</v>
      </c>
      <c r="T63" s="36">
        <v>200</v>
      </c>
      <c r="U63" s="37">
        <v>0</v>
      </c>
      <c r="V63" s="36">
        <v>950</v>
      </c>
      <c r="W63" s="37">
        <v>0</v>
      </c>
      <c r="X63" s="36">
        <v>200</v>
      </c>
      <c r="Y63" s="37">
        <v>0</v>
      </c>
      <c r="Z63" s="36">
        <v>200</v>
      </c>
      <c r="AA63" s="37">
        <v>0</v>
      </c>
      <c r="AB63" s="36">
        <v>950</v>
      </c>
      <c r="AC63" s="24">
        <f>AA63</f>
        <v>0</v>
      </c>
      <c r="AD63" s="36">
        <v>200</v>
      </c>
      <c r="AE63" s="24">
        <f>AC63</f>
        <v>0</v>
      </c>
      <c r="AF63" s="36">
        <v>200</v>
      </c>
      <c r="AG63" s="24">
        <f>AE63</f>
        <v>0</v>
      </c>
      <c r="AH63" s="36">
        <v>950</v>
      </c>
      <c r="AI63" s="24">
        <f>AG63</f>
        <v>0</v>
      </c>
      <c r="AJ63" s="36">
        <v>200</v>
      </c>
      <c r="AK63" s="24">
        <f>AI63</f>
        <v>0</v>
      </c>
    </row>
    <row r="64" spans="1:38" ht="12.75">
      <c r="A64" s="38" t="s">
        <v>188</v>
      </c>
      <c r="B64" s="16" t="s">
        <v>189</v>
      </c>
      <c r="C64" s="16" t="s">
        <v>70</v>
      </c>
      <c r="D64" s="16" t="s">
        <v>70</v>
      </c>
      <c r="E64" s="18">
        <f>SUM(N64,P64,R64,T64,V64,X64,Z64,AB64,AD64,AF64,AH64,AJ64)</f>
        <v>60000</v>
      </c>
      <c r="F64" s="18">
        <f>SUM(O64,Q64,S64,U64,W64,Y64,AA64,AC64,AE64,AG64,AI64,AK64)</f>
        <v>0</v>
      </c>
      <c r="G64" s="18">
        <f>E64-F64</f>
        <v>60000</v>
      </c>
      <c r="H64" s="18">
        <f>IFERROR(SUM(N64+P64+R64+T64+V64+X64+Z64+AB64),"SIN_DATOS")</f>
        <v>60000</v>
      </c>
      <c r="I64" s="18">
        <f>IFERROR(SUM(O64+Q64+S64+U64+W64+Y64+AA64+AC64),"SIN_DATOS")</f>
        <v>0</v>
      </c>
      <c r="J64" s="19">
        <f>IF(OR(NOT(ISNUMBER($E64)),$E64=0),"SIN DATO",$I64/$E64)</f>
        <v>0</v>
      </c>
      <c r="K64" s="19">
        <f>IF(OR(NOT(ISNUMBER($E64)),$E64=0),"SIN DATO",$H64/$E64)</f>
        <v>1</v>
      </c>
      <c r="L64" s="18">
        <f>IFERROR(H64-I64,"SIN DATO")</f>
        <v>60000</v>
      </c>
      <c r="M64" s="20">
        <f>IFERROR(K64-J64,"SIN DATO")</f>
        <v>1</v>
      </c>
      <c r="N64" s="36">
        <v>0</v>
      </c>
      <c r="O64" s="37">
        <v>0</v>
      </c>
      <c r="P64" s="36">
        <v>0</v>
      </c>
      <c r="Q64" s="37">
        <v>0</v>
      </c>
      <c r="R64" s="36">
        <v>0</v>
      </c>
      <c r="S64" s="37">
        <v>0</v>
      </c>
      <c r="T64" s="36">
        <v>0</v>
      </c>
      <c r="U64" s="37">
        <v>0</v>
      </c>
      <c r="V64" s="36">
        <v>0</v>
      </c>
      <c r="W64" s="37">
        <v>0</v>
      </c>
      <c r="X64" s="36">
        <v>0</v>
      </c>
      <c r="Y64" s="37">
        <v>0</v>
      </c>
      <c r="Z64" s="36">
        <v>0</v>
      </c>
      <c r="AA64" s="37">
        <v>0</v>
      </c>
      <c r="AB64" s="36">
        <v>60000</v>
      </c>
      <c r="AC64" s="22">
        <v>0</v>
      </c>
      <c r="AD64" s="36">
        <v>0</v>
      </c>
      <c r="AE64" s="24">
        <v>0</v>
      </c>
      <c r="AF64" s="36">
        <v>0</v>
      </c>
      <c r="AG64" s="24">
        <f>AE64</f>
        <v>0</v>
      </c>
      <c r="AH64" s="36">
        <v>0</v>
      </c>
      <c r="AI64" s="24">
        <f>AG64</f>
        <v>0</v>
      </c>
      <c r="AJ64" s="36">
        <v>0</v>
      </c>
      <c r="AK64" s="24">
        <f>AI64</f>
        <v>0</v>
      </c>
      <c r="AL64" s="61" t="s">
        <v>190</v>
      </c>
    </row>
    <row r="65" spans="1:37" s="45" customFormat="1" ht="15">
      <c r="A65" s="39" t="s">
        <v>191</v>
      </c>
      <c r="B65" s="40"/>
      <c r="C65" s="40">
        <f>SUM(C2:C64)</f>
        <v>13838099.659999998</v>
      </c>
      <c r="D65" s="40">
        <f>SUM(D2:D64)</f>
        <v>13241417.039999999</v>
      </c>
      <c r="E65" s="41">
        <f>SUM(N65,P65,R65,T65,V65,X65,Z65,AB65,AD65,AF65,AH65,AJ65)</f>
        <v>13692967.869999999</v>
      </c>
      <c r="F65" s="41">
        <f>SUM(O65,Q65,S65,U65,W65,Y65,AA65,AC65,AE65,AG65,AI65,AK65)</f>
        <v>12632707.755610414</v>
      </c>
      <c r="G65" s="41">
        <f>E65-F65</f>
        <v>1060260.1143895853</v>
      </c>
      <c r="H65" s="41">
        <f>IFERROR(SUM(N65+P65+R65+T65+V65+X65+Z65+AB65),"SIN_DATOS")</f>
        <v>9214002.8399999999</v>
      </c>
      <c r="I65" s="41">
        <f>IFERROR(SUM(O65+Q65+S65+U65+W65+Y65+AA65+AC65),"SIN_DATOS")</f>
        <v>8493169.5303805713</v>
      </c>
      <c r="J65" s="42">
        <f>IF(OR(NOT(ISNUMBER($E65)),$E65=0),"SIN DATO",$I65/$E65)</f>
        <v>0.62025775646405368</v>
      </c>
      <c r="K65" s="42">
        <f>IF(OR(NOT(ISNUMBER($E65)),$E65=0),"SIN DATO",$H65/$E65)</f>
        <v>0.67290034764391804</v>
      </c>
      <c r="L65" s="41">
        <f>IFERROR(H65-I65,"SIN DATO")</f>
        <v>720833.30961942859</v>
      </c>
      <c r="M65" s="43">
        <f>IFERROR(K65-J65,"SIN DATO")</f>
        <v>5.2642591179864362E-2</v>
      </c>
      <c r="N65" s="44">
        <f>SUM(N2:N64)</f>
        <v>1328932.3500000001</v>
      </c>
      <c r="O65" s="44">
        <f>SUM(O2:O64)</f>
        <v>900874.08</v>
      </c>
      <c r="P65" s="44">
        <f>SUM(P2:P64)</f>
        <v>1017667.3500000001</v>
      </c>
      <c r="Q65" s="44">
        <f>SUM(Q2:Q64)</f>
        <v>916844.5834931914</v>
      </c>
      <c r="R65" s="44">
        <f>SUM(R2:R64)</f>
        <v>1798587.97</v>
      </c>
      <c r="S65" s="44">
        <f>SUM(S2:S64)</f>
        <v>989897.76313063316</v>
      </c>
      <c r="T65" s="44">
        <f>SUM(T2:T64)</f>
        <v>1010795.9</v>
      </c>
      <c r="U65" s="44">
        <f>SUM(U2:U64)</f>
        <v>916168.96999999986</v>
      </c>
      <c r="V65" s="44">
        <f>SUM(V2:V64)</f>
        <v>405884.33999999991</v>
      </c>
      <c r="W65" s="44">
        <f>SUM(W2:W64)</f>
        <v>995951.02899545687</v>
      </c>
      <c r="X65" s="44">
        <f>SUM(X2:X64)</f>
        <v>1584075.5699999998</v>
      </c>
      <c r="Y65" s="44">
        <f>SUM(Y2:Y64)</f>
        <v>1665547.51</v>
      </c>
      <c r="Z65" s="44">
        <f>SUM(Z2:Z64)</f>
        <v>971382.17000000016</v>
      </c>
      <c r="AA65" s="44">
        <f>SUM(AA2:AA64)</f>
        <v>1241936.7100000002</v>
      </c>
      <c r="AB65" s="44">
        <f>SUM(AB2:AB64)</f>
        <v>1096677.19</v>
      </c>
      <c r="AC65" s="44">
        <f>SUM(AC2:AC64)</f>
        <v>865948.88476129062</v>
      </c>
      <c r="AD65" s="44">
        <f>SUM(AD2:AD64)</f>
        <v>1136945.5999999999</v>
      </c>
      <c r="AE65" s="44">
        <f>SUM(AE2:AE64)</f>
        <v>1021481.3406909378</v>
      </c>
      <c r="AF65" s="44">
        <f>SUM(AF2:AF64)</f>
        <v>1099229.5999999999</v>
      </c>
      <c r="AG65" s="44">
        <f>SUM(AG2:AG64)</f>
        <v>980134.30817963486</v>
      </c>
      <c r="AH65" s="44">
        <f>SUM(AH2:AH64)</f>
        <v>1126232.0899999999</v>
      </c>
      <c r="AI65" s="44">
        <f>SUM(AI2:AI64)</f>
        <v>1042211.2881796348</v>
      </c>
      <c r="AJ65" s="44">
        <f>SUM(AJ2:AJ64)</f>
        <v>1116557.74</v>
      </c>
      <c r="AK65" s="44">
        <f>SUM(AK2:AK64)</f>
        <v>1095711.2881796348</v>
      </c>
    </row>
    <row r="67" spans="1:37">
      <c r="O67" s="35"/>
    </row>
  </sheetData>
  <autoFilter ref="A1:AK66" xr:uid="{00000000-0001-0000-0800-000000000000}"/>
  <conditionalFormatting sqref="B62:C1048576 B61 B9:B11 B16:C18 B15 B22:C24 B25 B50 B26:C47 B49:C49 B48 B1:C8 B19:B21 B51:C60 B12:C13 C14 D65">
    <cfRule type="duplicateValues" dxfId="55" priority="24"/>
  </conditionalFormatting>
  <conditionalFormatting sqref="B1:D1">
    <cfRule type="duplicateValues" dxfId="54" priority="25"/>
  </conditionalFormatting>
  <conditionalFormatting sqref="C9:C11 D1:D7 D26:D45 D47:D50 D57:D63">
    <cfRule type="cellIs" dxfId="53" priority="15" operator="equal">
      <formula>"SIN DATO"</formula>
    </cfRule>
  </conditionalFormatting>
  <conditionalFormatting sqref="C15">
    <cfRule type="cellIs" dxfId="52" priority="14" operator="equal">
      <formula>"SIN DATO"</formula>
    </cfRule>
  </conditionalFormatting>
  <conditionalFormatting sqref="C48">
    <cfRule type="cellIs" dxfId="51" priority="11" operator="equal">
      <formula>"SIN DATO"</formula>
    </cfRule>
  </conditionalFormatting>
  <conditionalFormatting sqref="C50">
    <cfRule type="cellIs" dxfId="50" priority="13" operator="equal">
      <formula>"SIN DATO"</formula>
    </cfRule>
  </conditionalFormatting>
  <conditionalFormatting sqref="C61">
    <cfRule type="cellIs" dxfId="49" priority="8" operator="equal">
      <formula>"SIN DATO"</formula>
    </cfRule>
  </conditionalFormatting>
  <conditionalFormatting sqref="D22:D24 N58:AB60 AD58:AD60 AF58:AF60 N62:Z64 AB62:AB64 AD62:AD64 AF62:AF64 D66:D1048576">
    <cfRule type="cellIs" dxfId="48" priority="21" operator="equal">
      <formula>"SIN DATO"</formula>
    </cfRule>
  </conditionalFormatting>
  <conditionalFormatting sqref="D8">
    <cfRule type="duplicateValues" dxfId="47" priority="9"/>
  </conditionalFormatting>
  <conditionalFormatting sqref="D9:D18">
    <cfRule type="cellIs" dxfId="46" priority="12" operator="equal">
      <formula>"SIN DATO"</formula>
    </cfRule>
  </conditionalFormatting>
  <conditionalFormatting sqref="D64">
    <cfRule type="duplicateValues" dxfId="45" priority="10"/>
  </conditionalFormatting>
  <conditionalFormatting sqref="G1:G1048576">
    <cfRule type="cellIs" dxfId="44" priority="7" operator="greaterThan">
      <formula>5000</formula>
    </cfRule>
    <cfRule type="cellIs" dxfId="43" priority="17" operator="equal">
      <formula>"SIN DATO"</formula>
    </cfRule>
    <cfRule type="cellIs" dxfId="42" priority="18" operator="lessThan">
      <formula>0</formula>
    </cfRule>
  </conditionalFormatting>
  <conditionalFormatting sqref="G2:G65 L2:M65">
    <cfRule type="cellIs" dxfId="41" priority="16" operator="greaterThanOrEqual">
      <formula>0</formula>
    </cfRule>
  </conditionalFormatting>
  <conditionalFormatting sqref="L1:M1048576">
    <cfRule type="cellIs" dxfId="40" priority="22" operator="equal">
      <formula>"SIN DATO"</formula>
    </cfRule>
    <cfRule type="cellIs" dxfId="39" priority="23" operator="lessThan">
      <formula>0</formula>
    </cfRule>
  </conditionalFormatting>
  <conditionalFormatting sqref="AA63:AA64">
    <cfRule type="cellIs" dxfId="38" priority="20" operator="equal">
      <formula>"SIN DATO"</formula>
    </cfRule>
  </conditionalFormatting>
  <conditionalFormatting sqref="AH63:AH64 AJ63:AJ64">
    <cfRule type="cellIs" dxfId="37" priority="19" operator="equal">
      <formula>"SIN DATO"</formula>
    </cfRule>
  </conditionalFormatting>
  <conditionalFormatting sqref="B14">
    <cfRule type="duplicateValues" dxfId="36" priority="6"/>
  </conditionalFormatting>
  <conditionalFormatting sqref="AL15">
    <cfRule type="duplicateValues" dxfId="35" priority="5"/>
  </conditionalFormatting>
  <conditionalFormatting sqref="D46">
    <cfRule type="duplicateValues" dxfId="34" priority="26"/>
  </conditionalFormatting>
  <conditionalFormatting sqref="D51:D53">
    <cfRule type="duplicateValues" dxfId="33" priority="27"/>
  </conditionalFormatting>
  <conditionalFormatting sqref="D54:D56">
    <cfRule type="duplicateValues" dxfId="32" priority="28"/>
  </conditionalFormatting>
  <conditionalFormatting sqref="AL9:AL11">
    <cfRule type="cellIs" dxfId="31" priority="4" operator="equal">
      <formula>"SIN DATO"</formula>
    </cfRule>
  </conditionalFormatting>
  <conditionalFormatting sqref="AL12">
    <cfRule type="duplicateValues" dxfId="30" priority="3"/>
  </conditionalFormatting>
  <conditionalFormatting sqref="AL13">
    <cfRule type="duplicateValues" dxfId="29" priority="2"/>
  </conditionalFormatting>
  <conditionalFormatting sqref="AL14">
    <cfRule type="duplicateValues" dxfId="28" priority="1"/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A70F-DDF3-4A6E-8313-E0EAA395E058}">
  <sheetPr>
    <tabColor rgb="FF92D050"/>
  </sheetPr>
  <dimension ref="A1:CZ67"/>
  <sheetViews>
    <sheetView showGridLines="0" zoomScale="136" zoomScaleNormal="145" workbookViewId="0">
      <pane xSplit="1" ySplit="1" topLeftCell="B2" activePane="bottomRight" state="frozen"/>
      <selection pane="bottomRight" activeCell="U19" sqref="U19"/>
      <selection pane="bottomLeft" activeCell="A2" sqref="A2"/>
      <selection pane="topRight" activeCell="B1" sqref="B1"/>
    </sheetView>
  </sheetViews>
  <sheetFormatPr defaultColWidth="8.7109375" defaultRowHeight="12"/>
  <cols>
    <col min="1" max="1" width="33.7109375" style="25" customWidth="1"/>
    <col min="2" max="2" width="11.42578125" style="46" customWidth="1"/>
    <col min="3" max="3" width="23.42578125" style="46" bestFit="1" customWidth="1"/>
    <col min="4" max="4" width="15.42578125" style="46" customWidth="1"/>
    <col min="5" max="5" width="14.28515625" style="25" customWidth="1"/>
    <col min="6" max="6" width="14.140625" style="25" customWidth="1"/>
    <col min="7" max="7" width="16.7109375" style="25" customWidth="1"/>
    <col min="8" max="8" width="14" style="25" bestFit="1" customWidth="1"/>
    <col min="9" max="9" width="16.85546875" style="25" bestFit="1" customWidth="1"/>
    <col min="10" max="10" width="13.140625" style="25" bestFit="1" customWidth="1"/>
    <col min="11" max="11" width="11.140625" style="25" customWidth="1"/>
    <col min="12" max="13" width="16.7109375" style="25" customWidth="1"/>
    <col min="14" max="14" width="13.7109375" style="25" bestFit="1" customWidth="1"/>
    <col min="15" max="15" width="11.7109375" style="25" customWidth="1"/>
    <col min="16" max="16" width="11.7109375" style="25" bestFit="1" customWidth="1"/>
    <col min="17" max="17" width="27.5703125" style="25" customWidth="1"/>
    <col min="18" max="18" width="13.7109375" style="25" bestFit="1" customWidth="1"/>
    <col min="19" max="19" width="27.5703125" style="25" customWidth="1"/>
    <col min="20" max="20" width="11.7109375" style="25" bestFit="1" customWidth="1"/>
    <col min="21" max="21" width="27.5703125" style="25" customWidth="1"/>
    <col min="22" max="22" width="13.85546875" style="25" bestFit="1" customWidth="1"/>
    <col min="23" max="23" width="27.5703125" style="25" customWidth="1"/>
    <col min="24" max="24" width="11.7109375" style="25" customWidth="1"/>
    <col min="25" max="25" width="27.5703125" style="25" customWidth="1"/>
    <col min="26" max="26" width="13.42578125" style="25" bestFit="1" customWidth="1"/>
    <col min="27" max="27" width="27.5703125" style="25" customWidth="1"/>
    <col min="28" max="28" width="11.42578125" style="25" bestFit="1" customWidth="1"/>
    <col min="29" max="29" width="27.5703125" style="25" customWidth="1"/>
    <col min="30" max="30" width="14" style="25" bestFit="1" customWidth="1"/>
    <col min="31" max="31" width="27.5703125" style="25" customWidth="1"/>
    <col min="32" max="32" width="13" style="25" bestFit="1" customWidth="1"/>
    <col min="33" max="33" width="27.5703125" style="25" customWidth="1"/>
    <col min="34" max="34" width="13.42578125" style="25" bestFit="1" customWidth="1"/>
    <col min="35" max="35" width="27.5703125" style="25" customWidth="1"/>
    <col min="36" max="36" width="12.28515625" style="25" customWidth="1"/>
    <col min="37" max="37" width="27.5703125" style="25" customWidth="1"/>
    <col min="38" max="38" width="13" style="25" bestFit="1" customWidth="1"/>
    <col min="39" max="39" width="27.5703125" style="25" customWidth="1"/>
    <col min="40" max="40" width="13" style="25" bestFit="1" customWidth="1"/>
    <col min="41" max="41" width="27.5703125" style="25" customWidth="1"/>
    <col min="42" max="42" width="13.7109375" style="25" bestFit="1" customWidth="1"/>
    <col min="43" max="43" width="27.5703125" style="25" customWidth="1"/>
    <col min="44" max="44" width="14" style="25" customWidth="1"/>
    <col min="45" max="45" width="27.5703125" style="25" customWidth="1"/>
    <col min="46" max="46" width="13.7109375" style="25" bestFit="1" customWidth="1"/>
    <col min="47" max="47" width="27.5703125" style="25" customWidth="1"/>
    <col min="48" max="48" width="13" style="25" bestFit="1" customWidth="1"/>
    <col min="49" max="49" width="27.5703125" style="25" customWidth="1"/>
    <col min="50" max="50" width="13.42578125" style="25" bestFit="1" customWidth="1"/>
    <col min="51" max="51" width="27.5703125" style="25" customWidth="1"/>
    <col min="52" max="52" width="13" style="25" bestFit="1" customWidth="1"/>
    <col min="53" max="53" width="27.5703125" style="25" customWidth="1"/>
    <col min="54" max="54" width="13.85546875" style="25" bestFit="1" customWidth="1"/>
    <col min="55" max="55" width="27.5703125" style="25" customWidth="1"/>
    <col min="56" max="56" width="13.28515625" style="25" customWidth="1"/>
    <col min="57" max="57" width="27.5703125" style="25" customWidth="1"/>
    <col min="58" max="58" width="13.28515625" style="25" bestFit="1" customWidth="1"/>
    <col min="59" max="59" width="27.5703125" style="25" customWidth="1"/>
    <col min="60" max="60" width="13" style="25" bestFit="1" customWidth="1"/>
    <col min="61" max="61" width="27.5703125" style="25" customWidth="1"/>
    <col min="62" max="62" width="55.42578125" style="25" customWidth="1"/>
    <col min="63" max="74" width="9.140625" style="25"/>
    <col min="75" max="75" width="25" style="25" customWidth="1"/>
    <col min="76" max="76" width="21.7109375" style="25" customWidth="1"/>
    <col min="77" max="78" width="9.140625" style="25"/>
    <col min="79" max="79" width="30" style="25" customWidth="1"/>
    <col min="80" max="80" width="26.7109375" style="25" customWidth="1"/>
    <col min="81" max="16384" width="8.7109375" style="25"/>
  </cols>
  <sheetData>
    <row r="1" spans="1:104" s="11" customFormat="1" ht="100.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7" t="s">
        <v>13</v>
      </c>
      <c r="O1" s="7" t="s">
        <v>192</v>
      </c>
      <c r="P1" s="8" t="s">
        <v>14</v>
      </c>
      <c r="Q1" s="8" t="s">
        <v>193</v>
      </c>
      <c r="R1" s="7" t="s">
        <v>15</v>
      </c>
      <c r="S1" s="7" t="s">
        <v>194</v>
      </c>
      <c r="T1" s="8" t="s">
        <v>16</v>
      </c>
      <c r="U1" s="8" t="s">
        <v>195</v>
      </c>
      <c r="V1" s="7" t="s">
        <v>17</v>
      </c>
      <c r="W1" s="7" t="s">
        <v>196</v>
      </c>
      <c r="X1" s="8" t="s">
        <v>18</v>
      </c>
      <c r="Y1" s="8" t="s">
        <v>197</v>
      </c>
      <c r="Z1" s="7" t="s">
        <v>19</v>
      </c>
      <c r="AA1" s="7" t="s">
        <v>198</v>
      </c>
      <c r="AB1" s="8" t="s">
        <v>20</v>
      </c>
      <c r="AC1" s="8" t="s">
        <v>199</v>
      </c>
      <c r="AD1" s="7" t="s">
        <v>21</v>
      </c>
      <c r="AE1" s="7" t="s">
        <v>200</v>
      </c>
      <c r="AF1" s="8" t="s">
        <v>22</v>
      </c>
      <c r="AG1" s="8" t="s">
        <v>201</v>
      </c>
      <c r="AH1" s="7" t="s">
        <v>23</v>
      </c>
      <c r="AI1" s="7" t="s">
        <v>202</v>
      </c>
      <c r="AJ1" s="8" t="s">
        <v>24</v>
      </c>
      <c r="AK1" s="8" t="s">
        <v>203</v>
      </c>
      <c r="AL1" s="7" t="s">
        <v>25</v>
      </c>
      <c r="AM1" s="7" t="s">
        <v>204</v>
      </c>
      <c r="AN1" s="8" t="s">
        <v>26</v>
      </c>
      <c r="AO1" s="8" t="s">
        <v>205</v>
      </c>
      <c r="AP1" s="7" t="s">
        <v>27</v>
      </c>
      <c r="AQ1" s="7" t="s">
        <v>206</v>
      </c>
      <c r="AR1" s="8" t="s">
        <v>28</v>
      </c>
      <c r="AS1" s="8" t="s">
        <v>207</v>
      </c>
      <c r="AT1" s="7" t="s">
        <v>29</v>
      </c>
      <c r="AU1" s="7" t="s">
        <v>208</v>
      </c>
      <c r="AV1" s="9" t="s">
        <v>30</v>
      </c>
      <c r="AW1" s="9" t="s">
        <v>209</v>
      </c>
      <c r="AX1" s="7" t="s">
        <v>31</v>
      </c>
      <c r="AY1" s="7" t="s">
        <v>210</v>
      </c>
      <c r="AZ1" s="9" t="s">
        <v>32</v>
      </c>
      <c r="BA1" s="9" t="s">
        <v>211</v>
      </c>
      <c r="BB1" s="7" t="s">
        <v>33</v>
      </c>
      <c r="BC1" s="7" t="s">
        <v>212</v>
      </c>
      <c r="BD1" s="9" t="s">
        <v>34</v>
      </c>
      <c r="BE1" s="9" t="s">
        <v>213</v>
      </c>
      <c r="BF1" s="7" t="s">
        <v>35</v>
      </c>
      <c r="BG1" s="7" t="s">
        <v>214</v>
      </c>
      <c r="BH1" s="9" t="s">
        <v>36</v>
      </c>
      <c r="BI1" s="47" t="s">
        <v>215</v>
      </c>
      <c r="BJ1" s="10" t="s">
        <v>37</v>
      </c>
      <c r="BW1" s="12" t="s">
        <v>38</v>
      </c>
      <c r="BX1" s="13"/>
      <c r="BY1" s="13"/>
      <c r="BZ1" s="13"/>
      <c r="CA1" s="13"/>
      <c r="CC1" s="14" t="s">
        <v>39</v>
      </c>
    </row>
    <row r="2" spans="1:104" ht="37.5">
      <c r="A2" s="15" t="s">
        <v>40</v>
      </c>
      <c r="B2" s="16" t="s">
        <v>41</v>
      </c>
      <c r="C2" s="16">
        <v>1595008.8</v>
      </c>
      <c r="D2" s="17">
        <v>1595008.8</v>
      </c>
      <c r="E2" s="18">
        <f>SUM(N2,R2,V2,Z2,AD2,AH2,AL2,AP2,AT2,AX2,BB2,BF2)</f>
        <v>1540804.4400000002</v>
      </c>
      <c r="F2" s="18">
        <f>SUM(P2,T2,X2,AB2,AF2,AJ2,AN2,AR2,AV2,AZ2,BD2,BH2)</f>
        <v>1436499.7488104159</v>
      </c>
      <c r="G2" s="18">
        <f>E2-F2</f>
        <v>104304.69118958432</v>
      </c>
      <c r="H2" s="18">
        <f>IFERROR(SUM(N2+R2+V2+Z2+AD2+AH2+AL2+AP2),"SIN_DATOS")</f>
        <v>1009136.2800000001</v>
      </c>
      <c r="I2" s="18">
        <f>IFERROR(SUM(P2+T2+X2+AB2+AF2+AJ2+AN2+AR2),"SIN_DATOS")</f>
        <v>924665.96438057243</v>
      </c>
      <c r="J2" s="19">
        <f t="shared" ref="J2:J65" si="0">IF(OR(NOT(ISNUMBER($E2)),$E2=0),"SIN DATO",$I2/$E2)</f>
        <v>0.60011896407864218</v>
      </c>
      <c r="K2" s="19">
        <f t="shared" ref="K2:K65" si="1">IF(OR(NOT(ISNUMBER($E2)),$E2=0),"SIN DATO",$H2/$E2)</f>
        <v>0.65494118124425971</v>
      </c>
      <c r="L2" s="18">
        <f t="shared" ref="L2:L65" si="2">IFERROR(H2-I2,"SIN DATO")</f>
        <v>84470.315619427711</v>
      </c>
      <c r="M2" s="20">
        <f t="shared" ref="M2:M65" si="3">IFERROR(K2-J2,"SIN DATO")</f>
        <v>5.4822217165617526E-2</v>
      </c>
      <c r="N2" s="21">
        <v>132917.04</v>
      </c>
      <c r="O2" s="48"/>
      <c r="P2" s="22">
        <v>123584.17</v>
      </c>
      <c r="Q2" s="51"/>
      <c r="R2" s="21">
        <f>N2</f>
        <v>132917.04</v>
      </c>
      <c r="S2" s="48"/>
      <c r="T2" s="22">
        <v>130653.12349319145</v>
      </c>
      <c r="U2" s="51"/>
      <c r="V2" s="21">
        <f t="shared" ref="V2" si="4">R2</f>
        <v>132917.04</v>
      </c>
      <c r="W2" s="48"/>
      <c r="X2" s="22">
        <v>119814.87313063326</v>
      </c>
      <c r="Y2" s="51"/>
      <c r="Z2" s="21">
        <f t="shared" ref="Z2" si="5">V2</f>
        <v>132917.04</v>
      </c>
      <c r="AA2" s="48"/>
      <c r="AB2" s="23">
        <v>63397.359999999993</v>
      </c>
      <c r="AC2" s="57" t="s">
        <v>216</v>
      </c>
      <c r="AD2" s="21">
        <f t="shared" ref="AD2" si="6">Z2</f>
        <v>132917.04</v>
      </c>
      <c r="AE2" s="48"/>
      <c r="AF2" s="23">
        <v>121935.55899545691</v>
      </c>
      <c r="AG2" s="52" t="s">
        <v>217</v>
      </c>
      <c r="AH2" s="21">
        <f t="shared" ref="AH2" si="7">AD2</f>
        <v>132917.04</v>
      </c>
      <c r="AI2" s="48"/>
      <c r="AJ2" s="22">
        <v>123606.07</v>
      </c>
      <c r="AK2" s="51"/>
      <c r="AL2" s="23">
        <v>78717</v>
      </c>
      <c r="AM2" s="52" t="s">
        <v>218</v>
      </c>
      <c r="AN2" s="22">
        <v>125550.04</v>
      </c>
      <c r="AO2" s="51"/>
      <c r="AP2" s="21">
        <f>AH2</f>
        <v>132917.04</v>
      </c>
      <c r="AQ2" s="48"/>
      <c r="AR2" s="22">
        <v>116124.76876129085</v>
      </c>
      <c r="AS2" s="51"/>
      <c r="AT2" s="21">
        <f t="shared" ref="AT2" si="8">AP2</f>
        <v>132917.04</v>
      </c>
      <c r="AU2" s="48"/>
      <c r="AV2" s="24">
        <f>'[1]PROYECCIÓN 2026 2027 2028'!$AE$53</f>
        <v>123193.72049093814</v>
      </c>
      <c r="AW2" s="54"/>
      <c r="AX2" s="21">
        <f t="shared" ref="AX2" si="9">AT2</f>
        <v>132917.04</v>
      </c>
      <c r="AY2" s="48"/>
      <c r="AZ2" s="24">
        <f>'[1]PROYECCIÓN 2026 2027 2028'!$AH$53</f>
        <v>129546.68797963513</v>
      </c>
      <c r="BA2" s="54"/>
      <c r="BB2" s="21">
        <f t="shared" ref="BB2" si="10">AX2</f>
        <v>132917.04</v>
      </c>
      <c r="BC2" s="48"/>
      <c r="BD2" s="24">
        <f>'[1]PROYECCIÓN 2026 2027 2028'!$AK$53</f>
        <v>129546.68797963513</v>
      </c>
      <c r="BE2" s="54"/>
      <c r="BF2" s="21">
        <f t="shared" ref="BF2" si="11">BB2</f>
        <v>132917.04</v>
      </c>
      <c r="BG2" s="48"/>
      <c r="BH2" s="24">
        <f>'[1]PROYECCIÓN 2026 2027 2028'!$AN$53</f>
        <v>129546.68797963513</v>
      </c>
      <c r="BI2" s="55"/>
      <c r="BJ2" s="25" t="s">
        <v>42</v>
      </c>
      <c r="BW2" s="25" t="s">
        <v>43</v>
      </c>
    </row>
    <row r="3" spans="1:104" ht="37.5">
      <c r="A3" s="15" t="s">
        <v>44</v>
      </c>
      <c r="B3" s="16" t="s">
        <v>45</v>
      </c>
      <c r="C3" s="16">
        <v>37900</v>
      </c>
      <c r="D3" s="17">
        <v>37900</v>
      </c>
      <c r="E3" s="18">
        <f>SUM(N3,R3,V3,Z3,AD3,AH3,AL3,AP3,AT3,AX3,BB3,BF3)</f>
        <v>37900</v>
      </c>
      <c r="F3" s="18">
        <f>SUM(P3,T3,X3,AB3,AF3,AJ3,AN3,AR3,AV3,AZ3,BD3,BH3)</f>
        <v>37900.000000000007</v>
      </c>
      <c r="G3" s="18">
        <f t="shared" ref="G3:G65" si="12">E3-F3</f>
        <v>0</v>
      </c>
      <c r="H3" s="18">
        <f>IFERROR(SUM(N3+R3+V3+Z3+AD3+AH3+AL3+AP3),"SIN_DATOS")</f>
        <v>25266.666666666664</v>
      </c>
      <c r="I3" s="18">
        <f>IFERROR(SUM(P3+T3+X3+AB3+AF3+AJ3+AN3+AR3),"SIN_DATOS")</f>
        <v>18950.000000000004</v>
      </c>
      <c r="J3" s="19">
        <f t="shared" si="0"/>
        <v>0.50000000000000011</v>
      </c>
      <c r="K3" s="19">
        <f t="shared" si="1"/>
        <v>0.66666666666666663</v>
      </c>
      <c r="L3" s="18">
        <f t="shared" si="2"/>
        <v>6316.6666666666606</v>
      </c>
      <c r="M3" s="20">
        <f t="shared" si="3"/>
        <v>0.16666666666666652</v>
      </c>
      <c r="N3" s="21">
        <f t="shared" ref="N3:T7" si="13">0*$D3/SUM($D$3:$D$7)</f>
        <v>0</v>
      </c>
      <c r="O3" s="48"/>
      <c r="P3" s="22">
        <f t="shared" si="13"/>
        <v>0</v>
      </c>
      <c r="Q3" s="51"/>
      <c r="R3" s="21">
        <f t="shared" si="13"/>
        <v>0</v>
      </c>
      <c r="S3" s="48"/>
      <c r="T3" s="22">
        <f t="shared" si="13"/>
        <v>0</v>
      </c>
      <c r="U3" s="51"/>
      <c r="V3" s="21">
        <f>23850*$D3/SUM($D$3:$D$7)</f>
        <v>9475</v>
      </c>
      <c r="W3" s="48"/>
      <c r="X3" s="22">
        <f>0*$D3/SUM($D$3:$D$7)</f>
        <v>0</v>
      </c>
      <c r="Y3" s="51"/>
      <c r="Z3" s="21">
        <f>7950*$D3/SUM($D$3:$D$7)</f>
        <v>3158.3333333333335</v>
      </c>
      <c r="AA3" s="48"/>
      <c r="AB3" s="22">
        <f>0*$D3/SUM($D$3:$D$7)</f>
        <v>0</v>
      </c>
      <c r="AC3" s="51"/>
      <c r="AD3" s="21">
        <f>7950*$D3/SUM($D$3:$D$7)</f>
        <v>3158.3333333333335</v>
      </c>
      <c r="AE3" s="48"/>
      <c r="AF3" s="23">
        <v>0</v>
      </c>
      <c r="AG3" s="52"/>
      <c r="AH3" s="21">
        <f>7950*$D3/SUM($D$3:$D$7)</f>
        <v>3158.3333333333335</v>
      </c>
      <c r="AI3" s="48"/>
      <c r="AJ3" s="23">
        <v>18950.000000000004</v>
      </c>
      <c r="AK3" s="52" t="s">
        <v>219</v>
      </c>
      <c r="AL3" s="21">
        <f>7950*$D3/SUM($D$3:$D$7)</f>
        <v>3158.3333333333335</v>
      </c>
      <c r="AM3" s="48"/>
      <c r="AN3" s="22">
        <f>0*$D3/SUM($D$3:$D$7)</f>
        <v>0</v>
      </c>
      <c r="AO3" s="51"/>
      <c r="AP3" s="21">
        <f>7950*$D3/SUM($D$3:$D$7)</f>
        <v>3158.3333333333335</v>
      </c>
      <c r="AQ3" s="48"/>
      <c r="AR3" s="22">
        <f>0*$D3/SUM($D$3:$D$7)</f>
        <v>0</v>
      </c>
      <c r="AS3" s="51"/>
      <c r="AT3" s="21">
        <f>7950*$D3/SUM($D$3:$D$7)</f>
        <v>3158.3333333333335</v>
      </c>
      <c r="AU3" s="48"/>
      <c r="AV3" s="23">
        <v>18950.000000000004</v>
      </c>
      <c r="AW3" s="52" t="s">
        <v>220</v>
      </c>
      <c r="AX3" s="21">
        <f>7950*$D3/SUM($D$3:$D$7)</f>
        <v>3158.3333333333335</v>
      </c>
      <c r="AY3" s="48"/>
      <c r="AZ3" s="24">
        <f>0*$D3/SUM($D$3:$D$7)</f>
        <v>0</v>
      </c>
      <c r="BA3" s="54"/>
      <c r="BB3" s="21">
        <f>7950*$D3/SUM($D$3:$D$7)</f>
        <v>3158.3333333333335</v>
      </c>
      <c r="BC3" s="48"/>
      <c r="BD3" s="24">
        <f>0*$D3/SUM($D$3:$D$7)</f>
        <v>0</v>
      </c>
      <c r="BE3" s="54"/>
      <c r="BF3" s="21">
        <f>7950*$D3/SUM($D$3:$D$7)</f>
        <v>3158.3333333333335</v>
      </c>
      <c r="BG3" s="48"/>
      <c r="BH3" s="24">
        <f>0*$D3/SUM($D$3:$D$7)</f>
        <v>0</v>
      </c>
      <c r="BI3" s="55"/>
      <c r="BJ3" s="25" t="s">
        <v>46</v>
      </c>
      <c r="CB3" s="25" t="s">
        <v>47</v>
      </c>
      <c r="CC3" s="26">
        <v>0</v>
      </c>
      <c r="CD3" s="26">
        <v>0</v>
      </c>
      <c r="CE3" s="26">
        <v>0</v>
      </c>
      <c r="CF3" s="26">
        <v>0</v>
      </c>
      <c r="CG3" s="26">
        <v>0</v>
      </c>
      <c r="CH3" s="26">
        <v>0</v>
      </c>
      <c r="CI3" s="26">
        <v>0</v>
      </c>
      <c r="CJ3" s="26">
        <v>0</v>
      </c>
      <c r="CK3" s="26">
        <v>0</v>
      </c>
      <c r="CL3" s="26">
        <v>0</v>
      </c>
      <c r="CM3" s="26">
        <v>0</v>
      </c>
      <c r="CN3" s="26">
        <v>0</v>
      </c>
      <c r="CO3" s="26">
        <v>26220.42</v>
      </c>
      <c r="CP3" s="26">
        <v>83380.92</v>
      </c>
      <c r="CQ3" s="26">
        <v>4370.07</v>
      </c>
      <c r="CR3" s="26">
        <v>4370.07</v>
      </c>
      <c r="CS3" s="26">
        <v>4370.07</v>
      </c>
      <c r="CT3" s="26">
        <v>4370.07</v>
      </c>
      <c r="CU3" s="26">
        <v>4370.07</v>
      </c>
      <c r="CV3" s="26">
        <v>4370.07</v>
      </c>
      <c r="CW3" s="26">
        <v>4370.07</v>
      </c>
      <c r="CX3" s="26">
        <v>4370.07</v>
      </c>
      <c r="CY3" s="26">
        <v>4375.7</v>
      </c>
      <c r="CZ3" s="26">
        <v>4370.07</v>
      </c>
    </row>
    <row r="4" spans="1:104" ht="37.5">
      <c r="A4" s="15" t="s">
        <v>48</v>
      </c>
      <c r="B4" s="16" t="s">
        <v>45</v>
      </c>
      <c r="C4" s="16">
        <v>24200</v>
      </c>
      <c r="D4" s="17">
        <v>24200</v>
      </c>
      <c r="E4" s="18">
        <f>SUM(N4,R4,V4,Z4,AD4,AH4,AL4,AP4,AT4,AX4,BB4,BF4)</f>
        <v>24200.000000000004</v>
      </c>
      <c r="F4" s="18">
        <f>SUM(P4,T4,X4,AB4,AF4,AJ4,AN4,AR4,AV4,AZ4,BD4,BH4)</f>
        <v>24200</v>
      </c>
      <c r="G4" s="18">
        <f t="shared" si="12"/>
        <v>0</v>
      </c>
      <c r="H4" s="18">
        <f>IFERROR(SUM(N4+R4+V4+Z4+AD4+AH4+AL4+AP4),"SIN_DATOS")</f>
        <v>16133.333333333332</v>
      </c>
      <c r="I4" s="18">
        <f>IFERROR(SUM(P4+T4+X4+AB4+AF4+AJ4+AN4+AR4),"SIN_DATOS")</f>
        <v>12100</v>
      </c>
      <c r="J4" s="19">
        <f t="shared" si="0"/>
        <v>0.49999999999999994</v>
      </c>
      <c r="K4" s="19">
        <f t="shared" si="1"/>
        <v>0.66666666666666652</v>
      </c>
      <c r="L4" s="18">
        <f t="shared" si="2"/>
        <v>4033.3333333333321</v>
      </c>
      <c r="M4" s="20">
        <f t="shared" si="3"/>
        <v>0.16666666666666657</v>
      </c>
      <c r="N4" s="21">
        <f t="shared" si="13"/>
        <v>0</v>
      </c>
      <c r="O4" s="48"/>
      <c r="P4" s="22">
        <f t="shared" si="13"/>
        <v>0</v>
      </c>
      <c r="Q4" s="51"/>
      <c r="R4" s="21">
        <f t="shared" si="13"/>
        <v>0</v>
      </c>
      <c r="S4" s="48"/>
      <c r="T4" s="22">
        <f t="shared" si="13"/>
        <v>0</v>
      </c>
      <c r="U4" s="51"/>
      <c r="V4" s="21">
        <f>23850*$D4/SUM($D$3:$D$7)</f>
        <v>6050</v>
      </c>
      <c r="W4" s="48"/>
      <c r="X4" s="22">
        <f>0*$D4/SUM($D$3:$D$7)</f>
        <v>0</v>
      </c>
      <c r="Y4" s="51"/>
      <c r="Z4" s="21">
        <f>7950*$D4/SUM($D$3:$D$7)</f>
        <v>2016.6666666666667</v>
      </c>
      <c r="AA4" s="48"/>
      <c r="AB4" s="22">
        <f>0*$D4/SUM($D$3:$D$7)</f>
        <v>0</v>
      </c>
      <c r="AC4" s="51"/>
      <c r="AD4" s="21">
        <f>7950*$D4/SUM($D$3:$D$7)</f>
        <v>2016.6666666666667</v>
      </c>
      <c r="AE4" s="48"/>
      <c r="AF4" s="22">
        <v>0</v>
      </c>
      <c r="AG4" s="51"/>
      <c r="AH4" s="21">
        <f>7950*$D4/SUM($D$3:$D$7)</f>
        <v>2016.6666666666667</v>
      </c>
      <c r="AI4" s="48"/>
      <c r="AJ4" s="23">
        <v>12100</v>
      </c>
      <c r="AK4" s="52" t="s">
        <v>219</v>
      </c>
      <c r="AL4" s="21">
        <f>7950*$D4/SUM($D$3:$D$7)</f>
        <v>2016.6666666666667</v>
      </c>
      <c r="AM4" s="48"/>
      <c r="AN4" s="22">
        <f>0*$D4/SUM($D$3:$D$7)</f>
        <v>0</v>
      </c>
      <c r="AO4" s="51"/>
      <c r="AP4" s="21">
        <f>7950*$D4/SUM($D$3:$D$7)</f>
        <v>2016.6666666666667</v>
      </c>
      <c r="AQ4" s="48"/>
      <c r="AR4" s="22">
        <f>0*$D4/SUM($D$3:$D$7)</f>
        <v>0</v>
      </c>
      <c r="AS4" s="51"/>
      <c r="AT4" s="21">
        <f>7950*$D4/SUM($D$3:$D$7)</f>
        <v>2016.6666666666667</v>
      </c>
      <c r="AU4" s="48"/>
      <c r="AV4" s="23">
        <v>12100</v>
      </c>
      <c r="AW4" s="52" t="s">
        <v>220</v>
      </c>
      <c r="AX4" s="21">
        <f>7950*$D4/SUM($D$3:$D$7)</f>
        <v>2016.6666666666667</v>
      </c>
      <c r="AY4" s="48"/>
      <c r="AZ4" s="24">
        <f>0*$D4/SUM($D$3:$D$7)</f>
        <v>0</v>
      </c>
      <c r="BA4" s="54"/>
      <c r="BB4" s="21">
        <f>7950*$D4/SUM($D$3:$D$7)</f>
        <v>2016.6666666666667</v>
      </c>
      <c r="BC4" s="48"/>
      <c r="BD4" s="24">
        <f>0*$D4/SUM($D$3:$D$7)</f>
        <v>0</v>
      </c>
      <c r="BE4" s="54"/>
      <c r="BF4" s="21">
        <f>7950*$D4/SUM($D$3:$D$7)</f>
        <v>2016.6666666666667</v>
      </c>
      <c r="BG4" s="48"/>
      <c r="BH4" s="24">
        <f>0*$D4/SUM($D$3:$D$7)</f>
        <v>0</v>
      </c>
      <c r="BI4" s="55"/>
      <c r="BJ4" s="25" t="s">
        <v>46</v>
      </c>
      <c r="BW4" s="27" t="s">
        <v>49</v>
      </c>
      <c r="BX4" s="27" t="s">
        <v>50</v>
      </c>
      <c r="BY4" s="27" t="s">
        <v>51</v>
      </c>
      <c r="BZ4" s="27" t="s">
        <v>52</v>
      </c>
      <c r="CA4" s="27" t="s">
        <v>53</v>
      </c>
      <c r="CB4" s="25" t="s">
        <v>54</v>
      </c>
      <c r="CC4" s="26">
        <v>0</v>
      </c>
      <c r="CD4" s="26">
        <v>0</v>
      </c>
      <c r="CE4" s="26">
        <v>0</v>
      </c>
      <c r="CF4" s="26">
        <v>0</v>
      </c>
      <c r="CG4" s="26">
        <v>0</v>
      </c>
      <c r="CH4" s="26">
        <v>0</v>
      </c>
      <c r="CI4" s="26">
        <v>0</v>
      </c>
      <c r="CJ4" s="26">
        <v>0</v>
      </c>
      <c r="CK4" s="26">
        <v>0</v>
      </c>
      <c r="CL4" s="26">
        <v>0</v>
      </c>
      <c r="CM4" s="26">
        <v>0</v>
      </c>
      <c r="CN4" s="26">
        <v>0</v>
      </c>
      <c r="CO4" s="26">
        <v>192183.6</v>
      </c>
      <c r="CP4" s="26">
        <v>203714.64</v>
      </c>
      <c r="CQ4" s="26">
        <v>32030.6</v>
      </c>
      <c r="CR4" s="26">
        <v>32030.6</v>
      </c>
      <c r="CS4" s="26">
        <v>32030.6</v>
      </c>
      <c r="CT4" s="26">
        <v>32030.6</v>
      </c>
      <c r="CU4" s="26">
        <v>32030.6</v>
      </c>
      <c r="CV4" s="26">
        <v>32030.6</v>
      </c>
      <c r="CW4" s="26">
        <v>32030.6</v>
      </c>
      <c r="CX4" s="26">
        <v>32030.6</v>
      </c>
      <c r="CY4" s="26">
        <v>32050.6</v>
      </c>
      <c r="CZ4" s="26">
        <v>32030.6</v>
      </c>
    </row>
    <row r="5" spans="1:104" ht="37.5">
      <c r="A5" s="15" t="s">
        <v>55</v>
      </c>
      <c r="B5" s="16" t="s">
        <v>45</v>
      </c>
      <c r="C5" s="16">
        <v>16200</v>
      </c>
      <c r="D5" s="17">
        <v>16200</v>
      </c>
      <c r="E5" s="18">
        <f>SUM(N5,R5,V5,Z5,AD5,AH5,AL5,AP5,AT5,AX5,BB5,BF5)</f>
        <v>16200</v>
      </c>
      <c r="F5" s="18">
        <f>SUM(P5,T5,X5,AB5,AF5,AJ5,AN5,AR5,AV5,AZ5,BD5,BH5)</f>
        <v>16200</v>
      </c>
      <c r="G5" s="18">
        <f t="shared" si="12"/>
        <v>0</v>
      </c>
      <c r="H5" s="18">
        <f>IFERROR(SUM(N5+R5+V5+Z5+AD5+AH5+AL5+AP5),"SIN_DATOS")</f>
        <v>10800</v>
      </c>
      <c r="I5" s="18">
        <f>IFERROR(SUM(P5+T5+X5+AB5+AF5+AJ5+AN5+AR5),"SIN_DATOS")</f>
        <v>8100</v>
      </c>
      <c r="J5" s="19">
        <f t="shared" si="0"/>
        <v>0.5</v>
      </c>
      <c r="K5" s="19">
        <f t="shared" si="1"/>
        <v>0.66666666666666663</v>
      </c>
      <c r="L5" s="18">
        <f t="shared" si="2"/>
        <v>2700</v>
      </c>
      <c r="M5" s="20">
        <f t="shared" si="3"/>
        <v>0.16666666666666663</v>
      </c>
      <c r="N5" s="21">
        <f t="shared" si="13"/>
        <v>0</v>
      </c>
      <c r="O5" s="48"/>
      <c r="P5" s="22">
        <f t="shared" si="13"/>
        <v>0</v>
      </c>
      <c r="Q5" s="51"/>
      <c r="R5" s="21">
        <f t="shared" si="13"/>
        <v>0</v>
      </c>
      <c r="S5" s="48"/>
      <c r="T5" s="22">
        <f t="shared" si="13"/>
        <v>0</v>
      </c>
      <c r="U5" s="51"/>
      <c r="V5" s="21">
        <f>23850*$D5/SUM($D$3:$D$7)</f>
        <v>4050</v>
      </c>
      <c r="W5" s="48"/>
      <c r="X5" s="22">
        <f>0*$D5/SUM($D$3:$D$7)</f>
        <v>0</v>
      </c>
      <c r="Y5" s="51"/>
      <c r="Z5" s="21">
        <f>7950*$D5/SUM($D$3:$D$7)</f>
        <v>1350</v>
      </c>
      <c r="AA5" s="48"/>
      <c r="AB5" s="22">
        <f>0*$D5/SUM($D$3:$D$7)</f>
        <v>0</v>
      </c>
      <c r="AC5" s="51"/>
      <c r="AD5" s="21">
        <f>7950*$D5/SUM($D$3:$D$7)</f>
        <v>1350</v>
      </c>
      <c r="AE5" s="48"/>
      <c r="AF5" s="22">
        <v>0</v>
      </c>
      <c r="AG5" s="51"/>
      <c r="AH5" s="21">
        <f>7950*$D5/SUM($D$3:$D$7)</f>
        <v>1350</v>
      </c>
      <c r="AI5" s="48"/>
      <c r="AJ5" s="23">
        <v>8100</v>
      </c>
      <c r="AK5" s="52" t="s">
        <v>219</v>
      </c>
      <c r="AL5" s="21">
        <f>7950*$D5/SUM($D$3:$D$7)</f>
        <v>1350</v>
      </c>
      <c r="AM5" s="48"/>
      <c r="AN5" s="22">
        <f>0*$D5/SUM($D$3:$D$7)</f>
        <v>0</v>
      </c>
      <c r="AO5" s="51"/>
      <c r="AP5" s="21">
        <f>7950*$D5/SUM($D$3:$D$7)</f>
        <v>1350</v>
      </c>
      <c r="AQ5" s="48"/>
      <c r="AR5" s="22">
        <f>0*$D5/SUM($D$3:$D$7)</f>
        <v>0</v>
      </c>
      <c r="AS5" s="51"/>
      <c r="AT5" s="21">
        <f>7950*$D5/SUM($D$3:$D$7)</f>
        <v>1350</v>
      </c>
      <c r="AU5" s="48"/>
      <c r="AV5" s="23">
        <v>8100</v>
      </c>
      <c r="AW5" s="52" t="s">
        <v>220</v>
      </c>
      <c r="AX5" s="21">
        <f>7950*$D5/SUM($D$3:$D$7)</f>
        <v>1350</v>
      </c>
      <c r="AY5" s="48"/>
      <c r="AZ5" s="24">
        <f>0*$D5/SUM($D$3:$D$7)</f>
        <v>0</v>
      </c>
      <c r="BA5" s="54"/>
      <c r="BB5" s="21">
        <f>7950*$D5/SUM($D$3:$D$7)</f>
        <v>1350</v>
      </c>
      <c r="BC5" s="48"/>
      <c r="BD5" s="24">
        <f>0*$D5/SUM($D$3:$D$7)</f>
        <v>0</v>
      </c>
      <c r="BE5" s="54"/>
      <c r="BF5" s="21">
        <f>7950*$D5/SUM($D$3:$D$7)</f>
        <v>1350</v>
      </c>
      <c r="BG5" s="48"/>
      <c r="BH5" s="24">
        <f>0*$D5/SUM($D$3:$D$7)</f>
        <v>0</v>
      </c>
      <c r="BI5" s="55"/>
      <c r="BJ5" s="25" t="s">
        <v>46</v>
      </c>
      <c r="BW5" s="25" t="s">
        <v>56</v>
      </c>
      <c r="BX5" s="25" t="s">
        <v>57</v>
      </c>
      <c r="BY5" s="28">
        <v>0.56030000000000002</v>
      </c>
      <c r="BZ5" s="28">
        <f>$BY5/SUM($BY$5:$BY$7)</f>
        <v>0.5603560356035604</v>
      </c>
      <c r="CA5" s="25" t="s">
        <v>58</v>
      </c>
      <c r="CB5" s="25" t="s">
        <v>59</v>
      </c>
      <c r="CC5" s="26">
        <v>33379.54</v>
      </c>
      <c r="CD5" s="26">
        <v>33377.870000000003</v>
      </c>
      <c r="CE5" s="26">
        <v>33379.54</v>
      </c>
      <c r="CF5" s="26">
        <v>33377.870000000003</v>
      </c>
      <c r="CG5" s="26">
        <v>33379.54</v>
      </c>
      <c r="CH5" s="26">
        <v>33377.870000000003</v>
      </c>
      <c r="CI5" s="26">
        <v>33379.54</v>
      </c>
      <c r="CJ5" s="26">
        <v>33377.870000000003</v>
      </c>
      <c r="CK5" s="26">
        <v>33379.54</v>
      </c>
      <c r="CL5" s="26">
        <v>33377.870000000003</v>
      </c>
      <c r="CM5" s="26">
        <v>33379.54</v>
      </c>
      <c r="CN5" s="26">
        <v>33377.870000000003</v>
      </c>
      <c r="CO5" s="26">
        <v>33379.54</v>
      </c>
      <c r="CP5" s="26">
        <v>33377.870000000003</v>
      </c>
      <c r="CQ5" s="26">
        <v>33379.54</v>
      </c>
      <c r="CR5" s="26">
        <v>33377.870000000003</v>
      </c>
      <c r="CS5" s="26">
        <v>33379.54</v>
      </c>
      <c r="CT5" s="26">
        <v>33377.870000000003</v>
      </c>
      <c r="CU5" s="26">
        <v>33379.54</v>
      </c>
      <c r="CV5" s="26">
        <v>33377.870000000003</v>
      </c>
      <c r="CW5" s="26">
        <v>0</v>
      </c>
      <c r="CX5" s="26">
        <v>0</v>
      </c>
      <c r="CY5" s="26">
        <v>0</v>
      </c>
      <c r="CZ5" s="26">
        <v>0</v>
      </c>
    </row>
    <row r="6" spans="1:104" ht="37.5">
      <c r="A6" s="15" t="s">
        <v>60</v>
      </c>
      <c r="B6" s="16" t="s">
        <v>45</v>
      </c>
      <c r="C6" s="16">
        <v>17100</v>
      </c>
      <c r="D6" s="17">
        <v>17100</v>
      </c>
      <c r="E6" s="18">
        <f>SUM(N6,R6,V6,Z6,AD6,AH6,AL6,AP6,AT6,AX6,BB6,BF6)</f>
        <v>17100</v>
      </c>
      <c r="F6" s="18">
        <f>SUM(P6,T6,X6,AB6,AF6,AJ6,AN6,AR6,AV6,AZ6,BD6,BH6)</f>
        <v>17100</v>
      </c>
      <c r="G6" s="18">
        <f t="shared" si="12"/>
        <v>0</v>
      </c>
      <c r="H6" s="18">
        <f>IFERROR(SUM(N6+R6+V6+Z6+AD6+AH6+AL6+AP6),"SIN_DATOS")</f>
        <v>11400</v>
      </c>
      <c r="I6" s="18">
        <f>IFERROR(SUM(P6+T6+X6+AB6+AF6+AJ6+AN6+AR6),"SIN_DATOS")</f>
        <v>8550</v>
      </c>
      <c r="J6" s="19">
        <f t="shared" si="0"/>
        <v>0.5</v>
      </c>
      <c r="K6" s="19">
        <f t="shared" si="1"/>
        <v>0.66666666666666663</v>
      </c>
      <c r="L6" s="18">
        <f t="shared" si="2"/>
        <v>2850</v>
      </c>
      <c r="M6" s="20">
        <f t="shared" si="3"/>
        <v>0.16666666666666663</v>
      </c>
      <c r="N6" s="21">
        <f t="shared" si="13"/>
        <v>0</v>
      </c>
      <c r="O6" s="48"/>
      <c r="P6" s="22">
        <f t="shared" si="13"/>
        <v>0</v>
      </c>
      <c r="Q6" s="51"/>
      <c r="R6" s="21">
        <f t="shared" si="13"/>
        <v>0</v>
      </c>
      <c r="S6" s="48"/>
      <c r="T6" s="22">
        <f t="shared" si="13"/>
        <v>0</v>
      </c>
      <c r="U6" s="51"/>
      <c r="V6" s="21">
        <f>23850*$D6/SUM($D$3:$D$7)</f>
        <v>4275</v>
      </c>
      <c r="W6" s="48"/>
      <c r="X6" s="22">
        <f>0*$D6/SUM($D$3:$D$7)</f>
        <v>0</v>
      </c>
      <c r="Y6" s="51"/>
      <c r="Z6" s="21">
        <f>7950*$D6/SUM($D$3:$D$7)</f>
        <v>1425</v>
      </c>
      <c r="AA6" s="48"/>
      <c r="AB6" s="22">
        <f>0*$D6/SUM($D$3:$D$7)</f>
        <v>0</v>
      </c>
      <c r="AC6" s="51"/>
      <c r="AD6" s="21">
        <f>7950*$D6/SUM($D$3:$D$7)</f>
        <v>1425</v>
      </c>
      <c r="AE6" s="48"/>
      <c r="AF6" s="22">
        <v>0</v>
      </c>
      <c r="AG6" s="51"/>
      <c r="AH6" s="21">
        <f>7950*$D6/SUM($D$3:$D$7)</f>
        <v>1425</v>
      </c>
      <c r="AI6" s="48"/>
      <c r="AJ6" s="23">
        <v>8550</v>
      </c>
      <c r="AK6" s="52" t="s">
        <v>219</v>
      </c>
      <c r="AL6" s="21">
        <f>7950*$D6/SUM($D$3:$D$7)</f>
        <v>1425</v>
      </c>
      <c r="AM6" s="48"/>
      <c r="AN6" s="22">
        <f>0*$D6/SUM($D$3:$D$7)</f>
        <v>0</v>
      </c>
      <c r="AO6" s="51"/>
      <c r="AP6" s="21">
        <f>7950*$D6/SUM($D$3:$D$7)</f>
        <v>1425</v>
      </c>
      <c r="AQ6" s="48"/>
      <c r="AR6" s="22">
        <f>0*$D6/SUM($D$3:$D$7)</f>
        <v>0</v>
      </c>
      <c r="AS6" s="51"/>
      <c r="AT6" s="21">
        <f>7950*$D6/SUM($D$3:$D$7)</f>
        <v>1425</v>
      </c>
      <c r="AU6" s="48"/>
      <c r="AV6" s="23">
        <v>8550</v>
      </c>
      <c r="AW6" s="52" t="s">
        <v>220</v>
      </c>
      <c r="AX6" s="21">
        <f>7950*$D6/SUM($D$3:$D$7)</f>
        <v>1425</v>
      </c>
      <c r="AY6" s="48"/>
      <c r="AZ6" s="24">
        <f>0*$D6/SUM($D$3:$D$7)</f>
        <v>0</v>
      </c>
      <c r="BA6" s="54"/>
      <c r="BB6" s="21">
        <f>7950*$D6/SUM($D$3:$D$7)</f>
        <v>1425</v>
      </c>
      <c r="BC6" s="48"/>
      <c r="BD6" s="24">
        <f>0*$D6/SUM($D$3:$D$7)</f>
        <v>0</v>
      </c>
      <c r="BE6" s="54"/>
      <c r="BF6" s="21">
        <f>7950*$D6/SUM($D$3:$D$7)</f>
        <v>1425</v>
      </c>
      <c r="BG6" s="48"/>
      <c r="BH6" s="24">
        <f>0*$D6/SUM($D$3:$D$7)</f>
        <v>0</v>
      </c>
      <c r="BI6" s="55"/>
      <c r="BJ6" s="25" t="s">
        <v>46</v>
      </c>
      <c r="BW6" s="25" t="s">
        <v>56</v>
      </c>
      <c r="BX6" s="25" t="s">
        <v>61</v>
      </c>
      <c r="BY6" s="28">
        <v>0.34599999999999997</v>
      </c>
      <c r="BZ6" s="28">
        <f>$BY6/SUM($BY$5:$BY$7)</f>
        <v>0.34603460346034598</v>
      </c>
      <c r="CA6" s="25" t="s">
        <v>58</v>
      </c>
    </row>
    <row r="7" spans="1:104" ht="12.75">
      <c r="A7" s="15" t="s">
        <v>62</v>
      </c>
      <c r="B7" s="16" t="s">
        <v>45</v>
      </c>
      <c r="C7" s="16">
        <v>0</v>
      </c>
      <c r="D7" s="17">
        <v>0</v>
      </c>
      <c r="E7" s="18">
        <f>SUM(N7,R7,V7,Z7,AD7,AH7,AL7,AP7,AT7,AX7,BB7,BF7)</f>
        <v>0</v>
      </c>
      <c r="F7" s="18">
        <f>SUM(P7,T7,X7,AB7,AF7,AJ7,AN7,AR7,AV7,AZ7,BD7,BH7)</f>
        <v>0</v>
      </c>
      <c r="G7" s="18">
        <f t="shared" si="12"/>
        <v>0</v>
      </c>
      <c r="H7" s="18">
        <f>IFERROR(SUM(N7+R7+V7+Z7+AD7+AH7+AL7+AP7),"SIN_DATOS")</f>
        <v>0</v>
      </c>
      <c r="I7" s="18">
        <f>IFERROR(SUM(P7+T7+X7+AB7+AF7+AJ7+AN7+AR7),"SIN_DATOS")</f>
        <v>0</v>
      </c>
      <c r="J7" s="19" t="str">
        <f t="shared" si="0"/>
        <v>SIN DATO</v>
      </c>
      <c r="K7" s="19" t="str">
        <f t="shared" si="1"/>
        <v>SIN DATO</v>
      </c>
      <c r="L7" s="18">
        <f t="shared" si="2"/>
        <v>0</v>
      </c>
      <c r="M7" s="20" t="str">
        <f t="shared" si="3"/>
        <v>SIN DATO</v>
      </c>
      <c r="N7" s="21">
        <f t="shared" si="13"/>
        <v>0</v>
      </c>
      <c r="O7" s="48"/>
      <c r="P7" s="22">
        <f t="shared" si="13"/>
        <v>0</v>
      </c>
      <c r="Q7" s="51"/>
      <c r="R7" s="21">
        <f t="shared" si="13"/>
        <v>0</v>
      </c>
      <c r="S7" s="48"/>
      <c r="T7" s="22">
        <f t="shared" si="13"/>
        <v>0</v>
      </c>
      <c r="U7" s="51"/>
      <c r="V7" s="21">
        <f>23850*$D7/SUM($D$3:$D$7)</f>
        <v>0</v>
      </c>
      <c r="W7" s="48"/>
      <c r="X7" s="22">
        <f>0*$D7/SUM($D$3:$D$7)</f>
        <v>0</v>
      </c>
      <c r="Y7" s="51"/>
      <c r="Z7" s="21">
        <f>7950*$D7/SUM($D$3:$D$7)</f>
        <v>0</v>
      </c>
      <c r="AA7" s="48"/>
      <c r="AB7" s="22">
        <f>0*$D7/SUM($D$3:$D$7)</f>
        <v>0</v>
      </c>
      <c r="AC7" s="51"/>
      <c r="AD7" s="21">
        <f>7950*$D7/SUM($D$3:$D$7)</f>
        <v>0</v>
      </c>
      <c r="AE7" s="48"/>
      <c r="AF7" s="22">
        <f>47700*$D7/SUM($D$3:$D$7)</f>
        <v>0</v>
      </c>
      <c r="AG7" s="51"/>
      <c r="AH7" s="21">
        <f>7950*$D7/SUM($D$3:$D$7)</f>
        <v>0</v>
      </c>
      <c r="AI7" s="48"/>
      <c r="AJ7" s="22">
        <f>0*$D7/SUM($D$3:$D$7)</f>
        <v>0</v>
      </c>
      <c r="AK7" s="51"/>
      <c r="AL7" s="21">
        <f>7950*$D7/SUM($D$3:$D$7)</f>
        <v>0</v>
      </c>
      <c r="AM7" s="48"/>
      <c r="AN7" s="22">
        <f>0*$D7/SUM($D$3:$D$7)</f>
        <v>0</v>
      </c>
      <c r="AO7" s="51"/>
      <c r="AP7" s="21">
        <f>7950*$D7/SUM($D$3:$D$7)</f>
        <v>0</v>
      </c>
      <c r="AQ7" s="48"/>
      <c r="AR7" s="22">
        <f>0*$D7/SUM($D$3:$D$7)</f>
        <v>0</v>
      </c>
      <c r="AS7" s="51"/>
      <c r="AT7" s="21">
        <f>7950*$D7/SUM($D$3:$D$7)</f>
        <v>0</v>
      </c>
      <c r="AU7" s="48"/>
      <c r="AV7" s="24">
        <v>0</v>
      </c>
      <c r="AW7" s="54"/>
      <c r="AX7" s="21">
        <f>7950*$D7/SUM($D$3:$D$7)</f>
        <v>0</v>
      </c>
      <c r="AY7" s="48"/>
      <c r="AZ7" s="24">
        <f>0*$D7/SUM($D$3:$D$7)</f>
        <v>0</v>
      </c>
      <c r="BA7" s="54"/>
      <c r="BB7" s="21">
        <f>7950*$D7/SUM($D$3:$D$7)</f>
        <v>0</v>
      </c>
      <c r="BC7" s="48"/>
      <c r="BD7" s="24">
        <f>0*$D7/SUM($D$3:$D$7)</f>
        <v>0</v>
      </c>
      <c r="BE7" s="54"/>
      <c r="BF7" s="21">
        <f>7950*$D7/SUM($D$3:$D$7)</f>
        <v>0</v>
      </c>
      <c r="BG7" s="48"/>
      <c r="BH7" s="24">
        <f>0*$D7/SUM($D$3:$D$7)</f>
        <v>0</v>
      </c>
      <c r="BI7" s="55"/>
      <c r="BW7" s="25" t="s">
        <v>56</v>
      </c>
      <c r="BX7" s="25" t="s">
        <v>63</v>
      </c>
      <c r="BY7" s="28">
        <v>9.3600000000000003E-2</v>
      </c>
      <c r="BZ7" s="28">
        <f>$BY7/SUM($BY$5:$BY$7)</f>
        <v>9.3609360936093608E-2</v>
      </c>
      <c r="CA7" s="25" t="s">
        <v>58</v>
      </c>
    </row>
    <row r="8" spans="1:104" ht="12.75">
      <c r="A8" s="15" t="s">
        <v>64</v>
      </c>
      <c r="B8" s="16">
        <v>0</v>
      </c>
      <c r="C8" s="16" t="s">
        <v>65</v>
      </c>
      <c r="D8" s="16" t="s">
        <v>65</v>
      </c>
      <c r="E8" s="18">
        <f>SUM(N8,R8,V8,Z8,AD8,AH8,AL8,AP8,AT8,AX8,BB8,BF8)</f>
        <v>0</v>
      </c>
      <c r="F8" s="18">
        <f>SUM(P8,T8,X8,AB8,AF8,AJ8,AN8,AR8,AV8,AZ8,BD8,BH8)</f>
        <v>0</v>
      </c>
      <c r="G8" s="18">
        <f t="shared" si="12"/>
        <v>0</v>
      </c>
      <c r="H8" s="18">
        <f>IFERROR(SUM(N8+R8+V8+Z8+AD8+AH8+AL8+AP8),"SIN_DATOS")</f>
        <v>0</v>
      </c>
      <c r="I8" s="18">
        <f>IFERROR(SUM(P8+T8+X8+AB8+AF8+AJ8+AN8+AR8),"SIN_DATOS")</f>
        <v>0</v>
      </c>
      <c r="J8" s="19" t="str">
        <f t="shared" si="0"/>
        <v>SIN DATO</v>
      </c>
      <c r="K8" s="19" t="str">
        <f t="shared" si="1"/>
        <v>SIN DATO</v>
      </c>
      <c r="L8" s="18">
        <f t="shared" si="2"/>
        <v>0</v>
      </c>
      <c r="M8" s="20" t="str">
        <f t="shared" si="3"/>
        <v>SIN DATO</v>
      </c>
      <c r="N8" s="21">
        <v>0</v>
      </c>
      <c r="O8" s="48"/>
      <c r="P8" s="22">
        <v>0</v>
      </c>
      <c r="Q8" s="51"/>
      <c r="R8" s="21">
        <v>0</v>
      </c>
      <c r="S8" s="48"/>
      <c r="T8" s="22">
        <v>0</v>
      </c>
      <c r="U8" s="51"/>
      <c r="V8" s="21">
        <v>0</v>
      </c>
      <c r="W8" s="48"/>
      <c r="X8" s="22">
        <v>0</v>
      </c>
      <c r="Y8" s="51"/>
      <c r="Z8" s="21">
        <v>0</v>
      </c>
      <c r="AA8" s="48"/>
      <c r="AB8" s="22">
        <v>0</v>
      </c>
      <c r="AC8" s="51"/>
      <c r="AD8" s="21">
        <v>0</v>
      </c>
      <c r="AE8" s="48"/>
      <c r="AF8" s="22">
        <v>0</v>
      </c>
      <c r="AG8" s="51"/>
      <c r="AH8" s="21">
        <v>0</v>
      </c>
      <c r="AI8" s="48"/>
      <c r="AJ8" s="22">
        <v>0</v>
      </c>
      <c r="AK8" s="51"/>
      <c r="AL8" s="21">
        <v>0</v>
      </c>
      <c r="AM8" s="48"/>
      <c r="AN8" s="22">
        <v>0</v>
      </c>
      <c r="AO8" s="51"/>
      <c r="AP8" s="21">
        <v>0</v>
      </c>
      <c r="AQ8" s="48"/>
      <c r="AR8" s="22">
        <v>0</v>
      </c>
      <c r="AS8" s="51"/>
      <c r="AT8" s="21">
        <v>0</v>
      </c>
      <c r="AU8" s="48"/>
      <c r="AV8" s="24">
        <v>0</v>
      </c>
      <c r="AW8" s="54"/>
      <c r="AX8" s="21">
        <v>0</v>
      </c>
      <c r="AY8" s="48"/>
      <c r="AZ8" s="24">
        <v>0</v>
      </c>
      <c r="BA8" s="54"/>
      <c r="BB8" s="21">
        <v>0</v>
      </c>
      <c r="BC8" s="48"/>
      <c r="BD8" s="24">
        <v>0</v>
      </c>
      <c r="BE8" s="54"/>
      <c r="BF8" s="21">
        <v>0</v>
      </c>
      <c r="BG8" s="48"/>
      <c r="BH8" s="24">
        <v>0</v>
      </c>
      <c r="BI8" s="55"/>
      <c r="BJ8" s="25" t="s">
        <v>66</v>
      </c>
      <c r="BW8" s="25" t="s">
        <v>67</v>
      </c>
      <c r="BX8" s="25" t="s">
        <v>57</v>
      </c>
      <c r="BY8" s="28">
        <v>0.62619999999999998</v>
      </c>
      <c r="BZ8" s="28">
        <f>$BY8/SUM($BY$8:$BY$10)</f>
        <v>0.62619999999999998</v>
      </c>
      <c r="CA8" s="25" t="s">
        <v>68</v>
      </c>
    </row>
    <row r="9" spans="1:104" ht="12.75">
      <c r="A9" s="29" t="s">
        <v>69</v>
      </c>
      <c r="B9" s="16" t="s">
        <v>70</v>
      </c>
      <c r="C9" s="16" t="s">
        <v>71</v>
      </c>
      <c r="D9" s="16">
        <v>0</v>
      </c>
      <c r="E9" s="18">
        <f>SUM(N9,R9,V9,Z9,AD9,AH9,AL9,AP9,AT9,AX9,BB9,BF9)</f>
        <v>0</v>
      </c>
      <c r="F9" s="18">
        <f>SUM(P9,T9,X9,AB9,AF9,AJ9,AN9,AR9,AV9,AZ9,BD9,BH9)</f>
        <v>0</v>
      </c>
      <c r="G9" s="18">
        <f t="shared" si="12"/>
        <v>0</v>
      </c>
      <c r="H9" s="18" t="str">
        <f>IFERROR(SUM(N9+R9+V9+Z9+AD9+AH9+AL9+AP9),"SIN_DATOS")</f>
        <v>SIN_DATOS</v>
      </c>
      <c r="I9" s="18" t="str">
        <f>IFERROR(SUM(P9+T9+X9+AB9+AF9+AJ9+AN9+AR9),"SIN_DATOS")</f>
        <v>SIN_DATOS</v>
      </c>
      <c r="J9" s="19" t="str">
        <f t="shared" si="0"/>
        <v>SIN DATO</v>
      </c>
      <c r="K9" s="19" t="str">
        <f t="shared" si="1"/>
        <v>SIN DATO</v>
      </c>
      <c r="L9" s="18" t="str">
        <f t="shared" si="2"/>
        <v>SIN DATO</v>
      </c>
      <c r="M9" s="20" t="str">
        <f t="shared" si="3"/>
        <v>SIN DATO</v>
      </c>
      <c r="N9" s="21" t="s">
        <v>70</v>
      </c>
      <c r="O9" s="48"/>
      <c r="P9" s="22" t="s">
        <v>70</v>
      </c>
      <c r="Q9" s="51"/>
      <c r="R9" s="21" t="s">
        <v>70</v>
      </c>
      <c r="S9" s="48"/>
      <c r="T9" s="22" t="s">
        <v>70</v>
      </c>
      <c r="U9" s="51"/>
      <c r="V9" s="21" t="s">
        <v>70</v>
      </c>
      <c r="W9" s="48"/>
      <c r="X9" s="22" t="s">
        <v>70</v>
      </c>
      <c r="Y9" s="51"/>
      <c r="Z9" s="21" t="s">
        <v>70</v>
      </c>
      <c r="AA9" s="48"/>
      <c r="AB9" s="22" t="s">
        <v>70</v>
      </c>
      <c r="AC9" s="51"/>
      <c r="AD9" s="21" t="s">
        <v>70</v>
      </c>
      <c r="AE9" s="48"/>
      <c r="AF9" s="22" t="s">
        <v>70</v>
      </c>
      <c r="AG9" s="51"/>
      <c r="AH9" s="21" t="s">
        <v>70</v>
      </c>
      <c r="AI9" s="48"/>
      <c r="AJ9" s="22" t="s">
        <v>70</v>
      </c>
      <c r="AK9" s="51"/>
      <c r="AL9" s="21" t="s">
        <v>70</v>
      </c>
      <c r="AM9" s="48"/>
      <c r="AN9" s="22" t="s">
        <v>70</v>
      </c>
      <c r="AO9" s="51"/>
      <c r="AP9" s="21" t="s">
        <v>70</v>
      </c>
      <c r="AQ9" s="48"/>
      <c r="AR9" s="22" t="s">
        <v>70</v>
      </c>
      <c r="AS9" s="51"/>
      <c r="AT9" s="21" t="s">
        <v>70</v>
      </c>
      <c r="AU9" s="48"/>
      <c r="AV9" s="24" t="s">
        <v>70</v>
      </c>
      <c r="AW9" s="54"/>
      <c r="AX9" s="21" t="s">
        <v>70</v>
      </c>
      <c r="AY9" s="48"/>
      <c r="AZ9" s="24" t="s">
        <v>70</v>
      </c>
      <c r="BA9" s="54"/>
      <c r="BB9" s="21" t="s">
        <v>70</v>
      </c>
      <c r="BC9" s="48"/>
      <c r="BD9" s="24" t="s">
        <v>70</v>
      </c>
      <c r="BE9" s="54"/>
      <c r="BF9" s="21" t="s">
        <v>70</v>
      </c>
      <c r="BG9" s="48"/>
      <c r="BH9" s="24" t="s">
        <v>70</v>
      </c>
      <c r="BI9" s="54"/>
      <c r="BJ9" s="30" t="s">
        <v>71</v>
      </c>
      <c r="BW9" s="25" t="s">
        <v>67</v>
      </c>
      <c r="BX9" s="25" t="s">
        <v>61</v>
      </c>
      <c r="BY9" s="28">
        <v>0.219</v>
      </c>
      <c r="BZ9" s="28">
        <f>$BY9/SUM($BY$8:$BY$10)</f>
        <v>0.219</v>
      </c>
      <c r="CA9" s="25" t="s">
        <v>68</v>
      </c>
    </row>
    <row r="10" spans="1:104" ht="12.75">
      <c r="A10" s="29" t="s">
        <v>72</v>
      </c>
      <c r="B10" s="16" t="s">
        <v>70</v>
      </c>
      <c r="C10" s="16" t="s">
        <v>71</v>
      </c>
      <c r="D10" s="16">
        <v>0</v>
      </c>
      <c r="E10" s="18">
        <f>SUM(N10,R10,V10,Z10,AD10,AH10,AL10,AP10,AT10,AX10,BB10,BF10)</f>
        <v>0</v>
      </c>
      <c r="F10" s="18">
        <f>SUM(P10,T10,X10,AB10,AF10,AJ10,AN10,AR10,AV10,AZ10,BD10,BH10)</f>
        <v>0</v>
      </c>
      <c r="G10" s="18">
        <f t="shared" si="12"/>
        <v>0</v>
      </c>
      <c r="H10" s="18" t="str">
        <f>IFERROR(SUM(N10+R10+V10+Z10+AD10+AH10+AL10+AP10),"SIN_DATOS")</f>
        <v>SIN_DATOS</v>
      </c>
      <c r="I10" s="18" t="str">
        <f>IFERROR(SUM(P10+T10+X10+AB10+AF10+AJ10+AN10+AR10),"SIN_DATOS")</f>
        <v>SIN_DATOS</v>
      </c>
      <c r="J10" s="19" t="str">
        <f t="shared" si="0"/>
        <v>SIN DATO</v>
      </c>
      <c r="K10" s="19" t="str">
        <f t="shared" si="1"/>
        <v>SIN DATO</v>
      </c>
      <c r="L10" s="18" t="str">
        <f t="shared" si="2"/>
        <v>SIN DATO</v>
      </c>
      <c r="M10" s="20" t="str">
        <f t="shared" si="3"/>
        <v>SIN DATO</v>
      </c>
      <c r="N10" s="21" t="s">
        <v>70</v>
      </c>
      <c r="O10" s="48"/>
      <c r="P10" s="22" t="s">
        <v>70</v>
      </c>
      <c r="Q10" s="51"/>
      <c r="R10" s="21" t="s">
        <v>70</v>
      </c>
      <c r="S10" s="48"/>
      <c r="T10" s="22" t="s">
        <v>70</v>
      </c>
      <c r="U10" s="51"/>
      <c r="V10" s="21" t="s">
        <v>70</v>
      </c>
      <c r="W10" s="48"/>
      <c r="X10" s="22" t="s">
        <v>70</v>
      </c>
      <c r="Y10" s="51"/>
      <c r="Z10" s="21" t="s">
        <v>70</v>
      </c>
      <c r="AA10" s="48"/>
      <c r="AB10" s="22" t="s">
        <v>70</v>
      </c>
      <c r="AC10" s="51"/>
      <c r="AD10" s="21" t="s">
        <v>70</v>
      </c>
      <c r="AE10" s="48"/>
      <c r="AF10" s="22" t="s">
        <v>70</v>
      </c>
      <c r="AG10" s="51"/>
      <c r="AH10" s="21" t="s">
        <v>70</v>
      </c>
      <c r="AI10" s="48"/>
      <c r="AJ10" s="22" t="s">
        <v>70</v>
      </c>
      <c r="AK10" s="51"/>
      <c r="AL10" s="21" t="s">
        <v>70</v>
      </c>
      <c r="AM10" s="48"/>
      <c r="AN10" s="22" t="s">
        <v>70</v>
      </c>
      <c r="AO10" s="51"/>
      <c r="AP10" s="21" t="s">
        <v>70</v>
      </c>
      <c r="AQ10" s="48"/>
      <c r="AR10" s="22" t="s">
        <v>70</v>
      </c>
      <c r="AS10" s="51"/>
      <c r="AT10" s="21" t="s">
        <v>70</v>
      </c>
      <c r="AU10" s="48"/>
      <c r="AV10" s="24" t="s">
        <v>70</v>
      </c>
      <c r="AW10" s="54"/>
      <c r="AX10" s="21" t="s">
        <v>70</v>
      </c>
      <c r="AY10" s="48"/>
      <c r="AZ10" s="24" t="s">
        <v>70</v>
      </c>
      <c r="BA10" s="54"/>
      <c r="BB10" s="21" t="s">
        <v>70</v>
      </c>
      <c r="BC10" s="48"/>
      <c r="BD10" s="24" t="s">
        <v>70</v>
      </c>
      <c r="BE10" s="54"/>
      <c r="BF10" s="21" t="s">
        <v>70</v>
      </c>
      <c r="BG10" s="48"/>
      <c r="BH10" s="24" t="s">
        <v>70</v>
      </c>
      <c r="BI10" s="54"/>
      <c r="BJ10" s="30" t="s">
        <v>71</v>
      </c>
      <c r="BW10" s="31" t="s">
        <v>67</v>
      </c>
      <c r="BX10" s="31" t="s">
        <v>63</v>
      </c>
      <c r="BY10" s="32">
        <v>0.15479999999999999</v>
      </c>
      <c r="BZ10" s="32">
        <f>$BY10/SUM($BY$8:$BY$10)</f>
        <v>0.15479999999999999</v>
      </c>
      <c r="CA10" s="31" t="s">
        <v>68</v>
      </c>
    </row>
    <row r="11" spans="1:104" ht="24.75">
      <c r="A11" s="29" t="s">
        <v>73</v>
      </c>
      <c r="B11" s="16" t="s">
        <v>70</v>
      </c>
      <c r="C11" s="16" t="s">
        <v>71</v>
      </c>
      <c r="D11" s="16">
        <v>0</v>
      </c>
      <c r="E11" s="18">
        <f>SUM(N11,R11,V11,Z11,AD11,AH11,AL11,AP11,AT11,AX11,BB11,BF11)</f>
        <v>0</v>
      </c>
      <c r="F11" s="18">
        <f>SUM(P11,T11,X11,AB11,AF11,AJ11,AN11,AR11,AV11,AZ11,BD11,BH11)</f>
        <v>0</v>
      </c>
      <c r="G11" s="18">
        <f t="shared" si="12"/>
        <v>0</v>
      </c>
      <c r="H11" s="18" t="str">
        <f>IFERROR(SUM(N11+R11+V11+Z11+AD11+AH11+AL11+AP11),"SIN_DATOS")</f>
        <v>SIN_DATOS</v>
      </c>
      <c r="I11" s="18" t="str">
        <f>IFERROR(SUM(P11+T11+X11+AB11+AF11+AJ11+AN11+AR11),"SIN_DATOS")</f>
        <v>SIN_DATOS</v>
      </c>
      <c r="J11" s="19" t="str">
        <f t="shared" si="0"/>
        <v>SIN DATO</v>
      </c>
      <c r="K11" s="19" t="str">
        <f t="shared" si="1"/>
        <v>SIN DATO</v>
      </c>
      <c r="L11" s="18" t="str">
        <f t="shared" si="2"/>
        <v>SIN DATO</v>
      </c>
      <c r="M11" s="20" t="str">
        <f t="shared" si="3"/>
        <v>SIN DATO</v>
      </c>
      <c r="N11" s="21" t="s">
        <v>70</v>
      </c>
      <c r="O11" s="48"/>
      <c r="P11" s="22" t="s">
        <v>70</v>
      </c>
      <c r="Q11" s="51"/>
      <c r="R11" s="21" t="s">
        <v>70</v>
      </c>
      <c r="S11" s="48"/>
      <c r="T11" s="22" t="s">
        <v>70</v>
      </c>
      <c r="U11" s="51"/>
      <c r="V11" s="21" t="s">
        <v>70</v>
      </c>
      <c r="W11" s="48"/>
      <c r="X11" s="22" t="s">
        <v>70</v>
      </c>
      <c r="Y11" s="51"/>
      <c r="Z11" s="21" t="s">
        <v>70</v>
      </c>
      <c r="AA11" s="48"/>
      <c r="AB11" s="22" t="s">
        <v>70</v>
      </c>
      <c r="AC11" s="51"/>
      <c r="AD11" s="21" t="s">
        <v>70</v>
      </c>
      <c r="AE11" s="48"/>
      <c r="AF11" s="22" t="s">
        <v>70</v>
      </c>
      <c r="AG11" s="51"/>
      <c r="AH11" s="21" t="s">
        <v>70</v>
      </c>
      <c r="AI11" s="48"/>
      <c r="AJ11" s="22" t="s">
        <v>70</v>
      </c>
      <c r="AK11" s="51"/>
      <c r="AL11" s="21" t="s">
        <v>70</v>
      </c>
      <c r="AM11" s="48"/>
      <c r="AN11" s="22" t="s">
        <v>70</v>
      </c>
      <c r="AO11" s="51"/>
      <c r="AP11" s="21" t="s">
        <v>70</v>
      </c>
      <c r="AQ11" s="48"/>
      <c r="AR11" s="22" t="s">
        <v>70</v>
      </c>
      <c r="AS11" s="51"/>
      <c r="AT11" s="21" t="s">
        <v>70</v>
      </c>
      <c r="AU11" s="48"/>
      <c r="AV11" s="24" t="s">
        <v>70</v>
      </c>
      <c r="AW11" s="54"/>
      <c r="AX11" s="21" t="s">
        <v>70</v>
      </c>
      <c r="AY11" s="48"/>
      <c r="AZ11" s="24" t="s">
        <v>70</v>
      </c>
      <c r="BA11" s="54"/>
      <c r="BB11" s="21" t="s">
        <v>70</v>
      </c>
      <c r="BC11" s="48"/>
      <c r="BD11" s="24" t="s">
        <v>70</v>
      </c>
      <c r="BE11" s="54"/>
      <c r="BF11" s="21" t="s">
        <v>70</v>
      </c>
      <c r="BG11" s="48"/>
      <c r="BH11" s="24" t="s">
        <v>70</v>
      </c>
      <c r="BI11" s="54"/>
      <c r="BJ11" s="30" t="s">
        <v>71</v>
      </c>
    </row>
    <row r="12" spans="1:104" ht="12.75">
      <c r="A12" s="15" t="s">
        <v>74</v>
      </c>
      <c r="B12" s="16" t="s">
        <v>70</v>
      </c>
      <c r="C12" s="16" t="s">
        <v>75</v>
      </c>
      <c r="D12" s="16">
        <v>0</v>
      </c>
      <c r="E12" s="18">
        <f>SUM(N12,R12,V12,Z12,AD12,AH12,AL12,AP12,AT12,AX12,BB12,BF12)</f>
        <v>0</v>
      </c>
      <c r="F12" s="18">
        <f>SUM(P12,T12,X12,AB12,AF12,AJ12,AN12,AR12,AV12,AZ12,BD12,BH12)</f>
        <v>0</v>
      </c>
      <c r="G12" s="18">
        <f t="shared" si="12"/>
        <v>0</v>
      </c>
      <c r="H12" s="18">
        <f>IFERROR(SUM(N12+R12+V12+Z12+AD12+AH12+AL12+AP12),"SIN_DATOS")</f>
        <v>0</v>
      </c>
      <c r="I12" s="18">
        <f>IFERROR(SUM(P12+T12+X12+AB12+AF12+AJ12+AN12+AR12),"SIN_DATOS")</f>
        <v>0</v>
      </c>
      <c r="J12" s="19" t="str">
        <f t="shared" si="0"/>
        <v>SIN DATO</v>
      </c>
      <c r="K12" s="19" t="str">
        <f t="shared" si="1"/>
        <v>SIN DATO</v>
      </c>
      <c r="L12" s="18">
        <f t="shared" si="2"/>
        <v>0</v>
      </c>
      <c r="M12" s="20" t="str">
        <f t="shared" si="3"/>
        <v>SIN DATO</v>
      </c>
      <c r="N12" s="21">
        <v>0</v>
      </c>
      <c r="O12" s="48"/>
      <c r="P12" s="22">
        <v>0</v>
      </c>
      <c r="Q12" s="51"/>
      <c r="R12" s="21">
        <v>0</v>
      </c>
      <c r="S12" s="48"/>
      <c r="T12" s="22">
        <v>0</v>
      </c>
      <c r="U12" s="51"/>
      <c r="V12" s="21">
        <v>0</v>
      </c>
      <c r="W12" s="48"/>
      <c r="X12" s="22">
        <v>0</v>
      </c>
      <c r="Y12" s="51"/>
      <c r="Z12" s="21">
        <v>0</v>
      </c>
      <c r="AA12" s="48"/>
      <c r="AB12" s="22">
        <v>0</v>
      </c>
      <c r="AC12" s="51"/>
      <c r="AD12" s="21">
        <v>0</v>
      </c>
      <c r="AE12" s="48"/>
      <c r="AF12" s="22">
        <v>0</v>
      </c>
      <c r="AG12" s="51"/>
      <c r="AH12" s="21">
        <v>0</v>
      </c>
      <c r="AI12" s="48"/>
      <c r="AJ12" s="22">
        <v>0</v>
      </c>
      <c r="AK12" s="51"/>
      <c r="AL12" s="21">
        <v>0</v>
      </c>
      <c r="AM12" s="48"/>
      <c r="AN12" s="22">
        <v>0</v>
      </c>
      <c r="AO12" s="51"/>
      <c r="AP12" s="21">
        <v>0</v>
      </c>
      <c r="AQ12" s="48"/>
      <c r="AR12" s="22">
        <v>0</v>
      </c>
      <c r="AS12" s="51"/>
      <c r="AT12" s="21">
        <v>0</v>
      </c>
      <c r="AU12" s="48"/>
      <c r="AV12" s="24">
        <v>0</v>
      </c>
      <c r="AW12" s="54"/>
      <c r="AX12" s="21">
        <v>0</v>
      </c>
      <c r="AY12" s="48"/>
      <c r="AZ12" s="24">
        <v>0</v>
      </c>
      <c r="BA12" s="54"/>
      <c r="BB12" s="21">
        <v>0</v>
      </c>
      <c r="BC12" s="48"/>
      <c r="BD12" s="24">
        <v>0</v>
      </c>
      <c r="BE12" s="54"/>
      <c r="BF12" s="21">
        <v>0</v>
      </c>
      <c r="BG12" s="48"/>
      <c r="BH12" s="24">
        <v>0</v>
      </c>
      <c r="BI12" s="54"/>
      <c r="BJ12" s="30" t="s">
        <v>75</v>
      </c>
    </row>
    <row r="13" spans="1:104" ht="12.75">
      <c r="A13" s="15" t="s">
        <v>76</v>
      </c>
      <c r="B13" s="16" t="s">
        <v>70</v>
      </c>
      <c r="C13" s="16" t="s">
        <v>66</v>
      </c>
      <c r="D13" s="16">
        <v>0</v>
      </c>
      <c r="E13" s="18">
        <f>SUM(N13,R13,V13,Z13,AD13,AH13,AL13,AP13,AT13,AX13,BB13,BF13)</f>
        <v>0</v>
      </c>
      <c r="F13" s="18">
        <f>SUM(P13,T13,X13,AB13,AF13,AJ13,AN13,AR13,AV13,AZ13,BD13,BH13)</f>
        <v>0</v>
      </c>
      <c r="G13" s="18">
        <f t="shared" si="12"/>
        <v>0</v>
      </c>
      <c r="H13" s="18">
        <f>IFERROR(SUM(N13+R13+V13+Z13+AD13+AH13+AL13+AP13),"SIN_DATOS")</f>
        <v>0</v>
      </c>
      <c r="I13" s="18">
        <f>IFERROR(SUM(P13+T13+X13+AB13+AF13+AJ13+AN13+AR13),"SIN_DATOS")</f>
        <v>0</v>
      </c>
      <c r="J13" s="19" t="str">
        <f t="shared" si="0"/>
        <v>SIN DATO</v>
      </c>
      <c r="K13" s="19" t="str">
        <f t="shared" si="1"/>
        <v>SIN DATO</v>
      </c>
      <c r="L13" s="18">
        <f t="shared" si="2"/>
        <v>0</v>
      </c>
      <c r="M13" s="20" t="str">
        <f t="shared" si="3"/>
        <v>SIN DATO</v>
      </c>
      <c r="N13" s="21">
        <v>0</v>
      </c>
      <c r="O13" s="48"/>
      <c r="P13" s="22">
        <v>0</v>
      </c>
      <c r="Q13" s="51"/>
      <c r="R13" s="21">
        <v>0</v>
      </c>
      <c r="S13" s="48"/>
      <c r="T13" s="22">
        <v>0</v>
      </c>
      <c r="U13" s="51"/>
      <c r="V13" s="21">
        <v>0</v>
      </c>
      <c r="W13" s="48"/>
      <c r="X13" s="22">
        <v>0</v>
      </c>
      <c r="Y13" s="51"/>
      <c r="Z13" s="21">
        <v>0</v>
      </c>
      <c r="AA13" s="48"/>
      <c r="AB13" s="22">
        <v>0</v>
      </c>
      <c r="AC13" s="51"/>
      <c r="AD13" s="21">
        <v>0</v>
      </c>
      <c r="AE13" s="48"/>
      <c r="AF13" s="22">
        <v>0</v>
      </c>
      <c r="AG13" s="51"/>
      <c r="AH13" s="21">
        <v>0</v>
      </c>
      <c r="AI13" s="48"/>
      <c r="AJ13" s="22">
        <v>0</v>
      </c>
      <c r="AK13" s="51"/>
      <c r="AL13" s="21">
        <v>0</v>
      </c>
      <c r="AM13" s="48"/>
      <c r="AN13" s="22">
        <v>0</v>
      </c>
      <c r="AO13" s="51"/>
      <c r="AP13" s="21">
        <v>0</v>
      </c>
      <c r="AQ13" s="48"/>
      <c r="AR13" s="22">
        <v>0</v>
      </c>
      <c r="AS13" s="51"/>
      <c r="AT13" s="21">
        <v>0</v>
      </c>
      <c r="AU13" s="48"/>
      <c r="AV13" s="24">
        <v>0</v>
      </c>
      <c r="AW13" s="54"/>
      <c r="AX13" s="21">
        <v>0</v>
      </c>
      <c r="AY13" s="48"/>
      <c r="AZ13" s="24">
        <v>0</v>
      </c>
      <c r="BA13" s="54"/>
      <c r="BB13" s="21">
        <v>0</v>
      </c>
      <c r="BC13" s="48"/>
      <c r="BD13" s="24">
        <v>0</v>
      </c>
      <c r="BE13" s="54"/>
      <c r="BF13" s="21">
        <v>0</v>
      </c>
      <c r="BG13" s="48"/>
      <c r="BH13" s="24">
        <v>0</v>
      </c>
      <c r="BI13" s="54"/>
      <c r="BJ13" s="30" t="s">
        <v>66</v>
      </c>
    </row>
    <row r="14" spans="1:104" ht="12.75">
      <c r="A14" s="15" t="s">
        <v>77</v>
      </c>
      <c r="B14" s="33" t="s">
        <v>78</v>
      </c>
      <c r="C14" s="16" t="s">
        <v>79</v>
      </c>
      <c r="D14" s="16">
        <v>0</v>
      </c>
      <c r="E14" s="18">
        <f>SUM(N14,R14,V14,Z14,AD14,AH14,AL14,AP14,AT14,AX14,BB14,BF14)</f>
        <v>0</v>
      </c>
      <c r="F14" s="18">
        <f>SUM(P14,T14,X14,AB14,AF14,AJ14,AN14,AR14,AV14,AZ14,BD14,BH14)</f>
        <v>0</v>
      </c>
      <c r="G14" s="18">
        <f t="shared" si="12"/>
        <v>0</v>
      </c>
      <c r="H14" s="18">
        <f>IFERROR(SUM(N14+R14+V14+Z14+AD14+AH14+AL14+AP14),"SIN_DATOS")</f>
        <v>0</v>
      </c>
      <c r="I14" s="18">
        <f>IFERROR(SUM(P14+T14+X14+AB14+AF14+AJ14+AN14+AR14),"SIN_DATOS")</f>
        <v>0</v>
      </c>
      <c r="J14" s="19" t="str">
        <f t="shared" si="0"/>
        <v>SIN DATO</v>
      </c>
      <c r="K14" s="19" t="str">
        <f t="shared" si="1"/>
        <v>SIN DATO</v>
      </c>
      <c r="L14" s="18">
        <f t="shared" si="2"/>
        <v>0</v>
      </c>
      <c r="M14" s="20" t="str">
        <f t="shared" si="3"/>
        <v>SIN DATO</v>
      </c>
      <c r="N14" s="21">
        <v>0</v>
      </c>
      <c r="O14" s="48"/>
      <c r="P14" s="22">
        <v>0</v>
      </c>
      <c r="Q14" s="51"/>
      <c r="R14" s="21">
        <v>0</v>
      </c>
      <c r="S14" s="48"/>
      <c r="T14" s="22">
        <v>0</v>
      </c>
      <c r="U14" s="51"/>
      <c r="V14" s="21">
        <v>0</v>
      </c>
      <c r="W14" s="48"/>
      <c r="X14" s="22">
        <v>0</v>
      </c>
      <c r="Y14" s="51"/>
      <c r="Z14" s="21">
        <v>0</v>
      </c>
      <c r="AA14" s="48"/>
      <c r="AB14" s="22">
        <v>0</v>
      </c>
      <c r="AC14" s="51"/>
      <c r="AD14" s="21">
        <v>0</v>
      </c>
      <c r="AE14" s="48"/>
      <c r="AF14" s="22">
        <v>0</v>
      </c>
      <c r="AG14" s="51"/>
      <c r="AH14" s="21">
        <v>0</v>
      </c>
      <c r="AI14" s="48"/>
      <c r="AJ14" s="22">
        <v>0</v>
      </c>
      <c r="AK14" s="51"/>
      <c r="AL14" s="21">
        <v>0</v>
      </c>
      <c r="AM14" s="48"/>
      <c r="AN14" s="22">
        <v>0</v>
      </c>
      <c r="AO14" s="51"/>
      <c r="AP14" s="21">
        <v>0</v>
      </c>
      <c r="AQ14" s="48"/>
      <c r="AR14" s="22">
        <v>0</v>
      </c>
      <c r="AS14" s="51"/>
      <c r="AT14" s="21">
        <v>0</v>
      </c>
      <c r="AU14" s="48"/>
      <c r="AV14" s="24">
        <v>0</v>
      </c>
      <c r="AW14" s="54"/>
      <c r="AX14" s="21">
        <v>0</v>
      </c>
      <c r="AY14" s="48"/>
      <c r="AZ14" s="24">
        <v>0</v>
      </c>
      <c r="BA14" s="54"/>
      <c r="BB14" s="21">
        <v>0</v>
      </c>
      <c r="BC14" s="48"/>
      <c r="BD14" s="24">
        <v>0</v>
      </c>
      <c r="BE14" s="54"/>
      <c r="BF14" s="21">
        <v>0</v>
      </c>
      <c r="BG14" s="48"/>
      <c r="BH14" s="24">
        <v>0</v>
      </c>
      <c r="BI14" s="54"/>
      <c r="BJ14" s="30" t="s">
        <v>80</v>
      </c>
    </row>
    <row r="15" spans="1:104" ht="12.75">
      <c r="A15" s="15" t="s">
        <v>81</v>
      </c>
      <c r="B15" s="16" t="s">
        <v>82</v>
      </c>
      <c r="C15" s="16">
        <v>99000</v>
      </c>
      <c r="D15" s="16">
        <v>99000</v>
      </c>
      <c r="E15" s="18">
        <f>SUM(N15,R15,V15,Z15,AD15,AH15,AL15,AP15,AT15,AX15,BB15,BF15)</f>
        <v>99000</v>
      </c>
      <c r="F15" s="18">
        <f>SUM(P15,T15,X15,AB15,AF15,AJ15,AN15,AR15,AV15,AZ15,BD15,BH15)</f>
        <v>82500</v>
      </c>
      <c r="G15" s="18">
        <f t="shared" si="12"/>
        <v>16500</v>
      </c>
      <c r="H15" s="18">
        <f>IFERROR(SUM(N15+R15+V15+Z15+AD15+AH15+AL15+AP15),"SIN_DATOS")</f>
        <v>0</v>
      </c>
      <c r="I15" s="18">
        <f>IFERROR(SUM(P15+T15+X15+AB15+AF15+AJ15+AN15+AR15),"SIN_DATOS")</f>
        <v>0</v>
      </c>
      <c r="J15" s="19">
        <f t="shared" si="0"/>
        <v>0</v>
      </c>
      <c r="K15" s="19">
        <f t="shared" si="1"/>
        <v>0</v>
      </c>
      <c r="L15" s="18">
        <f t="shared" si="2"/>
        <v>0</v>
      </c>
      <c r="M15" s="20">
        <f t="shared" si="3"/>
        <v>0</v>
      </c>
      <c r="N15" s="21">
        <v>0</v>
      </c>
      <c r="O15" s="48"/>
      <c r="P15" s="22">
        <v>0</v>
      </c>
      <c r="Q15" s="51"/>
      <c r="R15" s="21">
        <v>0</v>
      </c>
      <c r="S15" s="48"/>
      <c r="T15" s="22">
        <v>0</v>
      </c>
      <c r="U15" s="51"/>
      <c r="V15" s="21">
        <v>0</v>
      </c>
      <c r="W15" s="48"/>
      <c r="X15" s="22">
        <v>0</v>
      </c>
      <c r="Y15" s="51"/>
      <c r="Z15" s="21">
        <v>0</v>
      </c>
      <c r="AA15" s="48"/>
      <c r="AB15" s="22">
        <v>0</v>
      </c>
      <c r="AC15" s="51"/>
      <c r="AD15" s="21">
        <v>0</v>
      </c>
      <c r="AE15" s="48"/>
      <c r="AF15" s="22">
        <v>0</v>
      </c>
      <c r="AG15" s="51"/>
      <c r="AH15" s="21">
        <v>0</v>
      </c>
      <c r="AI15" s="48"/>
      <c r="AJ15" s="22">
        <v>0</v>
      </c>
      <c r="AK15" s="51"/>
      <c r="AL15" s="21">
        <v>0</v>
      </c>
      <c r="AM15" s="48"/>
      <c r="AN15" s="22">
        <v>0</v>
      </c>
      <c r="AO15" s="51"/>
      <c r="AP15" s="21">
        <v>0</v>
      </c>
      <c r="AQ15" s="48"/>
      <c r="AR15" s="22">
        <v>0</v>
      </c>
      <c r="AS15" s="51"/>
      <c r="AT15" s="21">
        <v>0</v>
      </c>
      <c r="AU15" s="48"/>
      <c r="AV15" s="24">
        <v>0</v>
      </c>
      <c r="AW15" s="54"/>
      <c r="AX15" s="21">
        <v>0</v>
      </c>
      <c r="AY15" s="48"/>
      <c r="AZ15" s="24">
        <v>0</v>
      </c>
      <c r="BA15" s="54"/>
      <c r="BB15" s="21">
        <v>99000</v>
      </c>
      <c r="BC15" s="48"/>
      <c r="BD15" s="24">
        <v>65000</v>
      </c>
      <c r="BE15" s="54"/>
      <c r="BF15" s="21">
        <v>0</v>
      </c>
      <c r="BG15" s="48"/>
      <c r="BH15" s="24">
        <v>17500</v>
      </c>
      <c r="BI15" s="54"/>
      <c r="BJ15" s="16" t="s">
        <v>83</v>
      </c>
    </row>
    <row r="16" spans="1:104" ht="12.75">
      <c r="A16" s="15" t="s">
        <v>84</v>
      </c>
      <c r="B16" s="16" t="s">
        <v>85</v>
      </c>
      <c r="C16" s="16">
        <v>66685</v>
      </c>
      <c r="D16" s="16">
        <v>66685</v>
      </c>
      <c r="E16" s="18">
        <f>SUM(N16,R16,V16,Z16,AD16,AH16,AL16,AP16,AT16,AX16,BB16,BF16)</f>
        <v>66685</v>
      </c>
      <c r="F16" s="18">
        <f>SUM(P16,T16,X16,AB16,AF16,AJ16,AN16,AR16,AV16,AZ16,BD16,BH16)</f>
        <v>47830</v>
      </c>
      <c r="G16" s="18">
        <f t="shared" si="12"/>
        <v>18855</v>
      </c>
      <c r="H16" s="18">
        <f>IFERROR(SUM(N16+R16+V16+Z16+AD16+AH16+AL16+AP16),"SIN_DATOS")</f>
        <v>66685</v>
      </c>
      <c r="I16" s="18">
        <f>IFERROR(SUM(P16+T16+X16+AB16+AF16+AJ16+AN16+AR16),"SIN_DATOS")</f>
        <v>47830</v>
      </c>
      <c r="J16" s="19">
        <f t="shared" si="0"/>
        <v>0.71725275549223966</v>
      </c>
      <c r="K16" s="19">
        <f t="shared" si="1"/>
        <v>1</v>
      </c>
      <c r="L16" s="18">
        <f t="shared" si="2"/>
        <v>18855</v>
      </c>
      <c r="M16" s="20">
        <f t="shared" si="3"/>
        <v>0.28274724450776034</v>
      </c>
      <c r="N16" s="21">
        <v>66685</v>
      </c>
      <c r="O16" s="48"/>
      <c r="P16" s="22">
        <v>0</v>
      </c>
      <c r="Q16" s="51"/>
      <c r="R16" s="21">
        <v>0</v>
      </c>
      <c r="S16" s="48"/>
      <c r="T16" s="22">
        <v>0</v>
      </c>
      <c r="U16" s="51"/>
      <c r="V16" s="21">
        <v>0</v>
      </c>
      <c r="W16" s="48"/>
      <c r="X16" s="22">
        <v>47830</v>
      </c>
      <c r="Y16" s="51"/>
      <c r="Z16" s="21">
        <v>0</v>
      </c>
      <c r="AA16" s="48"/>
      <c r="AB16" s="22">
        <v>0</v>
      </c>
      <c r="AC16" s="51"/>
      <c r="AD16" s="21">
        <v>0</v>
      </c>
      <c r="AE16" s="48"/>
      <c r="AF16" s="22">
        <v>0</v>
      </c>
      <c r="AG16" s="51"/>
      <c r="AH16" s="21">
        <v>0</v>
      </c>
      <c r="AI16" s="48"/>
      <c r="AJ16" s="22">
        <v>0</v>
      </c>
      <c r="AK16" s="51"/>
      <c r="AL16" s="21">
        <v>0</v>
      </c>
      <c r="AM16" s="48"/>
      <c r="AN16" s="22">
        <v>0</v>
      </c>
      <c r="AO16" s="51"/>
      <c r="AP16" s="21">
        <v>0</v>
      </c>
      <c r="AQ16" s="48"/>
      <c r="AR16" s="22">
        <v>0</v>
      </c>
      <c r="AS16" s="51"/>
      <c r="AT16" s="21">
        <v>0</v>
      </c>
      <c r="AU16" s="48"/>
      <c r="AV16" s="24">
        <v>0</v>
      </c>
      <c r="AW16" s="54"/>
      <c r="AX16" s="21">
        <v>0</v>
      </c>
      <c r="AY16" s="48"/>
      <c r="AZ16" s="24">
        <v>0</v>
      </c>
      <c r="BA16" s="54"/>
      <c r="BB16" s="21">
        <v>0</v>
      </c>
      <c r="BC16" s="48"/>
      <c r="BD16" s="24">
        <v>0</v>
      </c>
      <c r="BE16" s="54"/>
      <c r="BF16" s="21">
        <v>0</v>
      </c>
      <c r="BG16" s="48"/>
      <c r="BH16" s="24">
        <v>0</v>
      </c>
      <c r="BI16" s="55"/>
      <c r="BJ16" s="25" t="s">
        <v>86</v>
      </c>
    </row>
    <row r="17" spans="1:62" ht="24.75">
      <c r="A17" s="15" t="s">
        <v>87</v>
      </c>
      <c r="B17" s="16" t="s">
        <v>88</v>
      </c>
      <c r="C17" s="16">
        <v>765471.3</v>
      </c>
      <c r="D17" s="16">
        <v>500000</v>
      </c>
      <c r="E17" s="18">
        <f>SUM(N17,R17,V17,Z17,AD17,AH17,AL17,AP17,AT17,AX17,BB17,BF17)</f>
        <v>589500</v>
      </c>
      <c r="F17" s="18">
        <f>SUM(P17,T17,X17,AB17,AF17,AJ17,AN17,AR17,AV17,AZ17,BD17,BH17)</f>
        <v>521131.68000000011</v>
      </c>
      <c r="G17" s="18">
        <f t="shared" si="12"/>
        <v>68368.319999999891</v>
      </c>
      <c r="H17" s="18">
        <f>IFERROR(SUM(N17+R17+V17+Z17+AD17+AH17+AL17+AP17),"SIN_DATOS")</f>
        <v>453044.56</v>
      </c>
      <c r="I17" s="18">
        <f>IFERROR(SUM(P17+T17+X17+AB17+AF17+AJ17+AN17+AR17),"SIN_DATOS")</f>
        <v>384953.60000000003</v>
      </c>
      <c r="J17" s="19">
        <f t="shared" si="0"/>
        <v>0.65301713316369814</v>
      </c>
      <c r="K17" s="19">
        <f t="shared" si="1"/>
        <v>0.76852342663273965</v>
      </c>
      <c r="L17" s="18">
        <f t="shared" si="2"/>
        <v>68090.959999999963</v>
      </c>
      <c r="M17" s="20">
        <f t="shared" si="3"/>
        <v>0.11550629346904151</v>
      </c>
      <c r="N17" s="21">
        <v>64158.92</v>
      </c>
      <c r="O17" s="48"/>
      <c r="P17" s="23">
        <v>64158.92</v>
      </c>
      <c r="Q17" s="52" t="s">
        <v>221</v>
      </c>
      <c r="R17" s="21">
        <v>64158.92</v>
      </c>
      <c r="S17" s="48"/>
      <c r="T17" s="22">
        <v>64158.92</v>
      </c>
      <c r="U17" s="51"/>
      <c r="V17" s="21">
        <v>64158.92</v>
      </c>
      <c r="W17" s="48"/>
      <c r="X17" s="22">
        <v>64158.92</v>
      </c>
      <c r="Y17" s="51"/>
      <c r="Z17" s="21">
        <v>64158.92</v>
      </c>
      <c r="AA17" s="48"/>
      <c r="AB17" s="22">
        <v>64158.92</v>
      </c>
      <c r="AC17" s="51"/>
      <c r="AD17" s="21">
        <v>64158.92</v>
      </c>
      <c r="AE17" s="48"/>
      <c r="AF17" s="22">
        <v>64158.96</v>
      </c>
      <c r="AG17" s="51"/>
      <c r="AH17" s="21">
        <v>64160.92</v>
      </c>
      <c r="AI17" s="48"/>
      <c r="AJ17" s="22">
        <f>AF17</f>
        <v>64158.96</v>
      </c>
      <c r="AK17" s="51"/>
      <c r="AL17" s="21">
        <v>34044.520000000004</v>
      </c>
      <c r="AM17" s="48"/>
      <c r="AN17" s="23">
        <v>0</v>
      </c>
      <c r="AO17" s="52" t="s">
        <v>222</v>
      </c>
      <c r="AP17" s="21">
        <v>34044.520000000004</v>
      </c>
      <c r="AQ17" s="48"/>
      <c r="AR17" s="23">
        <v>0</v>
      </c>
      <c r="AS17" s="52" t="s">
        <v>222</v>
      </c>
      <c r="AT17" s="21">
        <v>34044.520000000004</v>
      </c>
      <c r="AU17" s="48"/>
      <c r="AV17" s="24">
        <f>AT17</f>
        <v>34044.520000000004</v>
      </c>
      <c r="AW17" s="54"/>
      <c r="AX17" s="21">
        <v>34044.520000000004</v>
      </c>
      <c r="AY17" s="48"/>
      <c r="AZ17" s="24">
        <f>AV17</f>
        <v>34044.520000000004</v>
      </c>
      <c r="BA17" s="54"/>
      <c r="BB17" s="21">
        <v>34044.54</v>
      </c>
      <c r="BC17" s="48"/>
      <c r="BD17" s="24">
        <f>AZ17</f>
        <v>34044.520000000004</v>
      </c>
      <c r="BE17" s="54"/>
      <c r="BF17" s="21">
        <v>34321.86</v>
      </c>
      <c r="BG17" s="48"/>
      <c r="BH17" s="24">
        <f>BD17</f>
        <v>34044.520000000004</v>
      </c>
      <c r="BI17" s="55"/>
      <c r="BJ17" s="25" t="s">
        <v>89</v>
      </c>
    </row>
    <row r="18" spans="1:62" ht="12.75">
      <c r="A18" s="15" t="s">
        <v>87</v>
      </c>
      <c r="B18" s="16" t="s">
        <v>90</v>
      </c>
      <c r="C18" s="16">
        <v>132000</v>
      </c>
      <c r="D18" s="16">
        <v>132000</v>
      </c>
      <c r="E18" s="18">
        <f>SUM(N18,R18,V18,Z18,AD18,AH18,AL18,AP18,AT18,AX18,BB18,BF18)</f>
        <v>129943.92</v>
      </c>
      <c r="F18" s="18">
        <f>SUM(P18,T18,X18,AB18,AF18,AJ18,AN18,AR18,AV18,AZ18,BD18,BH18)</f>
        <v>110406.45999999999</v>
      </c>
      <c r="G18" s="18">
        <f t="shared" si="12"/>
        <v>19537.460000000006</v>
      </c>
      <c r="H18" s="18">
        <f>IFERROR(SUM(N18+R18+V18+Z18+AD18+AH18+AL18+AP18),"SIN_DATOS")</f>
        <v>88000</v>
      </c>
      <c r="I18" s="18">
        <f>IFERROR(SUM(P18+T18+X18+AB18+AF18+AJ18+AN18+AR18),"SIN_DATOS")</f>
        <v>82638.459999999992</v>
      </c>
      <c r="J18" s="19">
        <f t="shared" si="0"/>
        <v>0.63595480265640747</v>
      </c>
      <c r="K18" s="19">
        <f t="shared" si="1"/>
        <v>0.67721521714905941</v>
      </c>
      <c r="L18" s="18">
        <f t="shared" si="2"/>
        <v>5361.5400000000081</v>
      </c>
      <c r="M18" s="20">
        <f t="shared" si="3"/>
        <v>4.1260414492651942E-2</v>
      </c>
      <c r="N18" s="21">
        <v>11000</v>
      </c>
      <c r="O18" s="48"/>
      <c r="P18" s="22">
        <v>10999.96</v>
      </c>
      <c r="Q18" s="51"/>
      <c r="R18" s="21">
        <v>11000</v>
      </c>
      <c r="S18" s="48"/>
      <c r="T18" s="22">
        <v>11015.92</v>
      </c>
      <c r="U18" s="51"/>
      <c r="V18" s="21">
        <v>11000</v>
      </c>
      <c r="W18" s="48"/>
      <c r="X18" s="22">
        <v>11015.92</v>
      </c>
      <c r="Y18" s="51"/>
      <c r="Z18" s="21">
        <v>11000</v>
      </c>
      <c r="AA18" s="48"/>
      <c r="AB18" s="22">
        <v>11015.92</v>
      </c>
      <c r="AC18" s="51"/>
      <c r="AD18" s="21">
        <v>11000</v>
      </c>
      <c r="AE18" s="48"/>
      <c r="AF18" s="22">
        <v>10388.16</v>
      </c>
      <c r="AG18" s="51"/>
      <c r="AH18" s="21">
        <v>11000</v>
      </c>
      <c r="AI18" s="48"/>
      <c r="AJ18" s="22">
        <v>0</v>
      </c>
      <c r="AK18" s="51"/>
      <c r="AL18" s="21">
        <v>11000</v>
      </c>
      <c r="AM18" s="48"/>
      <c r="AN18" s="23">
        <v>19189.45</v>
      </c>
      <c r="AO18" s="58" t="s">
        <v>223</v>
      </c>
      <c r="AP18" s="21">
        <v>11000</v>
      </c>
      <c r="AQ18" s="48"/>
      <c r="AR18" s="22">
        <v>9013.1299999999992</v>
      </c>
      <c r="AS18" s="51"/>
      <c r="AT18" s="21">
        <v>11000</v>
      </c>
      <c r="AU18" s="48"/>
      <c r="AV18" s="22">
        <v>6942</v>
      </c>
      <c r="AW18" s="51"/>
      <c r="AX18" s="21">
        <v>11000</v>
      </c>
      <c r="AY18" s="48"/>
      <c r="AZ18" s="24">
        <f>AV18</f>
        <v>6942</v>
      </c>
      <c r="BA18" s="54"/>
      <c r="BB18" s="21">
        <v>10000</v>
      </c>
      <c r="BC18" s="48"/>
      <c r="BD18" s="24">
        <f>AZ18</f>
        <v>6942</v>
      </c>
      <c r="BE18" s="54"/>
      <c r="BF18" s="21">
        <v>9943.92</v>
      </c>
      <c r="BG18" s="48"/>
      <c r="BH18" s="24">
        <f>BD18</f>
        <v>6942</v>
      </c>
      <c r="BI18" s="55"/>
      <c r="BJ18" s="25" t="s">
        <v>91</v>
      </c>
    </row>
    <row r="19" spans="1:62" ht="12.75">
      <c r="A19" s="15" t="s">
        <v>92</v>
      </c>
      <c r="B19" s="16" t="s">
        <v>93</v>
      </c>
      <c r="C19" s="34">
        <v>25333.320000000003</v>
      </c>
      <c r="D19" s="18">
        <v>25333.320000000003</v>
      </c>
      <c r="E19" s="18">
        <f>SUM(N19,R19,V19,Z19,AD19,AH19,AL19,AP19,AT19,AX19,BB19,BF19)</f>
        <v>25333.320000000003</v>
      </c>
      <c r="F19" s="18">
        <f>SUM(P19,T19,X19,AB19,AF19,AJ19,AN19,AR19,AV19,AZ19,BD19,BH19)</f>
        <v>25333.320000000003</v>
      </c>
      <c r="G19" s="18">
        <f t="shared" si="12"/>
        <v>0</v>
      </c>
      <c r="H19" s="18">
        <f>IFERROR(SUM(N19+R19+V19+Z19+AD19+AH19+AL19+AP19),"SIN_DATOS")</f>
        <v>16888.88</v>
      </c>
      <c r="I19" s="18">
        <f>IFERROR(SUM(P19+T19+X19+AB19+AF19+AJ19+AN19+AR19),"SIN_DATOS")</f>
        <v>16888.88</v>
      </c>
      <c r="J19" s="19">
        <f t="shared" si="0"/>
        <v>0.66666666666666663</v>
      </c>
      <c r="K19" s="19">
        <f t="shared" si="1"/>
        <v>0.66666666666666663</v>
      </c>
      <c r="L19" s="18">
        <f t="shared" si="2"/>
        <v>0</v>
      </c>
      <c r="M19" s="20">
        <f t="shared" si="3"/>
        <v>0</v>
      </c>
      <c r="N19" s="21">
        <f>6333.33*$D19/SUM($D$19:$D$21)</f>
        <v>2111.11</v>
      </c>
      <c r="O19" s="48"/>
      <c r="P19" s="22">
        <f>0*$D19/SUM($D$19:$D$21)</f>
        <v>0</v>
      </c>
      <c r="Q19" s="51"/>
      <c r="R19" s="21">
        <f>6333.33*$D19/SUM($D$19:$D$21)</f>
        <v>2111.11</v>
      </c>
      <c r="S19" s="48"/>
      <c r="T19" s="23">
        <f>12666.66*$D19/SUM($D$19:$D$21)</f>
        <v>4222.22</v>
      </c>
      <c r="U19" s="52" t="s">
        <v>224</v>
      </c>
      <c r="V19" s="21">
        <f t="shared" ref="V19:AL21" si="14">6333.33*$D19/SUM($D$19:$D$21)</f>
        <v>2111.11</v>
      </c>
      <c r="W19" s="48"/>
      <c r="X19" s="22">
        <f t="shared" si="14"/>
        <v>2111.11</v>
      </c>
      <c r="Y19" s="51"/>
      <c r="Z19" s="21">
        <f t="shared" si="14"/>
        <v>2111.11</v>
      </c>
      <c r="AA19" s="48"/>
      <c r="AB19" s="22">
        <f t="shared" si="14"/>
        <v>2111.11</v>
      </c>
      <c r="AC19" s="51"/>
      <c r="AD19" s="21">
        <f t="shared" si="14"/>
        <v>2111.11</v>
      </c>
      <c r="AE19" s="48"/>
      <c r="AF19" s="22">
        <f t="shared" si="14"/>
        <v>2111.11</v>
      </c>
      <c r="AG19" s="51"/>
      <c r="AH19" s="21">
        <f t="shared" si="14"/>
        <v>2111.11</v>
      </c>
      <c r="AI19" s="48"/>
      <c r="AJ19" s="22">
        <f t="shared" si="14"/>
        <v>2111.11</v>
      </c>
      <c r="AK19" s="51"/>
      <c r="AL19" s="21">
        <f t="shared" si="14"/>
        <v>2111.11</v>
      </c>
      <c r="AM19" s="48"/>
      <c r="AN19" s="22">
        <f>AJ19</f>
        <v>2111.11</v>
      </c>
      <c r="AO19" s="51"/>
      <c r="AP19" s="21">
        <f>6333.33*$D19/SUM($D$19:$D$21)</f>
        <v>2111.11</v>
      </c>
      <c r="AQ19" s="48"/>
      <c r="AR19" s="22">
        <f>AN19</f>
        <v>2111.11</v>
      </c>
      <c r="AS19" s="51"/>
      <c r="AT19" s="21">
        <f>6333.33*$D19/SUM($D$19:$D$21)</f>
        <v>2111.11</v>
      </c>
      <c r="AU19" s="48"/>
      <c r="AV19" s="24">
        <f t="shared" ref="AV19:AV63" si="15">AR19</f>
        <v>2111.11</v>
      </c>
      <c r="AW19" s="54"/>
      <c r="AX19" s="21">
        <f>6333.33*$D19/SUM($D$19:$D$21)</f>
        <v>2111.11</v>
      </c>
      <c r="AY19" s="48"/>
      <c r="AZ19" s="24">
        <f t="shared" ref="AZ19:AZ64" si="16">AV19</f>
        <v>2111.11</v>
      </c>
      <c r="BA19" s="54"/>
      <c r="BB19" s="21">
        <f>6333.33*$D19/SUM($D$19:$D$21)</f>
        <v>2111.11</v>
      </c>
      <c r="BC19" s="48"/>
      <c r="BD19" s="24">
        <f t="shared" ref="BD19:BD64" si="17">AZ19</f>
        <v>2111.11</v>
      </c>
      <c r="BE19" s="54"/>
      <c r="BF19" s="21">
        <f>6333.33*$D19/SUM($D$19:$D$21)</f>
        <v>2111.11</v>
      </c>
      <c r="BG19" s="48"/>
      <c r="BH19" s="24">
        <f t="shared" ref="BH19:BH64" si="18">BD19</f>
        <v>2111.11</v>
      </c>
      <c r="BI19" s="55"/>
    </row>
    <row r="20" spans="1:62" ht="12.75">
      <c r="A20" s="15" t="s">
        <v>94</v>
      </c>
      <c r="B20" s="16" t="s">
        <v>93</v>
      </c>
      <c r="C20" s="34">
        <v>25333.320000000003</v>
      </c>
      <c r="D20" s="18">
        <v>25333.320000000003</v>
      </c>
      <c r="E20" s="18">
        <f>SUM(N20,R20,V20,Z20,AD20,AH20,AL20,AP20,AT20,AX20,BB20,BF20)</f>
        <v>25333.320000000003</v>
      </c>
      <c r="F20" s="18">
        <f>SUM(P20,T20,X20,AB20,AF20,AJ20,AN20,AR20,AV20,AZ20,BD20,BH20)</f>
        <v>25333.320000000003</v>
      </c>
      <c r="G20" s="18">
        <f t="shared" si="12"/>
        <v>0</v>
      </c>
      <c r="H20" s="18">
        <f>IFERROR(SUM(N20+R20+V20+Z20+AD20+AH20+AL20+AP20),"SIN_DATOS")</f>
        <v>16888.88</v>
      </c>
      <c r="I20" s="18">
        <f>IFERROR(SUM(P20+T20+X20+AB20+AF20+AJ20+AN20+AR20),"SIN_DATOS")</f>
        <v>16888.88</v>
      </c>
      <c r="J20" s="19">
        <f t="shared" si="0"/>
        <v>0.66666666666666663</v>
      </c>
      <c r="K20" s="19">
        <f t="shared" si="1"/>
        <v>0.66666666666666663</v>
      </c>
      <c r="L20" s="18">
        <f t="shared" si="2"/>
        <v>0</v>
      </c>
      <c r="M20" s="20">
        <f t="shared" si="3"/>
        <v>0</v>
      </c>
      <c r="N20" s="21">
        <f>6333.33*$D20/SUM($D$19:$D$21)</f>
        <v>2111.11</v>
      </c>
      <c r="O20" s="48"/>
      <c r="P20" s="22">
        <f>0*$D20/SUM($D$19:$D$21)</f>
        <v>0</v>
      </c>
      <c r="Q20" s="51"/>
      <c r="R20" s="21">
        <f>6333.33*$D20/SUM($D$19:$D$21)</f>
        <v>2111.11</v>
      </c>
      <c r="S20" s="48"/>
      <c r="T20" s="22">
        <f>12666.66*$D20/SUM($D$19:$D$21)</f>
        <v>4222.22</v>
      </c>
      <c r="U20" s="51"/>
      <c r="V20" s="21">
        <f t="shared" si="14"/>
        <v>2111.11</v>
      </c>
      <c r="W20" s="48"/>
      <c r="X20" s="22">
        <f t="shared" si="14"/>
        <v>2111.11</v>
      </c>
      <c r="Y20" s="51"/>
      <c r="Z20" s="21">
        <f t="shared" si="14"/>
        <v>2111.11</v>
      </c>
      <c r="AA20" s="48"/>
      <c r="AB20" s="22">
        <f t="shared" si="14"/>
        <v>2111.11</v>
      </c>
      <c r="AC20" s="51"/>
      <c r="AD20" s="21">
        <f t="shared" si="14"/>
        <v>2111.11</v>
      </c>
      <c r="AE20" s="48"/>
      <c r="AF20" s="22">
        <f t="shared" si="14"/>
        <v>2111.11</v>
      </c>
      <c r="AG20" s="51"/>
      <c r="AH20" s="21">
        <f t="shared" si="14"/>
        <v>2111.11</v>
      </c>
      <c r="AI20" s="48"/>
      <c r="AJ20" s="22">
        <f t="shared" si="14"/>
        <v>2111.11</v>
      </c>
      <c r="AK20" s="51"/>
      <c r="AL20" s="21">
        <f t="shared" si="14"/>
        <v>2111.11</v>
      </c>
      <c r="AM20" s="48"/>
      <c r="AN20" s="22">
        <f>AJ20</f>
        <v>2111.11</v>
      </c>
      <c r="AO20" s="51"/>
      <c r="AP20" s="21">
        <f>6333.33*$D20/SUM($D$19:$D$21)</f>
        <v>2111.11</v>
      </c>
      <c r="AQ20" s="48"/>
      <c r="AR20" s="22">
        <f>AN20</f>
        <v>2111.11</v>
      </c>
      <c r="AS20" s="51"/>
      <c r="AT20" s="21">
        <f>6333.33*$D20/SUM($D$19:$D$21)</f>
        <v>2111.11</v>
      </c>
      <c r="AU20" s="48"/>
      <c r="AV20" s="24">
        <f t="shared" si="15"/>
        <v>2111.11</v>
      </c>
      <c r="AW20" s="54"/>
      <c r="AX20" s="21">
        <f>6333.33*$D20/SUM($D$19:$D$21)</f>
        <v>2111.11</v>
      </c>
      <c r="AY20" s="48"/>
      <c r="AZ20" s="24">
        <f t="shared" si="16"/>
        <v>2111.11</v>
      </c>
      <c r="BA20" s="54"/>
      <c r="BB20" s="21">
        <f>6333.33*$D20/SUM($D$19:$D$21)</f>
        <v>2111.11</v>
      </c>
      <c r="BC20" s="48"/>
      <c r="BD20" s="24">
        <f t="shared" si="17"/>
        <v>2111.11</v>
      </c>
      <c r="BE20" s="54"/>
      <c r="BF20" s="21">
        <f>6333.33*$D20/SUM($D$19:$D$21)</f>
        <v>2111.11</v>
      </c>
      <c r="BG20" s="48"/>
      <c r="BH20" s="24">
        <f t="shared" si="18"/>
        <v>2111.11</v>
      </c>
      <c r="BI20" s="55"/>
    </row>
    <row r="21" spans="1:62" ht="12.75">
      <c r="A21" s="15" t="s">
        <v>95</v>
      </c>
      <c r="B21" s="16" t="s">
        <v>93</v>
      </c>
      <c r="C21" s="34">
        <v>25333.320000000003</v>
      </c>
      <c r="D21" s="18">
        <v>25333.320000000003</v>
      </c>
      <c r="E21" s="18">
        <f>SUM(N21,R21,V21,Z21,AD21,AH21,AL21,AP21,AT21,AX21,BB21,BF21)</f>
        <v>25333.320000000003</v>
      </c>
      <c r="F21" s="18">
        <f>SUM(P21,T21,X21,AB21,AF21,AJ21,AN21,AR21,AV21,AZ21,BD21,BH21)</f>
        <v>25333.320000000003</v>
      </c>
      <c r="G21" s="18">
        <f t="shared" si="12"/>
        <v>0</v>
      </c>
      <c r="H21" s="18">
        <f>IFERROR(SUM(N21+R21+V21+Z21+AD21+AH21+AL21+AP21),"SIN_DATOS")</f>
        <v>16888.88</v>
      </c>
      <c r="I21" s="18">
        <f>IFERROR(SUM(P21+T21+X21+AB21+AF21+AJ21+AN21+AR21),"SIN_DATOS")</f>
        <v>16888.88</v>
      </c>
      <c r="J21" s="19">
        <f t="shared" si="0"/>
        <v>0.66666666666666663</v>
      </c>
      <c r="K21" s="19">
        <f t="shared" si="1"/>
        <v>0.66666666666666663</v>
      </c>
      <c r="L21" s="18">
        <f t="shared" si="2"/>
        <v>0</v>
      </c>
      <c r="M21" s="20">
        <f t="shared" si="3"/>
        <v>0</v>
      </c>
      <c r="N21" s="21">
        <f>6333.33*$D21/SUM($D$19:$D$21)</f>
        <v>2111.11</v>
      </c>
      <c r="O21" s="48"/>
      <c r="P21" s="22">
        <f>0*$D21/SUM($D$19:$D$21)</f>
        <v>0</v>
      </c>
      <c r="Q21" s="51"/>
      <c r="R21" s="21">
        <f>6333.33*$D21/SUM($D$19:$D$21)</f>
        <v>2111.11</v>
      </c>
      <c r="S21" s="48"/>
      <c r="T21" s="22">
        <f>12666.66*$D21/SUM($D$19:$D$21)</f>
        <v>4222.22</v>
      </c>
      <c r="U21" s="51"/>
      <c r="V21" s="21">
        <f t="shared" si="14"/>
        <v>2111.11</v>
      </c>
      <c r="W21" s="48"/>
      <c r="X21" s="22">
        <f t="shared" si="14"/>
        <v>2111.11</v>
      </c>
      <c r="Y21" s="51"/>
      <c r="Z21" s="21">
        <f t="shared" si="14"/>
        <v>2111.11</v>
      </c>
      <c r="AA21" s="48"/>
      <c r="AB21" s="22">
        <f t="shared" si="14"/>
        <v>2111.11</v>
      </c>
      <c r="AC21" s="51"/>
      <c r="AD21" s="21">
        <f t="shared" si="14"/>
        <v>2111.11</v>
      </c>
      <c r="AE21" s="48"/>
      <c r="AF21" s="22">
        <f t="shared" si="14"/>
        <v>2111.11</v>
      </c>
      <c r="AG21" s="51"/>
      <c r="AH21" s="21">
        <f t="shared" si="14"/>
        <v>2111.11</v>
      </c>
      <c r="AI21" s="48"/>
      <c r="AJ21" s="22">
        <f t="shared" si="14"/>
        <v>2111.11</v>
      </c>
      <c r="AK21" s="51"/>
      <c r="AL21" s="21">
        <f t="shared" si="14"/>
        <v>2111.11</v>
      </c>
      <c r="AM21" s="48"/>
      <c r="AN21" s="22">
        <f>AJ21</f>
        <v>2111.11</v>
      </c>
      <c r="AO21" s="51"/>
      <c r="AP21" s="21">
        <f>6333.33*$D21/SUM($D$19:$D$21)</f>
        <v>2111.11</v>
      </c>
      <c r="AQ21" s="48"/>
      <c r="AR21" s="22">
        <f>AN21</f>
        <v>2111.11</v>
      </c>
      <c r="AS21" s="51"/>
      <c r="AT21" s="21">
        <f>6333.33*$D21/SUM($D$19:$D$21)</f>
        <v>2111.11</v>
      </c>
      <c r="AU21" s="48"/>
      <c r="AV21" s="24">
        <f t="shared" si="15"/>
        <v>2111.11</v>
      </c>
      <c r="AW21" s="54"/>
      <c r="AX21" s="21">
        <f>6333.33*$D21/SUM($D$19:$D$21)</f>
        <v>2111.11</v>
      </c>
      <c r="AY21" s="48"/>
      <c r="AZ21" s="24">
        <f t="shared" si="16"/>
        <v>2111.11</v>
      </c>
      <c r="BA21" s="54"/>
      <c r="BB21" s="21">
        <f>6333.33*$D21/SUM($D$19:$D$21)</f>
        <v>2111.11</v>
      </c>
      <c r="BC21" s="48"/>
      <c r="BD21" s="24">
        <f t="shared" si="17"/>
        <v>2111.11</v>
      </c>
      <c r="BE21" s="54"/>
      <c r="BF21" s="21">
        <f>6333.33*$D21/SUM($D$19:$D$21)</f>
        <v>2111.11</v>
      </c>
      <c r="BG21" s="48"/>
      <c r="BH21" s="24">
        <f t="shared" si="18"/>
        <v>2111.11</v>
      </c>
      <c r="BI21" s="55"/>
    </row>
    <row r="22" spans="1:62" ht="12.75">
      <c r="A22" s="15" t="s">
        <v>96</v>
      </c>
      <c r="B22" s="16" t="s">
        <v>97</v>
      </c>
      <c r="C22" s="16">
        <v>67606</v>
      </c>
      <c r="D22" s="16">
        <v>40570</v>
      </c>
      <c r="E22" s="18">
        <f>SUM(N22,R22,V22,Z22,AD22,AH22,AL22,AP22,AT22,AX22,BB22,BF22)</f>
        <v>40570</v>
      </c>
      <c r="F22" s="18">
        <f>SUM(P22,T22,X22,AB22,AF22,AJ22,AN22,AR22,AV22,AZ22,BD22,BH22)</f>
        <v>40570</v>
      </c>
      <c r="G22" s="18">
        <f t="shared" si="12"/>
        <v>0</v>
      </c>
      <c r="H22" s="18">
        <f>IFERROR(SUM(N22+R22+V22+Z22+AD22+AH22+AL22+AP22),"SIN_DATOS")</f>
        <v>40570</v>
      </c>
      <c r="I22" s="18">
        <f>IFERROR(SUM(P22+T22+X22+AB22+AF22+AJ22+AN22+AR22),"SIN_DATOS")</f>
        <v>40570</v>
      </c>
      <c r="J22" s="19">
        <f t="shared" si="0"/>
        <v>1</v>
      </c>
      <c r="K22" s="19">
        <f t="shared" si="1"/>
        <v>1</v>
      </c>
      <c r="L22" s="18">
        <f t="shared" si="2"/>
        <v>0</v>
      </c>
      <c r="M22" s="20">
        <f t="shared" si="3"/>
        <v>0</v>
      </c>
      <c r="N22" s="21">
        <v>0</v>
      </c>
      <c r="O22" s="48"/>
      <c r="P22" s="22">
        <v>0</v>
      </c>
      <c r="Q22" s="51"/>
      <c r="R22" s="21">
        <v>40570</v>
      </c>
      <c r="S22" s="48"/>
      <c r="T22" s="22">
        <v>40570</v>
      </c>
      <c r="U22" s="51"/>
      <c r="V22" s="21">
        <v>0</v>
      </c>
      <c r="W22" s="48"/>
      <c r="X22" s="22">
        <v>0</v>
      </c>
      <c r="Y22" s="51"/>
      <c r="Z22" s="21">
        <v>0</v>
      </c>
      <c r="AA22" s="48"/>
      <c r="AB22" s="22">
        <v>0</v>
      </c>
      <c r="AC22" s="51"/>
      <c r="AD22" s="21">
        <v>0</v>
      </c>
      <c r="AE22" s="48"/>
      <c r="AF22" s="22">
        <v>0</v>
      </c>
      <c r="AG22" s="51"/>
      <c r="AH22" s="21">
        <v>0</v>
      </c>
      <c r="AI22" s="48"/>
      <c r="AJ22" s="22">
        <v>0</v>
      </c>
      <c r="AK22" s="51"/>
      <c r="AL22" s="21">
        <v>0</v>
      </c>
      <c r="AM22" s="48"/>
      <c r="AN22" s="22">
        <v>0</v>
      </c>
      <c r="AO22" s="51"/>
      <c r="AP22" s="21">
        <v>0</v>
      </c>
      <c r="AQ22" s="48"/>
      <c r="AR22" s="24">
        <v>0</v>
      </c>
      <c r="AS22" s="54"/>
      <c r="AT22" s="21">
        <v>0</v>
      </c>
      <c r="AU22" s="48"/>
      <c r="AV22" s="24">
        <f t="shared" si="15"/>
        <v>0</v>
      </c>
      <c r="AW22" s="54"/>
      <c r="AX22" s="21">
        <v>0</v>
      </c>
      <c r="AY22" s="48"/>
      <c r="AZ22" s="24">
        <f t="shared" si="16"/>
        <v>0</v>
      </c>
      <c r="BA22" s="54"/>
      <c r="BB22" s="21">
        <v>0</v>
      </c>
      <c r="BC22" s="48"/>
      <c r="BD22" s="24">
        <f t="shared" si="17"/>
        <v>0</v>
      </c>
      <c r="BE22" s="54"/>
      <c r="BF22" s="21">
        <v>0</v>
      </c>
      <c r="BG22" s="48"/>
      <c r="BH22" s="24">
        <f t="shared" si="18"/>
        <v>0</v>
      </c>
      <c r="BI22" s="55"/>
    </row>
    <row r="23" spans="1:62" ht="24.75">
      <c r="A23" s="15" t="s">
        <v>98</v>
      </c>
      <c r="B23" s="16" t="s">
        <v>99</v>
      </c>
      <c r="C23" s="16">
        <v>281027.28000000003</v>
      </c>
      <c r="D23" s="16">
        <v>281027.28000000003</v>
      </c>
      <c r="E23" s="18">
        <f>SUM(N23,R23,V23,Z23,AD23,AH23,AL23,AP23,AT23,AX23,BB23,BF23)</f>
        <v>281027.28999999998</v>
      </c>
      <c r="F23" s="18">
        <f>SUM(P23,T23,X23,AB23,AF23,AJ23,AN23,AR23,AV23,AZ23,BD23,BH23)</f>
        <v>290863.27000000008</v>
      </c>
      <c r="G23" s="18">
        <f t="shared" si="12"/>
        <v>-9835.9800000000978</v>
      </c>
      <c r="H23" s="18">
        <f>IFERROR(SUM(N23+R23+V23+Z23+AD23+AH23+AL23+AP23),"SIN_DATOS")</f>
        <v>187353.53</v>
      </c>
      <c r="I23" s="18">
        <f>IFERROR(SUM(P23+T23+X23+AB23+AF23+AJ23+AN23+AR23),"SIN_DATOS")</f>
        <v>191566.95</v>
      </c>
      <c r="J23" s="19">
        <f t="shared" si="0"/>
        <v>0.68166671642458643</v>
      </c>
      <c r="K23" s="19">
        <f t="shared" si="1"/>
        <v>0.66667379527447324</v>
      </c>
      <c r="L23" s="18">
        <f t="shared" si="2"/>
        <v>-4213.4200000000128</v>
      </c>
      <c r="M23" s="20">
        <f t="shared" si="3"/>
        <v>-1.4992921150113192E-2</v>
      </c>
      <c r="N23" s="21">
        <v>23418.94</v>
      </c>
      <c r="O23" s="48"/>
      <c r="P23" s="22">
        <v>23418.94</v>
      </c>
      <c r="Q23" s="51"/>
      <c r="R23" s="21">
        <v>23418.94</v>
      </c>
      <c r="S23" s="48"/>
      <c r="T23" s="22">
        <v>23418.94</v>
      </c>
      <c r="U23" s="51"/>
      <c r="V23" s="21">
        <v>23418.94</v>
      </c>
      <c r="W23" s="48"/>
      <c r="X23" s="22">
        <v>23418.94</v>
      </c>
      <c r="Y23" s="51"/>
      <c r="Z23" s="21">
        <v>23418.94</v>
      </c>
      <c r="AA23" s="48"/>
      <c r="AB23" s="22">
        <v>23418.94</v>
      </c>
      <c r="AC23" s="51"/>
      <c r="AD23" s="21">
        <v>23418.95</v>
      </c>
      <c r="AE23" s="48"/>
      <c r="AF23" s="22">
        <v>23418.95</v>
      </c>
      <c r="AG23" s="51"/>
      <c r="AH23" s="21">
        <v>23420.94</v>
      </c>
      <c r="AI23" s="48"/>
      <c r="AJ23" s="23">
        <v>24824.080000000002</v>
      </c>
      <c r="AK23" s="52" t="s">
        <v>225</v>
      </c>
      <c r="AL23" s="21">
        <v>23418.94</v>
      </c>
      <c r="AM23" s="48"/>
      <c r="AN23" s="22">
        <f>AJ23</f>
        <v>24824.080000000002</v>
      </c>
      <c r="AO23" s="51"/>
      <c r="AP23" s="21">
        <v>23418.94</v>
      </c>
      <c r="AQ23" s="48"/>
      <c r="AR23" s="22">
        <f>AN23</f>
        <v>24824.080000000002</v>
      </c>
      <c r="AS23" s="51"/>
      <c r="AT23" s="21">
        <v>23418.94</v>
      </c>
      <c r="AU23" s="48"/>
      <c r="AV23" s="24">
        <f t="shared" si="15"/>
        <v>24824.080000000002</v>
      </c>
      <c r="AW23" s="54"/>
      <c r="AX23" s="21">
        <v>23418.94</v>
      </c>
      <c r="AY23" s="48"/>
      <c r="AZ23" s="24">
        <f t="shared" si="16"/>
        <v>24824.080000000002</v>
      </c>
      <c r="BA23" s="54"/>
      <c r="BB23" s="21">
        <v>23418.94</v>
      </c>
      <c r="BC23" s="48"/>
      <c r="BD23" s="24">
        <f t="shared" si="17"/>
        <v>24824.080000000002</v>
      </c>
      <c r="BE23" s="54"/>
      <c r="BF23" s="21">
        <v>23416.94</v>
      </c>
      <c r="BG23" s="48"/>
      <c r="BH23" s="24">
        <f t="shared" si="18"/>
        <v>24824.080000000002</v>
      </c>
      <c r="BI23" s="55"/>
      <c r="BJ23" s="25" t="s">
        <v>100</v>
      </c>
    </row>
    <row r="24" spans="1:62" ht="12.75">
      <c r="A24" s="15" t="s">
        <v>101</v>
      </c>
      <c r="B24" s="16" t="s">
        <v>102</v>
      </c>
      <c r="C24" s="16">
        <v>45000</v>
      </c>
      <c r="D24" s="16">
        <v>45000</v>
      </c>
      <c r="E24" s="18">
        <f>SUM(N24,R24,V24,Z24,AD24,AH24,AL24,AP24,AT24,AX24,BB24,BF24)</f>
        <v>45000</v>
      </c>
      <c r="F24" s="18">
        <f>SUM(P24,T24,X24,AB24,AF24,AJ24,AN24,AR24,AV24,AZ24,BD24,BH24)</f>
        <v>45000</v>
      </c>
      <c r="G24" s="18">
        <f t="shared" si="12"/>
        <v>0</v>
      </c>
      <c r="H24" s="18">
        <f>IFERROR(SUM(N24+R24+V24+Z24+AD24+AH24+AL24+AP24),"SIN_DATOS")</f>
        <v>0</v>
      </c>
      <c r="I24" s="18">
        <f>IFERROR(SUM(P24+T24+X24+AB24+AF24+AJ24+AN24+AR24),"SIN_DATOS")</f>
        <v>0</v>
      </c>
      <c r="J24" s="19">
        <f t="shared" si="0"/>
        <v>0</v>
      </c>
      <c r="K24" s="19">
        <f t="shared" si="1"/>
        <v>0</v>
      </c>
      <c r="L24" s="18">
        <f t="shared" si="2"/>
        <v>0</v>
      </c>
      <c r="M24" s="20">
        <f t="shared" si="3"/>
        <v>0</v>
      </c>
      <c r="N24" s="21">
        <v>0</v>
      </c>
      <c r="O24" s="48"/>
      <c r="P24" s="22">
        <v>0</v>
      </c>
      <c r="Q24" s="51"/>
      <c r="R24" s="21">
        <v>0</v>
      </c>
      <c r="S24" s="48"/>
      <c r="T24" s="22">
        <v>0</v>
      </c>
      <c r="U24" s="51"/>
      <c r="V24" s="21">
        <v>0</v>
      </c>
      <c r="W24" s="48"/>
      <c r="X24" s="22">
        <v>0</v>
      </c>
      <c r="Y24" s="51"/>
      <c r="Z24" s="21">
        <v>0</v>
      </c>
      <c r="AA24" s="48"/>
      <c r="AB24" s="22">
        <v>0</v>
      </c>
      <c r="AC24" s="51"/>
      <c r="AD24" s="21">
        <v>0</v>
      </c>
      <c r="AE24" s="48"/>
      <c r="AF24" s="22">
        <v>0</v>
      </c>
      <c r="AG24" s="51"/>
      <c r="AH24" s="21">
        <v>0</v>
      </c>
      <c r="AI24" s="48"/>
      <c r="AJ24" s="22">
        <v>0</v>
      </c>
      <c r="AK24" s="51"/>
      <c r="AL24" s="21">
        <v>0</v>
      </c>
      <c r="AM24" s="48"/>
      <c r="AN24" s="22">
        <v>0</v>
      </c>
      <c r="AO24" s="51"/>
      <c r="AP24" s="21">
        <v>0</v>
      </c>
      <c r="AQ24" s="48"/>
      <c r="AR24" s="22">
        <v>0</v>
      </c>
      <c r="AS24" s="51"/>
      <c r="AT24" s="21">
        <v>0</v>
      </c>
      <c r="AU24" s="48"/>
      <c r="AV24" s="24">
        <f t="shared" si="15"/>
        <v>0</v>
      </c>
      <c r="AW24" s="54"/>
      <c r="AX24" s="21">
        <v>0</v>
      </c>
      <c r="AY24" s="48"/>
      <c r="AZ24" s="24">
        <f t="shared" si="16"/>
        <v>0</v>
      </c>
      <c r="BA24" s="54"/>
      <c r="BB24" s="21">
        <v>0</v>
      </c>
      <c r="BC24" s="48"/>
      <c r="BD24" s="24">
        <f t="shared" si="17"/>
        <v>0</v>
      </c>
      <c r="BE24" s="54"/>
      <c r="BF24" s="21">
        <v>45000</v>
      </c>
      <c r="BG24" s="48"/>
      <c r="BH24" s="24">
        <f>BF24</f>
        <v>45000</v>
      </c>
      <c r="BI24" s="55"/>
      <c r="BJ24" s="25" t="s">
        <v>103</v>
      </c>
    </row>
    <row r="25" spans="1:62" ht="12.75">
      <c r="A25" s="15" t="s">
        <v>104</v>
      </c>
      <c r="B25" s="16" t="s">
        <v>105</v>
      </c>
      <c r="C25" s="34">
        <v>80449.959999999992</v>
      </c>
      <c r="D25" s="18">
        <v>80449.959999999992</v>
      </c>
      <c r="E25" s="18">
        <f>SUM(N25,R25,V25,Z25,AD25,AH25,AL25,AP25,AT25,AX25,BB25,BF25)</f>
        <v>80449.959999999992</v>
      </c>
      <c r="F25" s="18">
        <f>SUM(P25,T25,X25,AB25,AF25,AJ25,AN25,AR25,AV25,AZ25,BD25,BH25)</f>
        <v>66211.399999999994</v>
      </c>
      <c r="G25" s="18">
        <f t="shared" si="12"/>
        <v>14238.559999999998</v>
      </c>
      <c r="H25" s="18">
        <f>IFERROR(SUM(N25+R25+V25+Z25+AD25+AH25+AL25+AP25),"SIN_DATOS")</f>
        <v>47783.28</v>
      </c>
      <c r="I25" s="18">
        <f>IFERROR(SUM(P25+T25+X25+AB25+AF25+AJ25+AN25+AR25),"SIN_DATOS")</f>
        <v>43839.399999999994</v>
      </c>
      <c r="J25" s="19">
        <f t="shared" si="0"/>
        <v>0.54492755496708756</v>
      </c>
      <c r="K25" s="19">
        <f t="shared" si="1"/>
        <v>0.59395032638922385</v>
      </c>
      <c r="L25" s="18">
        <f t="shared" si="2"/>
        <v>3943.8800000000047</v>
      </c>
      <c r="M25" s="20">
        <f t="shared" si="3"/>
        <v>4.9022771422136291E-2</v>
      </c>
      <c r="N25" s="21">
        <v>5972.91</v>
      </c>
      <c r="O25" s="48"/>
      <c r="P25" s="22">
        <v>5434.8</v>
      </c>
      <c r="Q25" s="51"/>
      <c r="R25" s="21">
        <v>5972.91</v>
      </c>
      <c r="S25" s="48"/>
      <c r="T25" s="22">
        <v>5313</v>
      </c>
      <c r="U25" s="51"/>
      <c r="V25" s="21">
        <v>5972.91</v>
      </c>
      <c r="W25" s="48"/>
      <c r="X25" s="22">
        <v>5541.8</v>
      </c>
      <c r="Y25" s="51"/>
      <c r="Z25" s="21">
        <v>5972.91</v>
      </c>
      <c r="AA25" s="48"/>
      <c r="AB25" s="22">
        <v>5485.8</v>
      </c>
      <c r="AC25" s="51"/>
      <c r="AD25" s="21">
        <v>5972.91</v>
      </c>
      <c r="AE25" s="48"/>
      <c r="AF25" s="22">
        <v>5494.4</v>
      </c>
      <c r="AG25" s="51"/>
      <c r="AH25" s="21">
        <v>5972.91</v>
      </c>
      <c r="AI25" s="48"/>
      <c r="AJ25" s="22">
        <v>5414.6</v>
      </c>
      <c r="AK25" s="51"/>
      <c r="AL25" s="21">
        <v>5972.91</v>
      </c>
      <c r="AM25" s="48"/>
      <c r="AN25" s="22">
        <v>5562</v>
      </c>
      <c r="AO25" s="51"/>
      <c r="AP25" s="21">
        <v>5972.91</v>
      </c>
      <c r="AQ25" s="48"/>
      <c r="AR25" s="22">
        <v>5593</v>
      </c>
      <c r="AS25" s="51"/>
      <c r="AT25" s="21">
        <v>8166.67</v>
      </c>
      <c r="AU25" s="48"/>
      <c r="AV25" s="24">
        <f t="shared" si="15"/>
        <v>5593</v>
      </c>
      <c r="AW25" s="54"/>
      <c r="AX25" s="21">
        <v>8166.67</v>
      </c>
      <c r="AY25" s="48"/>
      <c r="AZ25" s="24">
        <f t="shared" si="16"/>
        <v>5593</v>
      </c>
      <c r="BA25" s="54"/>
      <c r="BB25" s="21">
        <v>8166.67</v>
      </c>
      <c r="BC25" s="48"/>
      <c r="BD25" s="24">
        <f t="shared" si="17"/>
        <v>5593</v>
      </c>
      <c r="BE25" s="54"/>
      <c r="BF25" s="21">
        <v>8166.67</v>
      </c>
      <c r="BG25" s="48"/>
      <c r="BH25" s="24">
        <f t="shared" si="18"/>
        <v>5593</v>
      </c>
      <c r="BI25" s="55"/>
      <c r="BJ25" s="25" t="s">
        <v>106</v>
      </c>
    </row>
    <row r="26" spans="1:62" ht="12.75">
      <c r="A26" s="15" t="s">
        <v>107</v>
      </c>
      <c r="B26" s="16" t="s">
        <v>108</v>
      </c>
      <c r="C26" s="16" t="s">
        <v>79</v>
      </c>
      <c r="D26" s="16">
        <v>0</v>
      </c>
      <c r="E26" s="18">
        <f>SUM(N26,R26,V26,Z26,AD26,AH26,AL26,AP26,AT26,AX26,BB26,BF26)</f>
        <v>0</v>
      </c>
      <c r="F26" s="18">
        <f>SUM(P26,T26,X26,AB26,AF26,AJ26,AN26,AR26,AV26,AZ26,BD26,BH26)</f>
        <v>0</v>
      </c>
      <c r="G26" s="18">
        <f t="shared" si="12"/>
        <v>0</v>
      </c>
      <c r="H26" s="18">
        <f>IFERROR(SUM(N26+R26+V26+Z26+AD26+AH26+AL26+AP26),"SIN_DATOS")</f>
        <v>0</v>
      </c>
      <c r="I26" s="18">
        <f>IFERROR(SUM(P26+T26+X26+AB26+AF26+AJ26+AN26+AR26),"SIN_DATOS")</f>
        <v>0</v>
      </c>
      <c r="J26" s="19" t="str">
        <f t="shared" si="0"/>
        <v>SIN DATO</v>
      </c>
      <c r="K26" s="19" t="str">
        <f t="shared" si="1"/>
        <v>SIN DATO</v>
      </c>
      <c r="L26" s="18">
        <f t="shared" si="2"/>
        <v>0</v>
      </c>
      <c r="M26" s="20" t="str">
        <f t="shared" si="3"/>
        <v>SIN DATO</v>
      </c>
      <c r="N26" s="21">
        <v>0</v>
      </c>
      <c r="O26" s="48"/>
      <c r="P26" s="22">
        <v>0</v>
      </c>
      <c r="Q26" s="51"/>
      <c r="R26" s="21">
        <v>0</v>
      </c>
      <c r="S26" s="48"/>
      <c r="T26" s="22">
        <v>0</v>
      </c>
      <c r="U26" s="51"/>
      <c r="V26" s="21">
        <v>0</v>
      </c>
      <c r="W26" s="48"/>
      <c r="X26" s="22">
        <v>0</v>
      </c>
      <c r="Y26" s="51"/>
      <c r="Z26" s="21">
        <v>0</v>
      </c>
      <c r="AA26" s="48"/>
      <c r="AB26" s="22">
        <v>0</v>
      </c>
      <c r="AC26" s="51"/>
      <c r="AD26" s="21">
        <v>0</v>
      </c>
      <c r="AE26" s="48"/>
      <c r="AF26" s="22">
        <v>0</v>
      </c>
      <c r="AG26" s="51"/>
      <c r="AH26" s="21">
        <v>0</v>
      </c>
      <c r="AI26" s="48"/>
      <c r="AJ26" s="22">
        <v>0</v>
      </c>
      <c r="AK26" s="51"/>
      <c r="AL26" s="21">
        <v>0</v>
      </c>
      <c r="AM26" s="48"/>
      <c r="AN26" s="22">
        <v>0</v>
      </c>
      <c r="AO26" s="51"/>
      <c r="AP26" s="21">
        <v>0</v>
      </c>
      <c r="AQ26" s="48"/>
      <c r="AR26" s="22">
        <v>0</v>
      </c>
      <c r="AS26" s="51"/>
      <c r="AT26" s="21">
        <v>0</v>
      </c>
      <c r="AU26" s="48"/>
      <c r="AV26" s="24">
        <f t="shared" si="15"/>
        <v>0</v>
      </c>
      <c r="AW26" s="54"/>
      <c r="AX26" s="21">
        <v>0</v>
      </c>
      <c r="AY26" s="48"/>
      <c r="AZ26" s="24">
        <f t="shared" si="16"/>
        <v>0</v>
      </c>
      <c r="BA26" s="54"/>
      <c r="BB26" s="21">
        <v>0</v>
      </c>
      <c r="BC26" s="48"/>
      <c r="BD26" s="24">
        <f t="shared" si="17"/>
        <v>0</v>
      </c>
      <c r="BE26" s="54"/>
      <c r="BF26" s="21">
        <v>0</v>
      </c>
      <c r="BG26" s="48"/>
      <c r="BH26" s="24">
        <f t="shared" si="18"/>
        <v>0</v>
      </c>
      <c r="BI26" s="55"/>
    </row>
    <row r="27" spans="1:62" ht="24.75">
      <c r="A27" s="15" t="s">
        <v>109</v>
      </c>
      <c r="B27" s="16" t="s">
        <v>110</v>
      </c>
      <c r="C27" s="16">
        <v>690999.96</v>
      </c>
      <c r="D27" s="16">
        <v>691000.08</v>
      </c>
      <c r="E27" s="18">
        <f>SUM(N27,R27,V27,Z27,AD27,AH27,AL27,AP27,AT27,AX27,BB27,BF27)</f>
        <v>691000.08000000007</v>
      </c>
      <c r="F27" s="18">
        <f>SUM(P27,T27,X27,AB27,AF27,AJ27,AN27,AR27,AV27,AZ27,BD27,BH27)</f>
        <v>691000.07999999973</v>
      </c>
      <c r="G27" s="18">
        <f t="shared" si="12"/>
        <v>0</v>
      </c>
      <c r="H27" s="18">
        <f>IFERROR(SUM(N27+R27+V27+Z27+AD27+AH27+AL27+AP27),"SIN_DATOS")</f>
        <v>460666.72000000009</v>
      </c>
      <c r="I27" s="18">
        <f>IFERROR(SUM(P27+T27+X27+AB27+AF27+AJ27+AN27+AR27),"SIN_DATOS")</f>
        <v>460666.71999999986</v>
      </c>
      <c r="J27" s="19">
        <f t="shared" si="0"/>
        <v>0.66666666666666641</v>
      </c>
      <c r="K27" s="19">
        <f t="shared" si="1"/>
        <v>0.66666666666666674</v>
      </c>
      <c r="L27" s="18">
        <f t="shared" si="2"/>
        <v>2.3283064365386963E-10</v>
      </c>
      <c r="M27" s="20">
        <f t="shared" si="3"/>
        <v>3.3306690738754696E-16</v>
      </c>
      <c r="N27" s="21">
        <v>57583.33</v>
      </c>
      <c r="O27" s="48"/>
      <c r="P27" s="23">
        <v>57583.34</v>
      </c>
      <c r="Q27" s="52" t="s">
        <v>221</v>
      </c>
      <c r="R27" s="21">
        <v>57583.33</v>
      </c>
      <c r="S27" s="48"/>
      <c r="T27" s="22">
        <v>57583.34</v>
      </c>
      <c r="U27" s="51"/>
      <c r="V27" s="21">
        <v>57583.33</v>
      </c>
      <c r="W27" s="48"/>
      <c r="X27" s="22">
        <v>57583.34</v>
      </c>
      <c r="Y27" s="51"/>
      <c r="Z27" s="21">
        <v>57583.37</v>
      </c>
      <c r="AA27" s="48"/>
      <c r="AB27" s="22">
        <v>57583.34</v>
      </c>
      <c r="AC27" s="51"/>
      <c r="AD27" s="21">
        <v>57583.340000000004</v>
      </c>
      <c r="AE27" s="48"/>
      <c r="AF27" s="22">
        <v>57583.34</v>
      </c>
      <c r="AG27" s="51"/>
      <c r="AH27" s="21">
        <v>57583.340000000004</v>
      </c>
      <c r="AI27" s="48"/>
      <c r="AJ27" s="22">
        <v>57583.34</v>
      </c>
      <c r="AK27" s="51"/>
      <c r="AL27" s="21">
        <v>57583.340000000004</v>
      </c>
      <c r="AM27" s="48"/>
      <c r="AN27" s="22">
        <f>AJ27</f>
        <v>57583.34</v>
      </c>
      <c r="AO27" s="51"/>
      <c r="AP27" s="21">
        <v>57583.340000000004</v>
      </c>
      <c r="AQ27" s="48"/>
      <c r="AR27" s="22">
        <f>AN27</f>
        <v>57583.34</v>
      </c>
      <c r="AS27" s="51"/>
      <c r="AT27" s="21">
        <v>57583.340000000004</v>
      </c>
      <c r="AU27" s="48"/>
      <c r="AV27" s="24">
        <f t="shared" si="15"/>
        <v>57583.34</v>
      </c>
      <c r="AW27" s="54"/>
      <c r="AX27" s="21">
        <v>57583.340000000004</v>
      </c>
      <c r="AY27" s="48"/>
      <c r="AZ27" s="24">
        <f t="shared" si="16"/>
        <v>57583.34</v>
      </c>
      <c r="BA27" s="54"/>
      <c r="BB27" s="21">
        <v>57583.340000000004</v>
      </c>
      <c r="BC27" s="48"/>
      <c r="BD27" s="24">
        <f t="shared" si="17"/>
        <v>57583.34</v>
      </c>
      <c r="BE27" s="54"/>
      <c r="BF27" s="21">
        <v>57583.340000000004</v>
      </c>
      <c r="BG27" s="48"/>
      <c r="BH27" s="24">
        <f t="shared" si="18"/>
        <v>57583.34</v>
      </c>
      <c r="BI27" s="55"/>
    </row>
    <row r="28" spans="1:62" ht="24.75">
      <c r="A28" s="15" t="s">
        <v>111</v>
      </c>
      <c r="B28" s="16" t="s">
        <v>112</v>
      </c>
      <c r="C28" s="16">
        <v>300219</v>
      </c>
      <c r="D28" s="16">
        <v>238228.18</v>
      </c>
      <c r="E28" s="18">
        <f>SUM(N28,R28,V28,Z28,AD28,AH28,AL28,AP28,AT28,AX28,BB28,BF28)</f>
        <v>331584.18999999994</v>
      </c>
      <c r="F28" s="18">
        <f>SUM(P28,T28,X28,AB28,AF28,AJ28,AN28,AR28,AV28,AZ28,BD28,BH28)</f>
        <v>322249.76000000007</v>
      </c>
      <c r="G28" s="18">
        <f t="shared" si="12"/>
        <v>9334.4299999998766</v>
      </c>
      <c r="H28" s="18">
        <f>IFERROR(SUM(N28+R28+V28+Z28+AD28+AH28+AL28+AP28),"SIN_DATOS")</f>
        <v>210683.24999999997</v>
      </c>
      <c r="I28" s="18">
        <f>IFERROR(SUM(P28+T28+X28+AB28+AF28+AJ28+AN28+AR28),"SIN_DATOS")</f>
        <v>204560.4</v>
      </c>
      <c r="J28" s="19">
        <f t="shared" si="0"/>
        <v>0.61691843631024756</v>
      </c>
      <c r="K28" s="19">
        <f t="shared" si="1"/>
        <v>0.63538388244626498</v>
      </c>
      <c r="L28" s="18">
        <f t="shared" si="2"/>
        <v>6122.8499999999767</v>
      </c>
      <c r="M28" s="20">
        <f t="shared" si="3"/>
        <v>1.8465446136017416E-2</v>
      </c>
      <c r="N28" s="21">
        <v>19852.349999999999</v>
      </c>
      <c r="O28" s="48"/>
      <c r="P28" s="23">
        <v>21717.759999999998</v>
      </c>
      <c r="Q28" s="52" t="s">
        <v>221</v>
      </c>
      <c r="R28" s="21">
        <v>19852.349999999999</v>
      </c>
      <c r="S28" s="48"/>
      <c r="T28" s="22">
        <v>21717.759999999998</v>
      </c>
      <c r="U28" s="51"/>
      <c r="V28" s="21">
        <v>19852.349999999999</v>
      </c>
      <c r="W28" s="48"/>
      <c r="X28" s="22">
        <v>21717.759999999998</v>
      </c>
      <c r="Y28" s="51"/>
      <c r="Z28" s="23">
        <v>30225.239999999998</v>
      </c>
      <c r="AA28" s="57" t="s">
        <v>226</v>
      </c>
      <c r="AB28" s="22">
        <v>21717.759999999998</v>
      </c>
      <c r="AC28" s="51"/>
      <c r="AD28" s="21">
        <v>30225.239999999998</v>
      </c>
      <c r="AE28" s="48"/>
      <c r="AF28" s="22">
        <v>29422.34</v>
      </c>
      <c r="AG28" s="51"/>
      <c r="AH28" s="21">
        <v>30225.239999999998</v>
      </c>
      <c r="AI28" s="48"/>
      <c r="AJ28" s="22">
        <v>29422.34</v>
      </c>
      <c r="AK28" s="51"/>
      <c r="AL28" s="21">
        <v>30225.239999999998</v>
      </c>
      <c r="AM28" s="48"/>
      <c r="AN28" s="22">
        <f>AJ28</f>
        <v>29422.34</v>
      </c>
      <c r="AO28" s="51"/>
      <c r="AP28" s="21">
        <v>30225.239999999998</v>
      </c>
      <c r="AQ28" s="48"/>
      <c r="AR28" s="22">
        <f>AN28</f>
        <v>29422.34</v>
      </c>
      <c r="AS28" s="51"/>
      <c r="AT28" s="21">
        <v>30225.239999999998</v>
      </c>
      <c r="AU28" s="48"/>
      <c r="AV28" s="24">
        <f t="shared" si="15"/>
        <v>29422.34</v>
      </c>
      <c r="AW28" s="54"/>
      <c r="AX28" s="21">
        <v>30225.239999999998</v>
      </c>
      <c r="AY28" s="48"/>
      <c r="AZ28" s="24">
        <f t="shared" si="16"/>
        <v>29422.34</v>
      </c>
      <c r="BA28" s="54"/>
      <c r="BB28" s="21">
        <v>30225.239999999998</v>
      </c>
      <c r="BC28" s="48"/>
      <c r="BD28" s="24">
        <f t="shared" si="17"/>
        <v>29422.34</v>
      </c>
      <c r="BE28" s="54"/>
      <c r="BF28" s="21">
        <v>30225.22</v>
      </c>
      <c r="BG28" s="48"/>
      <c r="BH28" s="24">
        <f t="shared" si="18"/>
        <v>29422.34</v>
      </c>
      <c r="BI28" s="55"/>
      <c r="BJ28" s="25" t="s">
        <v>113</v>
      </c>
    </row>
    <row r="29" spans="1:62" ht="24.75">
      <c r="A29" s="15" t="s">
        <v>114</v>
      </c>
      <c r="B29" s="16" t="s">
        <v>115</v>
      </c>
      <c r="C29" s="16">
        <v>546592.32999999996</v>
      </c>
      <c r="D29" s="16">
        <v>546592.32999999996</v>
      </c>
      <c r="E29" s="18">
        <f>SUM(N29,R29,V29,Z29,AD29,AH29,AL29,AP29,AT29,AX29,BB29,BF29)</f>
        <v>548648.56000000017</v>
      </c>
      <c r="F29" s="18">
        <f>SUM(P29,T29,X29,AB29,AF29,AJ29,AN29,AR29,AV29,AZ29,BD29,BH29)</f>
        <v>537415.46</v>
      </c>
      <c r="G29" s="18">
        <f t="shared" si="12"/>
        <v>11233.10000000021</v>
      </c>
      <c r="H29" s="18">
        <f>IFERROR(SUM(N29+R29+V29+Z29+AD29+AH29+AL29+AP29),"SIN_DATOS")</f>
        <v>373548.72000000009</v>
      </c>
      <c r="I29" s="18">
        <f>IFERROR(SUM(P29+T29+X29+AB29+AF29+AJ29+AN29+AR29),"SIN_DATOS")</f>
        <v>362315.7</v>
      </c>
      <c r="J29" s="19">
        <f t="shared" si="0"/>
        <v>0.66037847615967482</v>
      </c>
      <c r="K29" s="19">
        <f t="shared" si="1"/>
        <v>0.68085245680768758</v>
      </c>
      <c r="L29" s="18">
        <f t="shared" si="2"/>
        <v>11233.020000000077</v>
      </c>
      <c r="M29" s="20">
        <f t="shared" si="3"/>
        <v>2.0473980648012757E-2</v>
      </c>
      <c r="N29" s="21">
        <v>49612.23</v>
      </c>
      <c r="O29" s="48"/>
      <c r="P29" s="23">
        <v>46803.99</v>
      </c>
      <c r="Q29" s="52" t="s">
        <v>221</v>
      </c>
      <c r="R29" s="21">
        <v>49612.23</v>
      </c>
      <c r="S29" s="48"/>
      <c r="T29" s="22">
        <v>46803.99</v>
      </c>
      <c r="U29" s="51"/>
      <c r="V29" s="21">
        <v>49612.23</v>
      </c>
      <c r="W29" s="48"/>
      <c r="X29" s="22">
        <v>46803.98</v>
      </c>
      <c r="Y29" s="51"/>
      <c r="Z29" s="21">
        <v>49612.23</v>
      </c>
      <c r="AA29" s="48"/>
      <c r="AB29" s="22">
        <v>46803.98</v>
      </c>
      <c r="AC29" s="51"/>
      <c r="AD29" s="23">
        <v>43774.94</v>
      </c>
      <c r="AE29" s="52" t="s">
        <v>227</v>
      </c>
      <c r="AF29" s="22">
        <v>0</v>
      </c>
      <c r="AG29" s="51"/>
      <c r="AH29" s="21">
        <v>43774.94</v>
      </c>
      <c r="AI29" s="48"/>
      <c r="AJ29" s="23">
        <v>87549.88</v>
      </c>
      <c r="AK29" s="57" t="s">
        <v>228</v>
      </c>
      <c r="AL29" s="21">
        <v>43774.96</v>
      </c>
      <c r="AM29" s="48"/>
      <c r="AN29" s="22">
        <v>43774.94</v>
      </c>
      <c r="AO29" s="51"/>
      <c r="AP29" s="21">
        <v>43774.96</v>
      </c>
      <c r="AQ29" s="48"/>
      <c r="AR29" s="22">
        <f t="shared" ref="AR29:AR63" si="19">AN29</f>
        <v>43774.94</v>
      </c>
      <c r="AS29" s="51"/>
      <c r="AT29" s="21">
        <v>43774.96</v>
      </c>
      <c r="AU29" s="48"/>
      <c r="AV29" s="24">
        <f t="shared" si="15"/>
        <v>43774.94</v>
      </c>
      <c r="AW29" s="54"/>
      <c r="AX29" s="21">
        <v>43774.96</v>
      </c>
      <c r="AY29" s="48"/>
      <c r="AZ29" s="24">
        <f t="shared" si="16"/>
        <v>43774.94</v>
      </c>
      <c r="BA29" s="54"/>
      <c r="BB29" s="21">
        <v>43774.96</v>
      </c>
      <c r="BC29" s="48"/>
      <c r="BD29" s="24">
        <f t="shared" si="17"/>
        <v>43774.94</v>
      </c>
      <c r="BE29" s="54"/>
      <c r="BF29" s="21">
        <v>43774.96</v>
      </c>
      <c r="BG29" s="48"/>
      <c r="BH29" s="24">
        <f t="shared" si="18"/>
        <v>43774.94</v>
      </c>
      <c r="BI29" s="55"/>
      <c r="BJ29" s="25" t="s">
        <v>116</v>
      </c>
    </row>
    <row r="30" spans="1:62" ht="37.5">
      <c r="A30" s="15" t="s">
        <v>117</v>
      </c>
      <c r="B30" s="16" t="s">
        <v>118</v>
      </c>
      <c r="C30" s="16">
        <v>502200.24</v>
      </c>
      <c r="D30" s="16">
        <v>502200.37</v>
      </c>
      <c r="E30" s="18">
        <f>SUM(N30,R30,V30,Z30,AD30,AH30,AL30,AP30,AT30,AX30,BB30,BF30)</f>
        <v>502200.37000000005</v>
      </c>
      <c r="F30" s="18">
        <f>SUM(P30,T30,X30,AB30,AF30,AJ30,AN30,AR30,AV30,AZ30,BD30,BH30)</f>
        <v>503556.93000000017</v>
      </c>
      <c r="G30" s="18">
        <f t="shared" si="12"/>
        <v>-1356.5600000001141</v>
      </c>
      <c r="H30" s="18">
        <f>IFERROR(SUM(N30+R30+V30+Z30+AD30+AH30+AL30+AP30),"SIN_DATOS")</f>
        <v>336156.85</v>
      </c>
      <c r="I30" s="18">
        <f>IFERROR(SUM(P30+T30+X30+AB30+AF30+AJ30+AN30+AR30),"SIN_DATOS")</f>
        <v>336156.81000000006</v>
      </c>
      <c r="J30" s="19">
        <f t="shared" si="0"/>
        <v>0.66936790588186945</v>
      </c>
      <c r="K30" s="19">
        <f t="shared" si="1"/>
        <v>0.66936798553135268</v>
      </c>
      <c r="L30" s="18">
        <f t="shared" si="2"/>
        <v>3.9999999920837581E-2</v>
      </c>
      <c r="M30" s="20">
        <f t="shared" si="3"/>
        <v>7.9649483231136742E-8</v>
      </c>
      <c r="N30" s="21">
        <v>41850.019999999997</v>
      </c>
      <c r="O30" s="48"/>
      <c r="P30" s="22">
        <v>43206.6</v>
      </c>
      <c r="Q30" s="51"/>
      <c r="R30" s="21">
        <v>41850.019999999997</v>
      </c>
      <c r="S30" s="48"/>
      <c r="T30" s="23">
        <v>0</v>
      </c>
      <c r="U30" s="52" t="s">
        <v>229</v>
      </c>
      <c r="V30" s="21">
        <v>41850.019999999997</v>
      </c>
      <c r="W30" s="48"/>
      <c r="X30" s="22">
        <v>40493.46</v>
      </c>
      <c r="Y30" s="51"/>
      <c r="Z30" s="21">
        <v>41850.019999999997</v>
      </c>
      <c r="AA30" s="48"/>
      <c r="AB30" s="22">
        <v>41850.03</v>
      </c>
      <c r="AC30" s="51"/>
      <c r="AD30" s="21">
        <v>41850.049999999996</v>
      </c>
      <c r="AE30" s="48"/>
      <c r="AF30" s="22">
        <v>41850.03</v>
      </c>
      <c r="AG30" s="51"/>
      <c r="AH30" s="21">
        <v>43206.649999999994</v>
      </c>
      <c r="AI30" s="48"/>
      <c r="AJ30" s="23">
        <v>85056.63</v>
      </c>
      <c r="AK30" s="52" t="s">
        <v>230</v>
      </c>
      <c r="AL30" s="21">
        <v>41850.04</v>
      </c>
      <c r="AM30" s="48"/>
      <c r="AN30" s="22">
        <v>41850.03</v>
      </c>
      <c r="AO30" s="51"/>
      <c r="AP30" s="21">
        <v>41850.03</v>
      </c>
      <c r="AQ30" s="48"/>
      <c r="AR30" s="22">
        <f t="shared" si="19"/>
        <v>41850.03</v>
      </c>
      <c r="AS30" s="51"/>
      <c r="AT30" s="21">
        <v>41850.03</v>
      </c>
      <c r="AU30" s="48"/>
      <c r="AV30" s="24">
        <f t="shared" si="15"/>
        <v>41850.03</v>
      </c>
      <c r="AW30" s="54"/>
      <c r="AX30" s="21">
        <v>41850.03</v>
      </c>
      <c r="AY30" s="48"/>
      <c r="AZ30" s="24">
        <f t="shared" si="16"/>
        <v>41850.03</v>
      </c>
      <c r="BA30" s="54"/>
      <c r="BB30" s="21">
        <v>41850.03</v>
      </c>
      <c r="BC30" s="48"/>
      <c r="BD30" s="24">
        <f t="shared" si="17"/>
        <v>41850.03</v>
      </c>
      <c r="BE30" s="54"/>
      <c r="BF30" s="21">
        <v>40493.43</v>
      </c>
      <c r="BG30" s="48"/>
      <c r="BH30" s="24">
        <f t="shared" si="18"/>
        <v>41850.03</v>
      </c>
      <c r="BI30" s="55"/>
    </row>
    <row r="31" spans="1:62" ht="24.75">
      <c r="A31" s="15" t="s">
        <v>119</v>
      </c>
      <c r="B31" s="16" t="s">
        <v>120</v>
      </c>
      <c r="C31" s="16">
        <v>425067.1</v>
      </c>
      <c r="D31" s="16">
        <v>425067.1</v>
      </c>
      <c r="E31" s="18">
        <f>SUM(N31,R31,V31,Z31,AD31,AH31,AL31,AP31,AT31,AX31,BB31,BF31)</f>
        <v>425067.10000000009</v>
      </c>
      <c r="F31" s="18">
        <f>SUM(P31,T31,X31,AB31,AF31,AJ31,AN31,AR31,AV31,AZ31,BD31,BH31)</f>
        <v>397192.34999999992</v>
      </c>
      <c r="G31" s="18">
        <f t="shared" si="12"/>
        <v>27874.750000000175</v>
      </c>
      <c r="H31" s="18">
        <f>IFERROR(SUM(N31+R31+V31+Z31+AD31+AH31+AL31+AP31),"SIN_DATOS")</f>
        <v>236172.89</v>
      </c>
      <c r="I31" s="18">
        <f>IFERROR(SUM(P31+T31+X31+AB31+AF31+AJ31+AN31+AR31),"SIN_DATOS")</f>
        <v>238419.66999999998</v>
      </c>
      <c r="J31" s="19">
        <f t="shared" si="0"/>
        <v>0.56089890278499543</v>
      </c>
      <c r="K31" s="19">
        <f t="shared" si="1"/>
        <v>0.55561319612832882</v>
      </c>
      <c r="L31" s="18">
        <f t="shared" si="2"/>
        <v>-2246.7799999999697</v>
      </c>
      <c r="M31" s="20">
        <f t="shared" si="3"/>
        <v>-5.2857066566666111E-3</v>
      </c>
      <c r="N31" s="21">
        <v>33976.449999999997</v>
      </c>
      <c r="O31" s="48"/>
      <c r="P31" s="23">
        <v>28389.5</v>
      </c>
      <c r="Q31" s="52" t="s">
        <v>221</v>
      </c>
      <c r="R31" s="21">
        <v>33976.449999999997</v>
      </c>
      <c r="S31" s="48"/>
      <c r="T31" s="22">
        <v>28389.5</v>
      </c>
      <c r="U31" s="51"/>
      <c r="V31" s="21">
        <v>33976.449999999997</v>
      </c>
      <c r="W31" s="48"/>
      <c r="X31" s="22">
        <v>28389.5</v>
      </c>
      <c r="Y31" s="51"/>
      <c r="Z31" s="21">
        <v>33976.449999999997</v>
      </c>
      <c r="AA31" s="48"/>
      <c r="AB31" s="22">
        <v>28389.5</v>
      </c>
      <c r="AC31" s="51"/>
      <c r="AD31" s="21">
        <v>33976.449999999997</v>
      </c>
      <c r="AE31" s="48"/>
      <c r="AF31" s="22">
        <v>28389.5</v>
      </c>
      <c r="AG31" s="51"/>
      <c r="AH31" s="21">
        <v>33976.449999999997</v>
      </c>
      <c r="AI31" s="48"/>
      <c r="AJ31" s="22">
        <v>28389.5</v>
      </c>
      <c r="AK31" s="51"/>
      <c r="AL31" s="21">
        <v>33976.449999999997</v>
      </c>
      <c r="AM31" s="48"/>
      <c r="AN31" s="22">
        <f t="shared" ref="AN31:AN49" si="20">AJ31</f>
        <v>28389.5</v>
      </c>
      <c r="AO31" s="51"/>
      <c r="AP31" s="21">
        <v>-1662.260000000002</v>
      </c>
      <c r="AQ31" s="48"/>
      <c r="AR31" s="22">
        <v>39693.17</v>
      </c>
      <c r="AS31" s="51"/>
      <c r="AT31" s="21">
        <v>37446.39</v>
      </c>
      <c r="AU31" s="48"/>
      <c r="AV31" s="24">
        <f t="shared" si="15"/>
        <v>39693.17</v>
      </c>
      <c r="AW31" s="54"/>
      <c r="AX31" s="21">
        <v>37446.39</v>
      </c>
      <c r="AY31" s="48"/>
      <c r="AZ31" s="24">
        <f t="shared" si="16"/>
        <v>39693.17</v>
      </c>
      <c r="BA31" s="54"/>
      <c r="BB31" s="21">
        <v>37446.39</v>
      </c>
      <c r="BC31" s="48"/>
      <c r="BD31" s="24">
        <f t="shared" si="17"/>
        <v>39693.17</v>
      </c>
      <c r="BE31" s="54"/>
      <c r="BF31" s="21">
        <v>76555.040000000008</v>
      </c>
      <c r="BG31" s="48"/>
      <c r="BH31" s="24">
        <f t="shared" si="18"/>
        <v>39693.17</v>
      </c>
      <c r="BI31" s="55"/>
      <c r="BJ31" s="25" t="s">
        <v>231</v>
      </c>
    </row>
    <row r="32" spans="1:62" ht="24.75">
      <c r="A32" s="15" t="s">
        <v>122</v>
      </c>
      <c r="B32" s="16" t="s">
        <v>123</v>
      </c>
      <c r="C32" s="16">
        <v>762149.42</v>
      </c>
      <c r="D32" s="16">
        <v>724041.95</v>
      </c>
      <c r="E32" s="18">
        <f>SUM(N32,R32,V32,Z32,AD32,AH32,AL32,AP32,AT32,AX32,BB32,BF32)</f>
        <v>724041.95</v>
      </c>
      <c r="F32" s="18">
        <f>SUM(P32,T32,X32,AB32,AF32,AJ32,AN32,AR32,AV32,AZ32,BD32,BH32)</f>
        <v>758904</v>
      </c>
      <c r="G32" s="18">
        <f t="shared" si="12"/>
        <v>-34862.050000000047</v>
      </c>
      <c r="H32" s="18">
        <f>IFERROR(SUM(N32+R32+V32+Z32+AD32+AH32+AL32+AP32),"SIN_DATOS")</f>
        <v>505936</v>
      </c>
      <c r="I32" s="18">
        <f>IFERROR(SUM(P32+T32+X32+AB32+AF32+AJ32+AN32+AR32),"SIN_DATOS")</f>
        <v>505936</v>
      </c>
      <c r="J32" s="19">
        <f t="shared" si="0"/>
        <v>0.69876614193417941</v>
      </c>
      <c r="K32" s="19">
        <f t="shared" si="1"/>
        <v>0.69876614193417941</v>
      </c>
      <c r="L32" s="18">
        <f t="shared" si="2"/>
        <v>0</v>
      </c>
      <c r="M32" s="20">
        <f t="shared" si="3"/>
        <v>0</v>
      </c>
      <c r="N32" s="21">
        <v>63242</v>
      </c>
      <c r="O32" s="48"/>
      <c r="P32" s="23">
        <v>63242</v>
      </c>
      <c r="Q32" s="52" t="s">
        <v>221</v>
      </c>
      <c r="R32" s="21">
        <v>63242</v>
      </c>
      <c r="S32" s="48"/>
      <c r="T32" s="22">
        <v>63242</v>
      </c>
      <c r="U32" s="51"/>
      <c r="V32" s="21">
        <v>63242</v>
      </c>
      <c r="W32" s="48"/>
      <c r="X32" s="22">
        <v>63242</v>
      </c>
      <c r="Y32" s="51"/>
      <c r="Z32" s="21">
        <v>63242</v>
      </c>
      <c r="AA32" s="48"/>
      <c r="AB32" s="22">
        <v>63242</v>
      </c>
      <c r="AC32" s="51"/>
      <c r="AD32" s="21">
        <v>63242</v>
      </c>
      <c r="AE32" s="48"/>
      <c r="AF32" s="22">
        <v>63242</v>
      </c>
      <c r="AG32" s="51"/>
      <c r="AH32" s="21">
        <v>63242</v>
      </c>
      <c r="AI32" s="48"/>
      <c r="AJ32" s="22">
        <v>63242</v>
      </c>
      <c r="AK32" s="51"/>
      <c r="AL32" s="21">
        <v>63242</v>
      </c>
      <c r="AM32" s="48"/>
      <c r="AN32" s="22">
        <f t="shared" si="20"/>
        <v>63242</v>
      </c>
      <c r="AO32" s="51"/>
      <c r="AP32" s="21">
        <v>63242</v>
      </c>
      <c r="AQ32" s="48"/>
      <c r="AR32" s="22">
        <f t="shared" si="19"/>
        <v>63242</v>
      </c>
      <c r="AS32" s="51"/>
      <c r="AT32" s="21">
        <v>63242</v>
      </c>
      <c r="AU32" s="48"/>
      <c r="AV32" s="24">
        <f t="shared" si="15"/>
        <v>63242</v>
      </c>
      <c r="AW32" s="54"/>
      <c r="AX32" s="21">
        <v>63242</v>
      </c>
      <c r="AY32" s="48"/>
      <c r="AZ32" s="24">
        <f t="shared" si="16"/>
        <v>63242</v>
      </c>
      <c r="BA32" s="54"/>
      <c r="BB32" s="21">
        <v>63242</v>
      </c>
      <c r="BC32" s="48"/>
      <c r="BD32" s="24">
        <f t="shared" si="17"/>
        <v>63242</v>
      </c>
      <c r="BE32" s="54"/>
      <c r="BF32" s="23">
        <v>28379.95</v>
      </c>
      <c r="BG32" s="52" t="s">
        <v>232</v>
      </c>
      <c r="BH32" s="24">
        <f t="shared" si="18"/>
        <v>63242</v>
      </c>
      <c r="BI32" s="55"/>
      <c r="BJ32" s="35" t="s">
        <v>124</v>
      </c>
    </row>
    <row r="33" spans="1:62" ht="24.75">
      <c r="A33" s="15" t="s">
        <v>125</v>
      </c>
      <c r="B33" s="16" t="s">
        <v>126</v>
      </c>
      <c r="C33" s="16">
        <v>89976.36</v>
      </c>
      <c r="D33" s="16">
        <v>89976.36</v>
      </c>
      <c r="E33" s="18">
        <f>SUM(N33,R33,V33,Z33,AD33,AH33,AL33,AP33,AT33,AX33,BB33,BF33)</f>
        <v>89976.36</v>
      </c>
      <c r="F33" s="18">
        <f>SUM(P33,T33,X33,AB33,AF33,AJ33,AN33,AR33,AV33,AZ33,BD33,BH33)</f>
        <v>89976.240000000034</v>
      </c>
      <c r="G33" s="18">
        <f t="shared" si="12"/>
        <v>0.11999999996623956</v>
      </c>
      <c r="H33" s="18">
        <f>IFERROR(SUM(N33+R33+V33+Z33+AD33+AH33+AL33+AP33),"SIN_DATOS")</f>
        <v>59984.24</v>
      </c>
      <c r="I33" s="18">
        <f>IFERROR(SUM(P33+T33+X33+AB33+AF33+AJ33+AN33+AR33),"SIN_DATOS")</f>
        <v>59984.160000000018</v>
      </c>
      <c r="J33" s="19">
        <f t="shared" si="0"/>
        <v>0.66666577754423517</v>
      </c>
      <c r="K33" s="19">
        <f t="shared" si="1"/>
        <v>0.66666666666666663</v>
      </c>
      <c r="L33" s="18">
        <f t="shared" si="2"/>
        <v>7.9999999979918357E-2</v>
      </c>
      <c r="M33" s="20">
        <f t="shared" si="3"/>
        <v>8.8912243145777836E-7</v>
      </c>
      <c r="N33" s="21">
        <v>7498.03</v>
      </c>
      <c r="O33" s="48"/>
      <c r="P33" s="23">
        <v>7498.02</v>
      </c>
      <c r="Q33" s="52" t="s">
        <v>221</v>
      </c>
      <c r="R33" s="21">
        <v>7498.03</v>
      </c>
      <c r="S33" s="48"/>
      <c r="T33" s="22">
        <v>7498.02</v>
      </c>
      <c r="U33" s="51"/>
      <c r="V33" s="21">
        <v>7498.03</v>
      </c>
      <c r="W33" s="48"/>
      <c r="X33" s="22">
        <v>7498.02</v>
      </c>
      <c r="Y33" s="51"/>
      <c r="Z33" s="21">
        <v>7498.03</v>
      </c>
      <c r="AA33" s="48"/>
      <c r="AB33" s="22">
        <v>7498.02</v>
      </c>
      <c r="AC33" s="51"/>
      <c r="AD33" s="21">
        <v>7498.03</v>
      </c>
      <c r="AE33" s="48"/>
      <c r="AF33" s="22">
        <v>7498.02</v>
      </c>
      <c r="AG33" s="51"/>
      <c r="AH33" s="21">
        <v>7498.03</v>
      </c>
      <c r="AI33" s="48"/>
      <c r="AJ33" s="22">
        <v>7498.02</v>
      </c>
      <c r="AK33" s="51"/>
      <c r="AL33" s="21">
        <v>7498.03</v>
      </c>
      <c r="AM33" s="48"/>
      <c r="AN33" s="22">
        <f t="shared" si="20"/>
        <v>7498.02</v>
      </c>
      <c r="AO33" s="51"/>
      <c r="AP33" s="21">
        <v>7498.03</v>
      </c>
      <c r="AQ33" s="48"/>
      <c r="AR33" s="22">
        <f t="shared" si="19"/>
        <v>7498.02</v>
      </c>
      <c r="AS33" s="51"/>
      <c r="AT33" s="21">
        <v>7498.03</v>
      </c>
      <c r="AU33" s="48"/>
      <c r="AV33" s="24">
        <f t="shared" si="15"/>
        <v>7498.02</v>
      </c>
      <c r="AW33" s="54"/>
      <c r="AX33" s="21">
        <v>7498.03</v>
      </c>
      <c r="AY33" s="48"/>
      <c r="AZ33" s="24">
        <f t="shared" si="16"/>
        <v>7498.02</v>
      </c>
      <c r="BA33" s="54"/>
      <c r="BB33" s="21">
        <v>7498.03</v>
      </c>
      <c r="BC33" s="48"/>
      <c r="BD33" s="24">
        <f t="shared" si="17"/>
        <v>7498.02</v>
      </c>
      <c r="BE33" s="54"/>
      <c r="BF33" s="21">
        <v>7498.03</v>
      </c>
      <c r="BG33" s="48"/>
      <c r="BH33" s="24">
        <f t="shared" si="18"/>
        <v>7498.02</v>
      </c>
      <c r="BI33" s="55"/>
    </row>
    <row r="34" spans="1:62" ht="24.75">
      <c r="A34" s="15" t="s">
        <v>127</v>
      </c>
      <c r="B34" s="16" t="s">
        <v>128</v>
      </c>
      <c r="C34" s="16">
        <v>1023629</v>
      </c>
      <c r="D34" s="16">
        <v>1023629</v>
      </c>
      <c r="E34" s="18">
        <f>SUM(N34,R34,V34,Z34,AD34,AH34,AL34,AP34,AT34,AX34,BB34,BF34)</f>
        <v>1023629</v>
      </c>
      <c r="F34" s="18">
        <f>SUM(P34,T34,X34,AB34,AF34,AJ34,AN34,AR34,AV34,AZ34,BD34,BH34)</f>
        <v>1033500</v>
      </c>
      <c r="G34" s="18">
        <f t="shared" si="12"/>
        <v>-9871</v>
      </c>
      <c r="H34" s="18">
        <f>IFERROR(SUM(N34+R34+V34+Z34+AD34+AH34+AL34+AP34),"SIN_DATOS")</f>
        <v>689000</v>
      </c>
      <c r="I34" s="18">
        <f>IFERROR(SUM(P34+T34+X34+AB34+AF34+AJ34+AN34+AR34),"SIN_DATOS")</f>
        <v>689000</v>
      </c>
      <c r="J34" s="19">
        <f t="shared" si="0"/>
        <v>0.6730954281287459</v>
      </c>
      <c r="K34" s="19">
        <f t="shared" si="1"/>
        <v>0.6730954281287459</v>
      </c>
      <c r="L34" s="18">
        <f t="shared" si="2"/>
        <v>0</v>
      </c>
      <c r="M34" s="20">
        <f t="shared" si="3"/>
        <v>0</v>
      </c>
      <c r="N34" s="21">
        <v>0</v>
      </c>
      <c r="O34" s="48"/>
      <c r="P34" s="23">
        <v>86125</v>
      </c>
      <c r="Q34" s="52" t="s">
        <v>221</v>
      </c>
      <c r="R34" s="21">
        <v>0</v>
      </c>
      <c r="S34" s="48"/>
      <c r="T34" s="22">
        <v>86125</v>
      </c>
      <c r="U34" s="51"/>
      <c r="V34" s="23">
        <v>258375</v>
      </c>
      <c r="W34" s="57" t="s">
        <v>233</v>
      </c>
      <c r="X34" s="22">
        <v>86125</v>
      </c>
      <c r="Y34" s="51"/>
      <c r="Z34" s="21">
        <v>86125</v>
      </c>
      <c r="AA34" s="48"/>
      <c r="AB34" s="22">
        <v>86125</v>
      </c>
      <c r="AC34" s="51"/>
      <c r="AD34" s="21">
        <v>86125</v>
      </c>
      <c r="AE34" s="48"/>
      <c r="AF34" s="22">
        <v>86125</v>
      </c>
      <c r="AG34" s="51"/>
      <c r="AH34" s="21">
        <v>86125</v>
      </c>
      <c r="AI34" s="48"/>
      <c r="AJ34" s="22">
        <v>86125</v>
      </c>
      <c r="AK34" s="51"/>
      <c r="AL34" s="21">
        <v>86125</v>
      </c>
      <c r="AM34" s="48"/>
      <c r="AN34" s="22">
        <f t="shared" si="20"/>
        <v>86125</v>
      </c>
      <c r="AO34" s="51"/>
      <c r="AP34" s="21">
        <v>86125</v>
      </c>
      <c r="AQ34" s="48"/>
      <c r="AR34" s="22">
        <f t="shared" si="19"/>
        <v>86125</v>
      </c>
      <c r="AS34" s="51"/>
      <c r="AT34" s="21">
        <v>86125</v>
      </c>
      <c r="AU34" s="48"/>
      <c r="AV34" s="24">
        <f t="shared" si="15"/>
        <v>86125</v>
      </c>
      <c r="AW34" s="54"/>
      <c r="AX34" s="21">
        <v>86125</v>
      </c>
      <c r="AY34" s="48"/>
      <c r="AZ34" s="24">
        <f t="shared" si="16"/>
        <v>86125</v>
      </c>
      <c r="BA34" s="54"/>
      <c r="BB34" s="23">
        <v>81189.5</v>
      </c>
      <c r="BC34" s="52" t="s">
        <v>234</v>
      </c>
      <c r="BD34" s="24">
        <f t="shared" si="17"/>
        <v>86125</v>
      </c>
      <c r="BE34" s="54"/>
      <c r="BF34" s="21">
        <v>81189.5</v>
      </c>
      <c r="BG34" s="48"/>
      <c r="BH34" s="24">
        <f t="shared" si="18"/>
        <v>86125</v>
      </c>
      <c r="BI34" s="55"/>
      <c r="BJ34" s="25" t="s">
        <v>129</v>
      </c>
    </row>
    <row r="35" spans="1:62" ht="12.75">
      <c r="A35" s="15" t="s">
        <v>130</v>
      </c>
      <c r="B35" s="16" t="s">
        <v>131</v>
      </c>
      <c r="C35" s="16">
        <v>0</v>
      </c>
      <c r="D35" s="16">
        <v>0</v>
      </c>
      <c r="E35" s="18">
        <f>SUM(N35,R35,V35,Z35,AD35,AH35,AL35,AP35,AT35,AX35,BB35,BF35)</f>
        <v>0</v>
      </c>
      <c r="F35" s="18">
        <f>SUM(P35,T35,X35,AB35,AF35,AJ35,AN35,AR35,AV35,AZ35,BD35,BH35)</f>
        <v>0</v>
      </c>
      <c r="G35" s="18">
        <f t="shared" si="12"/>
        <v>0</v>
      </c>
      <c r="H35" s="18">
        <f>IFERROR(SUM(N35+R35+V35+Z35+AD35+AH35+AL35+AP35),"SIN_DATOS")</f>
        <v>0</v>
      </c>
      <c r="I35" s="18">
        <f>IFERROR(SUM(P35+T35+X35+AB35+AF35+AJ35+AN35+AR35),"SIN_DATOS")</f>
        <v>0</v>
      </c>
      <c r="J35" s="19" t="str">
        <f t="shared" si="0"/>
        <v>SIN DATO</v>
      </c>
      <c r="K35" s="19" t="str">
        <f t="shared" si="1"/>
        <v>SIN DATO</v>
      </c>
      <c r="L35" s="18">
        <f t="shared" si="2"/>
        <v>0</v>
      </c>
      <c r="M35" s="20" t="str">
        <f t="shared" si="3"/>
        <v>SIN DATO</v>
      </c>
      <c r="N35" s="21">
        <v>0</v>
      </c>
      <c r="O35" s="48"/>
      <c r="P35" s="22">
        <v>0</v>
      </c>
      <c r="Q35" s="51"/>
      <c r="R35" s="21">
        <v>0</v>
      </c>
      <c r="S35" s="48"/>
      <c r="T35" s="22">
        <v>0</v>
      </c>
      <c r="U35" s="51"/>
      <c r="V35" s="21">
        <v>0</v>
      </c>
      <c r="W35" s="48"/>
      <c r="X35" s="22">
        <v>0</v>
      </c>
      <c r="Y35" s="51"/>
      <c r="Z35" s="21">
        <v>0</v>
      </c>
      <c r="AA35" s="48"/>
      <c r="AB35" s="22">
        <v>0</v>
      </c>
      <c r="AC35" s="51"/>
      <c r="AD35" s="21">
        <v>0</v>
      </c>
      <c r="AE35" s="48"/>
      <c r="AF35" s="22">
        <v>0</v>
      </c>
      <c r="AG35" s="51"/>
      <c r="AH35" s="21">
        <v>0</v>
      </c>
      <c r="AI35" s="48"/>
      <c r="AJ35" s="22">
        <v>0</v>
      </c>
      <c r="AK35" s="51"/>
      <c r="AL35" s="21">
        <v>0</v>
      </c>
      <c r="AM35" s="48"/>
      <c r="AN35" s="22">
        <f t="shared" si="20"/>
        <v>0</v>
      </c>
      <c r="AO35" s="51"/>
      <c r="AP35" s="21">
        <v>0</v>
      </c>
      <c r="AQ35" s="48"/>
      <c r="AR35" s="22">
        <f t="shared" si="19"/>
        <v>0</v>
      </c>
      <c r="AS35" s="51"/>
      <c r="AT35" s="21">
        <v>0</v>
      </c>
      <c r="AU35" s="48"/>
      <c r="AV35" s="24">
        <f t="shared" si="15"/>
        <v>0</v>
      </c>
      <c r="AW35" s="54"/>
      <c r="AX35" s="21">
        <v>0</v>
      </c>
      <c r="AY35" s="48"/>
      <c r="AZ35" s="24">
        <f t="shared" si="16"/>
        <v>0</v>
      </c>
      <c r="BA35" s="54"/>
      <c r="BB35" s="21">
        <v>0</v>
      </c>
      <c r="BC35" s="48"/>
      <c r="BD35" s="24">
        <f t="shared" si="17"/>
        <v>0</v>
      </c>
      <c r="BE35" s="54"/>
      <c r="BF35" s="21">
        <v>0</v>
      </c>
      <c r="BG35" s="48"/>
      <c r="BH35" s="24">
        <f t="shared" si="18"/>
        <v>0</v>
      </c>
      <c r="BI35" s="55"/>
    </row>
    <row r="36" spans="1:62" ht="24.75">
      <c r="A36" s="15" t="s">
        <v>132</v>
      </c>
      <c r="B36" s="16" t="s">
        <v>133</v>
      </c>
      <c r="C36" s="16">
        <v>79867.8</v>
      </c>
      <c r="D36" s="16">
        <v>79867.8</v>
      </c>
      <c r="E36" s="18">
        <f>SUM(N36,R36,V36,Z36,AD36,AH36,AL36,AP36,AT36,AX36,BB36,BF36)</f>
        <v>79867.799999999988</v>
      </c>
      <c r="F36" s="18">
        <f>SUM(P36,T36,X36,AB36,AF36,AJ36,AN36,AR36,AV36,AZ36,BD36,BH36)</f>
        <v>79867.799999999988</v>
      </c>
      <c r="G36" s="18">
        <f t="shared" si="12"/>
        <v>0</v>
      </c>
      <c r="H36" s="18">
        <f>IFERROR(SUM(N36+R36+V36+Z36+AD36+AH36+AL36+AP36),"SIN_DATOS")</f>
        <v>53245.200000000004</v>
      </c>
      <c r="I36" s="18">
        <f>IFERROR(SUM(P36+T36+X36+AB36+AF36+AJ36+AN36+AR36),"SIN_DATOS")</f>
        <v>53245.200000000004</v>
      </c>
      <c r="J36" s="19">
        <f t="shared" si="0"/>
        <v>0.66666666666666685</v>
      </c>
      <c r="K36" s="19">
        <f t="shared" si="1"/>
        <v>0.66666666666666685</v>
      </c>
      <c r="L36" s="18">
        <f t="shared" si="2"/>
        <v>0</v>
      </c>
      <c r="M36" s="20">
        <f t="shared" si="3"/>
        <v>0</v>
      </c>
      <c r="N36" s="21">
        <v>6655.65</v>
      </c>
      <c r="O36" s="48"/>
      <c r="P36" s="23">
        <v>6655.65</v>
      </c>
      <c r="Q36" s="52" t="s">
        <v>221</v>
      </c>
      <c r="R36" s="21">
        <v>6655.65</v>
      </c>
      <c r="S36" s="48"/>
      <c r="T36" s="22">
        <v>6655.65</v>
      </c>
      <c r="U36" s="51"/>
      <c r="V36" s="21">
        <v>6655.65</v>
      </c>
      <c r="W36" s="48"/>
      <c r="X36" s="22">
        <v>6655.65</v>
      </c>
      <c r="Y36" s="51"/>
      <c r="Z36" s="21">
        <v>6655.65</v>
      </c>
      <c r="AA36" s="48"/>
      <c r="AB36" s="22">
        <v>6655.65</v>
      </c>
      <c r="AC36" s="51"/>
      <c r="AD36" s="21">
        <v>6655.65</v>
      </c>
      <c r="AE36" s="48"/>
      <c r="AF36" s="22">
        <v>6655.65</v>
      </c>
      <c r="AG36" s="51"/>
      <c r="AH36" s="21">
        <v>6655.65</v>
      </c>
      <c r="AI36" s="48"/>
      <c r="AJ36" s="22">
        <v>6655.65</v>
      </c>
      <c r="AK36" s="51"/>
      <c r="AL36" s="21">
        <v>6655.65</v>
      </c>
      <c r="AM36" s="48"/>
      <c r="AN36" s="22">
        <f t="shared" si="20"/>
        <v>6655.65</v>
      </c>
      <c r="AO36" s="51"/>
      <c r="AP36" s="21">
        <v>6655.65</v>
      </c>
      <c r="AQ36" s="48"/>
      <c r="AR36" s="22">
        <f t="shared" si="19"/>
        <v>6655.65</v>
      </c>
      <c r="AS36" s="51"/>
      <c r="AT36" s="21">
        <v>6655.65</v>
      </c>
      <c r="AU36" s="48"/>
      <c r="AV36" s="24">
        <f t="shared" si="15"/>
        <v>6655.65</v>
      </c>
      <c r="AW36" s="54"/>
      <c r="AX36" s="21">
        <v>6655.65</v>
      </c>
      <c r="AY36" s="48"/>
      <c r="AZ36" s="24">
        <f t="shared" si="16"/>
        <v>6655.65</v>
      </c>
      <c r="BA36" s="54"/>
      <c r="BB36" s="21">
        <v>6655.65</v>
      </c>
      <c r="BC36" s="48"/>
      <c r="BD36" s="24">
        <f t="shared" si="17"/>
        <v>6655.65</v>
      </c>
      <c r="BE36" s="54"/>
      <c r="BF36" s="21">
        <v>6655.65</v>
      </c>
      <c r="BG36" s="48"/>
      <c r="BH36" s="24">
        <f t="shared" si="18"/>
        <v>6655.65</v>
      </c>
      <c r="BI36" s="55"/>
    </row>
    <row r="37" spans="1:62" ht="12.75">
      <c r="A37" s="15" t="s">
        <v>134</v>
      </c>
      <c r="B37" s="16" t="s">
        <v>135</v>
      </c>
      <c r="C37" s="16">
        <v>0</v>
      </c>
      <c r="D37" s="16">
        <v>0</v>
      </c>
      <c r="E37" s="18">
        <f>SUM(N37,R37,V37,Z37,AD37,AH37,AL37,AP37,AT37,AX37,BB37,BF37)</f>
        <v>0</v>
      </c>
      <c r="F37" s="18">
        <f>SUM(P37,T37,X37,AB37,AF37,AJ37,AN37,AR37,AV37,AZ37,BD37,BH37)</f>
        <v>0</v>
      </c>
      <c r="G37" s="18">
        <f t="shared" si="12"/>
        <v>0</v>
      </c>
      <c r="H37" s="18" t="str">
        <f>IFERROR(SUM(N37+R37+V37+Z37+AD37+AH37+AL37+AP37),"SIN_DATOS")</f>
        <v>SIN_DATOS</v>
      </c>
      <c r="I37" s="18" t="str">
        <f>IFERROR(SUM(P37+T37+X37+AB37+AF37+AJ37+AN37+AR37),"SIN_DATOS")</f>
        <v>SIN_DATOS</v>
      </c>
      <c r="J37" s="19" t="str">
        <f t="shared" si="0"/>
        <v>SIN DATO</v>
      </c>
      <c r="K37" s="19" t="str">
        <f t="shared" si="1"/>
        <v>SIN DATO</v>
      </c>
      <c r="L37" s="18" t="str">
        <f t="shared" si="2"/>
        <v>SIN DATO</v>
      </c>
      <c r="M37" s="20" t="str">
        <f t="shared" si="3"/>
        <v>SIN DATO</v>
      </c>
      <c r="N37" s="21" t="s">
        <v>70</v>
      </c>
      <c r="O37" s="48"/>
      <c r="P37" s="22" t="s">
        <v>70</v>
      </c>
      <c r="Q37" s="51"/>
      <c r="R37" s="21" t="s">
        <v>70</v>
      </c>
      <c r="S37" s="48"/>
      <c r="T37" s="22" t="s">
        <v>70</v>
      </c>
      <c r="U37" s="51"/>
      <c r="V37" s="21" t="s">
        <v>70</v>
      </c>
      <c r="W37" s="48"/>
      <c r="X37" s="22" t="s">
        <v>70</v>
      </c>
      <c r="Y37" s="51"/>
      <c r="Z37" s="21" t="s">
        <v>70</v>
      </c>
      <c r="AA37" s="48"/>
      <c r="AB37" s="22" t="s">
        <v>70</v>
      </c>
      <c r="AC37" s="51"/>
      <c r="AD37" s="21" t="s">
        <v>70</v>
      </c>
      <c r="AE37" s="48"/>
      <c r="AF37" s="22" t="s">
        <v>70</v>
      </c>
      <c r="AG37" s="51"/>
      <c r="AH37" s="21" t="s">
        <v>70</v>
      </c>
      <c r="AI37" s="48"/>
      <c r="AJ37" s="22" t="s">
        <v>70</v>
      </c>
      <c r="AK37" s="51"/>
      <c r="AL37" s="21" t="s">
        <v>70</v>
      </c>
      <c r="AM37" s="48"/>
      <c r="AN37" s="22" t="str">
        <f t="shared" si="20"/>
        <v>SIN DATO</v>
      </c>
      <c r="AO37" s="51"/>
      <c r="AP37" s="21" t="s">
        <v>70</v>
      </c>
      <c r="AQ37" s="48"/>
      <c r="AR37" s="22" t="str">
        <f t="shared" si="19"/>
        <v>SIN DATO</v>
      </c>
      <c r="AS37" s="51"/>
      <c r="AT37" s="21" t="s">
        <v>70</v>
      </c>
      <c r="AU37" s="48"/>
      <c r="AV37" s="24" t="str">
        <f t="shared" si="15"/>
        <v>SIN DATO</v>
      </c>
      <c r="AW37" s="54"/>
      <c r="AX37" s="21" t="s">
        <v>70</v>
      </c>
      <c r="AY37" s="48"/>
      <c r="AZ37" s="24" t="str">
        <f t="shared" si="16"/>
        <v>SIN DATO</v>
      </c>
      <c r="BA37" s="54"/>
      <c r="BB37" s="21" t="s">
        <v>70</v>
      </c>
      <c r="BC37" s="48"/>
      <c r="BD37" s="24" t="str">
        <f t="shared" si="17"/>
        <v>SIN DATO</v>
      </c>
      <c r="BE37" s="54"/>
      <c r="BF37" s="21" t="s">
        <v>70</v>
      </c>
      <c r="BG37" s="48"/>
      <c r="BH37" s="24" t="str">
        <f t="shared" si="18"/>
        <v>SIN DATO</v>
      </c>
      <c r="BI37" s="55"/>
    </row>
    <row r="38" spans="1:62" ht="24.75">
      <c r="A38" s="15" t="s">
        <v>136</v>
      </c>
      <c r="B38" s="16" t="s">
        <v>137</v>
      </c>
      <c r="C38" s="16">
        <v>224026.64</v>
      </c>
      <c r="D38" s="16">
        <v>201623.98</v>
      </c>
      <c r="E38" s="18">
        <f>SUM(N38,R38,V38,Z38,AD38,AH38,AL38,AP38,AT38,AX38,BB38,BF38)</f>
        <v>216322.98</v>
      </c>
      <c r="F38" s="18">
        <f>SUM(P38,T38,X38,AB38,AF38,AJ38,AN38,AR38,AV38,AZ38,BD38,BH38)</f>
        <v>215299.36999999997</v>
      </c>
      <c r="G38" s="18">
        <f t="shared" si="12"/>
        <v>1023.6100000000442</v>
      </c>
      <c r="H38" s="18">
        <f>IFERROR(SUM(N38+R38+V38+Z38+AD38+AH38+AL38+AP38),"SIN_DATOS")</f>
        <v>144247.10000000003</v>
      </c>
      <c r="I38" s="18">
        <f>IFERROR(SUM(P38+T38+X38+AB38+AF38+AJ38+AN38+AR38),"SIN_DATOS")</f>
        <v>143223.88999999998</v>
      </c>
      <c r="J38" s="19">
        <f t="shared" si="0"/>
        <v>0.66208356597158557</v>
      </c>
      <c r="K38" s="19">
        <f t="shared" si="1"/>
        <v>0.66681357662510021</v>
      </c>
      <c r="L38" s="18">
        <f t="shared" si="2"/>
        <v>1023.2100000000501</v>
      </c>
      <c r="M38" s="20">
        <f t="shared" si="3"/>
        <v>4.730010653514638E-3</v>
      </c>
      <c r="N38" s="21">
        <v>18066.669999999998</v>
      </c>
      <c r="O38" s="48"/>
      <c r="P38" s="23">
        <v>18066.669999999998</v>
      </c>
      <c r="Q38" s="52" t="s">
        <v>221</v>
      </c>
      <c r="R38" s="21">
        <v>18066.669999999998</v>
      </c>
      <c r="S38" s="48"/>
      <c r="T38" s="23">
        <v>17044</v>
      </c>
      <c r="U38" s="52" t="s">
        <v>235</v>
      </c>
      <c r="V38" s="21">
        <v>18018.960000000003</v>
      </c>
      <c r="W38" s="48"/>
      <c r="X38" s="23">
        <v>18018.87</v>
      </c>
      <c r="Y38" s="52" t="s">
        <v>236</v>
      </c>
      <c r="Z38" s="21">
        <v>18018.960000000003</v>
      </c>
      <c r="AA38" s="48"/>
      <c r="AB38" s="22">
        <v>18018.87</v>
      </c>
      <c r="AC38" s="51"/>
      <c r="AD38" s="21">
        <v>18018.960000000003</v>
      </c>
      <c r="AE38" s="48"/>
      <c r="AF38" s="22">
        <v>18018.87</v>
      </c>
      <c r="AG38" s="51"/>
      <c r="AH38" s="21">
        <v>18018.960000000003</v>
      </c>
      <c r="AI38" s="48"/>
      <c r="AJ38" s="22">
        <v>18018.87</v>
      </c>
      <c r="AK38" s="51"/>
      <c r="AL38" s="21">
        <v>18018.960000000003</v>
      </c>
      <c r="AM38" s="48"/>
      <c r="AN38" s="22">
        <f t="shared" si="20"/>
        <v>18018.87</v>
      </c>
      <c r="AO38" s="51"/>
      <c r="AP38" s="21">
        <v>18018.960000000003</v>
      </c>
      <c r="AQ38" s="48"/>
      <c r="AR38" s="22">
        <f t="shared" si="19"/>
        <v>18018.87</v>
      </c>
      <c r="AS38" s="51"/>
      <c r="AT38" s="21">
        <v>18018.960000000003</v>
      </c>
      <c r="AU38" s="48"/>
      <c r="AV38" s="24">
        <f t="shared" si="15"/>
        <v>18018.87</v>
      </c>
      <c r="AW38" s="54"/>
      <c r="AX38" s="21">
        <v>18018.960000000003</v>
      </c>
      <c r="AY38" s="48"/>
      <c r="AZ38" s="24">
        <f t="shared" si="16"/>
        <v>18018.87</v>
      </c>
      <c r="BA38" s="54"/>
      <c r="BB38" s="21">
        <v>18018.960000000003</v>
      </c>
      <c r="BC38" s="48"/>
      <c r="BD38" s="24">
        <f t="shared" si="17"/>
        <v>18018.87</v>
      </c>
      <c r="BE38" s="54"/>
      <c r="BF38" s="21">
        <v>18019</v>
      </c>
      <c r="BG38" s="48"/>
      <c r="BH38" s="24">
        <f t="shared" si="18"/>
        <v>18018.87</v>
      </c>
      <c r="BI38" s="55"/>
    </row>
    <row r="39" spans="1:62" ht="12.75">
      <c r="A39" s="15" t="s">
        <v>138</v>
      </c>
      <c r="B39" s="16" t="s">
        <v>139</v>
      </c>
      <c r="C39" s="16">
        <v>27701.7</v>
      </c>
      <c r="D39" s="16">
        <v>27701.7</v>
      </c>
      <c r="E39" s="18">
        <f>SUM(N39,R39,V39,Z39,AD39,AH39,AL39,AP39,AT39,AX39,BB39,BF39)</f>
        <v>27701.7</v>
      </c>
      <c r="F39" s="18">
        <f>SUM(P39,T39,X39,AB39,AF39,AJ39,AN39,AR39,AV39,AZ39,BD39,BH39)</f>
        <v>19391.189999999999</v>
      </c>
      <c r="G39" s="18">
        <f t="shared" si="12"/>
        <v>8310.510000000002</v>
      </c>
      <c r="H39" s="18">
        <f>IFERROR(SUM(N39+R39+V39+Z39+AD39+AH39+AL39+AP39),"SIN_DATOS")</f>
        <v>27701.7</v>
      </c>
      <c r="I39" s="18">
        <f>IFERROR(SUM(P39+T39+X39+AB39+AF39+AJ39+AN39+AR39),"SIN_DATOS")</f>
        <v>19391.189999999999</v>
      </c>
      <c r="J39" s="19">
        <f t="shared" si="0"/>
        <v>0.7</v>
      </c>
      <c r="K39" s="19">
        <f t="shared" si="1"/>
        <v>1</v>
      </c>
      <c r="L39" s="18">
        <f t="shared" si="2"/>
        <v>8310.510000000002</v>
      </c>
      <c r="M39" s="20">
        <f t="shared" si="3"/>
        <v>0.30000000000000004</v>
      </c>
      <c r="N39" s="21">
        <v>0</v>
      </c>
      <c r="O39" s="48"/>
      <c r="P39" s="22">
        <v>0</v>
      </c>
      <c r="Q39" s="51"/>
      <c r="R39" s="21">
        <v>0</v>
      </c>
      <c r="S39" s="48"/>
      <c r="T39" s="22">
        <v>0</v>
      </c>
      <c r="U39" s="51"/>
      <c r="V39" s="21">
        <v>0</v>
      </c>
      <c r="W39" s="48"/>
      <c r="X39" s="22">
        <v>0</v>
      </c>
      <c r="Y39" s="51"/>
      <c r="Z39" s="21">
        <v>0</v>
      </c>
      <c r="AA39" s="48"/>
      <c r="AB39" s="22">
        <v>0</v>
      </c>
      <c r="AC39" s="51"/>
      <c r="AD39" s="21">
        <v>0</v>
      </c>
      <c r="AE39" s="48"/>
      <c r="AF39" s="22">
        <v>0</v>
      </c>
      <c r="AG39" s="51"/>
      <c r="AH39" s="21">
        <v>27701.7</v>
      </c>
      <c r="AI39" s="48"/>
      <c r="AJ39" s="23">
        <v>19391.189999999999</v>
      </c>
      <c r="AK39" s="57" t="s">
        <v>140</v>
      </c>
      <c r="AL39" s="21">
        <v>0</v>
      </c>
      <c r="AM39" s="48"/>
      <c r="AN39" s="22">
        <v>0</v>
      </c>
      <c r="AO39" s="51"/>
      <c r="AP39" s="21">
        <v>0</v>
      </c>
      <c r="AQ39" s="48"/>
      <c r="AR39" s="22">
        <f t="shared" si="19"/>
        <v>0</v>
      </c>
      <c r="AS39" s="51"/>
      <c r="AT39" s="21">
        <v>0</v>
      </c>
      <c r="AU39" s="48"/>
      <c r="AV39" s="24">
        <f t="shared" si="15"/>
        <v>0</v>
      </c>
      <c r="AW39" s="54"/>
      <c r="AX39" s="21">
        <v>0</v>
      </c>
      <c r="AY39" s="48"/>
      <c r="AZ39" s="24">
        <f t="shared" si="16"/>
        <v>0</v>
      </c>
      <c r="BA39" s="54"/>
      <c r="BB39" s="21">
        <v>0</v>
      </c>
      <c r="BC39" s="48"/>
      <c r="BD39" s="24">
        <f t="shared" si="17"/>
        <v>0</v>
      </c>
      <c r="BE39" s="54"/>
      <c r="BF39" s="21">
        <v>0</v>
      </c>
      <c r="BG39" s="48"/>
      <c r="BH39" s="24">
        <f t="shared" si="18"/>
        <v>0</v>
      </c>
      <c r="BI39" s="55"/>
      <c r="BJ39" s="25" t="s">
        <v>140</v>
      </c>
    </row>
    <row r="40" spans="1:62" ht="12.75">
      <c r="A40" s="15" t="s">
        <v>141</v>
      </c>
      <c r="B40" s="16" t="s">
        <v>142</v>
      </c>
      <c r="C40" s="16">
        <v>59716</v>
      </c>
      <c r="D40" s="16">
        <v>59716</v>
      </c>
      <c r="E40" s="18">
        <f>SUM(N40,R40,V40,Z40,AD40,AH40,AL40,AP40,AT40,AX40,BB40,BF40)</f>
        <v>59716</v>
      </c>
      <c r="F40" s="18">
        <f>SUM(P40,T40,X40,AB40,AF40,AJ40,AN40,AR40,AV40,AZ40,BD40,BH40)</f>
        <v>0</v>
      </c>
      <c r="G40" s="18">
        <f t="shared" si="12"/>
        <v>59716</v>
      </c>
      <c r="H40" s="18">
        <f>IFERROR(SUM(N40+R40+V40+Z40+AD40+AH40+AL40+AP40),"SIN_DATOS")</f>
        <v>0</v>
      </c>
      <c r="I40" s="18">
        <f>IFERROR(SUM(P40+T40+X40+AB40+AF40+AJ40+AN40+AR40),"SIN_DATOS")</f>
        <v>0</v>
      </c>
      <c r="J40" s="19">
        <f t="shared" si="0"/>
        <v>0</v>
      </c>
      <c r="K40" s="19">
        <f t="shared" si="1"/>
        <v>0</v>
      </c>
      <c r="L40" s="18">
        <f t="shared" si="2"/>
        <v>0</v>
      </c>
      <c r="M40" s="20">
        <f t="shared" si="3"/>
        <v>0</v>
      </c>
      <c r="N40" s="21">
        <v>0</v>
      </c>
      <c r="O40" s="48"/>
      <c r="P40" s="22">
        <v>0</v>
      </c>
      <c r="Q40" s="51"/>
      <c r="R40" s="21">
        <v>0</v>
      </c>
      <c r="S40" s="48"/>
      <c r="T40" s="22">
        <v>0</v>
      </c>
      <c r="U40" s="51"/>
      <c r="V40" s="21">
        <v>0</v>
      </c>
      <c r="W40" s="48"/>
      <c r="X40" s="22">
        <v>0</v>
      </c>
      <c r="Y40" s="51"/>
      <c r="Z40" s="21">
        <v>0</v>
      </c>
      <c r="AA40" s="48"/>
      <c r="AB40" s="22">
        <v>0</v>
      </c>
      <c r="AC40" s="51"/>
      <c r="AD40" s="21">
        <v>0</v>
      </c>
      <c r="AE40" s="48"/>
      <c r="AF40" s="22">
        <v>0</v>
      </c>
      <c r="AG40" s="51"/>
      <c r="AH40" s="21">
        <v>0</v>
      </c>
      <c r="AI40" s="48"/>
      <c r="AJ40" s="22">
        <v>0</v>
      </c>
      <c r="AK40" s="51"/>
      <c r="AL40" s="21">
        <v>0</v>
      </c>
      <c r="AM40" s="48"/>
      <c r="AN40" s="22">
        <f t="shared" si="20"/>
        <v>0</v>
      </c>
      <c r="AO40" s="51"/>
      <c r="AP40" s="21">
        <v>0</v>
      </c>
      <c r="AQ40" s="48"/>
      <c r="AR40" s="22">
        <f t="shared" si="19"/>
        <v>0</v>
      </c>
      <c r="AS40" s="51"/>
      <c r="AT40" s="21">
        <v>59716</v>
      </c>
      <c r="AU40" s="48"/>
      <c r="AV40" s="24">
        <f t="shared" si="15"/>
        <v>0</v>
      </c>
      <c r="AW40" s="54"/>
      <c r="AX40" s="21">
        <v>0</v>
      </c>
      <c r="AY40" s="48"/>
      <c r="AZ40" s="24">
        <f t="shared" si="16"/>
        <v>0</v>
      </c>
      <c r="BA40" s="54"/>
      <c r="BB40" s="21">
        <v>0</v>
      </c>
      <c r="BC40" s="48"/>
      <c r="BD40" s="24">
        <f t="shared" si="17"/>
        <v>0</v>
      </c>
      <c r="BE40" s="54"/>
      <c r="BF40" s="21">
        <v>0</v>
      </c>
      <c r="BG40" s="48"/>
      <c r="BH40" s="24">
        <f t="shared" si="18"/>
        <v>0</v>
      </c>
      <c r="BI40" s="55"/>
      <c r="BJ40" s="25" t="s">
        <v>143</v>
      </c>
    </row>
    <row r="41" spans="1:62" ht="12.75">
      <c r="A41" s="15" t="s">
        <v>144</v>
      </c>
      <c r="B41" s="16" t="s">
        <v>145</v>
      </c>
      <c r="C41" s="16">
        <v>45653.16</v>
      </c>
      <c r="D41" s="16">
        <v>45653.16</v>
      </c>
      <c r="E41" s="18">
        <f>SUM(N41,R41,V41,Z41,AD41,AH41,AL41,AP41,AT41,AX41,BB41,BF41)</f>
        <v>45653.16</v>
      </c>
      <c r="F41" s="18">
        <f>SUM(P41,T41,X41,AB41,AF41,AJ41,AN41,AR41,AV41,AZ41,BD41,BH41)</f>
        <v>45653.16</v>
      </c>
      <c r="G41" s="18">
        <f t="shared" si="12"/>
        <v>0</v>
      </c>
      <c r="H41" s="18">
        <f>IFERROR(SUM(N41+R41+V41+Z41+AD41+AH41+AL41+AP41),"SIN_DATOS")</f>
        <v>45653.16</v>
      </c>
      <c r="I41" s="18">
        <f>IFERROR(SUM(P41+T41+X41+AB41+AF41+AJ41+AN41+AR41),"SIN_DATOS")</f>
        <v>45653.16</v>
      </c>
      <c r="J41" s="19">
        <f t="shared" si="0"/>
        <v>1</v>
      </c>
      <c r="K41" s="19">
        <f t="shared" si="1"/>
        <v>1</v>
      </c>
      <c r="L41" s="18">
        <f t="shared" si="2"/>
        <v>0</v>
      </c>
      <c r="M41" s="20">
        <f t="shared" si="3"/>
        <v>0</v>
      </c>
      <c r="N41" s="21">
        <v>0</v>
      </c>
      <c r="O41" s="48"/>
      <c r="P41" s="22">
        <v>0</v>
      </c>
      <c r="Q41" s="51"/>
      <c r="R41" s="21">
        <v>0</v>
      </c>
      <c r="S41" s="48"/>
      <c r="T41" s="22">
        <v>0</v>
      </c>
      <c r="U41" s="51"/>
      <c r="V41" s="21">
        <v>0</v>
      </c>
      <c r="W41" s="48"/>
      <c r="X41" s="22">
        <v>0</v>
      </c>
      <c r="Y41" s="51"/>
      <c r="Z41" s="21">
        <v>0</v>
      </c>
      <c r="AA41" s="48"/>
      <c r="AB41" s="22">
        <v>0</v>
      </c>
      <c r="AC41" s="51"/>
      <c r="AD41" s="21">
        <v>0</v>
      </c>
      <c r="AE41" s="48"/>
      <c r="AF41" s="22">
        <v>0</v>
      </c>
      <c r="AG41" s="51"/>
      <c r="AH41" s="21">
        <v>0</v>
      </c>
      <c r="AI41" s="48"/>
      <c r="AJ41" s="22">
        <v>0</v>
      </c>
      <c r="AK41" s="51"/>
      <c r="AL41" s="21">
        <v>45653.16</v>
      </c>
      <c r="AM41" s="48"/>
      <c r="AN41" s="22">
        <v>45653.16</v>
      </c>
      <c r="AO41" s="51"/>
      <c r="AP41" s="21">
        <v>0</v>
      </c>
      <c r="AQ41" s="48"/>
      <c r="AR41" s="22">
        <v>0</v>
      </c>
      <c r="AS41" s="51"/>
      <c r="AT41" s="21">
        <v>0</v>
      </c>
      <c r="AU41" s="48"/>
      <c r="AV41" s="24">
        <f t="shared" si="15"/>
        <v>0</v>
      </c>
      <c r="AW41" s="54"/>
      <c r="AX41" s="21">
        <v>0</v>
      </c>
      <c r="AY41" s="48"/>
      <c r="AZ41" s="24">
        <f t="shared" si="16"/>
        <v>0</v>
      </c>
      <c r="BA41" s="54"/>
      <c r="BB41" s="21">
        <v>0</v>
      </c>
      <c r="BC41" s="48"/>
      <c r="BD41" s="24">
        <f t="shared" si="17"/>
        <v>0</v>
      </c>
      <c r="BE41" s="54"/>
      <c r="BF41" s="21">
        <v>0</v>
      </c>
      <c r="BG41" s="48"/>
      <c r="BH41" s="24">
        <f t="shared" si="18"/>
        <v>0</v>
      </c>
      <c r="BI41" s="55"/>
    </row>
    <row r="42" spans="1:62" ht="24.75">
      <c r="A42" s="15" t="s">
        <v>146</v>
      </c>
      <c r="B42" s="16" t="s">
        <v>147</v>
      </c>
      <c r="C42" s="16">
        <v>95000</v>
      </c>
      <c r="D42" s="16">
        <v>90000</v>
      </c>
      <c r="E42" s="18">
        <f>SUM(N42,R42,V42,Z42,AD42,AH42,AL42,AP42,AT42,AX42,BB42,BF42)</f>
        <v>90000.000000000015</v>
      </c>
      <c r="F42" s="18">
        <f>SUM(P42,T42,X42,AB42,AF42,AJ42,AN42,AR42,AV42,AZ42,BD42,BH42)</f>
        <v>103716.60000000002</v>
      </c>
      <c r="G42" s="18">
        <f t="shared" si="12"/>
        <v>-13716.600000000006</v>
      </c>
      <c r="H42" s="18">
        <f>IFERROR(SUM(N42+R42+V42+Z42+AD42+AH42+AL42+AP42),"SIN_DATOS")</f>
        <v>72756.680000000008</v>
      </c>
      <c r="I42" s="18">
        <f>IFERROR(SUM(P42+T42+X42+AB42+AF42+AJ42+AN42+AR42),"SIN_DATOS")</f>
        <v>68973.280000000013</v>
      </c>
      <c r="J42" s="19">
        <f t="shared" si="0"/>
        <v>0.76636977777777782</v>
      </c>
      <c r="K42" s="19">
        <f t="shared" si="1"/>
        <v>0.80840755555555555</v>
      </c>
      <c r="L42" s="18">
        <f t="shared" si="2"/>
        <v>3783.3999999999942</v>
      </c>
      <c r="M42" s="20">
        <f t="shared" si="3"/>
        <v>4.203777777777773E-2</v>
      </c>
      <c r="N42" s="21">
        <v>0</v>
      </c>
      <c r="O42" s="48"/>
      <c r="P42" s="23">
        <v>8621.66</v>
      </c>
      <c r="Q42" s="52" t="s">
        <v>221</v>
      </c>
      <c r="R42" s="23">
        <v>15000</v>
      </c>
      <c r="S42" s="52" t="s">
        <v>237</v>
      </c>
      <c r="T42" s="22">
        <v>8621.66</v>
      </c>
      <c r="U42" s="51"/>
      <c r="V42" s="23">
        <v>22500</v>
      </c>
      <c r="W42" s="52" t="s">
        <v>237</v>
      </c>
      <c r="X42" s="22">
        <v>8621.66</v>
      </c>
      <c r="Y42" s="51"/>
      <c r="Z42" s="23">
        <v>7500</v>
      </c>
      <c r="AA42" s="52" t="s">
        <v>237</v>
      </c>
      <c r="AB42" s="22">
        <v>8621.66</v>
      </c>
      <c r="AC42" s="51"/>
      <c r="AD42" s="23">
        <v>1891.6999999999998</v>
      </c>
      <c r="AE42" s="52" t="s">
        <v>237</v>
      </c>
      <c r="AF42" s="22">
        <v>8621.66</v>
      </c>
      <c r="AG42" s="51"/>
      <c r="AH42" s="21">
        <v>8621.66</v>
      </c>
      <c r="AI42" s="48"/>
      <c r="AJ42" s="22">
        <v>8621.66</v>
      </c>
      <c r="AK42" s="51"/>
      <c r="AL42" s="21">
        <v>8621.66</v>
      </c>
      <c r="AM42" s="48"/>
      <c r="AN42" s="22">
        <f t="shared" si="20"/>
        <v>8621.66</v>
      </c>
      <c r="AO42" s="51"/>
      <c r="AP42" s="21">
        <v>8621.66</v>
      </c>
      <c r="AQ42" s="48"/>
      <c r="AR42" s="22">
        <f t="shared" si="19"/>
        <v>8621.66</v>
      </c>
      <c r="AS42" s="51"/>
      <c r="AT42" s="21">
        <v>8621.66</v>
      </c>
      <c r="AU42" s="48"/>
      <c r="AV42" s="24">
        <f t="shared" si="15"/>
        <v>8621.66</v>
      </c>
      <c r="AW42" s="54"/>
      <c r="AX42" s="21">
        <v>8621.66</v>
      </c>
      <c r="AY42" s="48"/>
      <c r="AZ42" s="24">
        <f t="shared" si="16"/>
        <v>8621.66</v>
      </c>
      <c r="BA42" s="54"/>
      <c r="BB42" s="21">
        <v>7500</v>
      </c>
      <c r="BC42" s="48"/>
      <c r="BD42" s="24">
        <f>105000/12</f>
        <v>8750</v>
      </c>
      <c r="BE42" s="54"/>
      <c r="BF42" s="23">
        <v>-7500</v>
      </c>
      <c r="BG42" s="52" t="s">
        <v>238</v>
      </c>
      <c r="BH42" s="24">
        <f t="shared" si="18"/>
        <v>8750</v>
      </c>
      <c r="BI42" s="55"/>
      <c r="BJ42" s="25" t="s">
        <v>148</v>
      </c>
    </row>
    <row r="43" spans="1:62" ht="12.75">
      <c r="A43" s="15" t="s">
        <v>149</v>
      </c>
      <c r="B43" s="16" t="s">
        <v>150</v>
      </c>
      <c r="C43" s="16">
        <v>22000</v>
      </c>
      <c r="D43" s="16">
        <v>22000</v>
      </c>
      <c r="E43" s="18">
        <f>SUM(N43,R43,V43,Z43,AD43,AH43,AL43,AP43,AT43,AX43,BB43,BF43)</f>
        <v>22000</v>
      </c>
      <c r="F43" s="18">
        <f>SUM(P43,T43,X43,AB43,AF43,AJ43,AN43,AR43,AV43,AZ43,BD43,BH43)</f>
        <v>0</v>
      </c>
      <c r="G43" s="18">
        <f t="shared" si="12"/>
        <v>22000</v>
      </c>
      <c r="H43" s="18">
        <f>IFERROR(SUM(N43+R43+V43+Z43+AD43+AH43+AL43+AP43),"SIN_DATOS")</f>
        <v>0</v>
      </c>
      <c r="I43" s="18">
        <f>IFERROR(SUM(P43+T43+X43+AB43+AF43+AJ43+AN43+AR43),"SIN_DATOS")</f>
        <v>0</v>
      </c>
      <c r="J43" s="19">
        <f t="shared" si="0"/>
        <v>0</v>
      </c>
      <c r="K43" s="19">
        <f t="shared" si="1"/>
        <v>0</v>
      </c>
      <c r="L43" s="18">
        <f t="shared" si="2"/>
        <v>0</v>
      </c>
      <c r="M43" s="20">
        <f t="shared" si="3"/>
        <v>0</v>
      </c>
      <c r="N43" s="21">
        <v>0</v>
      </c>
      <c r="O43" s="48"/>
      <c r="P43" s="22">
        <v>0</v>
      </c>
      <c r="Q43" s="51"/>
      <c r="R43" s="21">
        <v>0</v>
      </c>
      <c r="S43" s="48"/>
      <c r="T43" s="22">
        <v>0</v>
      </c>
      <c r="U43" s="51"/>
      <c r="V43" s="21">
        <v>0</v>
      </c>
      <c r="W43" s="48"/>
      <c r="X43" s="22">
        <v>0</v>
      </c>
      <c r="Y43" s="51"/>
      <c r="Z43" s="21">
        <v>0</v>
      </c>
      <c r="AA43" s="48"/>
      <c r="AB43" s="22">
        <v>0</v>
      </c>
      <c r="AC43" s="51"/>
      <c r="AD43" s="21">
        <v>0</v>
      </c>
      <c r="AE43" s="48"/>
      <c r="AF43" s="22">
        <v>0</v>
      </c>
      <c r="AG43" s="51"/>
      <c r="AH43" s="21">
        <v>0</v>
      </c>
      <c r="AI43" s="48"/>
      <c r="AJ43" s="22">
        <v>0</v>
      </c>
      <c r="AK43" s="51"/>
      <c r="AL43" s="21">
        <v>0</v>
      </c>
      <c r="AM43" s="48"/>
      <c r="AN43" s="22">
        <f t="shared" si="20"/>
        <v>0</v>
      </c>
      <c r="AO43" s="51"/>
      <c r="AP43" s="21">
        <v>0</v>
      </c>
      <c r="AQ43" s="48"/>
      <c r="AR43" s="22">
        <f t="shared" si="19"/>
        <v>0</v>
      </c>
      <c r="AS43" s="51"/>
      <c r="AT43" s="21">
        <v>0</v>
      </c>
      <c r="AU43" s="48"/>
      <c r="AV43" s="24">
        <f t="shared" si="15"/>
        <v>0</v>
      </c>
      <c r="AW43" s="54"/>
      <c r="AX43" s="23">
        <v>22000</v>
      </c>
      <c r="AY43" s="52" t="s">
        <v>239</v>
      </c>
      <c r="AZ43" s="24">
        <f t="shared" si="16"/>
        <v>0</v>
      </c>
      <c r="BA43" s="54"/>
      <c r="BB43" s="21">
        <v>0</v>
      </c>
      <c r="BC43" s="48"/>
      <c r="BD43" s="24">
        <f t="shared" si="17"/>
        <v>0</v>
      </c>
      <c r="BE43" s="54"/>
      <c r="BF43" s="21">
        <v>0</v>
      </c>
      <c r="BG43" s="48"/>
      <c r="BH43" s="24">
        <f t="shared" si="18"/>
        <v>0</v>
      </c>
      <c r="BI43" s="55"/>
      <c r="BJ43" s="25" t="s">
        <v>151</v>
      </c>
    </row>
    <row r="44" spans="1:62" ht="12.75">
      <c r="A44" s="15" t="s">
        <v>152</v>
      </c>
      <c r="B44" s="16" t="s">
        <v>153</v>
      </c>
      <c r="C44" s="16">
        <v>75000</v>
      </c>
      <c r="D44" s="16">
        <v>56000</v>
      </c>
      <c r="E44" s="18">
        <f>SUM(N44,R44,V44,Z44,AD44,AH44,AL44,AP44,AT44,AX44,BB44,BF44)</f>
        <v>56000</v>
      </c>
      <c r="F44" s="18">
        <f>SUM(P44,T44,X44,AB44,AF44,AJ44,AN44,AR44,AV44,AZ44,BD44,BH44)</f>
        <v>56000</v>
      </c>
      <c r="G44" s="18">
        <f t="shared" si="12"/>
        <v>0</v>
      </c>
      <c r="H44" s="18">
        <f>IFERROR(SUM(N44+R44+V44+Z44+AD44+AH44+AL44+AP44),"SIN_DATOS")</f>
        <v>0</v>
      </c>
      <c r="I44" s="18">
        <f>IFERROR(SUM(P44+T44+X44+AB44+AF44+AJ44+AN44+AR44),"SIN_DATOS")</f>
        <v>0</v>
      </c>
      <c r="J44" s="19">
        <f t="shared" si="0"/>
        <v>0</v>
      </c>
      <c r="K44" s="19">
        <f t="shared" si="1"/>
        <v>0</v>
      </c>
      <c r="L44" s="18">
        <f t="shared" si="2"/>
        <v>0</v>
      </c>
      <c r="M44" s="20">
        <f t="shared" si="3"/>
        <v>0</v>
      </c>
      <c r="N44" s="21">
        <v>0</v>
      </c>
      <c r="O44" s="48"/>
      <c r="P44" s="22">
        <v>0</v>
      </c>
      <c r="Q44" s="51"/>
      <c r="R44" s="21">
        <v>0</v>
      </c>
      <c r="S44" s="48"/>
      <c r="T44" s="22">
        <v>0</v>
      </c>
      <c r="U44" s="51"/>
      <c r="V44" s="21">
        <v>0</v>
      </c>
      <c r="W44" s="48"/>
      <c r="X44" s="22">
        <v>0</v>
      </c>
      <c r="Y44" s="51"/>
      <c r="Z44" s="21">
        <v>0</v>
      </c>
      <c r="AA44" s="48"/>
      <c r="AB44" s="22">
        <v>0</v>
      </c>
      <c r="AC44" s="51"/>
      <c r="AD44" s="21">
        <v>0</v>
      </c>
      <c r="AE44" s="48"/>
      <c r="AF44" s="22">
        <v>0</v>
      </c>
      <c r="AG44" s="51"/>
      <c r="AH44" s="21">
        <v>0</v>
      </c>
      <c r="AI44" s="48"/>
      <c r="AJ44" s="22">
        <v>0</v>
      </c>
      <c r="AK44" s="51"/>
      <c r="AL44" s="21">
        <v>0</v>
      </c>
      <c r="AM44" s="48"/>
      <c r="AN44" s="22">
        <f t="shared" si="20"/>
        <v>0</v>
      </c>
      <c r="AO44" s="51"/>
      <c r="AP44" s="21">
        <v>0</v>
      </c>
      <c r="AQ44" s="48"/>
      <c r="AR44" s="22">
        <f t="shared" si="19"/>
        <v>0</v>
      </c>
      <c r="AS44" s="51"/>
      <c r="AT44" s="21">
        <v>0</v>
      </c>
      <c r="AU44" s="48"/>
      <c r="AV44" s="24">
        <f t="shared" si="15"/>
        <v>0</v>
      </c>
      <c r="AW44" s="54"/>
      <c r="AX44" s="21">
        <v>0</v>
      </c>
      <c r="AY44" s="48"/>
      <c r="AZ44" s="24">
        <f t="shared" si="16"/>
        <v>0</v>
      </c>
      <c r="BA44" s="54"/>
      <c r="BB44" s="21">
        <v>0</v>
      </c>
      <c r="BC44" s="48"/>
      <c r="BD44" s="24">
        <f t="shared" si="17"/>
        <v>0</v>
      </c>
      <c r="BE44" s="54"/>
      <c r="BF44" s="21">
        <v>56000</v>
      </c>
      <c r="BG44" s="48"/>
      <c r="BH44" s="24">
        <f>BF44</f>
        <v>56000</v>
      </c>
      <c r="BI44" s="55"/>
    </row>
    <row r="45" spans="1:62" ht="24.75">
      <c r="A45" s="15" t="s">
        <v>154</v>
      </c>
      <c r="B45" s="16" t="s">
        <v>155</v>
      </c>
      <c r="C45" s="16">
        <v>1125003.3</v>
      </c>
      <c r="D45" s="16">
        <v>1095003.3</v>
      </c>
      <c r="E45" s="18">
        <f>SUM(N45,R45,V45,Z45,AD45,AH45,AL45,AP45,AT45,AX45,BB45,BF45)</f>
        <v>1095003.2999999998</v>
      </c>
      <c r="F45" s="18">
        <f>SUM(P45,T45,X45,AB45,AF45,AJ45,AN45,AR45,AV45,AZ45,BD45,BH45)</f>
        <v>1115706.9599999997</v>
      </c>
      <c r="G45" s="18">
        <f t="shared" si="12"/>
        <v>-20703.659999999916</v>
      </c>
      <c r="H45" s="18">
        <f>IFERROR(SUM(N45+R45+V45+Z45+AD45+AH45+AL45+AP45),"SIN_DATOS")</f>
        <v>743804.6399999999</v>
      </c>
      <c r="I45" s="18">
        <f>IFERROR(SUM(P45+T45+X45+AB45+AF45+AJ45+AN45+AR45),"SIN_DATOS")</f>
        <v>743804.6399999999</v>
      </c>
      <c r="J45" s="19">
        <f t="shared" si="0"/>
        <v>0.67927159671573589</v>
      </c>
      <c r="K45" s="19">
        <f t="shared" si="1"/>
        <v>0.67927159671573589</v>
      </c>
      <c r="L45" s="18">
        <f t="shared" si="2"/>
        <v>0</v>
      </c>
      <c r="M45" s="20">
        <f t="shared" si="3"/>
        <v>0</v>
      </c>
      <c r="N45" s="21">
        <v>92975.58</v>
      </c>
      <c r="O45" s="48"/>
      <c r="P45" s="23">
        <v>92975.58</v>
      </c>
      <c r="Q45" s="52" t="s">
        <v>221</v>
      </c>
      <c r="R45" s="21">
        <v>92975.58</v>
      </c>
      <c r="S45" s="48"/>
      <c r="T45" s="22">
        <v>92975.58</v>
      </c>
      <c r="U45" s="51"/>
      <c r="V45" s="21">
        <v>92975.58</v>
      </c>
      <c r="W45" s="48"/>
      <c r="X45" s="22">
        <v>92975.58</v>
      </c>
      <c r="Y45" s="51"/>
      <c r="Z45" s="21">
        <v>92975.58</v>
      </c>
      <c r="AA45" s="48"/>
      <c r="AB45" s="22">
        <v>92975.58</v>
      </c>
      <c r="AC45" s="51"/>
      <c r="AD45" s="21">
        <v>92975.58</v>
      </c>
      <c r="AE45" s="48"/>
      <c r="AF45" s="22">
        <v>92975.58</v>
      </c>
      <c r="AG45" s="51"/>
      <c r="AH45" s="21">
        <v>92975.58</v>
      </c>
      <c r="AI45" s="48"/>
      <c r="AJ45" s="22">
        <v>92975.58</v>
      </c>
      <c r="AK45" s="51"/>
      <c r="AL45" s="21">
        <v>92975.58</v>
      </c>
      <c r="AM45" s="48"/>
      <c r="AN45" s="22">
        <f t="shared" si="20"/>
        <v>92975.58</v>
      </c>
      <c r="AO45" s="51"/>
      <c r="AP45" s="21">
        <v>92975.58</v>
      </c>
      <c r="AQ45" s="48"/>
      <c r="AR45" s="22">
        <f t="shared" si="19"/>
        <v>92975.58</v>
      </c>
      <c r="AS45" s="51"/>
      <c r="AT45" s="21">
        <v>92975.58</v>
      </c>
      <c r="AU45" s="48"/>
      <c r="AV45" s="24">
        <f t="shared" si="15"/>
        <v>92975.58</v>
      </c>
      <c r="AW45" s="54"/>
      <c r="AX45" s="21">
        <v>92975.58</v>
      </c>
      <c r="AY45" s="48"/>
      <c r="AZ45" s="24">
        <f t="shared" si="16"/>
        <v>92975.58</v>
      </c>
      <c r="BA45" s="54"/>
      <c r="BB45" s="23">
        <v>82623.75</v>
      </c>
      <c r="BC45" s="52" t="s">
        <v>234</v>
      </c>
      <c r="BD45" s="24">
        <f t="shared" si="17"/>
        <v>92975.58</v>
      </c>
      <c r="BE45" s="54"/>
      <c r="BF45" s="21">
        <v>82623.75</v>
      </c>
      <c r="BG45" s="48"/>
      <c r="BH45" s="24">
        <f t="shared" si="18"/>
        <v>92975.58</v>
      </c>
      <c r="BI45" s="55"/>
      <c r="BJ45" s="25" t="s">
        <v>156</v>
      </c>
    </row>
    <row r="46" spans="1:62" ht="24.75">
      <c r="A46" s="15" t="s">
        <v>157</v>
      </c>
      <c r="B46" s="16" t="s">
        <v>158</v>
      </c>
      <c r="C46" s="16">
        <v>998298.86</v>
      </c>
      <c r="D46" s="16">
        <v>998298.86</v>
      </c>
      <c r="E46" s="18">
        <f>SUM(N46,R46,V46,Z46,AD46,AH46,AL46,AP46,AT46,AX46,BB46,BF46)</f>
        <v>998298.86000000022</v>
      </c>
      <c r="F46" s="18">
        <f>SUM(P46,T46,X46,AB46,AF46,AJ46,AN46,AR46,AV46,AZ46,BD46,BH46)</f>
        <v>998298.84000000032</v>
      </c>
      <c r="G46" s="18">
        <f t="shared" si="12"/>
        <v>1.999999990221113E-2</v>
      </c>
      <c r="H46" s="18">
        <f>IFERROR(SUM(N46+R46+V46+Z46+AD46+AH46+AL46+AP46),"SIN_DATOS")</f>
        <v>665532.56000000006</v>
      </c>
      <c r="I46" s="18">
        <f>IFERROR(SUM(P46+T46+X46+AB46+AF46+AJ46+AN46+AR46),"SIN_DATOS")</f>
        <v>665532.56000000006</v>
      </c>
      <c r="J46" s="19">
        <f t="shared" si="0"/>
        <v>0.6666666533106127</v>
      </c>
      <c r="K46" s="19">
        <f t="shared" si="1"/>
        <v>0.6666666533106127</v>
      </c>
      <c r="L46" s="18">
        <f t="shared" si="2"/>
        <v>0</v>
      </c>
      <c r="M46" s="20">
        <f t="shared" si="3"/>
        <v>0</v>
      </c>
      <c r="N46" s="21">
        <v>83191.570000000007</v>
      </c>
      <c r="O46" s="48"/>
      <c r="P46" s="23">
        <v>83191.570000000007</v>
      </c>
      <c r="Q46" s="52" t="s">
        <v>221</v>
      </c>
      <c r="R46" s="21">
        <v>83191.570000000007</v>
      </c>
      <c r="S46" s="48"/>
      <c r="T46" s="22">
        <v>83191.570000000007</v>
      </c>
      <c r="U46" s="51"/>
      <c r="V46" s="21">
        <v>83191.570000000007</v>
      </c>
      <c r="W46" s="48"/>
      <c r="X46" s="22">
        <v>83191.570000000007</v>
      </c>
      <c r="Y46" s="51"/>
      <c r="Z46" s="21">
        <v>83191.570000000007</v>
      </c>
      <c r="AA46" s="48"/>
      <c r="AB46" s="22">
        <v>83191.570000000007</v>
      </c>
      <c r="AC46" s="51"/>
      <c r="AD46" s="21">
        <v>83191.570000000007</v>
      </c>
      <c r="AE46" s="48"/>
      <c r="AF46" s="22">
        <v>83191.570000000007</v>
      </c>
      <c r="AG46" s="51"/>
      <c r="AH46" s="21">
        <v>83191.570000000007</v>
      </c>
      <c r="AI46" s="48"/>
      <c r="AJ46" s="22">
        <v>83191.570000000007</v>
      </c>
      <c r="AK46" s="51"/>
      <c r="AL46" s="21">
        <v>83191.570000000007</v>
      </c>
      <c r="AM46" s="48"/>
      <c r="AN46" s="22">
        <f t="shared" si="20"/>
        <v>83191.570000000007</v>
      </c>
      <c r="AO46" s="51"/>
      <c r="AP46" s="21">
        <v>83191.570000000007</v>
      </c>
      <c r="AQ46" s="48"/>
      <c r="AR46" s="22">
        <f t="shared" si="19"/>
        <v>83191.570000000007</v>
      </c>
      <c r="AS46" s="51"/>
      <c r="AT46" s="21">
        <v>83191.570000000007</v>
      </c>
      <c r="AU46" s="48"/>
      <c r="AV46" s="24">
        <f t="shared" si="15"/>
        <v>83191.570000000007</v>
      </c>
      <c r="AW46" s="54"/>
      <c r="AX46" s="21">
        <v>83191.570000000007</v>
      </c>
      <c r="AY46" s="48"/>
      <c r="AZ46" s="24">
        <f t="shared" si="16"/>
        <v>83191.570000000007</v>
      </c>
      <c r="BA46" s="54"/>
      <c r="BB46" s="21">
        <v>83191.570000000007</v>
      </c>
      <c r="BC46" s="48"/>
      <c r="BD46" s="24">
        <f t="shared" si="17"/>
        <v>83191.570000000007</v>
      </c>
      <c r="BE46" s="54"/>
      <c r="BF46" s="21">
        <v>83191.59</v>
      </c>
      <c r="BG46" s="48"/>
      <c r="BH46" s="24">
        <f t="shared" si="18"/>
        <v>83191.570000000007</v>
      </c>
      <c r="BI46" s="55"/>
    </row>
    <row r="47" spans="1:62" ht="24.75">
      <c r="A47" s="15" t="s">
        <v>159</v>
      </c>
      <c r="B47" s="16" t="s">
        <v>160</v>
      </c>
      <c r="C47" s="16">
        <v>126803.34</v>
      </c>
      <c r="D47" s="16">
        <v>126803.34</v>
      </c>
      <c r="E47" s="18">
        <f>SUM(N47,R47,V47,Z47,AD47,AH47,AL47,AP47,AT47,AX47,BB47,BF47)</f>
        <v>288803.36</v>
      </c>
      <c r="F47" s="18">
        <f>SUM(P47,T47,X47,AB47,AF47,AJ47,AN47,AR47,AV47,AZ47,BD47,BH47)</f>
        <v>126803.4</v>
      </c>
      <c r="G47" s="18">
        <f t="shared" si="12"/>
        <v>161999.96</v>
      </c>
      <c r="H47" s="18">
        <f>IFERROR(SUM(N47+R47+V47+Z47+AD47+AH47+AL47+AP47),"SIN_DATOS")</f>
        <v>223414.34</v>
      </c>
      <c r="I47" s="18">
        <f>IFERROR(SUM(P47+T47+X47+AB47+AF47+AJ47+AN47+AR47),"SIN_DATOS")</f>
        <v>126803.4</v>
      </c>
      <c r="J47" s="19">
        <f t="shared" si="0"/>
        <v>0.43906483636478466</v>
      </c>
      <c r="K47" s="19">
        <f t="shared" si="1"/>
        <v>0.77358635993708658</v>
      </c>
      <c r="L47" s="18">
        <f t="shared" si="2"/>
        <v>96610.94</v>
      </c>
      <c r="M47" s="20">
        <f t="shared" si="3"/>
        <v>0.33452152357230192</v>
      </c>
      <c r="N47" s="21">
        <v>63401.67</v>
      </c>
      <c r="O47" s="48"/>
      <c r="P47" s="23">
        <v>63401.7</v>
      </c>
      <c r="Q47" s="52" t="s">
        <v>221</v>
      </c>
      <c r="R47" s="21">
        <v>63401.67</v>
      </c>
      <c r="S47" s="48"/>
      <c r="T47" s="22">
        <v>63401.7</v>
      </c>
      <c r="U47" s="51"/>
      <c r="V47" s="21">
        <v>0</v>
      </c>
      <c r="W47" s="48"/>
      <c r="X47" s="22">
        <v>0</v>
      </c>
      <c r="Y47" s="51"/>
      <c r="Z47" s="21">
        <v>0</v>
      </c>
      <c r="AA47" s="48"/>
      <c r="AB47" s="22">
        <v>0</v>
      </c>
      <c r="AC47" s="51"/>
      <c r="AD47" s="21">
        <v>0.02</v>
      </c>
      <c r="AE47" s="48"/>
      <c r="AF47" s="22">
        <v>0</v>
      </c>
      <c r="AG47" s="51"/>
      <c r="AH47" s="21">
        <v>0</v>
      </c>
      <c r="AI47" s="48"/>
      <c r="AJ47" s="22">
        <v>0</v>
      </c>
      <c r="AK47" s="51"/>
      <c r="AL47" s="23">
        <v>80509.149999999994</v>
      </c>
      <c r="AM47" s="52" t="s">
        <v>240</v>
      </c>
      <c r="AN47" s="22">
        <f t="shared" si="20"/>
        <v>0</v>
      </c>
      <c r="AO47" s="51"/>
      <c r="AP47" s="21">
        <v>16101.83</v>
      </c>
      <c r="AQ47" s="48"/>
      <c r="AR47" s="22">
        <f t="shared" si="19"/>
        <v>0</v>
      </c>
      <c r="AS47" s="51"/>
      <c r="AT47" s="21">
        <v>16101.83</v>
      </c>
      <c r="AU47" s="48"/>
      <c r="AV47" s="24">
        <f t="shared" si="15"/>
        <v>0</v>
      </c>
      <c r="AW47" s="54"/>
      <c r="AX47" s="21">
        <v>16101.83</v>
      </c>
      <c r="AY47" s="48"/>
      <c r="AZ47" s="24">
        <f t="shared" si="16"/>
        <v>0</v>
      </c>
      <c r="BA47" s="54"/>
      <c r="BB47" s="21">
        <v>16101.83</v>
      </c>
      <c r="BC47" s="48"/>
      <c r="BD47" s="24">
        <f t="shared" si="17"/>
        <v>0</v>
      </c>
      <c r="BE47" s="54"/>
      <c r="BF47" s="21">
        <v>17083.53</v>
      </c>
      <c r="BG47" s="48"/>
      <c r="BH47" s="24">
        <f t="shared" si="18"/>
        <v>0</v>
      </c>
      <c r="BI47" s="55"/>
      <c r="BJ47" s="25" t="s">
        <v>161</v>
      </c>
    </row>
    <row r="48" spans="1:62" ht="37.5">
      <c r="A48" s="15" t="s">
        <v>162</v>
      </c>
      <c r="B48" s="16" t="s">
        <v>163</v>
      </c>
      <c r="C48" s="16">
        <v>594216</v>
      </c>
      <c r="D48" s="16">
        <v>594216</v>
      </c>
      <c r="E48" s="18">
        <f>SUM(N48,R48,V48,Z48,AD48,AH48,AL48,AP48,AT48,AX48,BB48,BF48)</f>
        <v>580133</v>
      </c>
      <c r="F48" s="18">
        <f>SUM(P48,T48,X48,AB48,AF48,AJ48,AN48,AR48,AV48,AZ48,BD48,BH48)</f>
        <v>607319.65</v>
      </c>
      <c r="G48" s="18">
        <f t="shared" si="12"/>
        <v>-27186.650000000023</v>
      </c>
      <c r="H48" s="18">
        <f>IFERROR(SUM(N48+R48+V48+Z48+AD48+AH48+AL48+AP48),"SIN_DATOS")</f>
        <v>559333</v>
      </c>
      <c r="I48" s="18">
        <f>IFERROR(SUM(P48+T48+X48+AB48+AF48+AJ48+AN48+AR48),"SIN_DATOS")</f>
        <v>586519.65</v>
      </c>
      <c r="J48" s="19">
        <f t="shared" si="0"/>
        <v>1.0110089410531724</v>
      </c>
      <c r="K48" s="19">
        <f t="shared" si="1"/>
        <v>0.9641461526925722</v>
      </c>
      <c r="L48" s="18">
        <f t="shared" si="2"/>
        <v>-27186.650000000023</v>
      </c>
      <c r="M48" s="20">
        <f t="shared" si="3"/>
        <v>-4.6862788360600205E-2</v>
      </c>
      <c r="N48" s="21">
        <v>0</v>
      </c>
      <c r="O48" s="48"/>
      <c r="P48" s="22">
        <v>0</v>
      </c>
      <c r="Q48" s="51"/>
      <c r="R48" s="21">
        <v>0</v>
      </c>
      <c r="S48" s="48"/>
      <c r="T48" s="22">
        <v>0</v>
      </c>
      <c r="U48" s="51"/>
      <c r="V48" s="21">
        <v>594216</v>
      </c>
      <c r="W48" s="48"/>
      <c r="X48" s="22">
        <v>0</v>
      </c>
      <c r="Y48" s="51"/>
      <c r="Z48" s="21">
        <v>0</v>
      </c>
      <c r="AA48" s="48"/>
      <c r="AB48" s="22">
        <v>0</v>
      </c>
      <c r="AC48" s="51"/>
      <c r="AD48" s="21">
        <v>-594216</v>
      </c>
      <c r="AE48" s="48"/>
      <c r="AF48" s="22">
        <v>0</v>
      </c>
      <c r="AG48" s="51"/>
      <c r="AH48" s="23">
        <v>548933</v>
      </c>
      <c r="AI48" s="52" t="s">
        <v>241</v>
      </c>
      <c r="AJ48" s="23">
        <v>570919.65</v>
      </c>
      <c r="AK48" s="57" t="s">
        <v>242</v>
      </c>
      <c r="AL48" s="21">
        <v>5200</v>
      </c>
      <c r="AM48" s="48"/>
      <c r="AN48" s="23">
        <v>10712</v>
      </c>
      <c r="AO48" s="57" t="s">
        <v>243</v>
      </c>
      <c r="AP48" s="21">
        <v>5200</v>
      </c>
      <c r="AQ48" s="48"/>
      <c r="AR48" s="23">
        <v>4888</v>
      </c>
      <c r="AS48" s="58" t="s">
        <v>244</v>
      </c>
      <c r="AT48" s="21">
        <v>5200</v>
      </c>
      <c r="AU48" s="48"/>
      <c r="AV48" s="24">
        <v>5200</v>
      </c>
      <c r="AW48" s="54"/>
      <c r="AX48" s="21">
        <v>5200</v>
      </c>
      <c r="AY48" s="48"/>
      <c r="AZ48" s="24">
        <f t="shared" si="16"/>
        <v>5200</v>
      </c>
      <c r="BA48" s="54"/>
      <c r="BB48" s="21">
        <v>5200</v>
      </c>
      <c r="BC48" s="48"/>
      <c r="BD48" s="24">
        <f t="shared" si="17"/>
        <v>5200</v>
      </c>
      <c r="BE48" s="54"/>
      <c r="BF48" s="21">
        <v>5200</v>
      </c>
      <c r="BG48" s="48"/>
      <c r="BH48" s="24">
        <f t="shared" si="18"/>
        <v>5200</v>
      </c>
      <c r="BI48" s="55"/>
      <c r="BJ48" s="25" t="s">
        <v>164</v>
      </c>
    </row>
    <row r="49" spans="1:62" ht="24.75">
      <c r="A49" s="15" t="s">
        <v>165</v>
      </c>
      <c r="B49" s="16" t="s">
        <v>166</v>
      </c>
      <c r="C49" s="16">
        <v>149044.56</v>
      </c>
      <c r="D49" s="16">
        <v>149044.56</v>
      </c>
      <c r="E49" s="18">
        <f>SUM(N49,R49,V49,Z49,AD49,AH49,AL49,AP49,AT49,AX49,BB49,BF49)</f>
        <v>149044.56000000003</v>
      </c>
      <c r="F49" s="18">
        <f>SUM(P49,T49,X49,AB49,AF49,AJ49,AN49,AR49,AV49,AZ49,BD49,BH49)</f>
        <v>152770.66000000003</v>
      </c>
      <c r="G49" s="18">
        <f t="shared" si="12"/>
        <v>-3726.1000000000058</v>
      </c>
      <c r="H49" s="18">
        <f>IFERROR(SUM(N49+R49+V49+Z49+AD49+AH49+AL49+AP49),"SIN_DATOS")</f>
        <v>99363.040000000008</v>
      </c>
      <c r="I49" s="18">
        <f>IFERROR(SUM(P49+T49+X49+AB49+AF49+AJ49+AN49+AR49),"SIN_DATOS")</f>
        <v>100108.26000000001</v>
      </c>
      <c r="J49" s="19">
        <f t="shared" si="0"/>
        <v>0.67166664788033859</v>
      </c>
      <c r="K49" s="19">
        <f t="shared" si="1"/>
        <v>0.66666666666666663</v>
      </c>
      <c r="L49" s="18">
        <f t="shared" si="2"/>
        <v>-745.22000000000116</v>
      </c>
      <c r="M49" s="20">
        <f t="shared" si="3"/>
        <v>-4.9999812136719557E-3</v>
      </c>
      <c r="N49" s="21">
        <v>12420.38</v>
      </c>
      <c r="O49" s="48"/>
      <c r="P49" s="23">
        <v>12420.38</v>
      </c>
      <c r="Q49" s="52" t="s">
        <v>221</v>
      </c>
      <c r="R49" s="21">
        <v>12420.38</v>
      </c>
      <c r="S49" s="48"/>
      <c r="T49" s="22">
        <v>12420.38</v>
      </c>
      <c r="U49" s="51"/>
      <c r="V49" s="21">
        <v>12420.38</v>
      </c>
      <c r="W49" s="48"/>
      <c r="X49" s="22">
        <v>12420.38</v>
      </c>
      <c r="Y49" s="51"/>
      <c r="Z49" s="21">
        <v>12420.38</v>
      </c>
      <c r="AA49" s="48"/>
      <c r="AB49" s="22">
        <v>12420.38</v>
      </c>
      <c r="AC49" s="51"/>
      <c r="AD49" s="21">
        <v>12420.38</v>
      </c>
      <c r="AE49" s="48"/>
      <c r="AF49" s="22">
        <v>12420.38</v>
      </c>
      <c r="AG49" s="51"/>
      <c r="AH49" s="21">
        <v>12420.38</v>
      </c>
      <c r="AI49" s="48"/>
      <c r="AJ49" s="22">
        <v>12420.38</v>
      </c>
      <c r="AK49" s="51"/>
      <c r="AL49" s="21">
        <v>12420.38</v>
      </c>
      <c r="AM49" s="48"/>
      <c r="AN49" s="22">
        <f t="shared" si="20"/>
        <v>12420.38</v>
      </c>
      <c r="AO49" s="51"/>
      <c r="AP49" s="21">
        <v>12420.38</v>
      </c>
      <c r="AQ49" s="48"/>
      <c r="AR49" s="23">
        <v>13165.6</v>
      </c>
      <c r="AS49" s="58" t="s">
        <v>245</v>
      </c>
      <c r="AT49" s="21">
        <v>12420.38</v>
      </c>
      <c r="AU49" s="48"/>
      <c r="AV49" s="24">
        <f t="shared" si="15"/>
        <v>13165.6</v>
      </c>
      <c r="AW49" s="54"/>
      <c r="AX49" s="21">
        <v>12420.38</v>
      </c>
      <c r="AY49" s="48"/>
      <c r="AZ49" s="24">
        <f t="shared" si="16"/>
        <v>13165.6</v>
      </c>
      <c r="BA49" s="54"/>
      <c r="BB49" s="21">
        <v>12420.38</v>
      </c>
      <c r="BC49" s="48"/>
      <c r="BD49" s="24">
        <f t="shared" si="17"/>
        <v>13165.6</v>
      </c>
      <c r="BE49" s="54"/>
      <c r="BF49" s="21">
        <v>12420.38</v>
      </c>
      <c r="BG49" s="48"/>
      <c r="BH49" s="24">
        <f t="shared" si="18"/>
        <v>13165.6</v>
      </c>
      <c r="BI49" s="55"/>
    </row>
    <row r="50" spans="1:62" ht="24.75">
      <c r="A50" s="15" t="s">
        <v>167</v>
      </c>
      <c r="B50" s="16" t="s">
        <v>168</v>
      </c>
      <c r="C50" s="16">
        <v>366345.04</v>
      </c>
      <c r="D50" s="16">
        <v>366345.04</v>
      </c>
      <c r="E50" s="18">
        <f>SUM(N50,R50,V50,Z50,AD50,AH50,AL50,AP50,AT50,AX50,BB50,BF50)</f>
        <v>366345.04</v>
      </c>
      <c r="F50" s="18">
        <f>SUM(P50,T50,X50,AB50,AF50,AJ50,AN50,AR50,AV50,AZ50,BD50,BH50)</f>
        <v>272629.24</v>
      </c>
      <c r="G50" s="18">
        <f t="shared" si="12"/>
        <v>93715.799999999988</v>
      </c>
      <c r="H50" s="18">
        <f>IFERROR(SUM(N50+R50+V50+Z50+AD50+AH50+AL50+AP50),"SIN_DATOS")</f>
        <v>244230</v>
      </c>
      <c r="I50" s="18">
        <f>IFERROR(SUM(P50+T50+X50+AB50+AF50+AJ50+AN50+AR50),"SIN_DATOS")</f>
        <v>211976.22</v>
      </c>
      <c r="J50" s="19">
        <f t="shared" si="0"/>
        <v>0.57862451201741405</v>
      </c>
      <c r="K50" s="19">
        <f t="shared" si="1"/>
        <v>0.66666659387554428</v>
      </c>
      <c r="L50" s="18">
        <f t="shared" si="2"/>
        <v>32253.78</v>
      </c>
      <c r="M50" s="20">
        <f t="shared" si="3"/>
        <v>8.8042081858130228E-2</v>
      </c>
      <c r="N50" s="21">
        <v>30528.75</v>
      </c>
      <c r="O50" s="48"/>
      <c r="P50" s="23">
        <v>0</v>
      </c>
      <c r="Q50" s="52" t="s">
        <v>221</v>
      </c>
      <c r="R50" s="21">
        <v>30528.75</v>
      </c>
      <c r="S50" s="48"/>
      <c r="T50" s="22">
        <v>0</v>
      </c>
      <c r="U50" s="51"/>
      <c r="V50" s="21">
        <v>30528.75</v>
      </c>
      <c r="W50" s="48"/>
      <c r="X50" s="22">
        <v>0</v>
      </c>
      <c r="Y50" s="51"/>
      <c r="Z50" s="21">
        <v>30528.75</v>
      </c>
      <c r="AA50" s="48"/>
      <c r="AB50" s="22">
        <v>30017.16</v>
      </c>
      <c r="AC50" s="51"/>
      <c r="AD50" s="21">
        <v>30528.75</v>
      </c>
      <c r="AE50" s="48"/>
      <c r="AF50" s="23">
        <v>90979.53</v>
      </c>
      <c r="AG50" s="57" t="s">
        <v>246</v>
      </c>
      <c r="AH50" s="21">
        <v>30528.75</v>
      </c>
      <c r="AI50" s="48"/>
      <c r="AJ50" s="22">
        <v>0</v>
      </c>
      <c r="AK50" s="51"/>
      <c r="AL50" s="21">
        <v>30528.75</v>
      </c>
      <c r="AM50" s="48"/>
      <c r="AN50" s="22">
        <v>0</v>
      </c>
      <c r="AO50" s="51"/>
      <c r="AP50" s="21">
        <v>30528.75</v>
      </c>
      <c r="AQ50" s="48"/>
      <c r="AR50" s="23">
        <v>90979.53</v>
      </c>
      <c r="AS50" s="59" t="s">
        <v>247</v>
      </c>
      <c r="AT50" s="21">
        <v>30528.75</v>
      </c>
      <c r="AU50" s="48"/>
      <c r="AV50" s="24">
        <v>0</v>
      </c>
      <c r="AW50" s="54"/>
      <c r="AX50" s="21">
        <v>30528.75</v>
      </c>
      <c r="AY50" s="48"/>
      <c r="AZ50" s="24">
        <f t="shared" si="16"/>
        <v>0</v>
      </c>
      <c r="BA50" s="54"/>
      <c r="BB50" s="21">
        <v>30528.75</v>
      </c>
      <c r="BC50" s="48"/>
      <c r="BD50" s="24">
        <v>30326.51</v>
      </c>
      <c r="BE50" s="54"/>
      <c r="BF50" s="21">
        <v>30528.79</v>
      </c>
      <c r="BG50" s="48"/>
      <c r="BH50" s="24">
        <f t="shared" si="18"/>
        <v>30326.51</v>
      </c>
      <c r="BI50" s="55"/>
    </row>
    <row r="51" spans="1:62" ht="12.95" customHeight="1">
      <c r="A51" s="15" t="s">
        <v>169</v>
      </c>
      <c r="B51" s="16" t="s">
        <v>170</v>
      </c>
      <c r="C51" s="16" t="s">
        <v>171</v>
      </c>
      <c r="D51" s="16" t="s">
        <v>172</v>
      </c>
      <c r="E51" s="18">
        <f>SUM(N51,R51,V51,Z51,AD51,AH51,AL51,AP51,AT51,AX51,BB51,BF51)</f>
        <v>30105.441679999993</v>
      </c>
      <c r="F51" s="18">
        <f>SUM(P51,T51,X51,AB51,AF51,AJ51,AN51,AR51,AV51,AZ51,BD51,BH51)</f>
        <v>31908.012520159988</v>
      </c>
      <c r="G51" s="18">
        <f t="shared" si="12"/>
        <v>-1802.570840159995</v>
      </c>
      <c r="H51" s="18">
        <f>IFERROR(SUM(N51+R51+V51+Z51+AD51+AH51+AL51+AP51),"SIN_DATOS")</f>
        <v>19155.764837999996</v>
      </c>
      <c r="I51" s="18">
        <f>IFERROR(SUM(P51+T51+X51+AB51+AF51+AJ51+AN51+AR51),"SIN_DATOS")</f>
        <v>20305.092103999996</v>
      </c>
      <c r="J51" s="19">
        <f t="shared" si="0"/>
        <v>0.6744658430801006</v>
      </c>
      <c r="K51" s="19">
        <f t="shared" si="1"/>
        <v>0.63628911482556927</v>
      </c>
      <c r="L51" s="18">
        <f t="shared" si="2"/>
        <v>-1149.3272660000002</v>
      </c>
      <c r="M51" s="20">
        <f t="shared" si="3"/>
        <v>-3.8176728254531334E-2</v>
      </c>
      <c r="N51" s="21">
        <f>$CC$3*$BZ$8</f>
        <v>0</v>
      </c>
      <c r="O51" s="48"/>
      <c r="P51" s="22">
        <f>$CD$3*$BZ$8</f>
        <v>0</v>
      </c>
      <c r="Q51" s="51"/>
      <c r="R51" s="21">
        <f>$CE$3*$BZ$8</f>
        <v>0</v>
      </c>
      <c r="S51" s="48"/>
      <c r="T51" s="22">
        <f>$CF$3*$BZ$8</f>
        <v>0</v>
      </c>
      <c r="U51" s="51"/>
      <c r="V51" s="21">
        <f>$CG$3*$BZ$8</f>
        <v>0</v>
      </c>
      <c r="W51" s="48"/>
      <c r="X51" s="22">
        <f>$CH$3*$BZ$8</f>
        <v>0</v>
      </c>
      <c r="Y51" s="51"/>
      <c r="Z51" s="21">
        <f>$CI$3*$BZ$8</f>
        <v>0</v>
      </c>
      <c r="AA51" s="48"/>
      <c r="AB51" s="22">
        <f>$CJ$3*$BZ$8</f>
        <v>0</v>
      </c>
      <c r="AC51" s="51"/>
      <c r="AD51" s="21">
        <f>$CK$3*$BZ$8</f>
        <v>0</v>
      </c>
      <c r="AE51" s="48"/>
      <c r="AF51" s="22">
        <f>$CL$3*$BZ$8</f>
        <v>0</v>
      </c>
      <c r="AG51" s="51"/>
      <c r="AH51" s="21">
        <f>$CM$3*$BZ$8</f>
        <v>0</v>
      </c>
      <c r="AI51" s="48"/>
      <c r="AJ51" s="22">
        <f>$CN$3*$BZ$8</f>
        <v>0</v>
      </c>
      <c r="AK51" s="51"/>
      <c r="AL51" s="23">
        <f>$CO$3*$BZ$8</f>
        <v>16419.227003999997</v>
      </c>
      <c r="AM51" s="58" t="s">
        <v>248</v>
      </c>
      <c r="AN51" s="23">
        <f>$CP$3*$BZ$8</f>
        <v>52213.132103999997</v>
      </c>
      <c r="AO51" s="52" t="s">
        <v>249</v>
      </c>
      <c r="AP51" s="21">
        <f>$CQ$3*$BZ$8</f>
        <v>2736.5378339999997</v>
      </c>
      <c r="AQ51" s="48"/>
      <c r="AR51" s="23">
        <v>-31908.04</v>
      </c>
      <c r="AS51" s="58" t="s">
        <v>250</v>
      </c>
      <c r="AT51" s="21">
        <f>$CS$3*$BZ$8</f>
        <v>2736.5378339999997</v>
      </c>
      <c r="AU51" s="48"/>
      <c r="AV51" s="24">
        <v>2900.7301040399998</v>
      </c>
      <c r="AW51" s="54"/>
      <c r="AX51" s="21">
        <f>$CU$3*$BZ$8</f>
        <v>2736.5378339999997</v>
      </c>
      <c r="AY51" s="48"/>
      <c r="AZ51" s="24">
        <v>2900.7301040399998</v>
      </c>
      <c r="BA51" s="54"/>
      <c r="BB51" s="21">
        <f>$CW$3*$BZ$8</f>
        <v>2736.5378339999997</v>
      </c>
      <c r="BC51" s="48"/>
      <c r="BD51" s="24">
        <v>2900.7301040399998</v>
      </c>
      <c r="BE51" s="54"/>
      <c r="BF51" s="21">
        <f>$CY$3*$BZ$8</f>
        <v>2740.0633399999997</v>
      </c>
      <c r="BG51" s="48"/>
      <c r="BH51" s="24">
        <v>2900.7301040399998</v>
      </c>
      <c r="BI51" s="55"/>
      <c r="BJ51" s="25" t="s">
        <v>173</v>
      </c>
    </row>
    <row r="52" spans="1:62" ht="12.95" customHeight="1">
      <c r="A52" s="15" t="s">
        <v>174</v>
      </c>
      <c r="B52" s="16" t="s">
        <v>170</v>
      </c>
      <c r="C52" s="16" t="s">
        <v>171</v>
      </c>
      <c r="D52" s="16" t="s">
        <v>172</v>
      </c>
      <c r="E52" s="18">
        <f>SUM(N52,R52,V52,Z52,AD52,AH52,AL52,AP52,AT52,AX52,BB52,BF52)</f>
        <v>10528.731600000001</v>
      </c>
      <c r="F52" s="18">
        <f>SUM(P52,T52,X52,AB52,AF52,AJ52,AN52,AR52,AV52,AZ52,BD52,BH52)</f>
        <v>11159.1436792</v>
      </c>
      <c r="G52" s="18">
        <f t="shared" si="12"/>
        <v>-630.41207919999943</v>
      </c>
      <c r="H52" s="18">
        <f>IFERROR(SUM(N52+R52+V52+Z52+AD52+AH52+AL52+AP52),"SIN_DATOS")</f>
        <v>6699.3173099999995</v>
      </c>
      <c r="I52" s="18">
        <f>IFERROR(SUM(P52+T52+X52+AB52+AF52+AJ52+AN52+AR52),"SIN_DATOS")</f>
        <v>7101.2714800000012</v>
      </c>
      <c r="J52" s="19">
        <f t="shared" si="0"/>
        <v>0.67446599930422768</v>
      </c>
      <c r="K52" s="19">
        <f t="shared" si="1"/>
        <v>0.63628911482556916</v>
      </c>
      <c r="L52" s="18">
        <f t="shared" si="2"/>
        <v>-401.9541700000018</v>
      </c>
      <c r="M52" s="20">
        <f t="shared" si="3"/>
        <v>-3.8176884478658524E-2</v>
      </c>
      <c r="N52" s="21">
        <f>$CC$3*$BZ$9</f>
        <v>0</v>
      </c>
      <c r="O52" s="48"/>
      <c r="P52" s="22">
        <f>$CD$3*$BZ$9</f>
        <v>0</v>
      </c>
      <c r="Q52" s="51"/>
      <c r="R52" s="21">
        <f>$CE$3*$BZ$9</f>
        <v>0</v>
      </c>
      <c r="S52" s="48"/>
      <c r="T52" s="22">
        <f>$CF$3*$BZ$9</f>
        <v>0</v>
      </c>
      <c r="U52" s="51"/>
      <c r="V52" s="21">
        <f>$CG$3*$BZ$9</f>
        <v>0</v>
      </c>
      <c r="W52" s="48"/>
      <c r="X52" s="22">
        <f>$CH$3*$BZ$9</f>
        <v>0</v>
      </c>
      <c r="Y52" s="51"/>
      <c r="Z52" s="21">
        <f>$CI$3*$BZ$9</f>
        <v>0</v>
      </c>
      <c r="AA52" s="48"/>
      <c r="AB52" s="22">
        <f>$CJ$3*$BZ$9</f>
        <v>0</v>
      </c>
      <c r="AC52" s="51"/>
      <c r="AD52" s="21">
        <f>$CK$3*$BZ$9</f>
        <v>0</v>
      </c>
      <c r="AE52" s="48"/>
      <c r="AF52" s="22">
        <f>$CL$3*$BZ$9</f>
        <v>0</v>
      </c>
      <c r="AG52" s="51"/>
      <c r="AH52" s="21">
        <f>$CM$3*$BZ$9</f>
        <v>0</v>
      </c>
      <c r="AI52" s="48"/>
      <c r="AJ52" s="22">
        <f>$CN$3*$BZ$9</f>
        <v>0</v>
      </c>
      <c r="AK52" s="51"/>
      <c r="AL52" s="23">
        <f>$CO$3*$BZ$9</f>
        <v>5742.2719799999995</v>
      </c>
      <c r="AM52" s="58" t="s">
        <v>248</v>
      </c>
      <c r="AN52" s="23">
        <f>$CP$3*$BZ$9</f>
        <v>18260.421480000001</v>
      </c>
      <c r="AO52" s="52" t="s">
        <v>249</v>
      </c>
      <c r="AP52" s="21">
        <f>$CQ$3*$BZ$9</f>
        <v>957.04532999999992</v>
      </c>
      <c r="AQ52" s="48"/>
      <c r="AR52" s="23">
        <v>-11159.15</v>
      </c>
      <c r="AS52" s="58" t="s">
        <v>250</v>
      </c>
      <c r="AT52" s="21">
        <f>$CS$3*$BZ$9</f>
        <v>957.04532999999992</v>
      </c>
      <c r="AU52" s="48"/>
      <c r="AV52" s="24">
        <v>1014.4680497999999</v>
      </c>
      <c r="AW52" s="54"/>
      <c r="AX52" s="21">
        <f>$CU$3*$BZ$9</f>
        <v>957.04532999999992</v>
      </c>
      <c r="AY52" s="48"/>
      <c r="AZ52" s="24">
        <v>1014.4680497999999</v>
      </c>
      <c r="BA52" s="54"/>
      <c r="BB52" s="21">
        <f>$CW$3*$BZ$9</f>
        <v>957.04532999999992</v>
      </c>
      <c r="BC52" s="48"/>
      <c r="BD52" s="24">
        <v>1014.4680497999999</v>
      </c>
      <c r="BE52" s="54"/>
      <c r="BF52" s="21">
        <f>$CY$3*$BZ$9</f>
        <v>958.27829999999994</v>
      </c>
      <c r="BG52" s="48"/>
      <c r="BH52" s="24">
        <v>1014.4680497999999</v>
      </c>
      <c r="BI52" s="55"/>
      <c r="BJ52" s="25" t="s">
        <v>175</v>
      </c>
    </row>
    <row r="53" spans="1:62" ht="12.95" customHeight="1">
      <c r="A53" s="15" t="s">
        <v>63</v>
      </c>
      <c r="B53" s="16" t="s">
        <v>170</v>
      </c>
      <c r="C53" s="16" t="s">
        <v>171</v>
      </c>
      <c r="D53" s="16" t="s">
        <v>172</v>
      </c>
      <c r="E53" s="18">
        <f>SUM(N53,R53,V53,Z53,AD53,AH53,AL53,AP53,AT53,AX53,BB53,BF53)</f>
        <v>7442.2267199999997</v>
      </c>
      <c r="F53" s="18">
        <f>SUM(P53,T53,X53,AB53,AF53,AJ53,AN53,AR53,AV53,AZ53,BD53,BH53)</f>
        <v>7887.8306006399998</v>
      </c>
      <c r="G53" s="18">
        <f t="shared" si="12"/>
        <v>-445.60388064000017</v>
      </c>
      <c r="H53" s="18">
        <f>IFERROR(SUM(N53+R53+V53+Z53+AD53+AH53+AL53+AP53),"SIN_DATOS")</f>
        <v>4735.4078519999994</v>
      </c>
      <c r="I53" s="18">
        <f>IFERROR(SUM(P53+T53+X53+AB53+AF53+AJ53+AN53+AR53),"SIN_DATOS")</f>
        <v>5019.5264159999988</v>
      </c>
      <c r="J53" s="19">
        <f t="shared" si="0"/>
        <v>0.67446566798491714</v>
      </c>
      <c r="K53" s="19">
        <f t="shared" si="1"/>
        <v>0.63628911482556927</v>
      </c>
      <c r="L53" s="18">
        <f t="shared" si="2"/>
        <v>-284.11856399999942</v>
      </c>
      <c r="M53" s="20">
        <f t="shared" si="3"/>
        <v>-3.817655315934787E-2</v>
      </c>
      <c r="N53" s="21">
        <f>$CC$3*$BZ$10</f>
        <v>0</v>
      </c>
      <c r="O53" s="48"/>
      <c r="P53" s="22">
        <f>$CD$3*$BZ$10</f>
        <v>0</v>
      </c>
      <c r="Q53" s="51"/>
      <c r="R53" s="21">
        <f>$CE$3*$BZ$10</f>
        <v>0</v>
      </c>
      <c r="S53" s="48"/>
      <c r="T53" s="22">
        <f>$CF$3*$BZ$10</f>
        <v>0</v>
      </c>
      <c r="U53" s="51"/>
      <c r="V53" s="21">
        <f>$CG$3*$BZ$10</f>
        <v>0</v>
      </c>
      <c r="W53" s="48"/>
      <c r="X53" s="22">
        <f>$CH$3*$BZ$10</f>
        <v>0</v>
      </c>
      <c r="Y53" s="51"/>
      <c r="Z53" s="21">
        <f>$CI$3*$BZ$10</f>
        <v>0</v>
      </c>
      <c r="AA53" s="48"/>
      <c r="AB53" s="22">
        <f>$CJ$3*$BZ$10</f>
        <v>0</v>
      </c>
      <c r="AC53" s="51"/>
      <c r="AD53" s="21">
        <f>$CK$3*$BZ$10</f>
        <v>0</v>
      </c>
      <c r="AE53" s="48"/>
      <c r="AF53" s="22">
        <f>$CL$3*$BZ$10</f>
        <v>0</v>
      </c>
      <c r="AG53" s="51"/>
      <c r="AH53" s="21">
        <f>$CM$3*$BZ$10</f>
        <v>0</v>
      </c>
      <c r="AI53" s="48"/>
      <c r="AJ53" s="22">
        <f>$CN$3*$BZ$10</f>
        <v>0</v>
      </c>
      <c r="AK53" s="51"/>
      <c r="AL53" s="23">
        <f>$CO$3*$BZ$10</f>
        <v>4058.9210159999993</v>
      </c>
      <c r="AM53" s="58" t="s">
        <v>248</v>
      </c>
      <c r="AN53" s="23">
        <f>$CP$3*$BZ$10</f>
        <v>12907.366415999999</v>
      </c>
      <c r="AO53" s="52" t="s">
        <v>249</v>
      </c>
      <c r="AP53" s="21">
        <f>$CQ$3*$BZ$10</f>
        <v>676.48683599999993</v>
      </c>
      <c r="AQ53" s="48"/>
      <c r="AR53" s="23">
        <v>-7887.84</v>
      </c>
      <c r="AS53" s="58" t="s">
        <v>250</v>
      </c>
      <c r="AT53" s="21">
        <f>$CS$3*$BZ$10</f>
        <v>676.48683599999993</v>
      </c>
      <c r="AU53" s="48"/>
      <c r="AV53" s="24">
        <v>717.07604615999992</v>
      </c>
      <c r="AW53" s="54"/>
      <c r="AX53" s="21">
        <f>$CU$3*$BZ$10</f>
        <v>676.48683599999993</v>
      </c>
      <c r="AY53" s="48"/>
      <c r="AZ53" s="24">
        <v>717.07604615999992</v>
      </c>
      <c r="BA53" s="54"/>
      <c r="BB53" s="21">
        <f>$CW$3*$BZ$10</f>
        <v>676.48683599999993</v>
      </c>
      <c r="BC53" s="48"/>
      <c r="BD53" s="24">
        <v>717.07604615999992</v>
      </c>
      <c r="BE53" s="54"/>
      <c r="BF53" s="21">
        <f>$CY$3*$BZ$10</f>
        <v>677.35835999999995</v>
      </c>
      <c r="BG53" s="48"/>
      <c r="BH53" s="24">
        <v>717.07604615999992</v>
      </c>
      <c r="BI53" s="55"/>
      <c r="BJ53" s="25" t="s">
        <v>175</v>
      </c>
    </row>
    <row r="54" spans="1:62" ht="12.75">
      <c r="A54" s="15" t="s">
        <v>169</v>
      </c>
      <c r="B54" s="16" t="s">
        <v>176</v>
      </c>
      <c r="C54" s="16" t="s">
        <v>177</v>
      </c>
      <c r="D54" s="16" t="s">
        <v>172</v>
      </c>
      <c r="E54" s="18">
        <f>SUM(N54,R54,V54,Z54,AD54,AH54,AL54,AP54,AT54,AX54,BB54,BF54)</f>
        <v>220645.70291999998</v>
      </c>
      <c r="F54" s="18">
        <f>SUM(P54,T54,X54,AB54,AF54,AJ54,AN54,AR54,AV54,AZ54,BD54,BH54)</f>
        <v>233871.18468400004</v>
      </c>
      <c r="G54" s="18">
        <f t="shared" si="12"/>
        <v>-13225.481764000055</v>
      </c>
      <c r="H54" s="18">
        <f>IFERROR(SUM(N54+R54+V54+Z54+AD54+AH54+AL54+AP54),"SIN_DATOS")</f>
        <v>140402.93203999999</v>
      </c>
      <c r="I54" s="18">
        <f>IFERROR(SUM(P54+T54+X54+AB54+AF54+AJ54+AN54+AR54),"SIN_DATOS")</f>
        <v>148827.12299120001</v>
      </c>
      <c r="J54" s="19">
        <f t="shared" si="0"/>
        <v>0.67450723499999732</v>
      </c>
      <c r="K54" s="19">
        <f t="shared" si="1"/>
        <v>0.63632751593130366</v>
      </c>
      <c r="L54" s="18">
        <f t="shared" si="2"/>
        <v>-8424.1909512000275</v>
      </c>
      <c r="M54" s="20">
        <f t="shared" si="3"/>
        <v>-3.8179719068693663E-2</v>
      </c>
      <c r="N54" s="21">
        <f>$CC$4*$BZ$8</f>
        <v>0</v>
      </c>
      <c r="O54" s="48"/>
      <c r="P54" s="22">
        <f>$CD$4*$BZ$8</f>
        <v>0</v>
      </c>
      <c r="Q54" s="51"/>
      <c r="R54" s="21">
        <f>$CE$4*$BZ$8</f>
        <v>0</v>
      </c>
      <c r="S54" s="48"/>
      <c r="T54" s="22">
        <f>$CF$4*$BZ$8</f>
        <v>0</v>
      </c>
      <c r="U54" s="51"/>
      <c r="V54" s="21">
        <f>$CG$4*$BZ$8</f>
        <v>0</v>
      </c>
      <c r="W54" s="48"/>
      <c r="X54" s="22">
        <f>$CH$4*$BZ$8</f>
        <v>0</v>
      </c>
      <c r="Y54" s="51"/>
      <c r="Z54" s="21">
        <f>$CI$4*$BZ$8</f>
        <v>0</v>
      </c>
      <c r="AA54" s="48"/>
      <c r="AB54" s="22">
        <f>$CJ$4*$BZ$8</f>
        <v>0</v>
      </c>
      <c r="AC54" s="51"/>
      <c r="AD54" s="21">
        <f>$CK$4*$BZ$8</f>
        <v>0</v>
      </c>
      <c r="AE54" s="48"/>
      <c r="AF54" s="22">
        <f>$CL$4*$BZ$8</f>
        <v>0</v>
      </c>
      <c r="AG54" s="51"/>
      <c r="AH54" s="21">
        <f>$CM$4*$BZ$8</f>
        <v>0</v>
      </c>
      <c r="AI54" s="48"/>
      <c r="AJ54" s="22">
        <f>$CN$4*$BZ$8</f>
        <v>0</v>
      </c>
      <c r="AK54" s="51"/>
      <c r="AL54" s="21">
        <f>$CO$4*$BZ$8</f>
        <v>120345.37032</v>
      </c>
      <c r="AM54" s="48"/>
      <c r="AN54" s="23">
        <f>$CP$4*$BZ$8</f>
        <v>127566.10756800001</v>
      </c>
      <c r="AO54" s="58" t="s">
        <v>251</v>
      </c>
      <c r="AP54" s="21">
        <f>$CQ$4*$BZ$8</f>
        <v>20057.561719999998</v>
      </c>
      <c r="AQ54" s="48"/>
      <c r="AR54" s="23">
        <v>21261.015423199999</v>
      </c>
      <c r="AS54" s="58" t="s">
        <v>251</v>
      </c>
      <c r="AT54" s="21">
        <f>$CS$4*$BZ$8</f>
        <v>20057.561719999998</v>
      </c>
      <c r="AU54" s="48"/>
      <c r="AV54" s="24">
        <v>21261.015423199999</v>
      </c>
      <c r="AW54" s="54"/>
      <c r="AX54" s="21">
        <f>$CU$4*$BZ$8</f>
        <v>20057.561719999998</v>
      </c>
      <c r="AY54" s="48"/>
      <c r="AZ54" s="24">
        <v>21261.015423199999</v>
      </c>
      <c r="BA54" s="54"/>
      <c r="BB54" s="21">
        <f>$CW$4*$BZ$8</f>
        <v>20057.561719999998</v>
      </c>
      <c r="BC54" s="48"/>
      <c r="BD54" s="24">
        <v>21261.015423199999</v>
      </c>
      <c r="BE54" s="54"/>
      <c r="BF54" s="21">
        <f>$CY$4*$BZ$8</f>
        <v>20070.085719999999</v>
      </c>
      <c r="BG54" s="48"/>
      <c r="BH54" s="24">
        <v>21261.015423199999</v>
      </c>
      <c r="BI54" s="55"/>
      <c r="BJ54" s="25" t="s">
        <v>178</v>
      </c>
    </row>
    <row r="55" spans="1:62" ht="12.75">
      <c r="A55" s="15" t="s">
        <v>174</v>
      </c>
      <c r="B55" s="16" t="s">
        <v>176</v>
      </c>
      <c r="C55" s="16" t="s">
        <v>177</v>
      </c>
      <c r="D55" s="16" t="s">
        <v>172</v>
      </c>
      <c r="E55" s="18">
        <f>SUM(N55,R55,V55,Z55,AD55,AH55,AL55,AP55,AT55,AX55,BB55,BF55)</f>
        <v>77166.095399999991</v>
      </c>
      <c r="F55" s="18">
        <f>SUM(P55,T55,X55,AB55,AF55,AJ55,AN55,AR55,AV55,AZ55,BD55,BH55)</f>
        <v>81791.423580000017</v>
      </c>
      <c r="G55" s="18">
        <f t="shared" si="12"/>
        <v>-4625.3281800000259</v>
      </c>
      <c r="H55" s="18">
        <f>IFERROR(SUM(N55+R55+V55+Z55+AD55+AH55+AL55+AP55),"SIN_DATOS")</f>
        <v>49102.909800000001</v>
      </c>
      <c r="I55" s="18">
        <f>IFERROR(SUM(P55+T55+X55+AB55+AF55+AJ55+AN55+AR55),"SIN_DATOS")</f>
        <v>52049.089644000007</v>
      </c>
      <c r="J55" s="19">
        <f t="shared" si="0"/>
        <v>0.67450723499999732</v>
      </c>
      <c r="K55" s="19">
        <f t="shared" si="1"/>
        <v>0.63632751593130377</v>
      </c>
      <c r="L55" s="18">
        <f t="shared" si="2"/>
        <v>-2946.1798440000057</v>
      </c>
      <c r="M55" s="20">
        <f t="shared" si="3"/>
        <v>-3.8179719068693552E-2</v>
      </c>
      <c r="N55" s="21">
        <f>$CC$4*$BZ$9</f>
        <v>0</v>
      </c>
      <c r="O55" s="48"/>
      <c r="P55" s="22">
        <f>$CD$4*$BZ$9</f>
        <v>0</v>
      </c>
      <c r="Q55" s="51"/>
      <c r="R55" s="21">
        <f>$CE$4*$BZ$9</f>
        <v>0</v>
      </c>
      <c r="S55" s="48"/>
      <c r="T55" s="22">
        <f>$CF$4*$BZ$9</f>
        <v>0</v>
      </c>
      <c r="U55" s="51"/>
      <c r="V55" s="21">
        <f>$CG$4*$BZ$9</f>
        <v>0</v>
      </c>
      <c r="W55" s="48"/>
      <c r="X55" s="22">
        <f>$CH$4*$BZ$9</f>
        <v>0</v>
      </c>
      <c r="Y55" s="51"/>
      <c r="Z55" s="21">
        <f>$CI$4*$BZ$9</f>
        <v>0</v>
      </c>
      <c r="AA55" s="48"/>
      <c r="AB55" s="22">
        <f>$CJ$4*$BZ$9</f>
        <v>0</v>
      </c>
      <c r="AC55" s="51"/>
      <c r="AD55" s="21">
        <f>$CK$4*$BZ$9</f>
        <v>0</v>
      </c>
      <c r="AE55" s="48"/>
      <c r="AF55" s="22">
        <f>$CL$4*$BZ$9</f>
        <v>0</v>
      </c>
      <c r="AG55" s="51"/>
      <c r="AH55" s="21">
        <f>$CM$4*$BZ$9</f>
        <v>0</v>
      </c>
      <c r="AI55" s="48"/>
      <c r="AJ55" s="22">
        <f>$CN$4*$BZ$9</f>
        <v>0</v>
      </c>
      <c r="AK55" s="51"/>
      <c r="AL55" s="21">
        <f>$CO$4*$BZ$9</f>
        <v>42088.208400000003</v>
      </c>
      <c r="AM55" s="48"/>
      <c r="AN55" s="23">
        <f>$CP$4*$BZ$9</f>
        <v>44613.506160000004</v>
      </c>
      <c r="AO55" s="58" t="s">
        <v>251</v>
      </c>
      <c r="AP55" s="21">
        <f>$CQ$4*$BZ$9</f>
        <v>7014.7013999999999</v>
      </c>
      <c r="AQ55" s="48"/>
      <c r="AR55" s="23">
        <v>7435.5834839999998</v>
      </c>
      <c r="AS55" s="58" t="s">
        <v>251</v>
      </c>
      <c r="AT55" s="21">
        <f>$CS$4*$BZ$9</f>
        <v>7014.7013999999999</v>
      </c>
      <c r="AU55" s="48"/>
      <c r="AV55" s="24">
        <v>7435.5834839999998</v>
      </c>
      <c r="AW55" s="54"/>
      <c r="AX55" s="21">
        <f>$CU$4*$BZ$9</f>
        <v>7014.7013999999999</v>
      </c>
      <c r="AY55" s="48"/>
      <c r="AZ55" s="24">
        <v>7435.5834839999998</v>
      </c>
      <c r="BA55" s="54"/>
      <c r="BB55" s="21">
        <f>$CW$4*$BZ$9</f>
        <v>7014.7013999999999</v>
      </c>
      <c r="BC55" s="48"/>
      <c r="BD55" s="24">
        <v>7435.5834839999998</v>
      </c>
      <c r="BE55" s="54"/>
      <c r="BF55" s="21">
        <f>$CY$4*$BZ$9</f>
        <v>7019.0814</v>
      </c>
      <c r="BG55" s="48"/>
      <c r="BH55" s="24">
        <v>7435.5834839999998</v>
      </c>
      <c r="BI55" s="55"/>
      <c r="BJ55" s="25" t="s">
        <v>178</v>
      </c>
    </row>
    <row r="56" spans="1:62" ht="12.75">
      <c r="A56" s="15" t="s">
        <v>63</v>
      </c>
      <c r="B56" s="16" t="s">
        <v>176</v>
      </c>
      <c r="C56" s="16" t="s">
        <v>177</v>
      </c>
      <c r="D56" s="16" t="s">
        <v>172</v>
      </c>
      <c r="E56" s="18">
        <f>SUM(N56,R56,V56,Z56,AD56,AH56,AL56,AP56,AT56,AX56,BB56,BF56)</f>
        <v>54544.801680000011</v>
      </c>
      <c r="F56" s="18">
        <f>SUM(P56,T56,X56,AB56,AF56,AJ56,AN56,AR56,AV56,AZ56,BD56,BH56)</f>
        <v>57814.211735999997</v>
      </c>
      <c r="G56" s="18">
        <f t="shared" si="12"/>
        <v>-3269.4100559999861</v>
      </c>
      <c r="H56" s="18">
        <f>IFERROR(SUM(N56+R56+V56+Z56+AD56+AH56+AL56+AP56),"SIN_DATOS")</f>
        <v>34708.358160000003</v>
      </c>
      <c r="I56" s="18">
        <f>IFERROR(SUM(P56+T56+X56+AB56+AF56+AJ56+AN56+AR56),"SIN_DATOS")</f>
        <v>36790.863364799996</v>
      </c>
      <c r="J56" s="19">
        <f t="shared" si="0"/>
        <v>0.67450723499999699</v>
      </c>
      <c r="K56" s="19">
        <f t="shared" si="1"/>
        <v>0.63632751593130366</v>
      </c>
      <c r="L56" s="18">
        <f t="shared" si="2"/>
        <v>-2082.5052047999925</v>
      </c>
      <c r="M56" s="20">
        <f t="shared" si="3"/>
        <v>-3.817971906869333E-2</v>
      </c>
      <c r="N56" s="21">
        <f>$CC$4*$BZ$10</f>
        <v>0</v>
      </c>
      <c r="O56" s="48"/>
      <c r="P56" s="22">
        <f>$CD$4*$BZ$10</f>
        <v>0</v>
      </c>
      <c r="Q56" s="51"/>
      <c r="R56" s="21">
        <f>$CE$4*$BZ$10</f>
        <v>0</v>
      </c>
      <c r="S56" s="48"/>
      <c r="T56" s="22">
        <f>$CF$4*$BZ$10</f>
        <v>0</v>
      </c>
      <c r="U56" s="51"/>
      <c r="V56" s="21">
        <f>$CG$4*$BZ$10</f>
        <v>0</v>
      </c>
      <c r="W56" s="48"/>
      <c r="X56" s="22">
        <f>$CH$4*$BZ$10</f>
        <v>0</v>
      </c>
      <c r="Y56" s="51"/>
      <c r="Z56" s="21">
        <f>$CI$4*$BZ$10</f>
        <v>0</v>
      </c>
      <c r="AA56" s="48"/>
      <c r="AB56" s="22">
        <f>$CJ$4*$BZ$10</f>
        <v>0</v>
      </c>
      <c r="AC56" s="51"/>
      <c r="AD56" s="21">
        <f>$CK$4*$BZ$10</f>
        <v>0</v>
      </c>
      <c r="AE56" s="48"/>
      <c r="AF56" s="22">
        <f>$CL$4*$BZ$10</f>
        <v>0</v>
      </c>
      <c r="AG56" s="51"/>
      <c r="AH56" s="21">
        <f>$CM$4*$BZ$10</f>
        <v>0</v>
      </c>
      <c r="AI56" s="48"/>
      <c r="AJ56" s="22">
        <f>$CN$4*$BZ$10</f>
        <v>0</v>
      </c>
      <c r="AK56" s="51"/>
      <c r="AL56" s="21">
        <f>$CO$4*$BZ$10</f>
        <v>29750.021280000001</v>
      </c>
      <c r="AM56" s="48"/>
      <c r="AN56" s="23">
        <f>$CP$4*$BZ$10</f>
        <v>31535.026271999999</v>
      </c>
      <c r="AO56" s="58" t="s">
        <v>251</v>
      </c>
      <c r="AP56" s="21">
        <f>$CQ$4*$BZ$10</f>
        <v>4958.3368799999998</v>
      </c>
      <c r="AQ56" s="48"/>
      <c r="AR56" s="23">
        <v>5255.8370927999995</v>
      </c>
      <c r="AS56" s="58" t="s">
        <v>251</v>
      </c>
      <c r="AT56" s="21">
        <f>$CS$4*$BZ$10</f>
        <v>4958.3368799999998</v>
      </c>
      <c r="AU56" s="48"/>
      <c r="AV56" s="24">
        <v>5255.8370927999995</v>
      </c>
      <c r="AW56" s="54"/>
      <c r="AX56" s="21">
        <f>$CU$4*$BZ$10</f>
        <v>4958.3368799999998</v>
      </c>
      <c r="AY56" s="48"/>
      <c r="AZ56" s="24">
        <v>5255.8370927999995</v>
      </c>
      <c r="BA56" s="54"/>
      <c r="BB56" s="21">
        <f>$CW$4*$BZ$10</f>
        <v>4958.3368799999998</v>
      </c>
      <c r="BC56" s="48"/>
      <c r="BD56" s="24">
        <v>5255.8370927999995</v>
      </c>
      <c r="BE56" s="54"/>
      <c r="BF56" s="21">
        <f>$CY$4*$BZ$10</f>
        <v>4961.4328799999994</v>
      </c>
      <c r="BG56" s="48"/>
      <c r="BH56" s="24">
        <v>5255.8370927999995</v>
      </c>
      <c r="BI56" s="55"/>
      <c r="BJ56" s="25" t="s">
        <v>178</v>
      </c>
    </row>
    <row r="57" spans="1:62" ht="12.75">
      <c r="A57" s="15" t="s">
        <v>179</v>
      </c>
      <c r="B57" s="33" t="s">
        <v>180</v>
      </c>
      <c r="C57" s="16">
        <v>350000.04</v>
      </c>
      <c r="D57" s="16">
        <v>300150</v>
      </c>
      <c r="E57" s="18">
        <f>SUM(N57,R57,V57,Z57,AD57,AH57,AL57,AP57,AT57,AX57,BB57,BF57)</f>
        <v>0</v>
      </c>
      <c r="F57" s="18">
        <f>SUM(P57,T57,X57,AB57,AF57,AJ57,AN57,AR57,AV57,AZ57,BD57,BH57)</f>
        <v>0</v>
      </c>
      <c r="G57" s="18">
        <f t="shared" si="12"/>
        <v>0</v>
      </c>
      <c r="H57" s="18">
        <f>IFERROR(SUM(N57+R57+V57+Z57+AD57+AH57+AL57+AP57),"SIN_DATOS")</f>
        <v>0</v>
      </c>
      <c r="I57" s="18">
        <f>IFERROR(SUM(P57+T57+X57+AB57+AF57+AJ57+AN57+AR57),"SIN_DATOS")</f>
        <v>0</v>
      </c>
      <c r="J57" s="19" t="str">
        <f t="shared" si="0"/>
        <v>SIN DATO</v>
      </c>
      <c r="K57" s="19" t="str">
        <f t="shared" si="1"/>
        <v>SIN DATO</v>
      </c>
      <c r="L57" s="18">
        <f t="shared" si="2"/>
        <v>0</v>
      </c>
      <c r="M57" s="20" t="str">
        <f t="shared" si="3"/>
        <v>SIN DATO</v>
      </c>
      <c r="N57" s="21">
        <v>300150</v>
      </c>
      <c r="O57" s="48"/>
      <c r="P57" s="22">
        <v>0</v>
      </c>
      <c r="Q57" s="51"/>
      <c r="R57" s="21">
        <v>0</v>
      </c>
      <c r="S57" s="48"/>
      <c r="T57" s="22">
        <v>0</v>
      </c>
      <c r="U57" s="51"/>
      <c r="V57" s="21">
        <v>0</v>
      </c>
      <c r="W57" s="48"/>
      <c r="X57" s="22">
        <v>0</v>
      </c>
      <c r="Y57" s="51"/>
      <c r="Z57" s="21">
        <v>0</v>
      </c>
      <c r="AA57" s="48"/>
      <c r="AB57" s="22">
        <v>0</v>
      </c>
      <c r="AC57" s="51"/>
      <c r="AD57" s="21">
        <v>0</v>
      </c>
      <c r="AE57" s="48"/>
      <c r="AF57" s="22">
        <v>0</v>
      </c>
      <c r="AG57" s="51"/>
      <c r="AH57" s="21">
        <v>0</v>
      </c>
      <c r="AI57" s="48"/>
      <c r="AJ57" s="22">
        <v>0</v>
      </c>
      <c r="AK57" s="51"/>
      <c r="AL57" s="21">
        <v>-300150</v>
      </c>
      <c r="AM57" s="48"/>
      <c r="AN57" s="22">
        <v>0</v>
      </c>
      <c r="AO57" s="51"/>
      <c r="AP57" s="21">
        <v>0</v>
      </c>
      <c r="AQ57" s="48"/>
      <c r="AR57" s="24">
        <f t="shared" si="19"/>
        <v>0</v>
      </c>
      <c r="AS57" s="54"/>
      <c r="AT57" s="21">
        <v>0</v>
      </c>
      <c r="AU57" s="48"/>
      <c r="AV57" s="24">
        <f t="shared" si="15"/>
        <v>0</v>
      </c>
      <c r="AW57" s="54"/>
      <c r="AX57" s="21">
        <v>0</v>
      </c>
      <c r="AY57" s="48"/>
      <c r="AZ57" s="24">
        <f t="shared" si="16"/>
        <v>0</v>
      </c>
      <c r="BA57" s="54"/>
      <c r="BB57" s="21">
        <v>0</v>
      </c>
      <c r="BC57" s="48"/>
      <c r="BD57" s="24">
        <f t="shared" si="17"/>
        <v>0</v>
      </c>
      <c r="BE57" s="54"/>
      <c r="BF57" s="21">
        <v>0</v>
      </c>
      <c r="BG57" s="48"/>
      <c r="BH57" s="24">
        <f t="shared" si="18"/>
        <v>0</v>
      </c>
      <c r="BI57" s="55"/>
    </row>
    <row r="58" spans="1:62" ht="24.75">
      <c r="A58" s="15" t="s">
        <v>169</v>
      </c>
      <c r="B58" s="16" t="s">
        <v>56</v>
      </c>
      <c r="C58" s="16">
        <v>230653.74016801681</v>
      </c>
      <c r="D58" s="16">
        <v>187044.26704670468</v>
      </c>
      <c r="E58" s="18">
        <f>SUM(N58,R58,V58,Z58,AD58,AH58,AL58,AP58,AT58,AX58,BB58,BF58)</f>
        <v>187044.26704670474</v>
      </c>
      <c r="F58" s="18">
        <f>SUM(P58,T58,X58,AB58,AF58,AJ58,AN58,AR58,AV58,AZ58,BD58,BH58)</f>
        <v>187034.9091009101</v>
      </c>
      <c r="G58" s="18">
        <f t="shared" si="12"/>
        <v>9.3579457946470939</v>
      </c>
      <c r="H58" s="18">
        <f>IFERROR(SUM(N58+R58+V58+Z58+AD58+AH58+AL58+AP58),"SIN_DATOS")</f>
        <v>149635.41363736379</v>
      </c>
      <c r="I58" s="18">
        <f>IFERROR(SUM(P58+T58+X58+AB58+AF58+AJ58+AN58+AR58),"SIN_DATOS")</f>
        <v>149627.92728072809</v>
      </c>
      <c r="J58" s="19">
        <f t="shared" si="0"/>
        <v>0.79995997548198672</v>
      </c>
      <c r="K58" s="19">
        <f t="shared" si="1"/>
        <v>0.79999999999999993</v>
      </c>
      <c r="L58" s="18">
        <f t="shared" si="2"/>
        <v>7.486356635694392</v>
      </c>
      <c r="M58" s="20">
        <f t="shared" si="3"/>
        <v>4.0024518013215271E-5</v>
      </c>
      <c r="N58" s="36">
        <f>$CC$5*$BZ$5</f>
        <v>18704.42670467047</v>
      </c>
      <c r="O58" s="49"/>
      <c r="P58" s="33">
        <f>$CD$5*$BZ$5</f>
        <v>18703.490910091012</v>
      </c>
      <c r="Q58" s="52" t="s">
        <v>221</v>
      </c>
      <c r="R58" s="36">
        <f>$CE$5*$BZ$5</f>
        <v>18704.42670467047</v>
      </c>
      <c r="S58" s="49"/>
      <c r="T58" s="37">
        <f>$CF$5*$BZ$5</f>
        <v>18703.490910091012</v>
      </c>
      <c r="U58" s="53"/>
      <c r="V58" s="36">
        <f>$CG$5*$BZ$5</f>
        <v>18704.42670467047</v>
      </c>
      <c r="W58" s="49"/>
      <c r="X58" s="37">
        <f>$CH$5*$BZ$5</f>
        <v>18703.490910091012</v>
      </c>
      <c r="Y58" s="53"/>
      <c r="Z58" s="36">
        <f>$CI$5*$BZ$5</f>
        <v>18704.42670467047</v>
      </c>
      <c r="AA58" s="49"/>
      <c r="AB58" s="37">
        <f>$CJ$5*$BZ$5</f>
        <v>18703.490910091012</v>
      </c>
      <c r="AC58" s="53"/>
      <c r="AD58" s="36">
        <f>$CK$5*$BZ$5</f>
        <v>18704.42670467047</v>
      </c>
      <c r="AE58" s="49"/>
      <c r="AF58" s="37">
        <f>$CL$5*$BZ$5</f>
        <v>18703.490910091012</v>
      </c>
      <c r="AG58" s="53"/>
      <c r="AH58" s="36">
        <f>$CM$5*$BZ$5</f>
        <v>18704.42670467047</v>
      </c>
      <c r="AI58" s="49"/>
      <c r="AJ58" s="37">
        <f>$CN$5*$BZ$5</f>
        <v>18703.490910091012</v>
      </c>
      <c r="AK58" s="53"/>
      <c r="AL58" s="36">
        <f>$CO$5*$BZ$5</f>
        <v>18704.42670467047</v>
      </c>
      <c r="AM58" s="49"/>
      <c r="AN58" s="37">
        <f>$CP$5*$BZ$5</f>
        <v>18703.490910091012</v>
      </c>
      <c r="AO58" s="53"/>
      <c r="AP58" s="36">
        <f>$CQ$5*$BZ$5</f>
        <v>18704.42670467047</v>
      </c>
      <c r="AQ58" s="49"/>
      <c r="AR58" s="22">
        <f>$CR$5*$BZ$5</f>
        <v>18703.490910091012</v>
      </c>
      <c r="AS58" s="51"/>
      <c r="AT58" s="36">
        <f>$CS$5*$BZ$5</f>
        <v>18704.42670467047</v>
      </c>
      <c r="AU58" s="49"/>
      <c r="AV58" s="24">
        <f>$CT$5*$BZ$5</f>
        <v>18703.490910091012</v>
      </c>
      <c r="AW58" s="54"/>
      <c r="AX58" s="36">
        <f>$CU$5*$BZ$5</f>
        <v>18704.42670467047</v>
      </c>
      <c r="AY58" s="49"/>
      <c r="AZ58" s="24">
        <f>$CV$5*$BZ$5</f>
        <v>18703.490910091012</v>
      </c>
      <c r="BA58" s="54"/>
      <c r="BB58" s="21">
        <f>$CW$5*$BZ$5</f>
        <v>0</v>
      </c>
      <c r="BC58" s="48"/>
      <c r="BD58" s="24">
        <f>$CX$5*$BZ$5</f>
        <v>0</v>
      </c>
      <c r="BE58" s="54"/>
      <c r="BF58" s="21">
        <f>$CY$5*$BZ$5</f>
        <v>0</v>
      </c>
      <c r="BG58" s="48"/>
      <c r="BH58" s="24">
        <f>$CZ$5*$BZ$5</f>
        <v>0</v>
      </c>
      <c r="BI58" s="55"/>
    </row>
    <row r="59" spans="1:62" ht="24.75">
      <c r="A59" s="15" t="s">
        <v>174</v>
      </c>
      <c r="B59" s="16" t="s">
        <v>56</v>
      </c>
      <c r="C59" s="16">
        <v>142434.75655565553</v>
      </c>
      <c r="D59" s="16">
        <v>115504.75887588758</v>
      </c>
      <c r="E59" s="18">
        <f>SUM(N59,R59,V59,Z59,AD59,AH59,AL59,AP59,AT59,AX59,BB59,BF59)</f>
        <v>115504.75887588755</v>
      </c>
      <c r="F59" s="18">
        <f>SUM(P59,T59,X59,AB59,AF59,AJ59,AN59,AR59,AV59,AZ59,BD59,BH59)</f>
        <v>115498.98009800979</v>
      </c>
      <c r="G59" s="18">
        <f t="shared" si="12"/>
        <v>5.7787778777565109</v>
      </c>
      <c r="H59" s="18">
        <f>IFERROR(SUM(N59+R59+V59+Z59+AD59+AH59+AL59+AP59),"SIN_DATOS")</f>
        <v>92403.807100710052</v>
      </c>
      <c r="I59" s="18">
        <f>IFERROR(SUM(P59+T59+X59+AB59+AF59+AJ59+AN59+AR59),"SIN_DATOS")</f>
        <v>92399.184078407838</v>
      </c>
      <c r="J59" s="19">
        <f t="shared" si="0"/>
        <v>0.79995997548198716</v>
      </c>
      <c r="K59" s="19">
        <f t="shared" si="1"/>
        <v>0.80000000000000016</v>
      </c>
      <c r="L59" s="18">
        <f t="shared" si="2"/>
        <v>4.6230223022139398</v>
      </c>
      <c r="M59" s="20">
        <f t="shared" si="3"/>
        <v>4.0024518012993227E-5</v>
      </c>
      <c r="N59" s="36">
        <f>$CC$5*$BZ$6</f>
        <v>11550.475887588756</v>
      </c>
      <c r="O59" s="49"/>
      <c r="P59" s="33">
        <f>$CD$5*$BZ$6</f>
        <v>11549.89800980098</v>
      </c>
      <c r="Q59" s="52" t="s">
        <v>221</v>
      </c>
      <c r="R59" s="36">
        <f>$CE$5*$BZ$6</f>
        <v>11550.475887588756</v>
      </c>
      <c r="S59" s="49"/>
      <c r="T59" s="37">
        <f>$CF$5*$BZ$6</f>
        <v>11549.89800980098</v>
      </c>
      <c r="U59" s="53"/>
      <c r="V59" s="36">
        <f>$CG$5*$BZ$6</f>
        <v>11550.475887588756</v>
      </c>
      <c r="W59" s="49"/>
      <c r="X59" s="37">
        <f>$CH$5*$BZ$6</f>
        <v>11549.89800980098</v>
      </c>
      <c r="Y59" s="53"/>
      <c r="Z59" s="36">
        <f>$CI$5*$BZ$6</f>
        <v>11550.475887588756</v>
      </c>
      <c r="AA59" s="49"/>
      <c r="AB59" s="37">
        <f>$CJ$5*$BZ$6</f>
        <v>11549.89800980098</v>
      </c>
      <c r="AC59" s="53"/>
      <c r="AD59" s="36">
        <f>$CK$5*$BZ$6</f>
        <v>11550.475887588756</v>
      </c>
      <c r="AE59" s="49"/>
      <c r="AF59" s="37">
        <f>$CL$5*$BZ$6</f>
        <v>11549.89800980098</v>
      </c>
      <c r="AG59" s="53"/>
      <c r="AH59" s="36">
        <f>$CM$5*$BZ$6</f>
        <v>11550.475887588756</v>
      </c>
      <c r="AI59" s="49"/>
      <c r="AJ59" s="37">
        <f>$CN$5*$BZ$6</f>
        <v>11549.89800980098</v>
      </c>
      <c r="AK59" s="53"/>
      <c r="AL59" s="36">
        <f>$CO$5*$BZ$6</f>
        <v>11550.475887588756</v>
      </c>
      <c r="AM59" s="49"/>
      <c r="AN59" s="37">
        <f>$CP$5*$BZ$6</f>
        <v>11549.89800980098</v>
      </c>
      <c r="AO59" s="53"/>
      <c r="AP59" s="36">
        <f>$CQ$5*$BZ$6</f>
        <v>11550.475887588756</v>
      </c>
      <c r="AQ59" s="49"/>
      <c r="AR59" s="22">
        <f>$CR$5*$BZ$6</f>
        <v>11549.89800980098</v>
      </c>
      <c r="AS59" s="51"/>
      <c r="AT59" s="36">
        <f>$CS$5*$BZ$6</f>
        <v>11550.475887588756</v>
      </c>
      <c r="AU59" s="49"/>
      <c r="AV59" s="24">
        <f>$CT$5*$BZ$6</f>
        <v>11549.89800980098</v>
      </c>
      <c r="AW59" s="54"/>
      <c r="AX59" s="36">
        <f>$CU$5*$BZ$6</f>
        <v>11550.475887588756</v>
      </c>
      <c r="AY59" s="49"/>
      <c r="AZ59" s="24">
        <f>$CV$5*$BZ$6</f>
        <v>11549.89800980098</v>
      </c>
      <c r="BA59" s="54"/>
      <c r="BB59" s="21">
        <f>$CW$5*$BZ$6</f>
        <v>0</v>
      </c>
      <c r="BC59" s="48"/>
      <c r="BD59" s="24">
        <f>$CX$5*$BZ$6</f>
        <v>0</v>
      </c>
      <c r="BE59" s="54"/>
      <c r="BF59" s="21">
        <f>$CY$5*$BZ$6</f>
        <v>0</v>
      </c>
      <c r="BG59" s="48"/>
      <c r="BH59" s="24">
        <f>$CZ$5*$BZ$6</f>
        <v>0</v>
      </c>
      <c r="BI59" s="55"/>
    </row>
    <row r="60" spans="1:62" ht="24.75">
      <c r="A60" s="15" t="s">
        <v>63</v>
      </c>
      <c r="B60" s="16" t="s">
        <v>56</v>
      </c>
      <c r="C60" s="16">
        <v>38531.483276327628</v>
      </c>
      <c r="D60" s="16">
        <v>31246.374077407741</v>
      </c>
      <c r="E60" s="18">
        <f>SUM(N60,R60,V60,Z60,AD60,AH60,AL60,AP60,AT60,AX60,BB60,BF60)</f>
        <v>31246.374077407741</v>
      </c>
      <c r="F60" s="18">
        <f>SUM(P60,T60,X60,AB60,AF60,AJ60,AN60,AR60,AV60,AZ60,BD60,BH60)</f>
        <v>31244.810801080108</v>
      </c>
      <c r="G60" s="18">
        <f t="shared" si="12"/>
        <v>1.5632763276335027</v>
      </c>
      <c r="H60" s="18">
        <f>IFERROR(SUM(N60+R60+V60+Z60+AD60+AH60+AL60+AP60),"SIN_DATOS")</f>
        <v>24997.099261926192</v>
      </c>
      <c r="I60" s="18">
        <f>IFERROR(SUM(P60+T60+X60+AB60+AF60+AJ60+AN60+AR60),"SIN_DATOS")</f>
        <v>24995.848640864089</v>
      </c>
      <c r="J60" s="19">
        <f t="shared" si="0"/>
        <v>0.79995997548198694</v>
      </c>
      <c r="K60" s="19">
        <f t="shared" si="1"/>
        <v>0.79999999999999993</v>
      </c>
      <c r="L60" s="18">
        <f t="shared" si="2"/>
        <v>1.2506210621031641</v>
      </c>
      <c r="M60" s="20">
        <f t="shared" si="3"/>
        <v>4.0024518012993227E-5</v>
      </c>
      <c r="N60" s="36">
        <f>$CC$5*$BZ$7</f>
        <v>3124.6374077407741</v>
      </c>
      <c r="O60" s="49"/>
      <c r="P60" s="33">
        <f>$CD$5*$BZ$7</f>
        <v>3124.4810801080112</v>
      </c>
      <c r="Q60" s="52" t="s">
        <v>221</v>
      </c>
      <c r="R60" s="36">
        <f>$CE$5*$BZ$7</f>
        <v>3124.6374077407741</v>
      </c>
      <c r="S60" s="49"/>
      <c r="T60" s="37">
        <f>$CF$5*$BZ$7</f>
        <v>3124.4810801080112</v>
      </c>
      <c r="U60" s="53"/>
      <c r="V60" s="36">
        <f>$CG$5*$BZ$7</f>
        <v>3124.6374077407741</v>
      </c>
      <c r="W60" s="49"/>
      <c r="X60" s="37">
        <f>$CH$5*$BZ$7</f>
        <v>3124.4810801080112</v>
      </c>
      <c r="Y60" s="53"/>
      <c r="Z60" s="36">
        <f>$CI$5*$BZ$7</f>
        <v>3124.6374077407741</v>
      </c>
      <c r="AA60" s="49"/>
      <c r="AB60" s="37">
        <f>$CJ$5*$BZ$7</f>
        <v>3124.4810801080112</v>
      </c>
      <c r="AC60" s="53"/>
      <c r="AD60" s="36">
        <f>$CK$5*$BZ$7</f>
        <v>3124.6374077407741</v>
      </c>
      <c r="AE60" s="49"/>
      <c r="AF60" s="37">
        <f>$CL$5*$BZ$7</f>
        <v>3124.4810801080112</v>
      </c>
      <c r="AG60" s="53"/>
      <c r="AH60" s="36">
        <f>$CM$5*$BZ$7</f>
        <v>3124.6374077407741</v>
      </c>
      <c r="AI60" s="49"/>
      <c r="AJ60" s="37">
        <f>$CN$5*$BZ$7</f>
        <v>3124.4810801080112</v>
      </c>
      <c r="AK60" s="53"/>
      <c r="AL60" s="36">
        <f>$CO$5*$BZ$7</f>
        <v>3124.6374077407741</v>
      </c>
      <c r="AM60" s="49"/>
      <c r="AN60" s="37">
        <f>$CP$5*$BZ$7</f>
        <v>3124.4810801080112</v>
      </c>
      <c r="AO60" s="53"/>
      <c r="AP60" s="36">
        <f>$CQ$5*$BZ$7</f>
        <v>3124.6374077407741</v>
      </c>
      <c r="AQ60" s="49"/>
      <c r="AR60" s="22">
        <f>$CR$5*$BZ$7</f>
        <v>3124.4810801080112</v>
      </c>
      <c r="AS60" s="51"/>
      <c r="AT60" s="36">
        <f>$CS$5*$BZ$7</f>
        <v>3124.6374077407741</v>
      </c>
      <c r="AU60" s="49"/>
      <c r="AV60" s="24">
        <f>$CT$5*$BZ$7</f>
        <v>3124.4810801080112</v>
      </c>
      <c r="AW60" s="54"/>
      <c r="AX60" s="36">
        <f>$CU$5*$BZ$7</f>
        <v>3124.6374077407741</v>
      </c>
      <c r="AY60" s="49"/>
      <c r="AZ60" s="24">
        <f>$CV$5*$BZ$7</f>
        <v>3124.4810801080112</v>
      </c>
      <c r="BA60" s="54"/>
      <c r="BB60" s="21">
        <f>$CW$5*$BZ$7</f>
        <v>0</v>
      </c>
      <c r="BC60" s="48"/>
      <c r="BD60" s="24">
        <f>$CX$5*$BZ$7</f>
        <v>0</v>
      </c>
      <c r="BE60" s="54"/>
      <c r="BF60" s="21">
        <f>$CY$5*$BZ$7</f>
        <v>0</v>
      </c>
      <c r="BG60" s="48"/>
      <c r="BH60" s="24">
        <f>$CZ$5*$BZ$7</f>
        <v>0</v>
      </c>
      <c r="BI60" s="55"/>
    </row>
    <row r="61" spans="1:62" ht="24.75">
      <c r="A61" s="38" t="s">
        <v>181</v>
      </c>
      <c r="B61" s="16" t="s">
        <v>182</v>
      </c>
      <c r="C61" s="16">
        <v>1438231.53</v>
      </c>
      <c r="D61" s="16">
        <v>1438231.53</v>
      </c>
      <c r="E61" s="18">
        <f>SUM(N61,R61,V61,Z61,AD61,AH61,AL61,AP61,AT61,AX61,BB61,BF61)</f>
        <v>1438231.53</v>
      </c>
      <c r="F61" s="18">
        <f>SUM(P61,T61,X61,AB61,AF61,AJ61,AN61,AR61,AV61,AZ61,BD61,BH61)</f>
        <v>934833.0399999998</v>
      </c>
      <c r="G61" s="18">
        <f t="shared" si="12"/>
        <v>503398.49000000022</v>
      </c>
      <c r="H61" s="18">
        <f>IFERROR(SUM(N61+R61+V61+Z61+AD61+AH61+AL61+AP61),"SIN_DATOS")</f>
        <v>870393.45000000007</v>
      </c>
      <c r="I61" s="18">
        <f>IFERROR(SUM(P61+T61+X61+AB61+AF61+AJ61+AN61+AR61),"SIN_DATOS")</f>
        <v>519351.67999999993</v>
      </c>
      <c r="J61" s="19">
        <f>IF(OR(NOT(ISNUMBER($E61)),$E61=0),"SIN DATO",$I61/$E61)</f>
        <v>0.36110436266127466</v>
      </c>
      <c r="K61" s="19">
        <f>IF(OR(NOT(ISNUMBER($E61)),$E61=0),"SIN DATO",$H61/$E61)</f>
        <v>0.60518312374920613</v>
      </c>
      <c r="L61" s="18">
        <f>IFERROR(H61-I61,"SIN DATO")</f>
        <v>351041.77000000014</v>
      </c>
      <c r="M61" s="20">
        <f>IFERROR(K61-J61,"SIN DATO")</f>
        <v>0.24407876108793147</v>
      </c>
      <c r="N61" s="21">
        <v>104061.99</v>
      </c>
      <c r="O61" s="48"/>
      <c r="P61" s="23">
        <v>0</v>
      </c>
      <c r="Q61" s="52" t="s">
        <v>221</v>
      </c>
      <c r="R61" s="21">
        <v>104061.99</v>
      </c>
      <c r="S61" s="48"/>
      <c r="T61" s="22">
        <v>0</v>
      </c>
      <c r="U61" s="51"/>
      <c r="V61" s="21">
        <v>104061.99</v>
      </c>
      <c r="W61" s="48"/>
      <c r="X61" s="22">
        <v>103870.34</v>
      </c>
      <c r="Y61" s="51"/>
      <c r="Z61" s="21">
        <v>104061.99</v>
      </c>
      <c r="AA61" s="48"/>
      <c r="AB61" s="22">
        <v>103870.33</v>
      </c>
      <c r="AC61" s="51"/>
      <c r="AD61" s="21">
        <v>104061.99</v>
      </c>
      <c r="AE61" s="48"/>
      <c r="AF61" s="22">
        <v>103870.33</v>
      </c>
      <c r="AG61" s="51"/>
      <c r="AH61" s="21">
        <v>104061.99</v>
      </c>
      <c r="AI61" s="48"/>
      <c r="AJ61" s="22">
        <v>103870.34</v>
      </c>
      <c r="AK61" s="51"/>
      <c r="AL61" s="21">
        <v>104061.99</v>
      </c>
      <c r="AM61" s="48"/>
      <c r="AN61" s="22">
        <f>AJ61</f>
        <v>103870.34</v>
      </c>
      <c r="AO61" s="51"/>
      <c r="AP61" s="21">
        <v>141959.51999999999</v>
      </c>
      <c r="AQ61" s="48"/>
      <c r="AR61" s="23">
        <v>0</v>
      </c>
      <c r="AS61" s="52" t="s">
        <v>222</v>
      </c>
      <c r="AT61" s="21">
        <v>141959.51999999999</v>
      </c>
      <c r="AU61" s="48"/>
      <c r="AV61" s="24">
        <v>103870.34</v>
      </c>
      <c r="AW61" s="54"/>
      <c r="AX61" s="21">
        <v>141959.51999999999</v>
      </c>
      <c r="AY61" s="48"/>
      <c r="AZ61" s="24">
        <f>AV61</f>
        <v>103870.34</v>
      </c>
      <c r="BA61" s="54"/>
      <c r="BB61" s="21">
        <v>141959.51999999999</v>
      </c>
      <c r="BC61" s="48"/>
      <c r="BD61" s="24">
        <f>AZ61</f>
        <v>103870.34</v>
      </c>
      <c r="BE61" s="54"/>
      <c r="BF61" s="21">
        <v>141959.51999999999</v>
      </c>
      <c r="BG61" s="48"/>
      <c r="BH61" s="24">
        <f>BD61</f>
        <v>103870.34</v>
      </c>
      <c r="BI61" s="55"/>
      <c r="BJ61" s="25" t="s">
        <v>183</v>
      </c>
    </row>
    <row r="62" spans="1:62" ht="12.75">
      <c r="A62" s="38" t="s">
        <v>184</v>
      </c>
      <c r="B62" s="16" t="s">
        <v>185</v>
      </c>
      <c r="C62" s="16">
        <v>840</v>
      </c>
      <c r="D62" s="16">
        <v>840</v>
      </c>
      <c r="E62" s="18">
        <f>SUM(N62,R62,V62,Z62,AD62,AH62,AL62,AP62,AT62,AX62,BB62,BF62)</f>
        <v>840</v>
      </c>
      <c r="F62" s="18">
        <f>SUM(P62,T62,X62,AB62,AF62,AJ62,AN62,AR62,AV62,AZ62,BD62,BH62)</f>
        <v>0</v>
      </c>
      <c r="G62" s="18">
        <f t="shared" si="12"/>
        <v>840</v>
      </c>
      <c r="H62" s="18">
        <f>IFERROR(SUM(N62+R62+V62+Z62+AD62+AH62+AL62+AP62),"SIN_DATOS")</f>
        <v>799</v>
      </c>
      <c r="I62" s="18">
        <f>IFERROR(SUM(P62+T62+X62+AB62+AF62+AJ62+AN62+AR62),"SIN_DATOS")</f>
        <v>0</v>
      </c>
      <c r="J62" s="19">
        <f t="shared" si="0"/>
        <v>0</v>
      </c>
      <c r="K62" s="19">
        <f t="shared" si="1"/>
        <v>0.95119047619047614</v>
      </c>
      <c r="L62" s="18">
        <f t="shared" si="2"/>
        <v>799</v>
      </c>
      <c r="M62" s="20">
        <f t="shared" si="3"/>
        <v>0.95119047619047614</v>
      </c>
      <c r="N62" s="36">
        <v>0</v>
      </c>
      <c r="O62" s="49"/>
      <c r="P62" s="37">
        <v>0</v>
      </c>
      <c r="Q62" s="53"/>
      <c r="R62" s="36">
        <v>0</v>
      </c>
      <c r="S62" s="49"/>
      <c r="T62" s="37">
        <v>0</v>
      </c>
      <c r="U62" s="53"/>
      <c r="V62" s="36">
        <v>799</v>
      </c>
      <c r="W62" s="49"/>
      <c r="X62" s="37">
        <v>799</v>
      </c>
      <c r="Y62" s="53"/>
      <c r="Z62" s="36">
        <v>0</v>
      </c>
      <c r="AA62" s="49"/>
      <c r="AB62" s="37">
        <v>0</v>
      </c>
      <c r="AC62" s="53"/>
      <c r="AD62" s="36">
        <v>0</v>
      </c>
      <c r="AE62" s="49"/>
      <c r="AF62" s="37">
        <v>0</v>
      </c>
      <c r="AG62" s="53"/>
      <c r="AH62" s="36">
        <v>0</v>
      </c>
      <c r="AI62" s="49"/>
      <c r="AJ62" s="37">
        <v>-799</v>
      </c>
      <c r="AK62" s="53"/>
      <c r="AL62" s="36">
        <v>0</v>
      </c>
      <c r="AM62" s="49"/>
      <c r="AN62" s="22">
        <v>0</v>
      </c>
      <c r="AO62" s="51"/>
      <c r="AP62" s="36">
        <v>0</v>
      </c>
      <c r="AQ62" s="49"/>
      <c r="AR62" s="24">
        <f t="shared" si="19"/>
        <v>0</v>
      </c>
      <c r="AS62" s="54"/>
      <c r="AT62" s="36">
        <v>0</v>
      </c>
      <c r="AU62" s="49"/>
      <c r="AV62" s="24">
        <f t="shared" si="15"/>
        <v>0</v>
      </c>
      <c r="AW62" s="54"/>
      <c r="AX62" s="36">
        <v>0</v>
      </c>
      <c r="AY62" s="49"/>
      <c r="AZ62" s="24">
        <f t="shared" si="16"/>
        <v>0</v>
      </c>
      <c r="BA62" s="54"/>
      <c r="BB62" s="21">
        <v>41</v>
      </c>
      <c r="BC62" s="48"/>
      <c r="BD62" s="24">
        <f t="shared" si="17"/>
        <v>0</v>
      </c>
      <c r="BE62" s="54"/>
      <c r="BF62" s="21">
        <v>0</v>
      </c>
      <c r="BG62" s="48"/>
      <c r="BH62" s="24">
        <f t="shared" si="18"/>
        <v>0</v>
      </c>
      <c r="BI62" s="55"/>
    </row>
    <row r="63" spans="1:62" ht="12.75">
      <c r="A63" s="38" t="s">
        <v>186</v>
      </c>
      <c r="B63" s="16" t="s">
        <v>187</v>
      </c>
      <c r="C63" s="16">
        <v>4250</v>
      </c>
      <c r="D63" s="16">
        <v>4250</v>
      </c>
      <c r="E63" s="18">
        <f>SUM(N63,R63,V63,Z63,AD63,AH63,AL63,AP63,AT63,AX63,BB63,BF63)</f>
        <v>4250</v>
      </c>
      <c r="F63" s="18">
        <f>SUM(P63,T63,X63,AB63,AF63,AJ63,AN63,AR63,AV63,AZ63,BD63,BH63)</f>
        <v>0</v>
      </c>
      <c r="G63" s="18">
        <f t="shared" si="12"/>
        <v>4250</v>
      </c>
      <c r="H63" s="18">
        <f>IFERROR(SUM(N63+R63+V63+Z63+AD63+AH63+AL63+AP63),"SIN_DATOS")</f>
        <v>2700</v>
      </c>
      <c r="I63" s="18">
        <f>IFERROR(SUM(P63+T63+X63+AB63+AF63+AJ63+AN63+AR63),"SIN_DATOS")</f>
        <v>0</v>
      </c>
      <c r="J63" s="19">
        <f t="shared" si="0"/>
        <v>0</v>
      </c>
      <c r="K63" s="19">
        <f t="shared" si="1"/>
        <v>0.63529411764705879</v>
      </c>
      <c r="L63" s="18">
        <f t="shared" si="2"/>
        <v>2700</v>
      </c>
      <c r="M63" s="20">
        <f t="shared" si="3"/>
        <v>0.63529411764705879</v>
      </c>
      <c r="N63" s="36">
        <v>0</v>
      </c>
      <c r="O63" s="49"/>
      <c r="P63" s="37">
        <v>0</v>
      </c>
      <c r="Q63" s="53"/>
      <c r="R63" s="36">
        <v>0</v>
      </c>
      <c r="S63" s="49"/>
      <c r="T63" s="37">
        <v>0</v>
      </c>
      <c r="U63" s="53"/>
      <c r="V63" s="36">
        <v>200</v>
      </c>
      <c r="W63" s="49"/>
      <c r="X63" s="37">
        <v>0</v>
      </c>
      <c r="Y63" s="53"/>
      <c r="Z63" s="36">
        <v>200</v>
      </c>
      <c r="AA63" s="49"/>
      <c r="AB63" s="37">
        <v>0</v>
      </c>
      <c r="AC63" s="53"/>
      <c r="AD63" s="36">
        <v>950</v>
      </c>
      <c r="AE63" s="49"/>
      <c r="AF63" s="37">
        <v>0</v>
      </c>
      <c r="AG63" s="53"/>
      <c r="AH63" s="36">
        <v>200</v>
      </c>
      <c r="AI63" s="49"/>
      <c r="AJ63" s="37">
        <v>0</v>
      </c>
      <c r="AK63" s="53"/>
      <c r="AL63" s="36">
        <v>200</v>
      </c>
      <c r="AM63" s="49"/>
      <c r="AN63" s="37">
        <v>0</v>
      </c>
      <c r="AO63" s="53"/>
      <c r="AP63" s="36">
        <v>950</v>
      </c>
      <c r="AQ63" s="49"/>
      <c r="AR63" s="24">
        <f t="shared" si="19"/>
        <v>0</v>
      </c>
      <c r="AS63" s="54"/>
      <c r="AT63" s="36">
        <v>200</v>
      </c>
      <c r="AU63" s="49"/>
      <c r="AV63" s="24">
        <f t="shared" si="15"/>
        <v>0</v>
      </c>
      <c r="AW63" s="54"/>
      <c r="AX63" s="36">
        <v>200</v>
      </c>
      <c r="AY63" s="49"/>
      <c r="AZ63" s="24">
        <f t="shared" si="16"/>
        <v>0</v>
      </c>
      <c r="BA63" s="54"/>
      <c r="BB63" s="36">
        <v>950</v>
      </c>
      <c r="BC63" s="49"/>
      <c r="BD63" s="24">
        <f t="shared" si="17"/>
        <v>0</v>
      </c>
      <c r="BE63" s="54"/>
      <c r="BF63" s="36">
        <v>200</v>
      </c>
      <c r="BG63" s="49"/>
      <c r="BH63" s="24">
        <f t="shared" si="18"/>
        <v>0</v>
      </c>
      <c r="BI63" s="55"/>
    </row>
    <row r="64" spans="1:62" ht="12.75">
      <c r="A64" s="38" t="s">
        <v>188</v>
      </c>
      <c r="B64" s="16" t="s">
        <v>189</v>
      </c>
      <c r="C64" s="16" t="s">
        <v>70</v>
      </c>
      <c r="D64" s="16" t="s">
        <v>70</v>
      </c>
      <c r="E64" s="18">
        <f>SUM(N64,R64,V64,Z64,AD64,AH64,AL64,AP64,AT64,AX64,BB64,BF64)</f>
        <v>60000</v>
      </c>
      <c r="F64" s="18">
        <f>SUM(P64,T64,X64,AB64,AF64,AJ64,AN64,AR64,AV64,AZ64,BD64,BH64)</f>
        <v>0</v>
      </c>
      <c r="G64" s="18">
        <f t="shared" si="12"/>
        <v>60000</v>
      </c>
      <c r="H64" s="18">
        <f>IFERROR(SUM(N64+R64+V64+Z64+AD64+AH64+AL64+AP64),"SIN_DATOS")</f>
        <v>60000</v>
      </c>
      <c r="I64" s="18">
        <f>IFERROR(SUM(P64+T64+X64+AB64+AF64+AJ64+AN64+AR64),"SIN_DATOS")</f>
        <v>0</v>
      </c>
      <c r="J64" s="19">
        <f t="shared" si="0"/>
        <v>0</v>
      </c>
      <c r="K64" s="19">
        <f t="shared" si="1"/>
        <v>1</v>
      </c>
      <c r="L64" s="18">
        <f t="shared" si="2"/>
        <v>60000</v>
      </c>
      <c r="M64" s="20">
        <f t="shared" si="3"/>
        <v>1</v>
      </c>
      <c r="N64" s="36">
        <v>0</v>
      </c>
      <c r="O64" s="49"/>
      <c r="P64" s="37">
        <v>0</v>
      </c>
      <c r="Q64" s="53"/>
      <c r="R64" s="36">
        <v>0</v>
      </c>
      <c r="S64" s="49"/>
      <c r="T64" s="37">
        <v>0</v>
      </c>
      <c r="U64" s="53"/>
      <c r="V64" s="36">
        <v>0</v>
      </c>
      <c r="W64" s="49"/>
      <c r="X64" s="37">
        <v>0</v>
      </c>
      <c r="Y64" s="53"/>
      <c r="Z64" s="36">
        <v>0</v>
      </c>
      <c r="AA64" s="49"/>
      <c r="AB64" s="37">
        <v>0</v>
      </c>
      <c r="AC64" s="53"/>
      <c r="AD64" s="36">
        <v>0</v>
      </c>
      <c r="AE64" s="49"/>
      <c r="AF64" s="37">
        <v>0</v>
      </c>
      <c r="AG64" s="53"/>
      <c r="AH64" s="36">
        <v>0</v>
      </c>
      <c r="AI64" s="49"/>
      <c r="AJ64" s="37">
        <v>0</v>
      </c>
      <c r="AK64" s="53"/>
      <c r="AL64" s="36">
        <v>0</v>
      </c>
      <c r="AM64" s="49"/>
      <c r="AN64" s="37">
        <v>0</v>
      </c>
      <c r="AO64" s="53"/>
      <c r="AP64" s="36">
        <v>60000</v>
      </c>
      <c r="AQ64" s="49"/>
      <c r="AR64" s="22">
        <v>0</v>
      </c>
      <c r="AS64" s="51"/>
      <c r="AT64" s="36">
        <v>0</v>
      </c>
      <c r="AU64" s="49"/>
      <c r="AV64" s="24">
        <v>0</v>
      </c>
      <c r="AW64" s="54"/>
      <c r="AX64" s="36">
        <v>0</v>
      </c>
      <c r="AY64" s="49"/>
      <c r="AZ64" s="24">
        <f t="shared" si="16"/>
        <v>0</v>
      </c>
      <c r="BA64" s="54"/>
      <c r="BB64" s="36">
        <v>0</v>
      </c>
      <c r="BC64" s="49"/>
      <c r="BD64" s="24">
        <f t="shared" si="17"/>
        <v>0</v>
      </c>
      <c r="BE64" s="54"/>
      <c r="BF64" s="36">
        <v>0</v>
      </c>
      <c r="BG64" s="49"/>
      <c r="BH64" s="24">
        <f t="shared" si="18"/>
        <v>0</v>
      </c>
      <c r="BI64" s="55"/>
    </row>
    <row r="65" spans="1:61" s="45" customFormat="1" ht="15">
      <c r="A65" s="39" t="s">
        <v>191</v>
      </c>
      <c r="B65" s="40"/>
      <c r="C65" s="40">
        <v>13913796.059999999</v>
      </c>
      <c r="D65" s="40">
        <v>13241417.039999999</v>
      </c>
      <c r="E65" s="41">
        <f>SUM(N65,R65,V65,Z65,AD65,AH65,AL65,AP65,AT65,AX65,BB65,BF65)</f>
        <v>13692967.869999999</v>
      </c>
      <c r="F65" s="41">
        <f>SUM(P65,T65,X65,AB65,AF65,AJ65,AN65,AR65,AV65,AZ65,BD65,BH65)</f>
        <v>12632707.755610414</v>
      </c>
      <c r="G65" s="41">
        <f t="shared" si="12"/>
        <v>1060260.1143895853</v>
      </c>
      <c r="H65" s="41">
        <f>IFERROR(SUM(N65+R65+V65+Z65+AD65+AH65+AL65+AP65),"SIN_DATOS")</f>
        <v>9214002.8399999999</v>
      </c>
      <c r="I65" s="41">
        <f>IFERROR(SUM(P65+T65+X65+AB65+AF65+AJ65+AN65+AR65),"SIN_DATOS")</f>
        <v>8493169.5303805713</v>
      </c>
      <c r="J65" s="42">
        <f t="shared" si="0"/>
        <v>0.62025775646405368</v>
      </c>
      <c r="K65" s="42">
        <f t="shared" si="1"/>
        <v>0.67290034764391804</v>
      </c>
      <c r="L65" s="41">
        <f t="shared" si="2"/>
        <v>720833.30961942859</v>
      </c>
      <c r="M65" s="43">
        <f t="shared" si="3"/>
        <v>5.2642591179864362E-2</v>
      </c>
      <c r="N65" s="44">
        <f t="shared" ref="N65:BH65" si="21">SUM(N2:N64)</f>
        <v>1328932.3500000001</v>
      </c>
      <c r="O65" s="50"/>
      <c r="P65" s="44">
        <f t="shared" si="21"/>
        <v>900874.08</v>
      </c>
      <c r="Q65" s="50"/>
      <c r="R65" s="44">
        <f t="shared" si="21"/>
        <v>1017667.3500000001</v>
      </c>
      <c r="S65" s="50"/>
      <c r="T65" s="44">
        <f t="shared" si="21"/>
        <v>916844.5834931914</v>
      </c>
      <c r="U65" s="50"/>
      <c r="V65" s="44">
        <f t="shared" si="21"/>
        <v>1798587.97</v>
      </c>
      <c r="W65" s="50"/>
      <c r="X65" s="44">
        <f t="shared" si="21"/>
        <v>989897.76313063316</v>
      </c>
      <c r="Y65" s="50"/>
      <c r="Z65" s="44">
        <f t="shared" si="21"/>
        <v>1010795.9</v>
      </c>
      <c r="AA65" s="50"/>
      <c r="AB65" s="44">
        <f t="shared" si="21"/>
        <v>916168.96999999986</v>
      </c>
      <c r="AC65" s="50"/>
      <c r="AD65" s="44">
        <f t="shared" si="21"/>
        <v>405884.33999999991</v>
      </c>
      <c r="AE65" s="50"/>
      <c r="AF65" s="44">
        <f t="shared" si="21"/>
        <v>995951.02899545687</v>
      </c>
      <c r="AG65" s="50"/>
      <c r="AH65" s="44">
        <f t="shared" si="21"/>
        <v>1584075.5699999998</v>
      </c>
      <c r="AI65" s="50"/>
      <c r="AJ65" s="44">
        <f t="shared" si="21"/>
        <v>1665547.51</v>
      </c>
      <c r="AK65" s="50"/>
      <c r="AL65" s="44">
        <f t="shared" si="21"/>
        <v>971382.17000000016</v>
      </c>
      <c r="AM65" s="50"/>
      <c r="AN65" s="44">
        <f t="shared" si="21"/>
        <v>1241936.7100000002</v>
      </c>
      <c r="AO65" s="50"/>
      <c r="AP65" s="44">
        <f t="shared" si="21"/>
        <v>1096677.19</v>
      </c>
      <c r="AQ65" s="50"/>
      <c r="AR65" s="44">
        <f t="shared" si="21"/>
        <v>865948.88476129062</v>
      </c>
      <c r="AS65" s="50"/>
      <c r="AT65" s="44">
        <f t="shared" si="21"/>
        <v>1136945.5999999999</v>
      </c>
      <c r="AU65" s="50"/>
      <c r="AV65" s="44">
        <f t="shared" si="21"/>
        <v>1021481.3406909378</v>
      </c>
      <c r="AW65" s="50"/>
      <c r="AX65" s="44">
        <f t="shared" si="21"/>
        <v>1099229.5999999999</v>
      </c>
      <c r="AY65" s="50"/>
      <c r="AZ65" s="44">
        <f t="shared" si="21"/>
        <v>980134.30817963486</v>
      </c>
      <c r="BA65" s="50"/>
      <c r="BB65" s="44">
        <f t="shared" si="21"/>
        <v>1126232.0899999999</v>
      </c>
      <c r="BC65" s="50"/>
      <c r="BD65" s="44">
        <f t="shared" si="21"/>
        <v>1042211.2881796348</v>
      </c>
      <c r="BE65" s="50"/>
      <c r="BF65" s="44">
        <f t="shared" si="21"/>
        <v>1116557.74</v>
      </c>
      <c r="BG65" s="50"/>
      <c r="BH65" s="44">
        <f t="shared" si="21"/>
        <v>1095711.2881796348</v>
      </c>
      <c r="BI65" s="56"/>
    </row>
    <row r="67" spans="1:61">
      <c r="P67" s="35"/>
      <c r="Q67" s="35"/>
    </row>
  </sheetData>
  <autoFilter ref="A1:BH66" xr:uid="{00000000-0001-0000-0800-000000000000}"/>
  <conditionalFormatting sqref="B62:C1048576 B61 B9:B11 B16:C18 B15 B22:C24 B25 B50 B26:C47 B49:C49 B48 B1:C8 B19:B21 B51:C60 D65 B12:C13 C14">
    <cfRule type="duplicateValues" dxfId="27" priority="24"/>
  </conditionalFormatting>
  <conditionalFormatting sqref="B1:D1">
    <cfRule type="duplicateValues" dxfId="26" priority="25"/>
  </conditionalFormatting>
  <conditionalFormatting sqref="C9:C11 D1:D7 D26:D45 D47:D50 D57:D63">
    <cfRule type="cellIs" dxfId="25" priority="15" operator="equal">
      <formula>"SIN DATO"</formula>
    </cfRule>
  </conditionalFormatting>
  <conditionalFormatting sqref="C15">
    <cfRule type="cellIs" dxfId="24" priority="14" operator="equal">
      <formula>"SIN DATO"</formula>
    </cfRule>
  </conditionalFormatting>
  <conditionalFormatting sqref="C48">
    <cfRule type="cellIs" dxfId="23" priority="11" operator="equal">
      <formula>"SIN DATO"</formula>
    </cfRule>
  </conditionalFormatting>
  <conditionalFormatting sqref="C50">
    <cfRule type="cellIs" dxfId="22" priority="13" operator="equal">
      <formula>"SIN DATO"</formula>
    </cfRule>
  </conditionalFormatting>
  <conditionalFormatting sqref="C61">
    <cfRule type="cellIs" dxfId="21" priority="8" operator="equal">
      <formula>"SIN DATO"</formula>
    </cfRule>
  </conditionalFormatting>
  <conditionalFormatting sqref="D22:D24 N58:P60 AT58:AU60 AX58:AY60 N62:AM64 AP62:AQ64 AT62:AU64 AX62:AY64 D66:D1048576 R58:AQ60">
    <cfRule type="cellIs" dxfId="20" priority="21" operator="equal">
      <formula>"SIN DATO"</formula>
    </cfRule>
  </conditionalFormatting>
  <conditionalFormatting sqref="D8">
    <cfRule type="duplicateValues" dxfId="19" priority="9"/>
  </conditionalFormatting>
  <conditionalFormatting sqref="D9:D18">
    <cfRule type="cellIs" dxfId="18" priority="12" operator="equal">
      <formula>"SIN DATO"</formula>
    </cfRule>
  </conditionalFormatting>
  <conditionalFormatting sqref="D64">
    <cfRule type="duplicateValues" dxfId="17" priority="10"/>
  </conditionalFormatting>
  <conditionalFormatting sqref="G1:G1048576">
    <cfRule type="cellIs" dxfId="16" priority="7" operator="greaterThan">
      <formula>5000</formula>
    </cfRule>
    <cfRule type="cellIs" dxfId="15" priority="17" operator="equal">
      <formula>"SIN DATO"</formula>
    </cfRule>
    <cfRule type="cellIs" dxfId="14" priority="18" operator="lessThan">
      <formula>0</formula>
    </cfRule>
  </conditionalFormatting>
  <conditionalFormatting sqref="G2:G65 L2:M65">
    <cfRule type="cellIs" dxfId="13" priority="16" operator="greaterThanOrEqual">
      <formula>0</formula>
    </cfRule>
  </conditionalFormatting>
  <conditionalFormatting sqref="L1:M1048576">
    <cfRule type="cellIs" dxfId="12" priority="22" operator="equal">
      <formula>"SIN DATO"</formula>
    </cfRule>
    <cfRule type="cellIs" dxfId="11" priority="23" operator="lessThan">
      <formula>0</formula>
    </cfRule>
  </conditionalFormatting>
  <conditionalFormatting sqref="AN63:AO64">
    <cfRule type="cellIs" dxfId="10" priority="20" operator="equal">
      <formula>"SIN DATO"</formula>
    </cfRule>
  </conditionalFormatting>
  <conditionalFormatting sqref="BB63:BC64 BF63:BG64">
    <cfRule type="cellIs" dxfId="9" priority="19" operator="equal">
      <formula>"SIN DATO"</formula>
    </cfRule>
  </conditionalFormatting>
  <conditionalFormatting sqref="B14">
    <cfRule type="duplicateValues" dxfId="8" priority="6"/>
  </conditionalFormatting>
  <conditionalFormatting sqref="BJ15">
    <cfRule type="duplicateValues" dxfId="7" priority="5"/>
  </conditionalFormatting>
  <conditionalFormatting sqref="D46">
    <cfRule type="duplicateValues" dxfId="6" priority="26"/>
  </conditionalFormatting>
  <conditionalFormatting sqref="D51:D53">
    <cfRule type="duplicateValues" dxfId="5" priority="27"/>
  </conditionalFormatting>
  <conditionalFormatting sqref="D54:D56">
    <cfRule type="duplicateValues" dxfId="4" priority="28"/>
  </conditionalFormatting>
  <conditionalFormatting sqref="BJ9:BJ11">
    <cfRule type="cellIs" dxfId="3" priority="4" operator="equal">
      <formula>"SIN DATO"</formula>
    </cfRule>
  </conditionalFormatting>
  <conditionalFormatting sqref="BJ12">
    <cfRule type="duplicateValues" dxfId="2" priority="3"/>
  </conditionalFormatting>
  <conditionalFormatting sqref="BJ13">
    <cfRule type="duplicateValues" dxfId="1" priority="2"/>
  </conditionalFormatting>
  <conditionalFormatting sqref="BJ14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39c276-a7cc-47ae-bced-9e9d37ae24d3">
      <Terms xmlns="http://schemas.microsoft.com/office/infopath/2007/PartnerControls"/>
    </lcf76f155ced4ddcb4097134ff3c332f>
    <TaxCatchAll xmlns="1b508a9c-d516-4716-bcbc-29364a0067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0CB88C20BD454483DE086C26EB0343" ma:contentTypeVersion="14" ma:contentTypeDescription="Crear nuevo documento." ma:contentTypeScope="" ma:versionID="2e5dc4bb7a7776eacfef0d7623b447f0">
  <xsd:schema xmlns:xsd="http://www.w3.org/2001/XMLSchema" xmlns:xs="http://www.w3.org/2001/XMLSchema" xmlns:p="http://schemas.microsoft.com/office/2006/metadata/properties" xmlns:ns2="1b508a9c-d516-4716-bcbc-29364a006713" xmlns:ns3="7439c276-a7cc-47ae-bced-9e9d37ae24d3" targetNamespace="http://schemas.microsoft.com/office/2006/metadata/properties" ma:root="true" ma:fieldsID="4d715315ace1efbc6f1d36fea58c8218" ns2:_="" ns3:_="">
    <xsd:import namespace="1b508a9c-d516-4716-bcbc-29364a006713"/>
    <xsd:import namespace="7439c276-a7cc-47ae-bced-9e9d37ae24d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8a9c-d516-4716-bcbc-29364a00671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56a3575-f0cf-4487-8a7d-698d4c7a2ddf}" ma:internalName="TaxCatchAll" ma:showField="CatchAllData" ma:web="1b508a9c-d516-4716-bcbc-29364a0067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39c276-a7cc-47ae-bced-9e9d37ae24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59889e00-5939-4d44-ab83-5947b365ad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710373-43CF-4A02-9E19-D71C2A6A0D0C}"/>
</file>

<file path=customXml/itemProps2.xml><?xml version="1.0" encoding="utf-8"?>
<ds:datastoreItem xmlns:ds="http://schemas.openxmlformats.org/officeDocument/2006/customXml" ds:itemID="{6D980678-1781-462D-ABB8-0789C4B515DE}"/>
</file>

<file path=customXml/itemProps3.xml><?xml version="1.0" encoding="utf-8"?>
<ds:datastoreItem xmlns:ds="http://schemas.openxmlformats.org/officeDocument/2006/customXml" ds:itemID="{C745A282-0A0F-49FA-9F56-04D35D28C4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Banco Pichincha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SILVA VIZCARRA DAVID FERNANDO</dc:creator>
  <cp:keywords/>
  <dc:description/>
  <cp:lastModifiedBy>FALCONI NORIEGA MARCO FABRICIO</cp:lastModifiedBy>
  <cp:revision/>
  <dcterms:created xsi:type="dcterms:W3CDTF">2026-09-16T23:15:00Z</dcterms:created>
  <dcterms:modified xsi:type="dcterms:W3CDTF">2026-09-18T04:15:31Z</dcterms:modified>
  <cp:category/>
  <cp:contentStatus/>
</cp:coreProperties>
</file>

<file path=docProps/custom.xml><?xml version="1.0" encoding="utf-8"?>
<op:Properties xmlns:op="http://schemas.openxmlformats.org/officeDocument/2006/custom-properties">
  <op:property fmtid="{D5CDD505-2E9C-101B-9397-08002B2CF9AE}" pid="2" name="ContentTypeId">
    <vt:lpwstr xmlns:vt="http://schemas.openxmlformats.org/officeDocument/2006/docPropsVTypes">0x010100420CB88C20BD454483DE086C26EB0343</vt:lpwstr>
  </op:property>
  <op:property fmtid="{D5CDD505-2E9C-101B-9397-08002B2CF9AE}" pid="3" name="MediaServiceImageTags">
    <vt:lpwstr xmlns:vt="http://schemas.openxmlformats.org/officeDocument/2006/docPropsVTypes"/>
  </op:property>
  <op:property fmtid="{D5CDD505-2E9C-101B-9397-08002B2CF9AE}" pid="4" name="KriptosClassAi">
    <vt:lpwstr xmlns:vt="http://schemas.openxmlformats.org/officeDocument/2006/docPropsVTypes">1-Uso Interno</vt:lpwstr>
  </op:property>
  <op:property fmtid="{D5CDD505-2E9C-101B-9397-08002B2CF9AE}" pid="5" name="KripPCI">
    <vt:lpwstr xmlns:vt="http://schemas.openxmlformats.org/officeDocument/2006/docPropsVTypes">KripCC</vt:lpwstr>
  </op:property>
</op:Properties>
</file>